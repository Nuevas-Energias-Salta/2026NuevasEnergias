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5"/>
    <sheet state="visible" name="LineaC" sheetId="2" r:id="rId6"/>
    <sheet state="visible" name="LineaC Trimestral" sheetId="3" r:id="rId7"/>
    <sheet state="visible" name="Cendis" sheetId="4" r:id="rId8"/>
    <sheet state="visible" name="Cendis Trimestral " sheetId="5" r:id="rId9"/>
    <sheet state="visible" name="Tolaba" sheetId="6" r:id="rId10"/>
    <sheet state="visible" name="Tolaba Trimestral" sheetId="7" r:id="rId11"/>
    <sheet state="visible" name="Robles" sheetId="8" r:id="rId12"/>
    <sheet state="visible" name="Robles Trimestral" sheetId="9" r:id="rId13"/>
    <sheet state="visible" name="Cartoon Inversor 2" sheetId="10" r:id="rId14"/>
    <sheet state="visible" name="Cartoon Inversor 2 Trimestral " sheetId="11" r:id="rId15"/>
    <sheet state="visible" name="Cartoon Inversor 1" sheetId="12" r:id="rId16"/>
    <sheet state="visible" name="Cartoon Inversor 1 Trimestral " sheetId="13" r:id="rId17"/>
    <sheet state="visible" name="MartÍn Lecuona " sheetId="14" r:id="rId18"/>
    <sheet state="visible" name="Martín Lecuona Trimestral " sheetId="15" r:id="rId19"/>
    <sheet state="visible" name="Tambo Martorel " sheetId="16" r:id="rId20"/>
    <sheet state="visible" name="Tambo Martorel Trimestral " sheetId="17" r:id="rId21"/>
    <sheet state="visible" name="Imac-RdelL" sheetId="18" r:id="rId22"/>
    <sheet state="visible" name="Imac-RdelL Trimestral" sheetId="19" r:id="rId23"/>
    <sheet state="visible" name="Agustín Lanus" sheetId="20" r:id="rId24"/>
    <sheet state="visible" name="Agustín Lanus Trimestral " sheetId="21" r:id="rId25"/>
    <sheet state="visible" name="Saltapor SRL" sheetId="22" r:id="rId26"/>
    <sheet state="visible" name="Saltapor SRL Trimestral" sheetId="23" r:id="rId27"/>
    <sheet state="visible" name="Facundo Alvarado" sheetId="24" r:id="rId28"/>
    <sheet state="visible" name="Facundo Alvarado Trimestral " sheetId="25" r:id="rId29"/>
    <sheet state="visible" name="La carolina " sheetId="26" r:id="rId30"/>
    <sheet state="visible" name="La carolina Trimestral " sheetId="27" r:id="rId31"/>
    <sheet state="visible" name="Diagnostico Salta " sheetId="28" r:id="rId32"/>
    <sheet state="visible" name="Diagnostico Salta Trimestral " sheetId="29" r:id="rId33"/>
    <sheet state="visible" name="Punto Corp " sheetId="30" r:id="rId34"/>
    <sheet state="visible" name="Punto Corp Trimestral " sheetId="31" r:id="rId35"/>
    <sheet state="visible" name="Etchart " sheetId="32" r:id="rId36"/>
    <sheet state="visible" name="Etchart Trimestral " sheetId="33" r:id="rId37"/>
    <sheet state="visible" name="Cartoon" sheetId="34" r:id="rId38"/>
    <sheet state="visible" name="Cartoon Trimestral" sheetId="35" r:id="rId39"/>
    <sheet state="visible" name="Imac-RdlF" sheetId="36" r:id="rId40"/>
    <sheet state="visible" name="Imac Trimestral" sheetId="37" r:id="rId41"/>
    <sheet state="visible" name="Ivan BV" sheetId="38" r:id="rId42"/>
    <sheet state="visible" name="Ivan BV Trimestral" sheetId="39" r:id="rId43"/>
    <sheet state="visible" name="Joaquin Elizalde" sheetId="40" r:id="rId44"/>
    <sheet state="visible" name="Joaquin Elizalde Trimestral" sheetId="41" r:id="rId45"/>
    <sheet state="visible" name="LaMerceddelAlto" sheetId="42" r:id="rId46"/>
    <sheet state="visible" name="LaMerceddelAlto Trimestral" sheetId="43" r:id="rId47"/>
    <sheet state="visible" name="Farmacia San Francisco" sheetId="44" r:id="rId48"/>
    <sheet state="visible" name="Farmacia San Francisco Trimestr" sheetId="45" r:id="rId49"/>
    <sheet state="visible" name="OD-Valle del Colectivo" sheetId="46" r:id="rId50"/>
    <sheet state="visible" name="OD- Valle del Colectivo Trimest" sheetId="47" r:id="rId51"/>
    <sheet state="visible" name="OD-Animana" sheetId="48" r:id="rId52"/>
    <sheet state="visible" name="OD- Animana Trimestral" sheetId="49" r:id="rId53"/>
    <sheet state="visible" name="OD-Arenosa" sheetId="50" r:id="rId54"/>
    <sheet state="visible" name="OD- Arenosa Trimestral" sheetId="51" r:id="rId55"/>
    <sheet state="visible" name="SANZ AGUSTIN" sheetId="52" r:id="rId56"/>
    <sheet state="visible" name="SANZ AGUSTIN TRIMESTRAL" sheetId="53" r:id="rId57"/>
    <sheet state="visible" name="Tabla dinámica 1" sheetId="54" r:id="rId58"/>
  </sheets>
  <definedNames>
    <definedName hidden="1" localSheetId="0" name="_xlnm._FilterDatabase">Datos!$A$1:$X$1247</definedName>
    <definedName hidden="1" localSheetId="35" name="_xlnm._FilterDatabase">'Imac-RdlF'!$A$1:$AG$1000</definedName>
  </definedNames>
  <calcPr/>
  <pivotCaches>
    <pivotCache cacheId="0" r:id="rId59"/>
  </pivotCaches>
</workbook>
</file>

<file path=xl/sharedStrings.xml><?xml version="1.0" encoding="utf-8"?>
<sst xmlns="http://schemas.openxmlformats.org/spreadsheetml/2006/main" count="741" uniqueCount="124">
  <si>
    <t xml:space="preserve">   Fecha </t>
  </si>
  <si>
    <t>NIS</t>
  </si>
  <si>
    <t>Cliente</t>
  </si>
  <si>
    <t>IVA</t>
  </si>
  <si>
    <t>Consumo [kWh]</t>
  </si>
  <si>
    <t>Consumo hs punta [kWh]</t>
  </si>
  <si>
    <t>Consumo hs valle [kWh]</t>
  </si>
  <si>
    <t>Consumo hs resto[kWh]</t>
  </si>
  <si>
    <t>Catergoria</t>
  </si>
  <si>
    <t>Tarifa punta</t>
  </si>
  <si>
    <t>Tarifa valle</t>
  </si>
  <si>
    <t>Tarifa resto</t>
  </si>
  <si>
    <t>Generacion FV [kWh]</t>
  </si>
  <si>
    <t>CONSUMO TOTAL</t>
  </si>
  <si>
    <t>Total a pagar S / IVA</t>
  </si>
  <si>
    <t>Valor USD</t>
  </si>
  <si>
    <t>Ahorro (USD)</t>
  </si>
  <si>
    <t>Ahorro ($)</t>
  </si>
  <si>
    <t>Valor dolar Actual ($)</t>
  </si>
  <si>
    <t>Ahorro ($)-A precio actual</t>
  </si>
  <si>
    <t>kg CO2e evitados</t>
  </si>
  <si>
    <t>Equivalente en árboles</t>
  </si>
  <si>
    <t>% de ahorro sobre los consumos</t>
  </si>
  <si>
    <t>SIN PANELES S/IVA</t>
  </si>
  <si>
    <t>Fabrica Forja</t>
  </si>
  <si>
    <t>T2-Ba</t>
  </si>
  <si>
    <t xml:space="preserve">Cendis </t>
  </si>
  <si>
    <t>T5-Ba</t>
  </si>
  <si>
    <t xml:space="preserve">Martin Lecuona </t>
  </si>
  <si>
    <t>T4-Ba</t>
  </si>
  <si>
    <t>Nallim Jose Carlos</t>
  </si>
  <si>
    <t>,</t>
  </si>
  <si>
    <t>T1-R2-N1</t>
  </si>
  <si>
    <t>Distribuidora Maestro</t>
  </si>
  <si>
    <t>T1-G2</t>
  </si>
  <si>
    <t>Agustín Sanz Navamuel</t>
  </si>
  <si>
    <t>T8</t>
  </si>
  <si>
    <t>O.Domingo-Arenosa</t>
  </si>
  <si>
    <t>O.Domingo-Colectivo</t>
  </si>
  <si>
    <t>Joaquín Elizalde</t>
  </si>
  <si>
    <t>O.Domingo-Animana</t>
  </si>
  <si>
    <t>LaMerceddelAlto</t>
  </si>
  <si>
    <t>Farmacia San Francisco</t>
  </si>
  <si>
    <t>Ivan BV</t>
  </si>
  <si>
    <t>Agustín Lanús</t>
  </si>
  <si>
    <t>Linea C</t>
  </si>
  <si>
    <t>Etchart</t>
  </si>
  <si>
    <t>Facundo Alvarado</t>
  </si>
  <si>
    <t>La Carolina</t>
  </si>
  <si>
    <t>Punto Corp</t>
  </si>
  <si>
    <t>Tambo Martorell</t>
  </si>
  <si>
    <t>T6-Me</t>
  </si>
  <si>
    <t>Cartoon Inversor 1</t>
  </si>
  <si>
    <t>Cartoon Inversor 2</t>
  </si>
  <si>
    <t>Robles</t>
  </si>
  <si>
    <t>Tolaba</t>
  </si>
  <si>
    <t>Diagnostico Salta</t>
  </si>
  <si>
    <t xml:space="preserve">Distribuidora Maestro </t>
  </si>
  <si>
    <t xml:space="preserve">Fabrica Forja </t>
  </si>
  <si>
    <t xml:space="preserve">Tolaba </t>
  </si>
  <si>
    <t xml:space="preserve">Robles </t>
  </si>
  <si>
    <t xml:space="preserve">Martín Lecuona </t>
  </si>
  <si>
    <t xml:space="preserve">Punto Corp </t>
  </si>
  <si>
    <t xml:space="preserve">La Carolina </t>
  </si>
  <si>
    <t xml:space="preserve">Facundo Alvarado </t>
  </si>
  <si>
    <t>Imac-RdL</t>
  </si>
  <si>
    <t>Imac-RdelaF</t>
  </si>
  <si>
    <t xml:space="preserve">Cartoon Inversor 2 </t>
  </si>
  <si>
    <t xml:space="preserve">T5-Ba </t>
  </si>
  <si>
    <t>T6</t>
  </si>
  <si>
    <t>Mario Páez</t>
  </si>
  <si>
    <t>Dalborgo</t>
  </si>
  <si>
    <t>T1-R1-N1</t>
  </si>
  <si>
    <t>FECHA</t>
  </si>
  <si>
    <t>HSP</t>
  </si>
  <si>
    <t>kWp inst</t>
  </si>
  <si>
    <t>Generación 100%</t>
  </si>
  <si>
    <t xml:space="preserve">Comparación </t>
  </si>
  <si>
    <t>}</t>
  </si>
  <si>
    <t>SUM de CONSUMO TOTAL</t>
  </si>
  <si>
    <t>SUM of Generacion FV [kWh]</t>
  </si>
  <si>
    <t>SUM de Ahorro (USD)</t>
  </si>
  <si>
    <t>SUM of kg CO2e evitados</t>
  </si>
  <si>
    <t>SUM of Equivalente en árboles</t>
  </si>
  <si>
    <t xml:space="preserve">Total </t>
  </si>
  <si>
    <t>Total Agustín Lanús</t>
  </si>
  <si>
    <t>Total Agustín Sanz Navamuel</t>
  </si>
  <si>
    <t>Total Cartoon Inversor 1</t>
  </si>
  <si>
    <t>Total Cartoon Inversor 2</t>
  </si>
  <si>
    <t xml:space="preserve">Total Cartoon Inversor 2 </t>
  </si>
  <si>
    <t xml:space="preserve">Total Cendis </t>
  </si>
  <si>
    <t>Total Dalborgo</t>
  </si>
  <si>
    <t>Total Diagnostico Salta</t>
  </si>
  <si>
    <t>Total Distribuidora Maestro</t>
  </si>
  <si>
    <t xml:space="preserve">Total Distribuidora Maestro </t>
  </si>
  <si>
    <t>Total Etchart</t>
  </si>
  <si>
    <t>Total Fabrica Forja</t>
  </si>
  <si>
    <t xml:space="preserve">Total Fabrica Forja </t>
  </si>
  <si>
    <t>Total Facundo Alvarado</t>
  </si>
  <si>
    <t xml:space="preserve">Total Facundo Alvarado </t>
  </si>
  <si>
    <t>Total Farmacia San Francisco</t>
  </si>
  <si>
    <t>Total Imac-RdelaF</t>
  </si>
  <si>
    <t>Total Imac-RdL</t>
  </si>
  <si>
    <t>Total Ivan BV</t>
  </si>
  <si>
    <t>Total Joaquín Elizalde</t>
  </si>
  <si>
    <t>Total La Carolina</t>
  </si>
  <si>
    <t xml:space="preserve">Total La Carolina </t>
  </si>
  <si>
    <t>Total LaMerceddelAlto</t>
  </si>
  <si>
    <t>Total Linea C</t>
  </si>
  <si>
    <t>Total Mario Páez</t>
  </si>
  <si>
    <t xml:space="preserve">Total Martin Lecuona </t>
  </si>
  <si>
    <t xml:space="preserve">Total Martín Lecuona </t>
  </si>
  <si>
    <t>Total Nallim Jose Carlos</t>
  </si>
  <si>
    <t>Total O.Domingo-Animana</t>
  </si>
  <si>
    <t>Total O.Domingo-Arenosa</t>
  </si>
  <si>
    <t>Total O.Domingo-Colectivo</t>
  </si>
  <si>
    <t>Total Punto Corp</t>
  </si>
  <si>
    <t xml:space="preserve">Total Punto Corp </t>
  </si>
  <si>
    <t>Total Robles</t>
  </si>
  <si>
    <t xml:space="preserve">Total Robles </t>
  </si>
  <si>
    <t>Total Tambo Martorell</t>
  </si>
  <si>
    <t>Total Tolaba</t>
  </si>
  <si>
    <t xml:space="preserve">Total Tolaba </t>
  </si>
  <si>
    <t>Suma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</si>
</sst>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 $]#,##0.00"/>
    <numFmt numFmtId="165" formatCode="[$USD ]#,##0.00"/>
    <numFmt numFmtId="166" formatCode="mmm-yyyy"/>
    <numFmt numFmtId="167" formatCode="mmm&quot;-&quot;yyyy"/>
    <numFmt numFmtId="168" formatCode="#,##0.00000"/>
    <numFmt numFmtId="169" formatCode="[$$]#,##0.00"/>
    <numFmt numFmtId="170" formatCode="[$$ ]#,##0.00"/>
  </numFmts>
  <fonts count="7">
    <font>
      <sz val="10.0"/>
      <color rgb="FF000000"/>
      <name val="Arial"/>
      <scheme val="minor"/>
    </font>
    <font>
      <b/>
      <color theme="1"/>
      <name val="Arial"/>
    </font>
    <font>
      <color rgb="FF000000"/>
      <name val="Arial"/>
    </font>
    <font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9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">
    <border/>
    <border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/>
    </xf>
    <xf borderId="0" fillId="2" fontId="1" numFmtId="4" xfId="0" applyAlignment="1" applyFont="1" applyNumberFormat="1">
      <alignment horizontal="center" readingOrder="0"/>
    </xf>
    <xf borderId="0" fillId="2" fontId="1" numFmtId="3" xfId="0" applyAlignment="1" applyFont="1" applyNumberFormat="1">
      <alignment horizontal="center"/>
    </xf>
    <xf borderId="0" fillId="2" fontId="1" numFmtId="164" xfId="0" applyAlignment="1" applyFont="1" applyNumberFormat="1">
      <alignment horizontal="center"/>
    </xf>
    <xf borderId="0" fillId="2" fontId="1" numFmtId="4" xfId="0" applyAlignment="1" applyFont="1" applyNumberFormat="1">
      <alignment horizontal="center"/>
    </xf>
    <xf borderId="0" fillId="2" fontId="1" numFmtId="0" xfId="0" applyAlignment="1" applyFont="1">
      <alignment horizontal="center" vertical="bottom"/>
    </xf>
    <xf borderId="0" fillId="2" fontId="1" numFmtId="165" xfId="0" applyAlignment="1" applyFont="1" applyNumberFormat="1">
      <alignment horizontal="center" vertical="bottom"/>
    </xf>
    <xf borderId="0" fillId="2" fontId="1" numFmtId="2" xfId="0" applyAlignment="1" applyFont="1" applyNumberFormat="1">
      <alignment horizontal="center"/>
    </xf>
    <xf borderId="0" fillId="2" fontId="1" numFmtId="10" xfId="0" applyAlignment="1" applyFont="1" applyNumberFormat="1">
      <alignment horizontal="center" readingOrder="0"/>
    </xf>
    <xf borderId="0" fillId="2" fontId="1" numFmtId="164" xfId="0" applyAlignment="1" applyFont="1" applyNumberFormat="1">
      <alignment horizontal="center" readingOrder="0"/>
    </xf>
    <xf borderId="0" fillId="0" fontId="2" numFmtId="166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4" xfId="0" applyAlignment="1" applyFont="1" applyNumberFormat="1">
      <alignment horizontal="center" readingOrder="0"/>
    </xf>
    <xf borderId="0" fillId="0" fontId="2" numFmtId="3" xfId="0" applyAlignment="1" applyFont="1" applyNumberFormat="1">
      <alignment horizontal="center" readingOrder="0"/>
    </xf>
    <xf borderId="0" fillId="3" fontId="2" numFmtId="3" xfId="0" applyAlignment="1" applyFill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/>
    </xf>
    <xf borderId="0" fillId="0" fontId="2" numFmtId="164" xfId="0" applyAlignment="1" applyFont="1" applyNumberFormat="1">
      <alignment horizontal="center" readingOrder="0" vertical="bottom"/>
    </xf>
    <xf borderId="0" fillId="0" fontId="2" numFmtId="165" xfId="0" applyAlignment="1" applyFont="1" applyNumberForma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0" fontId="2" numFmtId="2" xfId="0" applyAlignment="1" applyFont="1" applyNumberFormat="1">
      <alignment horizontal="center" vertical="bottom"/>
    </xf>
    <xf borderId="0" fillId="0" fontId="2" numFmtId="2" xfId="0" applyAlignment="1" applyFont="1" applyNumberFormat="1">
      <alignment horizontal="center"/>
    </xf>
    <xf borderId="0" fillId="0" fontId="3" numFmtId="10" xfId="0" applyAlignment="1" applyFont="1" applyNumberFormat="1">
      <alignment horizontal="center"/>
    </xf>
    <xf borderId="0" fillId="3" fontId="2" numFmtId="166" xfId="0" applyAlignment="1" applyFont="1" applyNumberFormat="1">
      <alignment horizontal="center" readingOrder="0"/>
    </xf>
    <xf borderId="0" fillId="3" fontId="3" numFmtId="0" xfId="0" applyAlignment="1" applyFont="1">
      <alignment horizontal="center" readingOrder="0"/>
    </xf>
    <xf borderId="0" fillId="3" fontId="2" numFmtId="0" xfId="0" applyAlignment="1" applyFont="1">
      <alignment horizontal="center" readingOrder="0"/>
    </xf>
    <xf borderId="0" fillId="3" fontId="2" numFmtId="4" xfId="0" applyAlignment="1" applyFont="1" applyNumberFormat="1">
      <alignment horizontal="center" readingOrder="0"/>
    </xf>
    <xf borderId="0" fillId="3" fontId="2" numFmtId="164" xfId="0" applyAlignment="1" applyFont="1" applyNumberFormat="1">
      <alignment horizontal="center" readingOrder="0"/>
    </xf>
    <xf borderId="0" fillId="3" fontId="2" numFmtId="164" xfId="0" applyAlignment="1" applyFont="1" applyNumberFormat="1">
      <alignment horizontal="center"/>
    </xf>
    <xf borderId="0" fillId="3" fontId="2" numFmtId="164" xfId="0" applyAlignment="1" applyFont="1" applyNumberFormat="1">
      <alignment horizontal="center" readingOrder="0" vertical="bottom"/>
    </xf>
    <xf borderId="0" fillId="3" fontId="2" numFmtId="165" xfId="0" applyAlignment="1" applyFont="1" applyNumberFormat="1">
      <alignment horizontal="center" vertical="bottom"/>
    </xf>
    <xf borderId="0" fillId="3" fontId="2" numFmtId="164" xfId="0" applyAlignment="1" applyFont="1" applyNumberFormat="1">
      <alignment horizontal="center" vertical="bottom"/>
    </xf>
    <xf borderId="0" fillId="3" fontId="2" numFmtId="2" xfId="0" applyAlignment="1" applyFont="1" applyNumberFormat="1">
      <alignment horizontal="center" vertical="bottom"/>
    </xf>
    <xf borderId="0" fillId="3" fontId="2" numFmtId="2" xfId="0" applyAlignment="1" applyFont="1" applyNumberFormat="1">
      <alignment horizontal="center"/>
    </xf>
    <xf borderId="0" fillId="3" fontId="3" numFmtId="10" xfId="0" applyAlignment="1" applyFont="1" applyNumberFormat="1">
      <alignment horizontal="center"/>
    </xf>
    <xf borderId="1" fillId="0" fontId="2" numFmtId="166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3" xfId="0" applyAlignment="1" applyBorder="1" applyFont="1" applyNumberFormat="1">
      <alignment horizontal="center" readingOrder="0"/>
    </xf>
    <xf borderId="1" fillId="3" fontId="2" numFmtId="3" xfId="0" applyAlignment="1" applyBorder="1" applyFont="1" applyNumberForma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4" xfId="0" applyAlignment="1" applyBorder="1" applyFont="1" applyNumberFormat="1">
      <alignment horizontal="center" readingOrder="0"/>
    </xf>
    <xf borderId="1" fillId="0" fontId="2" numFmtId="164" xfId="0" applyAlignment="1" applyBorder="1" applyFont="1" applyNumberFormat="1">
      <alignment horizontal="center"/>
    </xf>
    <xf borderId="1" fillId="0" fontId="2" numFmtId="164" xfId="0" applyAlignment="1" applyBorder="1" applyFont="1" applyNumberFormat="1">
      <alignment horizontal="center" readingOrder="0" vertical="bottom"/>
    </xf>
    <xf borderId="1" fillId="0" fontId="2" numFmtId="165" xfId="0" applyAlignment="1" applyBorder="1" applyFont="1" applyNumberFormat="1">
      <alignment horizontal="center" vertical="bottom"/>
    </xf>
    <xf borderId="1" fillId="0" fontId="2" numFmtId="164" xfId="0" applyAlignment="1" applyBorder="1" applyFont="1" applyNumberFormat="1">
      <alignment horizontal="center" vertical="bottom"/>
    </xf>
    <xf borderId="1" fillId="0" fontId="2" numFmtId="2" xfId="0" applyAlignment="1" applyBorder="1" applyFont="1" applyNumberFormat="1">
      <alignment horizontal="center" vertical="bottom"/>
    </xf>
    <xf borderId="1" fillId="0" fontId="2" numFmtId="2" xfId="0" applyAlignment="1" applyBorder="1" applyFont="1" applyNumberFormat="1">
      <alignment horizontal="center"/>
    </xf>
    <xf borderId="1" fillId="0" fontId="3" numFmtId="10" xfId="0" applyAlignment="1" applyBorder="1" applyFont="1" applyNumberFormat="1">
      <alignment horizontal="center"/>
    </xf>
    <xf borderId="2" fillId="0" fontId="2" numFmtId="4" xfId="0" applyAlignment="1" applyBorder="1" applyFont="1" applyNumberFormat="1">
      <alignment horizontal="center" readingOrder="0"/>
    </xf>
    <xf borderId="2" fillId="0" fontId="2" numFmtId="166" xfId="0" applyAlignment="1" applyBorder="1" applyFont="1" applyNumberFormat="1">
      <alignment horizontal="center" readingOrder="0"/>
    </xf>
    <xf borderId="2" fillId="0" fontId="3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2" fillId="3" fontId="2" numFmtId="3" xfId="0" applyAlignment="1" applyBorder="1" applyFont="1" applyNumberFormat="1">
      <alignment horizontal="center" readingOrder="0"/>
    </xf>
    <xf borderId="2" fillId="0" fontId="2" numFmtId="164" xfId="0" applyAlignment="1" applyBorder="1" applyFont="1" applyNumberFormat="1">
      <alignment horizontal="center" readingOrder="0"/>
    </xf>
    <xf borderId="2" fillId="0" fontId="2" numFmtId="164" xfId="0" applyAlignment="1" applyBorder="1" applyFont="1" applyNumberFormat="1">
      <alignment horizontal="center"/>
    </xf>
    <xf borderId="2" fillId="0" fontId="2" numFmtId="164" xfId="0" applyAlignment="1" applyBorder="1" applyFont="1" applyNumberFormat="1">
      <alignment horizontal="center" readingOrder="0" vertical="bottom"/>
    </xf>
    <xf borderId="2" fillId="0" fontId="2" numFmtId="165" xfId="0" applyAlignment="1" applyBorder="1" applyFont="1" applyNumberFormat="1">
      <alignment horizontal="center" vertical="bottom"/>
    </xf>
    <xf borderId="2" fillId="0" fontId="2" numFmtId="164" xfId="0" applyAlignment="1" applyBorder="1" applyFont="1" applyNumberFormat="1">
      <alignment horizontal="center" vertical="bottom"/>
    </xf>
    <xf borderId="2" fillId="0" fontId="2" numFmtId="2" xfId="0" applyAlignment="1" applyBorder="1" applyFont="1" applyNumberFormat="1">
      <alignment horizontal="center" vertical="bottom"/>
    </xf>
    <xf borderId="2" fillId="0" fontId="2" numFmtId="2" xfId="0" applyAlignment="1" applyBorder="1" applyFont="1" applyNumberFormat="1">
      <alignment horizontal="center"/>
    </xf>
    <xf borderId="2" fillId="0" fontId="3" numFmtId="10" xfId="0" applyAlignment="1" applyBorder="1" applyFont="1" applyNumberFormat="1">
      <alignment horizontal="center"/>
    </xf>
    <xf borderId="0" fillId="0" fontId="2" numFmtId="9" xfId="0" applyAlignment="1" applyFont="1" applyNumberFormat="1">
      <alignment horizontal="center" readingOrder="0"/>
    </xf>
    <xf borderId="0" fillId="0" fontId="4" numFmtId="0" xfId="0" applyAlignment="1" applyFont="1">
      <alignment readingOrder="0"/>
    </xf>
    <xf borderId="0" fillId="0" fontId="5" numFmtId="166" xfId="0" applyAlignment="1" applyFont="1" applyNumberFormat="1">
      <alignment horizontal="center"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center" vertical="bottom"/>
    </xf>
    <xf borderId="0" fillId="0" fontId="5" numFmtId="164" xfId="0" applyAlignment="1" applyFont="1" applyNumberFormat="1">
      <alignment horizontal="center" vertical="bottom"/>
    </xf>
    <xf borderId="0" fillId="0" fontId="5" numFmtId="2" xfId="0" applyAlignment="1" applyFont="1" applyNumberFormat="1">
      <alignment horizontal="center" vertical="bottom"/>
    </xf>
    <xf borderId="0" fillId="0" fontId="5" numFmtId="4" xfId="0" applyAlignment="1" applyFont="1" applyNumberFormat="1">
      <alignment horizontal="center" vertical="bottom"/>
    </xf>
    <xf borderId="0" fillId="0" fontId="5" numFmtId="165" xfId="0" applyAlignment="1" applyFont="1" applyNumberFormat="1">
      <alignment horizontal="center" vertical="bottom"/>
    </xf>
    <xf borderId="0" fillId="0" fontId="5" numFmtId="10" xfId="0" applyAlignment="1" applyFont="1" applyNumberFormat="1">
      <alignment horizontal="center" vertical="bottom"/>
    </xf>
    <xf borderId="0" fillId="0" fontId="5" numFmtId="166" xfId="0" applyAlignment="1" applyFont="1" applyNumberFormat="1">
      <alignment horizontal="center" vertical="bottom"/>
    </xf>
    <xf borderId="0" fillId="0" fontId="5" numFmtId="0" xfId="0" applyAlignment="1" applyFont="1">
      <alignment horizontal="center" readingOrder="0" vertical="bottom"/>
    </xf>
    <xf borderId="0" fillId="3" fontId="2" numFmtId="0" xfId="0" applyAlignment="1" applyFont="1">
      <alignment horizontal="center"/>
    </xf>
    <xf borderId="1" fillId="3" fontId="2" numFmtId="166" xfId="0" applyAlignment="1" applyBorder="1" applyFont="1" applyNumberFormat="1">
      <alignment horizontal="center" readingOrder="0"/>
    </xf>
    <xf borderId="1" fillId="3" fontId="2" numFmtId="0" xfId="0" applyAlignment="1" applyBorder="1" applyFont="1">
      <alignment horizontal="center" readingOrder="0"/>
    </xf>
    <xf borderId="1" fillId="3" fontId="2" numFmtId="4" xfId="0" applyAlignment="1" applyBorder="1" applyFont="1" applyNumberFormat="1">
      <alignment horizontal="center" readingOrder="0"/>
    </xf>
    <xf borderId="1" fillId="3" fontId="2" numFmtId="164" xfId="0" applyAlignment="1" applyBorder="1" applyFont="1" applyNumberFormat="1">
      <alignment horizontal="center" readingOrder="0"/>
    </xf>
    <xf borderId="1" fillId="3" fontId="2" numFmtId="164" xfId="0" applyAlignment="1" applyBorder="1" applyFont="1" applyNumberFormat="1">
      <alignment horizontal="center"/>
    </xf>
    <xf borderId="1" fillId="3" fontId="2" numFmtId="165" xfId="0" applyAlignment="1" applyBorder="1" applyFont="1" applyNumberFormat="1">
      <alignment horizontal="center" vertical="bottom"/>
    </xf>
    <xf borderId="1" fillId="3" fontId="2" numFmtId="164" xfId="0" applyAlignment="1" applyBorder="1" applyFont="1" applyNumberFormat="1">
      <alignment horizontal="center" readingOrder="0" vertical="bottom"/>
    </xf>
    <xf borderId="1" fillId="3" fontId="2" numFmtId="164" xfId="0" applyAlignment="1" applyBorder="1" applyFont="1" applyNumberFormat="1">
      <alignment horizontal="center" vertical="bottom"/>
    </xf>
    <xf borderId="1" fillId="3" fontId="2" numFmtId="2" xfId="0" applyAlignment="1" applyBorder="1" applyFont="1" applyNumberFormat="1">
      <alignment horizontal="center" vertical="bottom"/>
    </xf>
    <xf borderId="1" fillId="3" fontId="2" numFmtId="2" xfId="0" applyAlignment="1" applyBorder="1" applyFont="1" applyNumberFormat="1">
      <alignment horizontal="center"/>
    </xf>
    <xf borderId="1" fillId="3" fontId="3" numFmtId="10" xfId="0" applyAlignment="1" applyBorder="1" applyFont="1" applyNumberFormat="1">
      <alignment horizontal="center"/>
    </xf>
    <xf borderId="0" fillId="0" fontId="5" numFmtId="164" xfId="0" applyAlignment="1" applyFont="1" applyNumberFormat="1">
      <alignment horizontal="center" readingOrder="0" vertical="bottom"/>
    </xf>
    <xf borderId="0" fillId="0" fontId="2" numFmtId="167" xfId="0" applyAlignment="1" applyFont="1" applyNumberFormat="1">
      <alignment horizontal="center" readingOrder="0"/>
    </xf>
    <xf borderId="0" fillId="3" fontId="2" numFmtId="167" xfId="0" applyAlignment="1" applyFont="1" applyNumberFormat="1">
      <alignment horizontal="center" readingOrder="0"/>
    </xf>
    <xf borderId="1" fillId="3" fontId="2" numFmtId="167" xfId="0" applyAlignment="1" applyBorder="1" applyFont="1" applyNumberFormat="1">
      <alignment horizontal="center" readingOrder="0"/>
    </xf>
    <xf borderId="2" fillId="0" fontId="5" numFmtId="167" xfId="0" applyAlignment="1" applyBorder="1" applyFont="1" applyNumberFormat="1">
      <alignment horizontal="center" readingOrder="0"/>
    </xf>
    <xf borderId="2" fillId="0" fontId="4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center" readingOrder="0"/>
    </xf>
    <xf borderId="2" fillId="0" fontId="5" numFmtId="4" xfId="0" applyAlignment="1" applyBorder="1" applyFont="1" applyNumberFormat="1">
      <alignment horizontal="center" readingOrder="0"/>
    </xf>
    <xf borderId="2" fillId="0" fontId="5" numFmtId="164" xfId="0" applyAlignment="1" applyBorder="1" applyFont="1" applyNumberFormat="1">
      <alignment horizontal="center" readingOrder="0"/>
    </xf>
    <xf borderId="2" fillId="0" fontId="5" numFmtId="164" xfId="0" applyAlignment="1" applyBorder="1" applyFont="1" applyNumberFormat="1">
      <alignment horizontal="center"/>
    </xf>
    <xf borderId="2" fillId="0" fontId="5" numFmtId="164" xfId="0" applyAlignment="1" applyBorder="1" applyFont="1" applyNumberFormat="1">
      <alignment horizontal="center" readingOrder="0" vertical="bottom"/>
    </xf>
    <xf borderId="2" fillId="0" fontId="5" numFmtId="165" xfId="0" applyAlignment="1" applyBorder="1" applyFont="1" applyNumberFormat="1">
      <alignment horizontal="center" vertical="bottom"/>
    </xf>
    <xf borderId="2" fillId="0" fontId="5" numFmtId="164" xfId="0" applyAlignment="1" applyBorder="1" applyFont="1" applyNumberFormat="1">
      <alignment horizontal="center" vertical="bottom"/>
    </xf>
    <xf borderId="2" fillId="0" fontId="5" numFmtId="2" xfId="0" applyAlignment="1" applyBorder="1" applyFont="1" applyNumberFormat="1">
      <alignment horizontal="center" vertical="bottom"/>
    </xf>
    <xf borderId="2" fillId="0" fontId="5" numFmtId="2" xfId="0" applyAlignment="1" applyBorder="1" applyFont="1" applyNumberFormat="1">
      <alignment horizontal="center"/>
    </xf>
    <xf borderId="2" fillId="0" fontId="4" numFmtId="10" xfId="0" applyAlignment="1" applyBorder="1" applyFont="1" applyNumberFormat="1">
      <alignment horizontal="center"/>
    </xf>
    <xf borderId="0" fillId="0" fontId="5" numFmtId="164" xfId="0" applyAlignment="1" applyFont="1" applyNumberFormat="1">
      <alignment horizontal="center"/>
    </xf>
    <xf borderId="0" fillId="0" fontId="5" numFmtId="167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4" xfId="0" applyAlignment="1" applyFont="1" applyNumberFormat="1">
      <alignment horizontal="center" readingOrder="0"/>
    </xf>
    <xf borderId="0" fillId="0" fontId="5" numFmtId="164" xfId="0" applyAlignment="1" applyFont="1" applyNumberFormat="1">
      <alignment horizontal="center" readingOrder="0"/>
    </xf>
    <xf borderId="0" fillId="0" fontId="5" numFmtId="2" xfId="0" applyAlignment="1" applyFont="1" applyNumberFormat="1">
      <alignment horizontal="center"/>
    </xf>
    <xf borderId="0" fillId="0" fontId="4" numFmtId="10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1" fillId="0" fontId="5" numFmtId="167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0" fontId="5" numFmtId="4" xfId="0" applyAlignment="1" applyBorder="1" applyFont="1" applyNumberFormat="1">
      <alignment horizontal="center" readingOrder="0"/>
    </xf>
    <xf borderId="1" fillId="0" fontId="5" numFmtId="164" xfId="0" applyAlignment="1" applyBorder="1" applyFont="1" applyNumberFormat="1">
      <alignment horizontal="center" readingOrder="0"/>
    </xf>
    <xf borderId="1" fillId="0" fontId="5" numFmtId="164" xfId="0" applyAlignment="1" applyBorder="1" applyFont="1" applyNumberFormat="1">
      <alignment horizontal="center"/>
    </xf>
    <xf borderId="1" fillId="0" fontId="5" numFmtId="164" xfId="0" applyAlignment="1" applyBorder="1" applyFont="1" applyNumberFormat="1">
      <alignment horizontal="center" readingOrder="0" vertical="bottom"/>
    </xf>
    <xf borderId="1" fillId="0" fontId="5" numFmtId="165" xfId="0" applyAlignment="1" applyBorder="1" applyFont="1" applyNumberFormat="1">
      <alignment horizontal="center" vertical="bottom"/>
    </xf>
    <xf borderId="1" fillId="0" fontId="5" numFmtId="164" xfId="0" applyAlignment="1" applyBorder="1" applyFont="1" applyNumberFormat="1">
      <alignment horizontal="center" vertical="bottom"/>
    </xf>
    <xf borderId="1" fillId="0" fontId="5" numFmtId="2" xfId="0" applyAlignment="1" applyBorder="1" applyFont="1" applyNumberFormat="1">
      <alignment horizontal="center" vertical="bottom"/>
    </xf>
    <xf borderId="1" fillId="0" fontId="5" numFmtId="2" xfId="0" applyAlignment="1" applyBorder="1" applyFont="1" applyNumberFormat="1">
      <alignment horizontal="center"/>
    </xf>
    <xf borderId="1" fillId="0" fontId="4" numFmtId="10" xfId="0" applyAlignment="1" applyBorder="1" applyFont="1" applyNumberFormat="1">
      <alignment horizontal="center"/>
    </xf>
    <xf borderId="0" fillId="0" fontId="4" numFmtId="0" xfId="0" applyAlignment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/>
    </xf>
    <xf borderId="0" fillId="0" fontId="5" numFmtId="167" xfId="0" applyAlignment="1" applyFont="1" applyNumberFormat="1">
      <alignment horizontal="center"/>
    </xf>
    <xf borderId="1" fillId="0" fontId="5" numFmtId="167" xfId="0" applyAlignment="1" applyBorder="1" applyFont="1" applyNumberFormat="1">
      <alignment horizontal="center"/>
    </xf>
    <xf borderId="3" fillId="3" fontId="2" numFmtId="3" xfId="0" applyAlignment="1" applyBorder="1" applyFont="1" applyNumberFormat="1">
      <alignment horizontal="center" readingOrder="0"/>
    </xf>
    <xf borderId="0" fillId="0" fontId="5" numFmtId="0" xfId="0" applyAlignment="1" applyFont="1">
      <alignment horizontal="center" vertical="bottom"/>
    </xf>
    <xf borderId="0" fillId="0" fontId="5" numFmtId="4" xfId="0" applyAlignment="1" applyFont="1" applyNumberFormat="1">
      <alignment vertical="bottom"/>
    </xf>
    <xf borderId="0" fillId="3" fontId="5" numFmtId="3" xfId="0" applyAlignment="1" applyFont="1" applyNumberFormat="1">
      <alignment horizontal="center" vertical="bottom"/>
    </xf>
    <xf borderId="0" fillId="0" fontId="5" numFmtId="0" xfId="0" applyAlignment="1" applyFont="1">
      <alignment horizontal="center" vertical="bottom"/>
    </xf>
    <xf borderId="0" fillId="3" fontId="5" numFmtId="3" xfId="0" applyAlignment="1" applyFont="1" applyNumberFormat="1">
      <alignment vertical="bottom"/>
    </xf>
    <xf borderId="0" fillId="0" fontId="5" numFmtId="164" xfId="0" applyAlignment="1" applyFont="1" applyNumberFormat="1">
      <alignment vertical="bottom"/>
    </xf>
    <xf borderId="0" fillId="0" fontId="5" numFmtId="165" xfId="0" applyAlignment="1" applyFont="1" applyNumberFormat="1">
      <alignment vertical="bottom"/>
    </xf>
    <xf borderId="0" fillId="0" fontId="5" numFmtId="2" xfId="0" applyAlignment="1" applyFont="1" applyNumberFormat="1">
      <alignment vertical="bottom"/>
    </xf>
    <xf borderId="0" fillId="0" fontId="5" numFmtId="10" xfId="0" applyAlignment="1" applyFont="1" applyNumberFormat="1">
      <alignment vertical="bottom"/>
    </xf>
    <xf borderId="0" fillId="0" fontId="4" numFmtId="0" xfId="0" applyAlignment="1" applyFont="1">
      <alignment horizontal="center"/>
    </xf>
    <xf borderId="0" fillId="0" fontId="5" numFmtId="4" xfId="0" applyAlignment="1" applyFont="1" applyNumberFormat="1">
      <alignment horizontal="center"/>
    </xf>
    <xf borderId="0" fillId="0" fontId="5" numFmtId="3" xfId="0" applyAlignment="1" applyFont="1" applyNumberFormat="1">
      <alignment horizontal="center"/>
    </xf>
    <xf borderId="0" fillId="0" fontId="5" numFmtId="3" xfId="0" applyAlignment="1" applyFont="1" applyNumberFormat="1">
      <alignment horizontal="center" readingOrder="0"/>
    </xf>
    <xf borderId="0" fillId="0" fontId="5" numFmtId="168" xfId="0" applyAlignment="1" applyFont="1" applyNumberFormat="1">
      <alignment horizontal="center"/>
    </xf>
    <xf borderId="0" fillId="0" fontId="4" numFmtId="167" xfId="0" applyAlignment="1" applyFont="1" applyNumberFormat="1">
      <alignment horizontal="center"/>
    </xf>
    <xf borderId="0" fillId="0" fontId="4" numFmtId="4" xfId="0" applyAlignment="1" applyFont="1" applyNumberFormat="1">
      <alignment horizontal="center"/>
    </xf>
    <xf borderId="0" fillId="0" fontId="4" numFmtId="165" xfId="0" applyAlignment="1" applyFont="1" applyNumberFormat="1">
      <alignment horizontal="center"/>
    </xf>
    <xf borderId="0" fillId="2" fontId="1" numFmtId="3" xfId="0" applyAlignment="1" applyFont="1" applyNumberFormat="1">
      <alignment horizontal="center" readingOrder="0"/>
    </xf>
    <xf borderId="0" fillId="2" fontId="1" numFmtId="165" xfId="0" applyAlignment="1" applyFont="1" applyNumberFormat="1">
      <alignment horizontal="center" readingOrder="0"/>
    </xf>
    <xf borderId="0" fillId="2" fontId="1" numFmtId="2" xfId="0" applyAlignment="1" applyFont="1" applyNumberFormat="1">
      <alignment horizontal="center" readingOrder="0"/>
    </xf>
    <xf borderId="0" fillId="0" fontId="4" numFmtId="166" xfId="0" applyFont="1" applyNumberFormat="1"/>
    <xf borderId="0" fillId="0" fontId="4" numFmtId="0" xfId="0" applyFont="1"/>
    <xf borderId="0" fillId="0" fontId="4" numFmtId="4" xfId="0" applyFont="1" applyNumberFormat="1"/>
    <xf borderId="0" fillId="0" fontId="4" numFmtId="3" xfId="0" applyFont="1" applyNumberFormat="1"/>
    <xf borderId="0" fillId="0" fontId="4" numFmtId="164" xfId="0" applyFont="1" applyNumberFormat="1"/>
    <xf borderId="0" fillId="0" fontId="4" numFmtId="165" xfId="0" applyFont="1" applyNumberFormat="1"/>
    <xf borderId="0" fillId="0" fontId="4" numFmtId="2" xfId="0" applyFont="1" applyNumberFormat="1"/>
    <xf borderId="0" fillId="0" fontId="4" numFmtId="10" xfId="0" applyFont="1" applyNumberFormat="1"/>
    <xf borderId="0" fillId="2" fontId="1" numFmtId="167" xfId="0" applyAlignment="1" applyFont="1" applyNumberFormat="1">
      <alignment horizontal="center"/>
    </xf>
    <xf borderId="0" fillId="0" fontId="4" numFmtId="9" xfId="0" applyFont="1" applyNumberFormat="1"/>
    <xf borderId="0" fillId="0" fontId="4" numFmtId="166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0" fontId="4" numFmtId="3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0" fontId="4" numFmtId="2" xfId="0" applyAlignment="1" applyFont="1" applyNumberFormat="1">
      <alignment readingOrder="0"/>
    </xf>
    <xf borderId="0" fillId="0" fontId="4" numFmtId="10" xfId="0" applyAlignment="1" applyFont="1" applyNumberFormat="1">
      <alignment readingOrder="0"/>
    </xf>
    <xf borderId="0" fillId="0" fontId="4" numFmtId="167" xfId="0" applyFont="1" applyNumberFormat="1"/>
    <xf borderId="4" fillId="2" fontId="1" numFmtId="167" xfId="0" applyAlignment="1" applyBorder="1" applyFont="1" applyNumberFormat="1">
      <alignment horizontal="center"/>
    </xf>
    <xf borderId="0" fillId="0" fontId="2" numFmtId="169" xfId="0" applyAlignment="1" applyFont="1" applyNumberFormat="1">
      <alignment horizontal="center" vertical="bottom"/>
    </xf>
    <xf borderId="0" fillId="0" fontId="5" numFmtId="169" xfId="0" applyAlignment="1" applyFont="1" applyNumberFormat="1">
      <alignment horizontal="center" vertical="bottom"/>
    </xf>
    <xf borderId="0" fillId="0" fontId="5" numFmtId="0" xfId="0" applyAlignment="1" applyFont="1">
      <alignment horizontal="right" vertical="bottom"/>
    </xf>
    <xf borderId="4" fillId="2" fontId="1" numFmtId="0" xfId="0" applyAlignment="1" applyBorder="1" applyFont="1">
      <alignment horizontal="center"/>
    </xf>
    <xf borderId="4" fillId="2" fontId="1" numFmtId="4" xfId="0" applyAlignment="1" applyBorder="1" applyFont="1" applyNumberFormat="1">
      <alignment horizontal="center"/>
    </xf>
    <xf borderId="0" fillId="2" fontId="4" numFmtId="0" xfId="0" applyAlignment="1" applyFont="1">
      <alignment horizontal="right" readingOrder="0"/>
    </xf>
    <xf borderId="0" fillId="2" fontId="4" numFmtId="0" xfId="0" applyAlignment="1" applyFont="1">
      <alignment horizontal="center" readingOrder="0"/>
    </xf>
    <xf borderId="0" fillId="2" fontId="6" numFmtId="2" xfId="0" applyAlignment="1" applyFont="1" applyNumberFormat="1">
      <alignment readingOrder="0"/>
    </xf>
    <xf borderId="0" fillId="2" fontId="4" numFmtId="9" xfId="0" applyAlignment="1" applyFont="1" applyNumberFormat="1">
      <alignment readingOrder="0"/>
    </xf>
    <xf borderId="0" fillId="2" fontId="4" numFmtId="0" xfId="0" applyAlignment="1" applyFont="1">
      <alignment readingOrder="0"/>
    </xf>
    <xf borderId="0" fillId="0" fontId="5" numFmtId="3" xfId="0" applyAlignment="1" applyFont="1" applyNumberFormat="1">
      <alignment horizontal="center" vertical="bottom"/>
    </xf>
    <xf borderId="0" fillId="0" fontId="1" numFmtId="0" xfId="0" applyAlignment="1" applyFont="1">
      <alignment horizontal="center"/>
    </xf>
    <xf borderId="0" fillId="3" fontId="2" numFmtId="169" xfId="0" applyAlignment="1" applyFont="1" applyNumberFormat="1">
      <alignment horizontal="center" vertical="bottom"/>
    </xf>
    <xf borderId="4" fillId="2" fontId="1" numFmtId="165" xfId="0" applyAlignment="1" applyBorder="1" applyFont="1" applyNumberFormat="1">
      <alignment horizontal="center"/>
    </xf>
    <xf borderId="4" fillId="2" fontId="1" numFmtId="170" xfId="0" applyAlignment="1" applyBorder="1" applyFont="1" applyNumberFormat="1">
      <alignment horizontal="center"/>
    </xf>
    <xf borderId="4" fillId="2" fontId="1" numFmtId="10" xfId="0" applyAlignment="1" applyBorder="1" applyFont="1" applyNumberFormat="1">
      <alignment horizontal="center"/>
    </xf>
    <xf borderId="4" fillId="2" fontId="1" numFmtId="164" xfId="0" applyAlignment="1" applyBorder="1" applyFont="1" applyNumberFormat="1">
      <alignment horizontal="center"/>
    </xf>
    <xf borderId="0" fillId="0" fontId="4" numFmtId="164" xfId="0" applyAlignment="1" applyFont="1" applyNumberFormat="1">
      <alignment horizontal="right" readingOrder="0"/>
    </xf>
    <xf borderId="0" fillId="0" fontId="5" numFmtId="0" xfId="0" applyAlignment="1" applyFont="1">
      <alignment readingOrder="0"/>
    </xf>
    <xf borderId="0" fillId="0" fontId="5" numFmtId="2" xfId="0" applyFont="1" applyNumberFormat="1"/>
    <xf borderId="0" fillId="0" fontId="5" numFmtId="0" xfId="0" applyFont="1"/>
    <xf borderId="0" fillId="0" fontId="5" numFmtId="164" xfId="0" applyAlignment="1" applyFont="1" applyNumberFormat="1">
      <alignment horizontal="right" readingOrder="0"/>
    </xf>
    <xf borderId="0" fillId="0" fontId="4" numFmtId="164" xfId="0" applyAlignment="1" applyFont="1" applyNumberFormat="1">
      <alignment horizontal="right"/>
    </xf>
    <xf borderId="0" fillId="0" fontId="5" numFmtId="167" xfId="0" applyFont="1" applyNumberFormat="1"/>
    <xf borderId="0" fillId="0" fontId="5" numFmtId="0" xfId="0" applyFont="1"/>
    <xf borderId="0" fillId="0" fontId="5" numFmtId="49" xfId="0" applyFont="1" applyNumberFormat="1"/>
    <xf borderId="0" fillId="0" fontId="4" numFmtId="165" xfId="0" applyFont="1" applyNumberFormat="1"/>
    <xf borderId="0" fillId="0" fontId="5" numFmtId="170" xfId="0" applyFont="1" applyNumberFormat="1"/>
    <xf borderId="0" fillId="0" fontId="4" numFmtId="164" xfId="0" applyFont="1" applyNumberFormat="1"/>
    <xf borderId="0" fillId="0" fontId="4" numFmtId="0" xfId="0" applyAlignment="1" applyFont="1">
      <alignment horizontal="right"/>
    </xf>
    <xf borderId="0" fillId="0" fontId="4" numFmtId="0" xfId="0" applyFont="1"/>
    <xf borderId="0" fillId="0" fontId="4" numFmtId="170" xfId="0" applyFont="1" applyNumberFormat="1"/>
    <xf borderId="0" fillId="0" fontId="4" numFmtId="0" xfId="0" applyAlignment="1" applyFont="1">
      <alignment horizontal="right" readingOrder="0"/>
    </xf>
    <xf borderId="0" fillId="0" fontId="5" numFmtId="4" xfId="0" applyFont="1" applyNumberFormat="1"/>
    <xf borderId="4" fillId="2" fontId="1" numFmtId="2" xfId="0" applyAlignment="1" applyBorder="1" applyFont="1" applyNumberFormat="1">
      <alignment horizontal="center" readingOrder="0"/>
    </xf>
    <xf borderId="4" fillId="2" fontId="1" numFmtId="3" xfId="0" applyAlignment="1" applyBorder="1" applyFont="1" applyNumberFormat="1">
      <alignment horizontal="center" readingOrder="0"/>
    </xf>
    <xf borderId="0" fillId="0" fontId="5" numFmtId="2" xfId="0" applyAlignment="1" applyFont="1" applyNumberFormat="1">
      <alignment readingOrder="0"/>
    </xf>
    <xf borderId="4" fillId="2" fontId="1" numFmtId="0" xfId="0" applyAlignment="1" applyBorder="1" applyFont="1">
      <alignment horizontal="center" readingOrder="0"/>
    </xf>
    <xf borderId="4" fillId="2" fontId="1" numFmtId="3" xfId="0" applyAlignment="1" applyBorder="1" applyFont="1" applyNumberFormat="1">
      <alignment horizontal="center"/>
    </xf>
    <xf borderId="0" fillId="0" fontId="4" numFmtId="2" xfId="0" applyAlignment="1" applyFont="1" applyNumberFormat="1">
      <alignment horizontal="center" readingOrder="0"/>
    </xf>
    <xf borderId="0" fillId="0" fontId="5" numFmtId="2" xfId="0" applyAlignment="1" applyFont="1" applyNumberFormat="1">
      <alignment horizontal="center" readingOrder="0"/>
    </xf>
    <xf borderId="0" fillId="0" fontId="4" numFmtId="164" xfId="0" applyAlignment="1" applyFont="1" applyNumberFormat="1">
      <alignment horizontal="center"/>
    </xf>
    <xf borderId="0" fillId="0" fontId="5" numFmtId="3" xfId="0" applyFont="1" applyNumberFormat="1"/>
    <xf borderId="0" fillId="0" fontId="5" numFmtId="164" xfId="0" applyFont="1" applyNumberFormat="1"/>
    <xf borderId="0" fillId="0" fontId="5" numFmtId="169" xfId="0" applyFont="1" applyNumberFormat="1"/>
    <xf borderId="0" fillId="0" fontId="5" numFmtId="167" xfId="0" applyAlignment="1" applyFont="1" applyNumberFormat="1">
      <alignment readingOrder="0"/>
    </xf>
    <xf borderId="0" fillId="0" fontId="4" numFmtId="169" xfId="0" applyFont="1" applyNumberFormat="1"/>
    <xf borderId="4" fillId="2" fontId="4" numFmtId="0" xfId="0" applyAlignment="1" applyBorder="1" applyFont="1">
      <alignment horizontal="center" readingOrder="0"/>
    </xf>
    <xf borderId="0" fillId="0" fontId="5" numFmtId="164" xfId="0" applyAlignment="1" applyFont="1" applyNumberFormat="1">
      <alignment readingOrder="0"/>
    </xf>
    <xf borderId="0" fillId="2" fontId="6" numFmtId="2" xfId="0" applyAlignment="1" applyFont="1" applyNumberFormat="1">
      <alignment horizontal="center" readingOrder="0"/>
    </xf>
    <xf borderId="0" fillId="2" fontId="4" numFmtId="9" xfId="0" applyAlignment="1" applyFont="1" applyNumberFormat="1">
      <alignment horizontal="center" readingOrder="0"/>
    </xf>
    <xf borderId="0" fillId="0" fontId="5" numFmtId="166" xfId="0" applyAlignment="1" applyFont="1" applyNumberFormat="1">
      <alignment horizontal="center" readingOrder="0"/>
    </xf>
    <xf borderId="0" fillId="0" fontId="5" numFmtId="169" xfId="0" applyAlignment="1" applyFont="1" applyNumberFormat="1">
      <alignment horizontal="center"/>
    </xf>
    <xf borderId="0" fillId="0" fontId="5" numFmtId="10" xfId="0" applyAlignment="1" applyFont="1" applyNumberFormat="1">
      <alignment horizontal="center"/>
    </xf>
    <xf borderId="0" fillId="0" fontId="4" numFmtId="4" xfId="0" applyAlignment="1" applyFont="1" applyNumberFormat="1">
      <alignment horizontal="center" readingOrder="0"/>
    </xf>
    <xf borderId="0" fillId="0" fontId="4" numFmtId="3" xfId="0" applyAlignment="1" applyFont="1" applyNumberForma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0" fillId="0" fontId="4" numFmtId="3" xfId="0" applyAlignment="1" applyFont="1" applyNumberFormat="1">
      <alignment horizontal="center"/>
    </xf>
    <xf borderId="0" fillId="0" fontId="4" numFmtId="169" xfId="0" applyAlignment="1" applyFont="1" applyNumberFormat="1">
      <alignment horizontal="center"/>
    </xf>
    <xf borderId="0" fillId="0" fontId="4" numFmtId="2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0" fillId="0" fontId="5" numFmtId="49" xfId="0" applyAlignment="1" applyFont="1" applyNumberFormat="1">
      <alignment horizontal="center"/>
    </xf>
    <xf borderId="0" fillId="0" fontId="4" numFmtId="165" xfId="0" applyAlignment="1" applyFont="1" applyNumberFormat="1">
      <alignment horizontal="center"/>
    </xf>
    <xf borderId="0" fillId="0" fontId="5" numFmtId="170" xfId="0" applyAlignment="1" applyFont="1" applyNumberFormat="1">
      <alignment horizontal="center"/>
    </xf>
    <xf borderId="0" fillId="0" fontId="4" numFmtId="164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0" fillId="0" fontId="4" numFmtId="170" xfId="0" applyAlignment="1" applyFont="1" applyNumberFormat="1">
      <alignment horizontal="center"/>
    </xf>
    <xf borderId="0" fillId="4" fontId="1" numFmtId="167" xfId="0" applyAlignment="1" applyFill="1" applyFont="1" applyNumberFormat="1">
      <alignment horizontal="center"/>
    </xf>
    <xf borderId="0" fillId="4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V1247" sheet="Datos"/>
  </cacheSource>
  <cacheFields>
    <cacheField name="   Fecha " numFmtId="166">
      <sharedItems containsDate="1" containsString="0" containsBlank="1">
        <d v="2025-12-01T00:00:00Z"/>
        <d v="2025-12-02T00:00:00Z"/>
        <d v="2025-12-03T00:00:00Z"/>
        <d v="2025-11-01T00:00:00Z"/>
        <d v="2025-11-02T00:00:00Z"/>
        <d v="2025-11-03T00:00:00Z"/>
        <d v="2025-11-04T00:00:00Z"/>
        <d v="2025-11-05T00:00:00Z"/>
        <d v="2025-11-06T00:00:00Z"/>
        <d v="2025-11-07T00:00:00Z"/>
        <d v="2025-11-08T00:00:00Z"/>
        <d v="2025-11-09T00:00:00Z"/>
        <d v="2025-11-10T00:00:00Z"/>
        <d v="2025-11-11T00:00:00Z"/>
        <d v="2025-11-12T00:00:00Z"/>
        <d v="2025-11-13T00:00:00Z"/>
        <d v="2025-11-14T00:00:00Z"/>
        <d v="2025-11-15T00:00:00Z"/>
        <d v="2025-11-16T00:00:00Z"/>
        <d v="2025-11-17T00:00:00Z"/>
        <d v="2025-11-18T00:00:00Z"/>
        <d v="2025-11-19T00:00:00Z"/>
        <d v="2025-11-20T00:00:00Z"/>
        <d v="2025-11-21T00:00:00Z"/>
        <d v="2025-11-22T00:00:00Z"/>
        <d v="2025-11-24T00:00:00Z"/>
        <d v="2025-11-25T00:00:00Z"/>
        <d v="2025-11-26T00:00:00Z"/>
        <d v="2025-10-01T00:00:00Z"/>
        <d v="2025-10-02T00:00:00Z"/>
        <d v="2025-10-03T00:00:00Z"/>
        <d v="2025-09-01T00:00:00Z"/>
        <d v="2025-09-02T00:00:00Z"/>
        <d v="2025-09-03T00:00:00Z"/>
        <d v="2025-09-04T00:00:00Z"/>
        <d v="2025-09-07T00:00:00Z"/>
        <d v="2025-09-08T00:00:00Z"/>
        <d v="2025-09-09T00:00:00Z"/>
        <d v="2025-09-10T00:00:00Z"/>
        <d v="2025-09-11T00:00:00Z"/>
        <d v="2025-09-12T00:00:00Z"/>
        <d v="2025-09-13T00:00:00Z"/>
        <d v="2025-09-14T00:00:00Z"/>
        <d v="2025-09-15T00:00:00Z"/>
        <d v="2025-09-16T00:00:00Z"/>
        <d v="2025-09-17T00:00:00Z"/>
        <d v="2025-09-18T00:00:00Z"/>
        <d v="2025-09-19T00:00:00Z"/>
        <d v="2025-09-20T00:00:00Z"/>
        <d v="2025-09-21T00:00:00Z"/>
        <d v="2025-09-22T00:00:00Z"/>
        <d v="2025-09-23T00:00:00Z"/>
        <d v="2025-09-24T00:00:00Z"/>
        <d v="2025-09-25T00:00:00Z"/>
        <d v="2025-08-01T00:00:00Z"/>
        <d v="2025-08-02T00:00:00Z"/>
        <d v="2025-08-03T00:00:00Z"/>
        <d v="2025-08-06T00:00:00Z"/>
        <d v="2025-08-07T00:00:00Z"/>
        <d v="2025-08-08T00:00:00Z"/>
        <d v="2025-08-09T00:00:00Z"/>
        <d v="2025-08-10T00:00:00Z"/>
        <d v="2025-08-11T00:00:00Z"/>
        <d v="2025-08-13T00:00:00Z"/>
        <d v="2025-08-14T00:00:00Z"/>
        <d v="2025-08-16T00:00:00Z"/>
        <d v="2025-08-17T00:00:00Z"/>
        <d v="2025-08-18T00:00:00Z"/>
        <d v="2025-08-19T00:00:00Z"/>
        <d v="2025-08-20T00:00:00Z"/>
        <d v="2025-08-21T00:00:00Z"/>
        <d v="2025-08-22T00:00:00Z"/>
        <d v="2025-08-23T00:00:00Z"/>
        <d v="2025-08-24T00:00:00Z"/>
        <d v="2025-07-01T00:00:00Z"/>
        <d v="2025-07-02T00:00:00Z"/>
        <d v="2025-07-05T00:00:00Z"/>
        <d v="2025-06-01T00:00:00Z"/>
        <d v="2025-06-04T00:00:00Z"/>
        <d v="2025-05-01T00:00:00Z"/>
        <d v="2025-05-02T00:00:00Z"/>
        <d v="2025-05-03T00:00:00Z"/>
        <d v="2025-04-01T00:00:00Z"/>
        <d v="2025-04-02T00:00:00Z"/>
        <d v="2025-03-01T00:00:00Z"/>
        <d v="2025-03-02T00:00:00Z"/>
        <d v="2025-02-25T00:00:00Z"/>
        <d v="2025-02-26T00:00:00Z"/>
        <d v="2025-01-26T00:00:00Z"/>
        <d v="2025-01-25T00:00:00Z"/>
        <d v="2024-12-01T00:00:00Z"/>
        <d v="2024-12-02T00:00:00Z"/>
        <d v="2024-11-01T00:00:00Z"/>
        <d v="2024-11-02T00:00:00Z"/>
        <d v="2024-10-24T00:00:00Z"/>
        <d v="2024-10-25T00:00:00Z"/>
        <d v="2024-09-30T00:00:00Z"/>
        <d v="2024-09-29T00:00:00Z"/>
        <d v="2024-09-28T00:00:00Z"/>
        <d v="2024-09-27T00:00:00Z"/>
        <d v="2024-09-26T00:00:00Z"/>
        <d v="2024-09-25T00:00:00Z"/>
        <d v="2024-09-24T00:00:00Z"/>
        <d v="2024-08-24T00:00:00Z"/>
        <d v="2024-07-24T00:00:00Z"/>
        <d v="2024-06-01T00:00:00Z"/>
        <d v="2024-05-05T00:00:00Z"/>
        <d v="2024-05-03T00:00:00Z"/>
        <d v="2024-04-01T00:00:00Z"/>
        <d v="2024-03-01T00:00:00Z"/>
        <d v="2024-02-01T00:00:00Z"/>
        <d v="2024-01-01T00:00:00Z"/>
        <d v="2023-12-01T00:00:00Z"/>
        <d v="2023-11-01T00:00:00Z"/>
        <d v="2023-10-01T00:00:00Z"/>
        <m/>
      </sharedItems>
    </cacheField>
    <cacheField name="NIS" numFmtId="0">
      <sharedItems containsString="0" containsBlank="1" containsNumber="1" containsInteger="1">
        <n v="5296128.0"/>
        <n v="5238545.0"/>
        <n v="5076526.0"/>
        <n v="5347980.0"/>
        <n v="5263215.0"/>
        <n v="3025373.0"/>
        <n v="5346222.0"/>
        <n v="5211887.0"/>
        <n v="5253775.0"/>
        <n v="4000681.0"/>
        <n v="5076619.0"/>
        <n v="3092029.0"/>
        <n v="5253773.0"/>
        <n v="5238577.0"/>
        <n v="5272486.0"/>
        <n v="5019237.0"/>
        <n v="5068576.0"/>
        <n v="5214767.0"/>
        <n v="5346470.0"/>
        <n v="5213946.0"/>
        <n v="5251104.0"/>
        <n v="5251101.0"/>
        <n v="3011513.0"/>
        <n v="3062898.0"/>
        <n v="4000202.0"/>
        <n v="5320074.0"/>
        <n v="5352763.0"/>
        <n v="5107017.0"/>
        <n v="5010595.0"/>
        <n v="5224707.0"/>
        <m/>
      </sharedItems>
    </cacheField>
    <cacheField name="Cliente" numFmtId="0">
      <sharedItems containsBlank="1">
        <s v="Fabrica Forja"/>
        <s v="Cendis "/>
        <s v="Martin Lecuona "/>
        <s v="Nallim Jose Carlos"/>
        <s v="Distribuidora Maestro"/>
        <s v="Agustín Sanz Navamuel"/>
        <s v="O.Domingo-Arenosa"/>
        <s v="O.Domingo-Colectivo"/>
        <s v="Joaquín Elizalde"/>
        <s v="O.Domingo-Animana"/>
        <s v="LaMerceddelAlto"/>
        <s v="Farmacia San Francisco"/>
        <s v="Ivan BV"/>
        <s v="Agustín Lanús"/>
        <s v="Linea C"/>
        <s v="Etchart"/>
        <s v="Facundo Alvarado"/>
        <s v="La Carolina"/>
        <s v="Punto Corp"/>
        <s v="Tambo Martorell"/>
        <s v="Cartoon Inversor 1"/>
        <s v="Cartoon Inversor 2"/>
        <s v="Robles"/>
        <s v="Tolaba"/>
        <s v="Diagnostico Salta"/>
        <s v="Distribuidora Maestro "/>
        <s v="Fabrica Forja "/>
        <s v="Tolaba "/>
        <s v="Robles "/>
        <s v="Martín Lecuona "/>
        <s v="Punto Corp "/>
        <s v="La Carolina "/>
        <s v="Facundo Alvarado "/>
        <s v="Imac-RdL"/>
        <s v="Imac-RdelaF"/>
        <s v="Cartoon Inversor 2 "/>
        <s v="Mario Páez"/>
        <s v="Dalborgo"/>
        <m/>
      </sharedItems>
    </cacheField>
    <cacheField name="IVA" numFmtId="4">
      <sharedItems containsString="0" containsBlank="1" containsNumber="1">
        <n v="0.27"/>
        <n v="0.21"/>
        <m/>
      </sharedItems>
    </cacheField>
    <cacheField name="Consumo [kWh]" numFmtId="3">
      <sharedItems containsString="0" containsBlank="1" containsNumber="1" containsInteger="1">
        <n v="1420.0"/>
        <n v="46318.0"/>
        <n v="4410.0"/>
        <n v="577.0"/>
        <n v="2403.0"/>
        <n v="37973.0"/>
        <n v="3833.0"/>
        <n v="2829.0"/>
        <n v="542.0"/>
        <n v="8034.0"/>
        <n v="3196.0"/>
        <n v="14100.0"/>
        <n v="365.0"/>
        <n v="6223.0"/>
        <n v="4539.0"/>
        <n v="2950.0"/>
        <n v="13501.0"/>
        <n v="6345.0"/>
        <n v="6144.0"/>
        <n v="6604.0"/>
        <n v="12507.0"/>
        <n v="4392.0"/>
        <n v="28047.0"/>
        <n v="25661.0"/>
        <n v="16520.0"/>
        <n v="15680.0"/>
        <n v="35146.0"/>
        <n v="2199.0"/>
        <n v="1461.0"/>
        <n v="7178.0"/>
        <n v="691.0"/>
        <n v="6180.0"/>
        <n v="5951.0"/>
        <n v="5553.0"/>
        <n v="4876.0"/>
        <n v="3346.0"/>
        <n v="4054.0"/>
        <n v="6333.0"/>
        <n v="517.0"/>
        <n v="16473.0"/>
        <n v="2245.0"/>
        <n v="11790.0"/>
        <n v="3694.0"/>
        <n v="7741.0"/>
        <n v="643.0"/>
        <n v="2436.0"/>
        <n v="7889.0"/>
        <n v="8097.0"/>
        <n v="2160.0"/>
        <n v="4612.0"/>
        <n v="27401.0"/>
        <n v="2318.0"/>
        <n v="1595.0"/>
        <n v="1733.0"/>
        <n v="769.0"/>
        <n v="8130.0"/>
        <n v="6293.0"/>
        <n v="6141.0"/>
        <n v="4781.0"/>
        <n v="16121.0"/>
        <n v="3240.0"/>
        <n v="2726.0"/>
        <n v="7040.0"/>
        <n v="612.0"/>
        <n v="17195.0"/>
        <n v="2045.0"/>
        <n v="10500.0"/>
        <n v="3425.0"/>
        <n v="7285.0"/>
        <n v="598.0"/>
        <n v="2828.0"/>
        <n v="6096.0"/>
        <n v="15832.0"/>
        <n v="6104.0"/>
        <n v="1872.0"/>
        <n v="15120.0"/>
        <n v="1544.0"/>
        <n v="729.0"/>
        <n v="7140.0"/>
        <n v="6004.0"/>
        <n v="6063.0"/>
        <n v="6396.0"/>
        <n v="13817.0"/>
        <n v="2067.0"/>
        <n v="590.0"/>
        <n v="19794.0"/>
        <n v="1737.0"/>
        <n v="9600.0"/>
        <n v="3169.0"/>
        <n v="7602.0"/>
        <n v="546.0"/>
        <n v="371.0"/>
        <n v="1767.0"/>
        <n v="18911.0"/>
        <n v="3468.0"/>
        <n v="7899.0"/>
        <n v="15330.0"/>
        <n v="1394.0"/>
        <n v="2018.0"/>
        <n v="915.0"/>
        <n v="90.0"/>
        <n v="5933.0"/>
        <n v="7524.0"/>
        <n v="7525.0"/>
        <n v="11476.0"/>
        <n v="2883.0"/>
        <n v="2588.0"/>
        <n v="576.0"/>
        <n v="1405.0"/>
        <n v="7290.0"/>
        <n v="7920.0"/>
        <n v="5570.0"/>
        <n v="572.0"/>
        <n v="295.0"/>
        <n v="1056.0"/>
        <n v="2377.0"/>
        <n v="2556.0"/>
        <n v="10923.0"/>
        <n v="2546.0"/>
        <n v="1147.0"/>
        <n v="5561.0"/>
        <n v="2963.0"/>
        <n v="10354.0"/>
        <n v="3946.0"/>
        <n v="680.0"/>
        <n v="514.0"/>
        <n v="24776.0"/>
        <n v="2062.0"/>
        <n v="3747.0"/>
        <n v="525.0"/>
        <n v="592.0"/>
        <n v="380.0"/>
        <n v="1095.0"/>
        <n v="6490.0"/>
        <n v="14980.0"/>
        <n v="120.0"/>
        <n v="6870.0"/>
        <n v="10131.0"/>
        <n v="1607.0"/>
        <n v="10638.0"/>
        <n v="2892.0"/>
        <n v="1805.0"/>
        <n v="711.0"/>
        <n v="25754.0"/>
        <n v="1867.0"/>
        <n v="7500.0"/>
        <n v="3344.0"/>
        <n v="905.0"/>
        <n v="671.0"/>
        <n v="314.0"/>
        <n v="677.0"/>
        <n v="2657.0"/>
        <n v="22907.0"/>
        <n v="16870.0"/>
        <n v="12421.0"/>
        <n v="4770.0"/>
        <n v="7527.0"/>
        <n v="5736.0"/>
        <n v="12510.0"/>
        <n v="2552.0"/>
        <n v="1569.0"/>
        <n v="632.0"/>
        <n v="17995.0"/>
        <n v="1686.0"/>
        <n v="5550.0"/>
        <n v="3853.0"/>
        <n v="1288.0"/>
        <n v="444.0"/>
        <n v="442.0"/>
        <n v="1118.0"/>
        <n v="8922.0"/>
        <n v="6466.0"/>
        <n v="16240.0"/>
        <n v="4908.0"/>
        <n v="4879.0"/>
        <n v="4919.0"/>
        <n v="611.0"/>
        <n v="18432.0"/>
        <n v="1478.0"/>
        <n v="11340.0"/>
        <n v="4279.0"/>
        <n v="1730.0"/>
        <n v="459.0"/>
        <n v="1824.0"/>
        <n v="1371.0"/>
        <n v="6653.0"/>
        <n v="10645.0"/>
        <n v="18340.0"/>
        <n v="7482.0"/>
        <n v="4158.0"/>
        <n v="730.0"/>
        <n v="1972.0"/>
        <n v="11760.0"/>
        <n v="3830.0"/>
        <n v="3887.0"/>
        <n v="503.0"/>
        <n v="2972.0"/>
        <n v="1138.0"/>
        <n v="7171.0"/>
        <n v="2863.0"/>
        <n v="10461.0"/>
        <n v="2711.0"/>
        <n v="14460.0"/>
        <n v="3592.0"/>
        <n v="4262.0"/>
        <n v="541.0"/>
        <n v="3289.0"/>
        <n v="617.0"/>
        <n v="55837.0"/>
        <n v="393.0"/>
        <n v="4632.0"/>
        <n v="2503.0"/>
        <n v="14430.0"/>
        <n v="3625.0"/>
        <n v="1058.0"/>
        <n v="319.0"/>
        <n v="3085.0"/>
        <n v="263.0"/>
        <n v="67620.0"/>
        <n v="695.0"/>
        <n v="4743.0"/>
        <n v="2172.0"/>
        <n v="12930.0"/>
        <n v="4086.0"/>
        <n v="3428.0"/>
        <n v="440.0"/>
        <n v="3312.0"/>
        <n v="3166.0"/>
        <n v="699.0"/>
        <n v="3666.0"/>
        <n v="1804.0"/>
        <n v="13170.0"/>
        <n v="3998.0"/>
        <n v="8059.0"/>
        <n v="568.0"/>
        <n v="3413.0"/>
        <n v="6927.0"/>
        <n v="616.0"/>
        <n v="3165.0"/>
        <n v="2214.0"/>
        <n v="1847.0"/>
        <n v="3846.0"/>
        <n v="9397.0"/>
        <n v="3204.0"/>
        <n v="6256.0"/>
        <n v="544.0"/>
        <n v="1689.0"/>
        <n v="1682.0"/>
        <n v="15600.0"/>
        <n v="3591.0"/>
        <n v="3618.0"/>
        <n v="492.0"/>
        <n v="645.0"/>
        <n v="1489.0"/>
        <n v="1946.0"/>
        <n v="9520.0"/>
        <n v="2021.0"/>
        <n v="646.0"/>
        <n v="614.0"/>
        <n v="3595.0"/>
        <n v="1748.0"/>
        <n v="6840.0"/>
        <n v="2315.0"/>
        <n v="464.0"/>
        <n v="4598.0"/>
        <n v="1505.0"/>
        <n v="1928.0"/>
        <n v="543.0"/>
        <n v="3539.0"/>
        <n v="1605.0"/>
        <n v="5280.0"/>
        <n v="2669.0"/>
        <n v="787.0"/>
        <n v="484.0"/>
        <n v="1793.0"/>
        <n v="8120.0"/>
        <n v="1762.0"/>
        <n v="692.0"/>
        <n v="2799.0"/>
        <n v="896.0"/>
        <n v="2749.0"/>
        <n v="505.0"/>
        <n v="2830.0"/>
        <n v="448.0"/>
        <n v="966.0"/>
        <n v="876.0"/>
        <n v="623.0"/>
        <m/>
      </sharedItems>
    </cacheField>
    <cacheField name="Consumo hs punta [kWh]" numFmtId="3">
      <sharedItems containsString="0" containsBlank="1" containsNumber="1" containsInteger="1">
        <n v="170.0"/>
        <n v="11250.0"/>
        <n v="30.0"/>
        <n v="0.0"/>
        <n v="9357.0"/>
        <n v="998.0"/>
        <n v="2164.0"/>
        <n v="1096.0"/>
        <n v="4050.0"/>
        <n v="116.0"/>
        <n v="684.0"/>
        <n v="2929.0"/>
        <n v="1180.0"/>
        <n v="1770.0"/>
        <n v="2584.0"/>
        <n v="1173.0"/>
        <n v="852.0"/>
        <n v="7969.0"/>
        <n v="6829.0"/>
        <n v="4270.0"/>
        <n v="4130.0"/>
        <n v="9214.0"/>
        <m/>
        <n v="162.0"/>
        <n v="1742.0"/>
        <n v="208.0"/>
        <n v="2497.0"/>
        <n v="1722.0"/>
        <n v="766.0"/>
        <n v="809.0"/>
        <n v="173.0"/>
        <n v="4042.0"/>
        <n v="637.0"/>
        <n v="6270.0"/>
        <n v="1129.0"/>
        <n v="2428.0"/>
        <n v="2248.0"/>
        <n v="2444.0"/>
        <n v="108.0"/>
        <n v="77.0"/>
        <n v="4200.0"/>
        <n v="7072.0"/>
        <n v="179.0"/>
        <n v="377.0"/>
        <n v="233.0"/>
        <n v="2683.0"/>
        <n v="1737.0"/>
        <n v="1034.0"/>
        <n v="3507.0"/>
        <n v="772.0"/>
        <n v="199.0"/>
        <n v="4089.0"/>
        <n v="589.0"/>
        <n v="3270.0"/>
        <n v="1196.0"/>
        <n v="2084.0"/>
        <n v="1853.0"/>
        <n v="4161.0"/>
        <n v="455.0"/>
        <n v="120.0"/>
        <n v="4060.0"/>
        <n v="168.0"/>
        <n v="2590.0"/>
        <n v="1644.0"/>
        <n v="1726.0"/>
        <n v="2965.0"/>
        <n v="638.0"/>
        <n v="216.0"/>
        <n v="4729.0"/>
        <n v="521.0"/>
        <n v="3210.0"/>
        <n v="1095.0"/>
        <n v="2344.0"/>
        <n v="363.0"/>
        <n v="5055.0"/>
        <n v="336.0"/>
        <n v="445.0"/>
        <n v="3990.0"/>
        <n v="153.0"/>
        <n v="488.0"/>
        <n v="231.0"/>
        <n v="2550.0"/>
        <n v="1815.0"/>
        <n v="1040.0"/>
        <n v="2513.0"/>
        <n v="214.0"/>
        <n v="2520.0"/>
        <n v="2490.0"/>
        <n v="1683.0"/>
        <n v="56.0"/>
        <n v="519.0"/>
        <n v="408.0"/>
        <n v="411.0"/>
        <n v="2319.0"/>
        <n v="533.0"/>
        <n v="261.0"/>
        <n v="2482.0"/>
        <n v="2006.0"/>
        <n v="681.0"/>
        <n v="136.0"/>
        <n v="5288.0"/>
        <n v="468.0"/>
        <n v="1343.0"/>
        <n v="303.0"/>
        <n v="634.0"/>
        <n v="648.0"/>
        <n v="3500.0"/>
        <n v="1686.0"/>
        <n v="1872.0"/>
        <n v="2108.0"/>
        <n v="529.0"/>
        <n v="240.0"/>
        <n v="5515.0"/>
        <n v="414.0"/>
        <n v="2250.0"/>
        <n v="1054.0"/>
        <n v="3.0"/>
        <n v="701.0"/>
        <n v="4199.0"/>
        <n v="1142.0"/>
        <n v="390.0"/>
        <n v="1777.0"/>
        <n v="1458.0"/>
        <n v="2615.0"/>
        <n v="512.0"/>
        <n v="200.0"/>
        <n v="4080.0"/>
        <n v="429.0"/>
        <n v="1950.0"/>
        <n v="1231.0"/>
        <n v="2387.0"/>
        <n v="88.0"/>
        <n v="1245.0"/>
        <n v="802.0"/>
        <n v="4028.0"/>
        <n v="387.0"/>
        <n v="3360.0"/>
        <n v="1268.0"/>
        <n v="16.0"/>
        <n v="1564.0"/>
        <n v="1497.0"/>
        <n v="228.0"/>
        <n v="492.0"/>
        <n v="3480.0"/>
        <n v="1192.0"/>
        <n v="55.0"/>
        <n v="2.0"/>
        <n v="1862.0"/>
        <n v="2100.0"/>
        <n v="544.0"/>
        <n v="4560.0"/>
        <n v="1076.0"/>
        <n v="13802.0"/>
        <n v="106.0"/>
        <n v="1116.0"/>
        <n v="4260.0"/>
        <n v="1187.0"/>
        <n v="15796.0"/>
        <n v="255.0"/>
        <n v="1218.0"/>
        <n v="585.0"/>
        <n v="3870.0"/>
        <n v="1257.0"/>
        <n v="572.0"/>
        <n v="275.0"/>
        <n v="1056.0"/>
        <n v="460.0"/>
        <n v="1318.0"/>
        <n v="2011.0"/>
        <n v="1735.0"/>
        <n v="251.0"/>
        <n v="912.0"/>
        <n v="570.0"/>
        <n v="209.0"/>
        <n v="1300.0"/>
        <n v="2556.0"/>
        <n v="1623.0"/>
        <n v="222.0"/>
        <n v="575.0"/>
        <n v="193.0"/>
        <n v="640.0"/>
        <n v="1225.0"/>
        <n v="241.0"/>
        <n v="123.0"/>
        <n v="400.0"/>
        <n v="496.0"/>
        <n v="242.0"/>
        <n v="1311.0"/>
        <n v="191.0"/>
        <n v="440.0"/>
        <n v="511.0"/>
        <n v="217.0"/>
        <n v="1657.0"/>
        <n v="174.0"/>
        <n v="456.0"/>
        <n v="205.0"/>
        <n v="1186.0"/>
        <n v="259.0"/>
        <n v="320.0"/>
        <n v="283.0"/>
        <n v="243.0"/>
        <n v="480.0"/>
        <n v="454.0"/>
        <n v="249.0"/>
        <n v="728.0"/>
        <n v="313.0"/>
        <n v="615.0"/>
        <n v="182.0"/>
        <n v="759.0"/>
        <n v="141.0"/>
        <n v="265.0"/>
        <n v="304.0"/>
        <n v="253.0"/>
      </sharedItems>
    </cacheField>
    <cacheField name="Consumo hs valle [kWh]" numFmtId="3">
      <sharedItems containsString="0" containsBlank="1" containsNumber="1" containsInteger="1">
        <n v="301.0"/>
        <n v="11963.0"/>
        <n v="570.0"/>
        <n v="0.0"/>
        <n v="11035.0"/>
        <n v="554.0"/>
        <n v="2756.0"/>
        <n v="841.0"/>
        <n v="2100.0"/>
        <n v="91.0"/>
        <n v="810.0"/>
        <n v="3482.0"/>
        <n v="343.0"/>
        <n v="1962.0"/>
        <n v="869.0"/>
        <n v="215.0"/>
        <n v="324.0"/>
        <n v="9368.0"/>
        <n v="7919.0"/>
        <n v="3920.0"/>
        <n v="3780.0"/>
        <n v="9096.0"/>
        <m/>
        <n v="268.0"/>
        <n v="1984.0"/>
        <n v="207.0"/>
        <n v="2130.0"/>
        <n v="732.0"/>
        <n v="2.0"/>
        <n v="977.0"/>
        <n v="74.0"/>
        <n v="3998.0"/>
        <n v="378.0"/>
        <n v="1770.0"/>
        <n v="951.0"/>
        <n v="2630.0"/>
        <n v="2776.0"/>
        <n v="2347.0"/>
        <n v="180.0"/>
        <n v="108.0"/>
        <n v="3640.0"/>
        <n v="7098.0"/>
        <n v="298.0"/>
        <n v="386.0"/>
        <n v="221.0"/>
        <n v="2850.0"/>
        <n v="679.0"/>
        <n v="2037.0"/>
        <n v="31.0"/>
        <n v="4347.0"/>
        <n v="953.0"/>
        <n v="80.0"/>
        <n v="4303.0"/>
        <n v="396.0"/>
        <n v="1800.0"/>
        <n v="807.0"/>
        <n v="2636.0"/>
        <n v="2111.0"/>
        <n v="4704.0"/>
        <n v="590.0"/>
        <n v="3500.0"/>
        <n v="278.0"/>
        <n v="225.0"/>
        <n v="2340.0"/>
        <n v="589.0"/>
        <n v="1956.0"/>
        <n v="3555.0"/>
        <n v="825.0"/>
        <n v="100.0"/>
        <n v="4961.0"/>
        <n v="381.0"/>
        <n v="1650.0"/>
        <n v="707.0"/>
        <n v="2463.0"/>
        <n v="7.0"/>
        <n v="5695.0"/>
        <n v="168.0"/>
        <n v="3360.0"/>
        <n v="262.0"/>
        <n v="571.0"/>
        <n v="204.0"/>
        <n v="30.0"/>
        <n v="659.0"/>
        <n v="2325.0"/>
        <n v="342.0"/>
        <n v="3085.0"/>
        <n v="906.0"/>
        <n v="95.0"/>
        <n v="332.0"/>
        <n v="1560.0"/>
        <n v="1440.0"/>
        <n v="1804.0"/>
        <n v="6.0"/>
        <n v="491.0"/>
        <n v="112.0"/>
        <n v="2649.0"/>
        <n v="628.0"/>
        <n v="209.0"/>
        <n v="575.0"/>
        <n v="2651.0"/>
        <n v="1101.0"/>
        <n v="86.0"/>
        <n v="6052.0"/>
        <n v="358.0"/>
        <n v="844.0"/>
        <n v="38.0"/>
        <n v="650.0"/>
        <n v="132.0"/>
        <n v="3150.0"/>
        <n v="2079.0"/>
        <n v="2495.0"/>
        <n v="729.0"/>
        <n v="103.0"/>
        <n v="6352.0"/>
        <n v="316.0"/>
        <n v="1410.0"/>
        <n v="811.0"/>
        <n v="3.0"/>
        <n v="4.0"/>
        <n v="632.0"/>
        <n v="4543.0"/>
        <n v="3570.0"/>
        <n v="329.0"/>
        <n v="450.0"/>
        <n v="871.0"/>
        <n v="1845.0"/>
        <n v="3156.0"/>
        <n v="663.0"/>
        <n v="84.0"/>
        <n v="4277.0"/>
        <n v="1290.0"/>
        <n v="853.0"/>
        <n v="2789.0"/>
        <n v="101.0"/>
        <n v="1554.0"/>
        <n v="736.0"/>
        <n v="109.0"/>
        <n v="4348.0"/>
        <n v="293.0"/>
        <n v="926.0"/>
        <n v="1772.0"/>
        <n v="649.0"/>
        <n v="3710.0"/>
        <n v="1992.0"/>
        <n v="98.0"/>
        <n v="300.0"/>
        <n v="1890.0"/>
        <n v="896.0"/>
        <n v="139.0"/>
        <n v="2144.0"/>
        <n v="1857.0"/>
        <n v="309.0"/>
        <n v="2280.0"/>
        <n v="891.0"/>
        <n v="741.0"/>
        <n v="15610.0"/>
        <n v="94.0"/>
        <n v="2055.0"/>
        <n v="334.0"/>
        <n v="2250.0"/>
        <n v="912.0"/>
        <n v="77.0"/>
        <n v="17873.0"/>
        <n v="114.0"/>
        <n v="279.0"/>
        <n v="1950.0"/>
        <n v="925.0"/>
        <n v="188.0"/>
        <n v="303.0"/>
        <n v="1584.0"/>
        <n v="267.0"/>
        <n v="904.0"/>
        <n v="2375.0"/>
        <n v="2063.0"/>
        <n v="1431.0"/>
        <n v="257.0"/>
        <n v="244.0"/>
        <n v="914.0"/>
        <n v="2968.0"/>
        <n v="1801.0"/>
        <n v="243.0"/>
        <n v="2760.0"/>
        <n v="856.0"/>
        <n v="5.0"/>
        <n v="360.0"/>
        <n v="131.0"/>
        <n v="836.0"/>
        <n v="238.0"/>
        <n v="440.0"/>
        <n v="364.0"/>
        <n v="130.0"/>
        <n v="963.0"/>
        <n v="216.0"/>
        <n v="353.0"/>
        <n v="122.0"/>
        <n v="774.0"/>
        <n v="321.0"/>
        <n v="320.0"/>
        <n v="372.0"/>
        <n v="297.0"/>
        <n v="600.0"/>
        <n v="382.0"/>
        <n v="395.0"/>
        <n v="154.0"/>
        <n v="106.0"/>
        <n v="422.0"/>
        <n v="97.0"/>
        <n v="157.0"/>
        <n v="146.0"/>
      </sharedItems>
    </cacheField>
    <cacheField name="Consumo hs resto[kWh]">
      <sharedItems containsBlank="1" containsMixedTypes="1" containsNumber="1" containsInteger="1">
        <n v="949.0"/>
        <n v="23105.0"/>
        <n v="3810.0"/>
        <s v=","/>
        <n v="2403.0"/>
        <n v="17581.0"/>
        <n v="2281.0"/>
        <n v="2829.0"/>
        <n v="542.0"/>
        <n v="3114.0"/>
        <n v="1259.0"/>
        <n v="7950.0"/>
        <n v="158.0"/>
        <n v="6223.0"/>
        <n v="4539.0"/>
        <n v="1456.0"/>
        <n v="7090.0"/>
        <n v="4822.0"/>
        <n v="2412.0"/>
        <n v="3151.0"/>
        <n v="11119.0"/>
        <n v="3216.0"/>
        <n v="10710.0"/>
        <n v="10913.0"/>
        <n v="8330.0"/>
        <n v="7770.0"/>
        <n v="16836.0"/>
        <n v="2199.0"/>
        <n v="1031.0"/>
        <n v="3452.0"/>
        <n v="276.0"/>
        <n v="4020.0"/>
        <n v="2722.0"/>
        <n v="1869.0"/>
        <n v="4108.0"/>
        <n v="1560.0"/>
        <n v="4054.0"/>
        <n v="6333.0"/>
        <n v="270.0"/>
        <n v="8433.0"/>
        <n v="1230.0"/>
        <n v="3750.0"/>
        <n v="1614.0"/>
        <n v="2683.0"/>
        <n v="643.0"/>
        <n v="2436.0"/>
        <n v="2865.0"/>
        <n v="3306.0"/>
        <n v="1872.0"/>
        <n v="4427.0"/>
        <n v="8680.0"/>
        <n v="13231.0"/>
        <n v="2318.0"/>
        <n v="1118.0"/>
        <n v="970.0"/>
        <n v="315.0"/>
        <n v="5250.0"/>
        <n v="2931.0"/>
        <n v="2367.0"/>
        <n v="3716.0"/>
        <n v="8267.0"/>
        <n v="1515.0"/>
        <n v="5990.0"/>
        <n v="7040.0"/>
        <n v="333.0"/>
        <n v="8803.0"/>
        <n v="1060.0"/>
        <n v="5430.0"/>
        <n v="1422.0"/>
        <n v="2565.0"/>
        <n v="598.0"/>
        <n v="2828.0"/>
        <n v="2132.0"/>
        <n v="6967.0"/>
        <n v="5059.0"/>
        <n v="1572.0"/>
        <n v="7560.0"/>
        <n v="2989.0"/>
        <n v="1098.0"/>
        <n v="271.0"/>
        <n v="4770.0"/>
        <n v="2825.0"/>
        <n v="2463.0"/>
        <n v="4668.0"/>
        <n v="7297.0"/>
        <n v="1263.0"/>
        <m/>
        <n v="2067.0"/>
        <n v="274.0"/>
        <n v="10104.0"/>
        <n v="835.0"/>
        <n v="4740.0"/>
        <n v="1367.0"/>
        <n v="2795.0"/>
        <n v="546.0"/>
        <n v="371.0"/>
        <n v="1397.0"/>
        <n v="8161.0"/>
        <n v="2964.0"/>
        <n v="7233.0"/>
        <n v="7980.0"/>
        <n v="4200.0"/>
        <n v="979.0"/>
        <n v="959.0"/>
        <n v="480.0"/>
        <n v="30.0"/>
        <n v="2724.0"/>
        <n v="3384.0"/>
        <n v="1579.0"/>
        <n v="5878.0"/>
        <n v="1489.0"/>
        <n v="2588.0"/>
        <n v="267.0"/>
        <n v="696.0"/>
        <n v="3210.0"/>
        <n v="3990.0"/>
        <n v="2083.0"/>
        <n v="572.0"/>
        <n v="295.0"/>
        <n v="994.0"/>
        <n v="1968.0"/>
        <n v="4016.0"/>
        <n v="5955.0"/>
        <n v="1385.0"/>
        <n v="677.0"/>
        <n v="2504.0"/>
        <n v="2963.0"/>
        <n v="5697.0"/>
        <n v="2164.0"/>
        <n v="680.0"/>
        <n v="292.0"/>
        <n v="13436.0"/>
        <n v="1236.0"/>
        <n v="525.0"/>
        <n v="592.0"/>
        <n v="380.0"/>
        <n v="754.0"/>
        <n v="1545.0"/>
        <n v="5710.0"/>
        <n v="60.0"/>
        <n v="4278.0"/>
        <n v="6180.0"/>
        <n v="1607.0"/>
        <n v="6035.0"/>
        <n v="1569.0"/>
        <n v="1805.0"/>
        <n v="368.0"/>
        <n v="13887.0"/>
        <n v="1137.0"/>
        <n v="3840.0"/>
        <n v="1479.0"/>
        <n v="899.0"/>
        <n v="671.0"/>
        <n v="314.0"/>
        <n v="670.0"/>
        <n v="1324.0"/>
        <n v="14165.0"/>
        <n v="9240.0"/>
        <n v="10950.0"/>
        <n v="3930.0"/>
        <n v="4879.0"/>
        <n v="2433.0"/>
        <n v="6739.0"/>
        <n v="1368.0"/>
        <n v="348.0"/>
        <n v="9638.0"/>
        <n v="915.0"/>
        <n v="2310.0"/>
        <n v="1769.0"/>
        <n v="1282.0"/>
        <n v="444.0"/>
        <n v="442.0"/>
        <n v="1112.0"/>
        <n v="3746.0"/>
        <n v="6277.0"/>
        <n v="8610.0"/>
        <n v="2109.0"/>
        <n v="3341.0"/>
        <n v="4919.0"/>
        <n v="288.0"/>
        <n v="10056.0"/>
        <n v="798.0"/>
        <n v="2085.0"/>
        <n v="1723.0"/>
        <n v="459.0"/>
        <n v="1824.0"/>
        <n v="1351.0"/>
        <n v="3144.0"/>
        <n v="8432.0"/>
        <n v="10430.0"/>
        <n v="3993.0"/>
        <n v="4158.0"/>
        <n v="404.0"/>
        <n v="1180.0"/>
        <n v="6390.0"/>
        <n v="1742.0"/>
        <n v="3693.0"/>
        <n v="503.0"/>
        <n v="2972.0"/>
        <n v="1133.0"/>
        <n v="3165.0"/>
        <n v="2863.0"/>
        <n v="6504.0"/>
        <n v="1858.0"/>
        <n v="7620.0"/>
        <n v="1625.0"/>
        <n v="2840.0"/>
        <n v="541.0"/>
        <n v="3289.0"/>
        <n v="612.0"/>
        <n v="26425.0"/>
        <n v="193.0"/>
        <n v="1461.0"/>
        <n v="1532.0"/>
        <n v="7920.0"/>
        <n v="1526.0"/>
        <n v="904.0"/>
        <n v="319.0"/>
        <n v="3085.0"/>
        <n v="258.0"/>
        <n v="33951.0"/>
        <n v="326.0"/>
        <n v="1308.0"/>
        <n v="7110.0"/>
        <n v="1904.0"/>
        <n v="2772.0"/>
        <n v="440.0"/>
        <n v="3312.0"/>
        <n v="2291.0"/>
        <n v="1026.0"/>
        <n v="1077.0"/>
        <n v="7170.0"/>
        <n v="1776.0"/>
        <n v="3673.0"/>
        <n v="568.0"/>
        <n v="3413.0"/>
        <n v="3129.0"/>
        <n v="822.0"/>
        <n v="1387.0"/>
        <n v="1394.0"/>
        <n v="1632.0"/>
        <n v="3873.0"/>
        <n v="3204.0"/>
        <n v="2832.0"/>
        <n v="213.0"/>
        <n v="772.0"/>
        <n v="1246.0"/>
        <n v="12200.0"/>
        <n v="1510.0"/>
        <n v="3372.0"/>
        <n v="492.0"/>
        <n v="645.0"/>
        <n v="1364.0"/>
        <n v="1946.0"/>
        <n v="8760.0"/>
        <n v="1147.0"/>
        <n v="273.0"/>
        <n v="614.0"/>
        <n v="1448.0"/>
        <n v="1319.0"/>
        <n v="5960.0"/>
        <n v="1440.0"/>
        <n v="243.0"/>
        <n v="464.0"/>
        <n v="1978.0"/>
        <n v="1115.0"/>
        <n v="1119.0"/>
        <n v="216.0"/>
        <n v="616.0"/>
        <n v="1025.0"/>
        <n v="4640.0"/>
        <n v="1722.0"/>
        <n v="365.0"/>
        <n v="484.0"/>
        <n v="1253.0"/>
        <n v="926.0"/>
        <n v="335.0"/>
        <n v="1676.0"/>
        <n v="429.0"/>
        <n v="1781.0"/>
        <n v="217.0"/>
        <n v="1649.0"/>
        <n v="210.0"/>
        <n v="544.0"/>
        <n v="426.0"/>
        <n v="261.0"/>
      </sharedItems>
    </cacheField>
    <cacheField name="Catergoria" numFmtId="3">
      <sharedItems containsBlank="1">
        <s v="T2-Ba"/>
        <s v="T5-Ba"/>
        <s v="T4-Ba"/>
        <s v="T1-R2-N1"/>
        <s v="T1-G2"/>
        <s v="T8"/>
        <s v="T6-Me"/>
        <s v="T5-Ba "/>
        <s v="T6"/>
        <s v="T1-R1-N1"/>
        <m/>
      </sharedItems>
    </cacheField>
    <cacheField name="Tarifa punta" numFmtId="164">
      <sharedItems containsString="0" containsBlank="1" containsNumber="1">
        <n v="148.2814"/>
        <n v="168.7698"/>
        <n v="152.0913"/>
        <n v="233.1878"/>
        <n v="195.2987"/>
        <n v="255.886"/>
        <n v="240.5281"/>
        <n v="156.5485"/>
        <n v="229.3919"/>
        <n v="174.6648"/>
        <n v="163.3724"/>
        <n v="195.1016"/>
        <n v="145.8675"/>
        <n v="253.749"/>
        <n v="168.0449"/>
        <n v="159.8077"/>
        <n v="170.9156"/>
        <n v="207.4306"/>
        <n v="157.071"/>
        <n v="250.4823"/>
        <n v="191.9806"/>
        <n v="230.0967"/>
        <n v="159.1156"/>
        <n v="204.783"/>
        <n v="156.8264"/>
        <n v="249.1232"/>
        <n v="193.8383"/>
        <m/>
        <n v="229.758"/>
        <n v="170.107"/>
        <n v="157.6231"/>
        <n v="210.8142"/>
        <n v="156.5178"/>
        <n v="245.9868"/>
        <n v="149.9317"/>
        <n v="194.1304"/>
        <n v="226.8118"/>
        <n v="168.3315"/>
        <n v="236.6792"/>
        <n v="185.8715"/>
        <n v="148.82"/>
        <n v="217.7287"/>
        <n v="147.7231"/>
        <n v="185.9218"/>
        <n v="148.2484"/>
        <n v="142.9"/>
        <n v="227.4219"/>
        <n v="217.7284"/>
        <n v="232.879"/>
        <n v="145.3784"/>
        <n v="155.4228"/>
        <n v="185.5394"/>
        <n v="145.8875"/>
        <n v="214.955"/>
        <n v="204.8126"/>
        <n v="229.0059"/>
        <n v="140.7177"/>
        <n v="141.2146"/>
        <n v="219.4496"/>
        <n v="198.78"/>
        <n v="222.4156"/>
        <n v="183.2876"/>
        <n v="139.7195"/>
        <n v="140.1738"/>
        <n v="217.6991"/>
        <n v="220.0869"/>
        <n v="137.1997"/>
        <n v="204.2284"/>
        <n v="136.7573"/>
        <n v="215.1441"/>
        <n v="190.9258"/>
        <n v="143.7049"/>
        <n v="142.3"/>
        <n v="211.0054"/>
        <n v="198.9647"/>
        <n v="142.1224"/>
        <n v="141.2503"/>
        <n v="195.6098"/>
        <n v="140.6689"/>
        <n v="139.734"/>
        <n v="191.5508"/>
        <n v="138.7755"/>
        <n v="137.7794"/>
        <n v="185.7798"/>
        <n v="133.9704"/>
        <n v="134.9603"/>
        <n v="175.9624"/>
        <n v="127.2071"/>
        <n v="128.1806"/>
        <n v="175.6135"/>
        <n v="116.8213"/>
        <n v="115.7579"/>
        <n v="158.1521"/>
        <n v="150.4112"/>
        <n v="111.2306"/>
        <n v="148.1356"/>
        <n v="112.4809"/>
        <n v="87.0149"/>
        <n v="137.19"/>
        <n v="126.8716"/>
        <n v="87.015"/>
        <n v="87.755"/>
        <n v="132.9634"/>
        <n v="85.7757"/>
        <n v="137.1907"/>
        <n v="33.6851"/>
        <n v="54.3484"/>
        <n v="59.3017"/>
        <n v="53.4671"/>
        <n v="47.1833"/>
      </sharedItems>
    </cacheField>
    <cacheField name="Tarifa valle" numFmtId="164">
      <sharedItems containsString="0" containsBlank="1" containsNumber="1">
        <n v="148.2814"/>
        <n v="165.9802"/>
        <n v="153.7589"/>
        <n v="233.1878"/>
        <n v="195.2987"/>
        <n v="253.0963"/>
        <n v="240.5281"/>
        <n v="229.3919"/>
        <n v="149.3017"/>
        <n v="172.155"/>
        <n v="160.5827"/>
        <n v="195.1016"/>
        <n v="145.8675"/>
        <n v="251.0043"/>
        <n v="165.535"/>
        <n v="156.9735"/>
        <n v="168.0814"/>
        <n v="207.4306"/>
        <n v="157.071"/>
        <n v="247.6481"/>
        <n v="189.4307"/>
        <n v="230.0967"/>
        <n v="156.2753"/>
        <n v="204.783"/>
        <n v="156.8264"/>
        <n v="246.2829"/>
        <n v="191.2829"/>
        <m/>
        <n v="229.758"/>
        <n v="167.2668"/>
        <n v="154.7731"/>
        <n v="210.8142"/>
        <n v="156.5178"/>
        <n v="243.1367"/>
        <n v="147.0841"/>
        <n v="191.5662"/>
        <n v="226.8118"/>
        <n v="165.4814"/>
        <n v="233.8316"/>
        <n v="183.3095"/>
        <n v="148.82"/>
        <n v="217.7287"/>
        <n v="144.9122"/>
        <n v="183.3928"/>
        <n v="148.2484"/>
        <n v="142.9"/>
        <n v="227.4219"/>
        <n v="145.89"/>
        <n v="217.7284"/>
        <n v="230.0681"/>
        <n v="142.6091"/>
        <n v="152.6535"/>
        <n v="183.0479"/>
        <n v="214.96"/>
        <n v="145.8875"/>
        <n v="204.81"/>
        <n v="226.2366"/>
        <n v="138.0092"/>
        <n v="141.21"/>
        <n v="219.45"/>
        <n v="141.2146"/>
        <n v="198.78"/>
        <n v="219.7071"/>
        <n v="180.8508"/>
        <n v="137.011"/>
        <n v="140.1738"/>
        <n v="217.6991"/>
        <n v="217.3784"/>
        <n v="137.1997"/>
        <n v="204.2284"/>
        <n v="134.1149"/>
        <n v="212.5016"/>
        <n v="190.9258"/>
        <n v="139.1776"/>
        <n v="206.4781"/>
        <n v="198.9647"/>
        <n v="137.5951"/>
        <n v="141.2503"/>
        <n v="195.6098"/>
        <n v="136.1415"/>
        <n v="139.734"/>
        <n v="191.5508"/>
        <n v="134.2603"/>
        <n v="137.7794"/>
        <n v="185.7798"/>
        <n v="133.9704"/>
        <n v="130.5635"/>
        <n v="175.9624"/>
        <n v="127.2071"/>
        <n v="123.9926"/>
        <n v="175.6135"/>
        <n v="112.8103"/>
        <n v="115.7579"/>
        <n v="158.1521"/>
        <n v="150.4112"/>
        <n v="111.2306"/>
        <n v="148.1356"/>
        <n v="118.4699"/>
        <n v="87.0149"/>
        <n v="137.19"/>
        <n v="126.8716"/>
        <n v="87.015"/>
        <n v="84.639"/>
        <n v="87.755"/>
        <n v="132.9634"/>
        <n v="85.7757"/>
        <n v="137.1907"/>
        <n v="33.6851"/>
        <n v="54.3484"/>
        <n v="59.3017"/>
        <n v="53.4671"/>
        <n v="47.1833"/>
      </sharedItems>
    </cacheField>
    <cacheField name="Tarifa resto" numFmtId="164">
      <sharedItems containsString="0" containsBlank="1" containsNumber="1">
        <n v="148.2814"/>
        <n v="166.7828"/>
        <n v="154.5615"/>
        <n v="233.1878"/>
        <n v="195.2987"/>
        <n v="253.899"/>
        <n v="240.5281"/>
        <n v="229.3919"/>
        <n v="150.1043"/>
        <n v="172.8771"/>
        <n v="161.3854"/>
        <n v="195.1016"/>
        <n v="145.8675"/>
        <n v="251.807"/>
        <n v="166.2572"/>
        <n v="158.2241"/>
        <n v="169.332"/>
        <n v="207.4306"/>
        <n v="157.071"/>
        <n v="248.8987"/>
        <n v="190.5558"/>
        <n v="230.0967"/>
        <n v="157.5295"/>
        <n v="204.783"/>
        <n v="156.8264"/>
        <n v="247.5372"/>
        <n v="192.4113"/>
        <m/>
        <n v="229.758"/>
        <n v="168.521"/>
        <n v="156.0309"/>
        <n v="210.8142"/>
        <n v="156.5178"/>
        <n v="244.3947"/>
        <n v="148.3408"/>
        <n v="192.6979"/>
        <n v="226.8118"/>
        <n v="166.7393"/>
        <n v="235.0884"/>
        <n v="184.4402"/>
        <n v="148.82"/>
        <n v="217.7287"/>
        <n v="146.1513"/>
        <n v="146.1531"/>
        <n v="184.5092"/>
        <n v="148.2484"/>
        <n v="142.9"/>
        <n v="227.4219"/>
        <n v="145.89"/>
        <n v="217.7284"/>
        <n v="231.309"/>
        <n v="143.8316"/>
        <n v="153.876"/>
        <n v="184.1477"/>
        <n v="146.15"/>
        <n v="214.96"/>
        <n v="145.8875"/>
        <n v="204.81"/>
        <n v="148.89"/>
        <n v="227.4591"/>
        <n v="139.205"/>
        <n v="141.21"/>
        <n v="219.45"/>
        <n v="198.78"/>
        <n v="220.9029"/>
        <n v="181.9266"/>
        <n v="138.2068"/>
        <n v="140.1738"/>
        <n v="217.6991"/>
        <n v="218.5741"/>
        <n v="137.1997"/>
        <n v="204.2284"/>
        <n v="135.2813"/>
        <n v="213.668"/>
        <n v="190.9258"/>
        <n v="140.8279"/>
        <n v="208.1284"/>
        <n v="198.9647"/>
        <n v="139.2454"/>
        <n v="141.2503"/>
        <n v="195.6098"/>
        <n v="137.7918"/>
        <n v="139.734"/>
        <n v="191.5508"/>
        <n v="135.9062"/>
        <n v="137.7794"/>
        <n v="185.7798"/>
        <n v="133.9704"/>
        <n v="132.1654"/>
        <n v="175.9624"/>
        <n v="127.2071"/>
        <n v="125.5118"/>
        <n v="175.6135"/>
        <n v="114.2721"/>
        <n v="115.7579"/>
        <n v="158.1521"/>
        <n v="150.4112"/>
        <n v="111.2306"/>
        <n v="148.1356"/>
        <n v="109.9317"/>
        <n v="87.0149"/>
        <n v="137.19"/>
        <n v="126.8716"/>
        <n v="87.015"/>
        <n v="85.775"/>
        <n v="87.755"/>
        <n v="132.9634"/>
        <n v="85.7757"/>
        <n v="137.1907"/>
        <n v="33.6851"/>
        <n v="54.3484"/>
        <n v="59.3017"/>
        <n v="53.4671"/>
        <n v="47.1833"/>
      </sharedItems>
    </cacheField>
    <cacheField name="Generacion FV [kWh]" numFmtId="0">
      <sharedItems containsString="0" containsBlank="1" containsNumber="1">
        <n v="270.0"/>
        <n v="13451.7"/>
        <m/>
        <n v="80.9"/>
        <n v="1342.3"/>
        <n v="6304.4"/>
        <n v="3122.4"/>
        <n v="1272.1"/>
        <n v="138.3"/>
        <n v="2746.1"/>
        <n v="3220.0"/>
        <n v="163.0"/>
        <n v="1543.5"/>
        <n v="1113.6"/>
        <n v="1063.3"/>
        <n v="3862.5"/>
        <n v="5109.8"/>
        <n v="2452.2"/>
        <n v="1179.2"/>
        <n v="5243.9"/>
        <n v="3063.6"/>
        <n v="10816.3"/>
        <n v="6284.5"/>
        <n v="4092.3"/>
        <n v="3980.5"/>
        <n v="12463.3"/>
        <n v="1232.2"/>
        <n v="337.8"/>
        <n v="1018.2"/>
        <n v="632.2"/>
        <n v="1905.7"/>
        <n v="1195.1"/>
        <n v="2814.1"/>
        <n v="5400.1"/>
        <n v="3529.5"/>
        <n v="1096.4"/>
        <n v="1105.9"/>
        <n v="1722.9"/>
        <n v="253.6"/>
        <n v="2222.4"/>
        <n v="649.2"/>
        <n v="3225.5"/>
        <n v="3084.0"/>
        <n v="144.5"/>
        <n v="1276.9"/>
        <n v="3476.0"/>
        <n v="4008.1"/>
        <n v="4394.8"/>
        <n v="3585.9"/>
        <n v="10226.1"/>
        <n v="1271.9"/>
        <n v="335.5"/>
        <n v="174.5"/>
        <n v="515.4"/>
        <n v="2660.3"/>
        <n v="1129.0"/>
        <n v="2446.0"/>
        <n v="5813.3"/>
        <n v="3708.5"/>
        <n v="1212.2"/>
        <n v="106.2"/>
        <n v="2127.4"/>
        <n v="290.0"/>
        <n v="2277.8"/>
        <n v="713.1"/>
        <n v="3293.2"/>
        <n v="2567.0"/>
        <n v="140.6"/>
        <n v="1366.3"/>
        <n v="2934.2"/>
        <n v="6657.9"/>
        <n v="3283.3"/>
        <n v="3836.5"/>
        <n v="3433.2"/>
        <n v="192.3"/>
        <n v="717.3"/>
        <n v="1492.0"/>
        <n v="1880.8"/>
        <n v="1010.3"/>
        <n v="1146.5"/>
        <n v="4974.6"/>
        <n v="3655.3"/>
        <n v="1068.9"/>
        <n v="808.1"/>
        <n v="235.5"/>
        <n v="2458.1"/>
        <n v="374.3"/>
        <n v="3351.9"/>
        <n v="3006.9"/>
        <n v="124.1"/>
        <n v="1304.8"/>
        <n v="3747.6"/>
        <n v="6486.6"/>
        <n v="2999.4"/>
        <n v="4463.7"/>
        <n v="2805.5"/>
        <n v="748.2"/>
        <n v="704.0"/>
        <n v="1708.6"/>
        <n v="392.7"/>
        <n v="1211.8"/>
        <n v="1173.3"/>
        <n v="4748.5"/>
        <n v="2882.3"/>
        <n v="520.9"/>
        <n v="1056.9"/>
        <n v="205.3"/>
        <n v="584.9"/>
        <n v="2957.8"/>
        <n v="2035.9"/>
        <n v="145.3"/>
        <n v="1118.8"/>
        <n v="3500.9"/>
        <n v="1476.9"/>
        <n v="1438.9"/>
        <n v="4656.4"/>
        <n v="2167.6"/>
        <n v="118.3"/>
        <n v="391.8"/>
        <n v="364.0"/>
        <n v="1305.4"/>
        <n v="1180.5"/>
        <n v="4566.4"/>
        <n v="2429.8"/>
        <n v="655.4"/>
        <n v="246.8"/>
        <n v="148.2"/>
        <n v="2113.1"/>
        <n v="511.5"/>
        <n v="2348.8"/>
        <n v="2218.6"/>
        <n v="129.1"/>
        <n v="341.6"/>
        <n v="2299.9"/>
        <n v="1304.5"/>
        <n v="5248.7"/>
        <n v="1969.5"/>
        <n v="612.2"/>
        <n v="837.7"/>
        <n v="1094.1"/>
        <n v="2638.9"/>
        <n v="2230.6"/>
        <n v="547.7"/>
        <n v="0.3"/>
        <n v="174.2"/>
        <n v="1946.6"/>
        <n v="495.0"/>
        <n v="2120.5"/>
        <n v="0.0"/>
        <n v="2816.1"/>
        <n v="145.6"/>
        <n v="825.6"/>
        <n v="3049.2"/>
        <n v="803.4"/>
        <n v="5601.5"/>
        <n v="2336.1"/>
        <n v="7863.8"/>
        <n v="481.0"/>
        <n v="894.9"/>
        <n v="2268.3"/>
        <n v="553.3"/>
        <n v="8.6"/>
        <n v="176.3"/>
        <n v="1726.4"/>
        <n v="365.8"/>
        <n v="2636.4"/>
        <n v="3072.2"/>
        <n v="135.6"/>
        <n v="1289.3"/>
        <n v="3302.2"/>
        <n v="2483.1"/>
        <n v="2366.0"/>
        <n v="339.0"/>
        <n v="624.1"/>
        <n v="712.4"/>
        <n v="227.7"/>
        <n v="735.3"/>
        <n v="514.5"/>
        <n v="2270.5"/>
        <n v="3143.2"/>
        <n v="113.6"/>
        <n v="1279.1"/>
        <n v="3368.5"/>
        <n v="2100.6"/>
        <n v="1638.5"/>
        <n v="1347.6"/>
        <n v="350.3"/>
        <n v="604.5"/>
        <n v="287.3"/>
        <n v="637.6"/>
        <n v="2924.4"/>
        <n v="1667.0"/>
        <n v="137.8"/>
        <n v="1348.9"/>
        <n v="1177.6"/>
        <n v="2174.7"/>
        <n v="587.7"/>
        <n v="359.1"/>
        <n v="783.1"/>
        <n v="3742.6"/>
        <n v="1308.8"/>
        <n v="146.4"/>
        <n v="1307.7"/>
        <n v="892.9"/>
        <n v="8267.6"/>
        <n v="359.8"/>
        <n v="305.4"/>
        <n v="819.5"/>
        <n v="3429.1"/>
        <n v="252.4"/>
        <n v="119.8"/>
        <n v="1215.4"/>
        <n v="309.5"/>
        <n v="6112.6"/>
        <n v="336.5"/>
        <n v="847.0"/>
        <n v="3375.7"/>
        <n v="2518.6"/>
        <n v="149.8"/>
        <n v="1343.2"/>
        <n v="3096.4"/>
        <n v="309.3"/>
        <n v="644.9"/>
        <n v="3236.9"/>
        <n v="914.125"/>
        <n v="2833.4"/>
        <n v="154.6"/>
        <n v="1389.3"/>
        <n v="2838.0"/>
        <n v="327.1"/>
        <n v="121.8"/>
        <n v="550.7"/>
        <n v="578.0"/>
        <n v="986.5"/>
        <n v="3114.8"/>
        <n v="150.8"/>
        <n v="1519.4"/>
        <n v="2790.7"/>
        <n v="263.7"/>
        <n v="734.7"/>
        <n v="544.0"/>
        <n v="1049.5"/>
        <n v="599.6"/>
        <n v="166.8"/>
        <n v="1556.3"/>
        <n v="2732.7"/>
        <n v="1017.3"/>
        <n v="585.5"/>
        <n v="202.4"/>
        <n v="164.8"/>
        <n v="1020.8"/>
        <n v="464.0"/>
        <n v="594.7"/>
        <n v="167.1"/>
        <n v="144.0"/>
        <n v="1001.6"/>
        <n v="550.0"/>
        <n v="509.7"/>
        <n v="188.0"/>
        <n v="163.4"/>
        <n v="847.2"/>
        <n v="545.0"/>
        <n v="429.7"/>
        <n v="167.7"/>
        <n v="134.7"/>
        <n v="472.0"/>
        <n v="466.6"/>
        <n v="240.4"/>
        <n v="657.6"/>
        <n v="361.8"/>
        <n v="600.5"/>
        <n v="237.7"/>
        <n v="873.7"/>
        <n v="237.6"/>
        <n v="203.6"/>
        <n v="247.5"/>
        <n v="279.2"/>
      </sharedItems>
    </cacheField>
    <cacheField name="CONSUMO TOTAL" numFmtId="4">
      <sharedItems containsString="0" containsBlank="1" containsNumber="1">
        <n v="1690.0"/>
        <n v="59769.7"/>
        <m/>
        <n v="657.9"/>
        <n v="3745.3"/>
        <n v="44277.4"/>
        <n v="6955.4"/>
        <n v="4101.1"/>
        <n v="680.3"/>
        <n v="10780.1"/>
        <n v="3196.0"/>
        <n v="17320.0"/>
        <n v="528.0"/>
        <n v="7766.5"/>
        <n v="5652.6"/>
        <n v="4013.3"/>
        <n v="17363.5"/>
        <n v="11454.8"/>
        <n v="8596.2"/>
        <n v="7783.2"/>
        <n v="17750.9"/>
        <n v="7455.6"/>
        <n v="38863.3"/>
        <n v="31945.5"/>
        <n v="20612.3"/>
        <n v="19660.5"/>
        <n v="47609.3"/>
        <n v="3431.2"/>
        <n v="2536.8"/>
        <n v="2760.2"/>
        <n v="1323.2"/>
        <n v="1935.7"/>
        <n v="7146.1"/>
        <n v="8367.1"/>
        <n v="10276.1"/>
        <n v="17030.5"/>
        <n v="4442.4"/>
        <n v="5159.9"/>
        <n v="8055.9"/>
        <n v="770.6"/>
        <n v="18695.4"/>
        <n v="2894.2"/>
        <n v="15015.5"/>
        <n v="3694.0"/>
        <n v="10825.0"/>
        <n v="787.5"/>
        <n v="3712.9"/>
        <n v="11365.0"/>
        <n v="12105.1"/>
        <n v="6554.8"/>
        <n v="9006.8"/>
        <n v="20105.9"/>
        <n v="37627.1"/>
        <n v="3589.9"/>
        <n v="1930.5"/>
        <n v="1907.5"/>
        <n v="1284.4"/>
        <n v="10790.3"/>
        <n v="7422.0"/>
        <n v="8587.0"/>
        <n v="10594.3"/>
        <n v="19829.5"/>
        <n v="4452.2"/>
        <n v="2832.2"/>
        <n v="9167.4"/>
        <n v="902.0"/>
        <n v="19472.8"/>
        <n v="2758.1"/>
        <n v="13793.2"/>
        <n v="3425.0"/>
        <n v="9852.0"/>
        <n v="738.6"/>
        <n v="4194.3"/>
        <n v="9030.2"/>
        <n v="22489.9"/>
        <n v="9387.3"/>
        <n v="5708.5"/>
        <n v="18553.2"/>
        <n v="1736.3"/>
        <n v="2261.3"/>
        <n v="2221.0"/>
        <n v="9020.8"/>
        <n v="7014.3"/>
        <n v="7209.5"/>
        <n v="11370.6"/>
        <n v="17472.3"/>
        <n v="3794.9"/>
        <n v="2726.0"/>
        <n v="2875.1"/>
        <n v="825.5"/>
        <n v="22252.1"/>
        <n v="2111.3"/>
        <n v="12951.9"/>
        <n v="3169.0"/>
        <n v="10608.9"/>
        <n v="670.1"/>
        <n v="1675.8"/>
        <n v="5514.6"/>
        <n v="25397.6"/>
        <n v="6467.4"/>
        <n v="12362.7"/>
        <n v="18135.5"/>
        <n v="15868.2"/>
        <n v="2142.2"/>
        <n v="2722.0"/>
        <n v="2623.6"/>
        <n v="482.7"/>
        <n v="7144.8"/>
        <n v="8697.3"/>
        <n v="12273.5"/>
        <n v="14358.3"/>
        <n v="3403.9"/>
        <n v="3644.9"/>
        <n v="781.3"/>
        <n v="1989.9"/>
        <n v="10247.8"/>
        <n v="7920.0"/>
        <n v="7605.9"/>
        <n v="717.3"/>
        <n v="1413.8"/>
        <n v="4556.9"/>
        <n v="3853.9"/>
        <n v="3994.9"/>
        <n v="9195.4"/>
        <n v="13090.6"/>
        <n v="2664.3"/>
        <n v="1538.8"/>
        <n v="454.0"/>
        <n v="6866.4"/>
        <n v="12103.5"/>
        <n v="7529.4"/>
        <n v="12783.8"/>
        <n v="4601.4"/>
        <n v="926.8"/>
        <n v="662.2"/>
        <n v="26889.1"/>
        <n v="2573.5"/>
        <n v="10268.8"/>
        <n v="3747.0"/>
        <n v="2743.6"/>
        <n v="721.1"/>
        <n v="721.6"/>
        <n v="3394.9"/>
        <n v="4133.5"/>
        <n v="11738.7"/>
        <n v="16949.5"/>
        <n v="732.2"/>
        <n v="7707.7"/>
        <n v="11225.1"/>
        <n v="4245.9"/>
        <n v="12868.6"/>
        <n v="3439.7"/>
        <n v="1805.3"/>
        <n v="885.2"/>
        <n v="27700.6"/>
        <n v="2362.0"/>
        <n v="9620.5"/>
        <n v="3344.0"/>
        <n v="3721.1"/>
        <n v="816.6"/>
        <n v="1139.6"/>
        <n v="3726.2"/>
        <n v="3460.4"/>
        <n v="28508.5"/>
        <n v="19206.1"/>
        <n v="20284.8"/>
        <n v="5251.0"/>
        <n v="8364.7"/>
        <n v="6630.9"/>
        <n v="14778.3"/>
        <n v="3105.3"/>
        <n v="1577.6"/>
        <n v="808.3"/>
        <n v="19721.4"/>
        <n v="2051.8"/>
        <n v="8186.4"/>
        <n v="3853.0"/>
        <n v="4360.2"/>
        <n v="579.6"/>
        <n v="1731.3"/>
        <n v="4420.2"/>
        <n v="11405.1"/>
        <n v="14329.8"/>
        <n v="18606.0"/>
        <n v="5247.0"/>
        <n v="5503.1"/>
        <n v="5631.4"/>
        <n v="838.7"/>
        <n v="19167.3"/>
        <n v="1992.5"/>
        <n v="13610.5"/>
        <n v="4279.0"/>
        <n v="4873.2"/>
        <n v="572.6"/>
        <n v="3103.1"/>
        <n v="4739.5"/>
        <n v="8753.6"/>
        <n v="12283.5"/>
        <n v="19687.6"/>
        <n v="7832.3"/>
        <n v="4762.5"/>
        <n v="1017.3"/>
        <n v="2609.6"/>
        <n v="14684.4"/>
        <n v="3830.0"/>
        <n v="5554.0"/>
        <n v="640.8"/>
        <n v="4320.9"/>
        <n v="2315.6"/>
        <n v="9345.7"/>
        <n v="3450.7"/>
        <n v="970.1"/>
        <n v="10820.1"/>
        <n v="3494.1"/>
        <n v="18202.6"/>
        <n v="3592.0"/>
        <n v="5570.8"/>
        <n v="687.4"/>
        <n v="4596.7"/>
        <n v="1509.9"/>
        <n v="64104.6"/>
        <n v="2164.8"/>
        <n v="698.4"/>
        <n v="4982.3"/>
        <n v="3322.5"/>
        <n v="17859.1"/>
        <n v="3625.0"/>
        <n v="1310.4"/>
        <n v="438.8"/>
        <n v="4300.4"/>
        <n v="572.5"/>
        <n v="73732.6"/>
        <n v="1031.5"/>
        <n v="5093.3"/>
        <n v="3019.0"/>
        <n v="16305.7"/>
        <n v="4086.0"/>
        <n v="5946.6"/>
        <n v="589.8"/>
        <n v="4655.2"/>
        <n v="6262.4"/>
        <n v="1008.3"/>
        <n v="4005.0"/>
        <n v="2448.9"/>
        <n v="16406.9"/>
        <n v="4912.125"/>
        <n v="10892.4"/>
        <n v="722.6"/>
        <n v="4802.3"/>
        <n v="9765.0"/>
        <n v="943.1"/>
        <n v="3286.8"/>
        <n v="2764.7"/>
        <n v="2425.0"/>
        <n v="4832.5"/>
        <n v="12511.8"/>
        <n v="722.8"/>
        <n v="4723.4"/>
        <n v="9046.7"/>
        <n v="807.7"/>
        <n v="2423.7"/>
        <n v="2226.0"/>
        <n v="15600.0"/>
        <n v="4640.5"/>
        <n v="4217.6"/>
        <n v="658.8"/>
        <n v="2201.3"/>
        <n v="4221.7"/>
        <n v="2963.3"/>
        <n v="9520.0"/>
        <n v="2606.5"/>
        <n v="848.4"/>
        <n v="778.8"/>
        <n v="4615.8"/>
        <n v="2212.0"/>
        <n v="6840.0"/>
        <n v="2909.7"/>
        <n v="757.1"/>
        <n v="608.0"/>
        <n v="5599.6"/>
        <n v="2055.0"/>
        <n v="2437.7"/>
        <n v="731.0"/>
        <n v="779.4"/>
        <n v="4386.2"/>
        <n v="2150.0"/>
        <n v="5280.0"/>
        <n v="3098.7"/>
        <n v="954.7"/>
        <n v="618.7"/>
        <n v="2265.0"/>
        <n v="8120.0"/>
        <n v="2228.6"/>
        <n v="932.4"/>
        <n v="3456.6"/>
        <n v="1257.8"/>
        <n v="3349.5"/>
        <n v="742.7"/>
        <n v="3703.7"/>
        <n v="685.6"/>
        <n v="1169.6"/>
        <n v="1123.5"/>
        <n v="902.2"/>
      </sharedItems>
    </cacheField>
    <cacheField name="Total a pagar S / IVA">
      <sharedItems containsBlank="1" containsMixedTypes="1" containsNumber="1">
        <n v="210559.588"/>
        <n v="7737797.976600001"/>
        <m/>
        <e v="#VALUE!"/>
        <n v="469302.7761"/>
        <n v="9651041.2915"/>
        <n v="568362.6061999999"/>
        <n v="419488.0806"/>
        <n v="130366.23019999999"/>
        <n v="1191292.7676"/>
        <n v="473907.35439999995"/>
        <n v="2185679.04"/>
        <n v="83728.0435"/>
        <n v="922755.1521999999"/>
        <n v="886460.7993"/>
        <n v="456665.427"/>
        <n v="2029583.4241"/>
        <n v="940845.483"/>
        <n v="951568.1448"/>
        <n v="1145672.2803000002"/>
        <n v="2088110.6716"/>
        <n v="733942.9391999999"/>
        <n v="7129419.9624"/>
        <n v="6522514.8807"/>
        <n v="2558694.278"/>
        <n v="2358807.906"/>
        <n v="5683058.1272"/>
        <n v="429028.41839999997"/>
        <n v="213112.41750000004"/>
        <n v="1809261.0532"/>
        <n v="103969.2291"/>
        <n v="1025984.841"/>
        <n v="993331.8337000001"/>
        <n v="835376.0907"/>
        <n v="711249.93"/>
        <n v="503072.3306"/>
        <n v="790941.8864"/>
        <n v="923778.8775000001"/>
        <n v="120558.0926"/>
        <n v="2477490.7931"/>
        <n v="327472.5375"/>
        <n v="1780767.585"/>
        <n v="538834.545"/>
        <n v="1129160.3175000001"/>
        <n v="149939.7554"/>
        <n v="355333.23000000004"/>
        <n v="1150748.7075"/>
        <n v="2041743.5900999997"/>
        <n v="348662.574"/>
        <n v="744375.7722000001"/>
        <n v="2615961.068"/>
        <n v="4642188.5923999995"/>
        <n v="480824.1308"/>
        <n v="250528.245"/>
        <n v="431455.7327"/>
        <n v="191495.6965"/>
        <n v="1282845.231"/>
        <n v="1202226.4449"/>
        <n v="971857.4391"/>
        <n v="750956.451"/>
        <n v="2550848.0431000004"/>
        <n v="512676.8014"/>
        <n v="1242509.294"/>
        <n v="1105779.84"/>
        <n v="140819.1804"/>
        <n v="2721757.4081"/>
        <n v="324005.78729999997"/>
        <n v="1664280.3420000002"/>
        <n v="537968.175"/>
        <n v="1144262.2349999999"/>
        <n v="137597.8266"/>
        <n v="444196.788"/>
        <n v="957504.816"/>
        <n v="3941270.7556"/>
        <n v="1033585.212"/>
        <n v="316954.42799999996"/>
        <n v="2383895.906"/>
        <n v="612096.387"/>
        <n v="242139.9616"/>
        <n v="180541.93930000003"/>
        <n v="1121873.385"/>
        <n v="1158268.7476"/>
        <n v="955255.6917"/>
        <n v="1003061.6544"/>
        <n v="2176829.207"/>
        <n v="429402.6338"/>
        <n v="0.0"/>
        <n v="324160.1688"/>
        <n v="135557.22"/>
        <n v="3119417.5037000002"/>
        <n v="272407.45680000004"/>
        <n v="1515305.151"/>
        <n v="496982.8616"/>
        <n v="1192194.2928"/>
        <n v="125447.868"/>
        <n v="58182.5944"/>
        <n v="277112.2488"/>
        <n v="4682049.9807"/>
        <n v="584753.0184"/>
        <n v="1331575.9708"/>
        <n v="2394080.3669999996"/>
        <n v="885419.64"/>
        <n v="218185.81319999998"/>
        <n v="493247.1314"/>
        <n v="223732.2936"/>
        <n v="13360.698"/>
        <n v="1146183.7254"/>
        <n v="1116081.8352"/>
        <n v="463449.2058"/>
        <n v="1702480.0329999998"/>
        <n v="449474.5115"/>
        <n v="405068.0664"/>
        <n v="130643.5968"/>
        <n v="219907.50900000002"/>
        <n v="1139515.437"/>
        <n v="1177010.829"/>
        <n v="871804.146"/>
        <n v="129736.3496"/>
        <n v="46172.751"/>
        <n v="165282.79679999998"/>
        <n v="581134.8238"/>
        <n v="426608.84640000004"/>
        <n v="875117.7752"/>
        <n v="1620686.8572"/>
        <n v="598593.6924"/>
        <n v="269798.92240000004"/>
        <n v="1028574.2863"/>
        <n v="238235.1788"/>
        <n v="1535780.4769000001"/>
        <n v="585052.5730000001"/>
        <n v="101197.59999999999"/>
        <n v="111912.5518"/>
        <n v="3676098.7916"/>
        <n v="306866.83999999997"/>
        <n v="557628.5399999999"/>
        <n v="78130.5"/>
        <n v="128895.3904"/>
        <n v="56551.6"/>
        <n v="162957.9"/>
        <n v="665256.7308"/>
        <n v="1197795.128"/>
        <n v="2190944.609"/>
        <n v="17548.245"/>
        <n v="1268948.3892"/>
        <n v="1481025.141"/>
        <n v="1554979.3292999999"/>
        <n v="413097.9034"/>
        <n v="257934.5"/>
        <n v="161696.97090000001"/>
        <n v="3764778.2939999998"/>
        <n v="276779.7628"/>
        <n v="1097931.081"/>
        <n v="495742.6496"/>
        <n v="132037.52519999997"/>
        <n v="146095.75639999998"/>
        <n v="46549.9976"/>
        <n v="100364.1668"/>
        <n v="614904.3341999999"/>
        <n v="4227411.946599999"/>
        <n v="2428354.7750000004"/>
        <n v="1912658.0391"/>
        <n v="686129.859"/>
        <n v="1387594.863"/>
        <n v="825017.7795000001"/>
        <n v="1799519.9880000001"/>
        <n v="368916.77410000004"/>
        <n v="228901.40999999997"/>
        <n v="135853.72"/>
        <n v="2589331.9535"/>
        <n v="245969.46749999997"/>
        <n v="799704.615"/>
        <n v="562104.5375"/>
        <n v="187906.31249999997"/>
        <n v="90935.64"/>
        <n v="65809.37999999999"/>
        <n v="163105.01249999998"/>
        <n v="2029672.7492999998"/>
        <n v="1190710.4179999998"/>
        <n v="2262561.756"/>
        <n v="683243.1783"/>
        <n v="679514.2716000001"/>
        <n v="694611.99"/>
        <n v="134083.8644"/>
        <n v="2566720.3772"/>
        <n v="208710.16019999998"/>
        <n v="1581514.932"/>
        <n v="596468.9878"/>
        <n v="244293.3322"/>
        <n v="91240.02"/>
        <n v="257567.04"/>
        <n v="193598.9836"/>
        <n v="1470175.596"/>
        <n v="1938039.0668000001"/>
        <n v="2536629.6339999996"/>
        <n v="1033945.7559"/>
        <n v="582842.6604"/>
        <n v="158920.343"/>
        <n v="276422.73360000004"/>
        <n v="1628316.102"/>
        <n v="530063.7456"/>
        <n v="544855.5606"/>
        <n v="109502.6473"/>
        <n v="416596.5336"/>
        <n v="159517.7844"/>
        <n v="1567648.1239"/>
        <n v="392802.74110000004"/>
        <n v="124783.55239999999"/>
        <n v="1416111.2744999998"/>
        <n v="371948.38670000003"/>
        <n v="1960238.7659999998"/>
        <n v="486479.34319999994"/>
        <n v="584745.1214000001"/>
        <n v="110487.5644"/>
        <n v="451249.81330000004"/>
        <n v="84652.2149"/>
        <n v="1.19327457442E7"/>
        <n v="75033.8394"/>
        <n v="652134.1983"/>
        <n v="357678.7"/>
        <n v="2040689.4420000003"/>
        <n v="512411.0629"/>
        <n v="151188.2"/>
        <n v="60905.330200000004"/>
        <n v="440846.5"/>
        <n v="37581.50000000001"/>
        <n v="1.4089591688099999E7"/>
        <n v="138280.4665"/>
        <n v="660717.1314"/>
        <n v="306795.65160000004"/>
        <n v="1808358.9269999997"/>
        <n v="571046.5659"/>
        <n v="484206.02840000007"/>
        <n v="87544.468"/>
        <n v="467820.99360000005"/>
        <n v="447198.44980000006"/>
        <n v="136731.2502"/>
        <n v="505568.88119999995"/>
        <n v="252080.13600000003"/>
        <n v="1822337.244"/>
        <n v="553191.763"/>
        <n v="1126116.306"/>
        <n v="111106.3664"/>
        <n v="476912.14200000005"/>
        <n v="967937.4180000001"/>
        <n v="117995.2928"/>
        <n v="430404.64170000004"/>
        <n v="305043.59160000004"/>
        <n v="254478.55180000002"/>
        <n v="524920.9826"/>
        <n v="1294713.0218000002"/>
        <n v="109567.0576"/>
        <n v="441445.1976"/>
        <n v="861947.9264000001"/>
        <n v="101064.21119999999"/>
        <n v="226276.00560000003"/>
        <n v="225338.2128"/>
        <n v="2059147.732"/>
        <n v="476658.4775"/>
        <n v="484704.9072000001"/>
        <n v="86573.5008"/>
        <n v="86410.90800000001"/>
        <n v="199481.92560000002"/>
        <n v="247545.0166"/>
        <n v="1195392.9440000001"/>
        <n v="257085.5491"/>
        <n v="113446.321"/>
        <n v="107826.689"/>
        <n v="453443.6666"/>
        <n v="222358.0108"/>
        <n v="782099.62"/>
        <n v="267979.5385"/>
        <n v="93309.739"/>
        <n v="69790.79680000001"/>
        <n v="528239.4268"/>
        <n v="174215.63950000002"/>
        <n v="214452.5968"/>
        <n v="80437.63080000001"/>
        <n v="91251.52960000001"/>
        <n v="398680.2043"/>
        <n v="178525.11299999998"/>
        <n v="583987.344"/>
        <n v="232242.7681"/>
        <n v="107968.53"/>
        <n v="61405.854400000004"/>
        <n v="156017.89500000002"/>
        <n v="696761.8"/>
        <n v="154624.31"/>
        <n v="92010.6728"/>
        <n v="240086.18430000002"/>
        <n v="122922.8672"/>
        <n v="235797.39930000002"/>
        <n v="67146.517"/>
        <n v="95328.83299999998"/>
        <n v="24348.0832"/>
        <n v="57285.4422"/>
        <n v="46837.1796"/>
        <n v="29395.1959"/>
      </sharedItems>
    </cacheField>
    <cacheField name="Valor USD" numFmtId="164">
      <sharedItems containsString="0" containsBlank="1" containsNumber="1">
        <n v="1470.0"/>
        <m/>
        <n v="1450.0"/>
        <n v="1425.0"/>
        <n v="1340.0"/>
        <n v="1280.0"/>
        <n v="1140.0"/>
        <n v="1200.0"/>
        <n v="1095.75"/>
        <n v="1086.0"/>
        <n v="1075.5"/>
        <n v="1055.0"/>
        <n v="1032.5"/>
        <n v="1035.0"/>
        <n v="1036.0"/>
        <n v="1013.0"/>
        <n v="1016.5"/>
        <n v="1015.5"/>
        <n v="992.5"/>
        <n v="993.0"/>
        <n v="974.0"/>
        <n v="976.5"/>
        <n v="973.5"/>
        <n v="954.0"/>
        <n v="954.5"/>
        <n v="953.5"/>
        <n v="934.0"/>
        <n v="918.0"/>
        <n v="899.0"/>
        <n v="881.5"/>
        <n v="863.0"/>
        <n v="848.0"/>
        <n v="831.0"/>
        <n v="378.0"/>
        <n v="365.5"/>
      </sharedItems>
    </cacheField>
    <cacheField name="Ahorro (USD)" numFmtId="165">
      <sharedItems containsString="0" containsBlank="1" containsNumber="1">
        <n v="27.235359183673467"/>
        <n v="1526.19876922449"/>
        <m/>
        <n v="12.833260557823131"/>
        <n v="178.33295578911563"/>
        <n v="1088.8985412244897"/>
        <n v="314.9617982040816"/>
        <n v="128.31889043537413"/>
        <n v="22.62927634693878"/>
        <n v="277.0037772380952"/>
        <n v="0.0"/>
        <n v="338.5632857142857"/>
        <n v="25.435972585034012"/>
        <n v="155.69547"/>
        <n v="147.94872946938773"/>
        <n v="111.79948499999999"/>
        <n v="394.4067066326531"/>
        <n v="515.4342161360545"/>
        <n v="257.83381653061224"/>
        <n v="138.67801110204084"/>
        <n v="594.9607652517008"/>
        <n v="347.588970122449"/>
        <n v="1868.1957508163264"/>
        <n v="1085.4614051020408"/>
        <n v="430.2802901020408"/>
        <n v="406.455895340136"/>
        <n v="1368.2956842312924"/>
        <n v="163.54026634013604"/>
        <n v="33.51975612244898"/>
        <n v="174.4148893877551"/>
        <n v="64.55506017687075"/>
        <n v="215.5349292789116"/>
        <n v="135.16597259863946"/>
        <n v="287.3527283197279"/>
        <n v="535.8497188775511"/>
        <n v="360.40348765306123"/>
        <n v="111.95534321088437"/>
        <n v="146.77745540136056"/>
        <n v="170.9626637755102"/>
        <n v="40.228861278911566"/>
        <n v="226.93319477551023"/>
        <n v="64.41985102040817"/>
        <n v="329.3615099659864"/>
        <n v="306.0240612244898"/>
        <n v="22.92220210884354"/>
        <n v="126.70626581632655"/>
        <n v="344.9220612244898"/>
        <n v="686.5766236054421"/>
        <n v="482.48745300680275"/>
        <n v="391.29365530344825"/>
        <n v="1194.2110104827586"/>
        <n v="181.9524000965517"/>
        <n v="36.342979655172414"/>
        <n v="29.953671137931032"/>
        <n v="88.47061377931034"/>
        <n v="290.29211946896555"/>
        <n v="148.37068841379312"/>
        <n v="266.9076886896551"/>
        <n v="629.7247202068966"/>
        <n v="404.6717757586207"/>
        <n v="132.2753476"/>
        <n v="15.192503255172415"/>
        <n v="230.45023820689656"/>
        <n v="46.01934000000001"/>
        <n v="248.55369308965518"/>
        <n v="77.81352117931034"/>
        <n v="359.35421111724133"/>
        <n v="278.0698324137931"/>
        <n v="22.31144553103448"/>
        <n v="148.0042119310345"/>
        <n v="317.84670910344823"/>
        <n v="1142.857003262069"/>
        <n v="383.4260383448276"/>
        <n v="448.029115862069"/>
        <n v="379.53002063157896"/>
        <n v="493.37613726315783"/>
        <n v="21.16330997894737"/>
        <n v="78.94145734736841"/>
        <n v="259.1757911578947"/>
        <n v="207.91683059649125"/>
        <n v="136.4162360631579"/>
        <n v="126.74215561403508"/>
        <n v="547.4727083789475"/>
        <n v="404.08251322807024"/>
        <n v="118.16370705263161"/>
        <n v="88.93432550175439"/>
        <n v="37.97053263157895"/>
        <n v="271.7356238245614"/>
        <n v="41.193067733333336"/>
        <n v="370.5425481052632"/>
        <n v="330.9202120421053"/>
        <n v="20.009100210526316"/>
        <n v="143.59795559298246"/>
        <n v="412.43692395789475"/>
        <n v="1126.7893344000001"/>
        <n v="354.7100964210526"/>
        <n v="527.8787282105262"/>
        <n v="326.67514175373134"/>
        <n v="110.68855048421054"/>
        <n v="87.39299847761194"/>
        <n v="128.3984095522388"/>
        <n v="311.62148091044776"/>
        <n v="43.47271056716418"/>
        <n v="174.26217553731342"/>
        <n v="129.88676167164178"/>
        <n v="554.6453532089553"/>
        <n v="319.0766327164179"/>
        <n v="60.65410135074627"/>
        <n v="123.45049464179104"/>
        <n v="34.74959891044776"/>
        <n v="68.3188516567164"/>
        <n v="344.4091015074627"/>
        <n v="237.80193210447763"/>
        <n v="24.593846671641792"/>
        <n v="130.68068256716415"/>
        <n v="408.9202731492537"/>
        <n v="269.36308390298507"/>
        <n v="179.04565579850745"/>
        <n v="669.6108220597015"/>
        <n v="251.2058735"/>
        <n v="21.727310718749997"/>
        <n v="71.95908993750001"/>
        <n v="42.184415"/>
        <n v="188.10018521875003"/>
        <n v="136.809620625"/>
        <n v="528.876167"/>
        <n v="281.59255925"/>
        <n v="75.95512525000001"/>
        <n v="28.69435625"/>
        <n v="25.208901046875"/>
        <n v="244.889800375"/>
        <n v="59.46986718749999"/>
        <n v="272.205368"/>
        <n v="257.946915625"/>
        <n v="21.9599806015625"/>
        <n v="39.7163375"/>
        <n v="267.3993109375"/>
        <n v="239.58813890625"/>
        <n v="756.305685734375"/>
        <n v="224.8788948046875"/>
        <n v="69.902287359375"/>
        <n v="120.75262253125"/>
        <n v="124.92510728906248"/>
        <n v="305.63492403125"/>
        <n v="254.69147639062498"/>
        <n v="62.5367711015625"/>
        <n v="0.0334921875"/>
        <n v="30.950699203124998"/>
        <n v="222.264156703125"/>
        <n v="57.3304359375"/>
        <n v="242.12316292968748"/>
        <n v="320.96939765624995"/>
        <n v="24.766605499999997"/>
        <n v="95.620218"/>
        <n v="353.155485375"/>
        <n v="145.18253953125"/>
        <n v="906.6037577192982"/>
        <n v="280.0041673"/>
        <n v="1008.375074"/>
        <n v="57.65249966666668"/>
        <n v="128.55044024166665"/>
        <n v="107.2624157"/>
        <n v="271.8776819"/>
        <n v="67.38732916666666"/>
        <n v="1.0455449999999997"/>
        <n v="31.58120666666667"/>
        <n v="206.92572853333337"/>
        <n v="44.472135"/>
        <n v="315.99802520000003"/>
        <n v="373.5027149999999"/>
        <n v="23.143530000000002"/>
        <n v="159.96989749999997"/>
        <n v="401.46496499999995"/>
        <n v="470.66974267499995"/>
        <n v="1270.263757245614"/>
        <n v="288.9114298245614"/>
        <n v="41.39517105263158"/>
        <n v="76.20863201754386"/>
        <n v="88.24386315789474"/>
        <n v="43.832249999999995"/>
        <n v="89.78722499999999"/>
        <n v="63.730302631578944"/>
        <n v="277.2499583333333"/>
        <n v="389.3432210526316"/>
        <n v="19.808252631578945"/>
        <n v="158.44009736842105"/>
        <n v="417.2507763157895"/>
        <n v="407.04265942105263"/>
        <n v="261.4795913157895"/>
        <n v="169.97260659822038"/>
        <n v="44.183291845767734"/>
        <n v="77.3306521560575"/>
        <n v="57.07958150125485"/>
        <n v="81.56496908966461"/>
        <n v="368.85417834360027"/>
        <n v="213.2509464750171"/>
        <n v="27.377536828656172"/>
        <n v="172.55800941820672"/>
        <n v="150.64445984941818"/>
        <n v="433.79702967830247"/>
        <n v="74.2470199723757"/>
        <n v="67.5307720441989"/>
        <n v="44.73251825966851"/>
        <n v="98.93285918047883"/>
        <n v="466.20975449355427"/>
        <n v="165.34711543278087"/>
        <n v="27.53134232044199"/>
        <n v="165.2081470441989"/>
        <n v="112.80443105893187"/>
        <n v="1626.6312677716392"/>
        <n v="47.806062296606235"/>
        <n v="54.215471241283126"/>
        <n v="45.86891061831706"/>
        <n v="108.88568107856811"/>
        <n v="449.01250756857274"/>
        <n v="33.53599256159926"/>
        <n v="21.267234625755464"/>
        <n v="161.4882938168294"/>
        <n v="41.122780102278014"/>
        <n v="1182.8969389493259"/>
        <n v="63.461252654028435"/>
        <n v="46.234752246445495"/>
        <n v="113.40189962085309"/>
        <n v="445.5456841516587"/>
        <n v="337.20664036018957"/>
        <n v="28.25110147867299"/>
        <n v="179.8364009099526"/>
        <n v="414.5662833364929"/>
        <n v="58.597686334140434"/>
        <n v="45.241084939467314"/>
        <n v="87.06710782608697"/>
        <n v="430.5195727992278"/>
        <n v="121.99412026634383"/>
        <n v="382.5336382608696"/>
        <n v="29.218623265700483"/>
        <n v="187.56758086956523"/>
        <n v="383.15467826086956"/>
        <n v="61.85218823297138"/>
        <n v="16.340942902270484"/>
        <n v="74.64349786522382"/>
        <n v="78.34382016724054"/>
        <n v="131.89519557304476"/>
        <n v="422.1891540777177"/>
        <n v="28.444963702609556"/>
        <n v="205.94394526315793"/>
        <n v="378.2596867486473"/>
        <n v="49.36033577833753"/>
        <n v="99.17184169269524"/>
        <n v="73.39365317220545"/>
        <n v="139.68538499496478"/>
        <n v="80.89491625377644"/>
        <n v="29.572320725440807"/>
        <n v="210.07368616624686"/>
        <n v="368.8674177128463"/>
        <n v="132.8622000308008"/>
        <n v="76.27215263696877"/>
        <n v="36.51173333333333"/>
        <n v="29.728921212121215"/>
        <n v="131.54255178644763"/>
        <n v="60.599686242299796"/>
        <n v="72.12281103195392"/>
        <n v="27.701484182389937"/>
        <n v="22.715482747771368"/>
        <n v="119.97372679245284"/>
        <n v="66.70177579884756"/>
        <n v="60.700467687366164"/>
        <n v="29.81744411134904"/>
        <n v="25.915799828693793"/>
        <n v="99.7153492933619"/>
        <n v="64.90436509635974"/>
        <n v="40.73017704793028"/>
        <n v="25.061833333333333"/>
        <n v="18.61612692810457"/>
        <n v="44.7397385620915"/>
        <n v="45.546699666295886"/>
        <n v="35.55550763070078"/>
        <n v="63.98876950652298"/>
        <n v="56.30810579693704"/>
        <n v="59.685177114716105"/>
        <n v="36.622711680185404"/>
        <n v="34.70598097877359"/>
        <n v="15.227806415094339"/>
        <n v="14.529273309265944"/>
        <n v="35.00822023809524"/>
        <n v="36.04261931600547"/>
      </sharedItems>
    </cacheField>
    <cacheField name="Ahorro ($)" numFmtId="164">
      <sharedItems containsString="0" containsBlank="1" containsNumber="1">
        <n v="40035.977999999996"/>
        <n v="2243512.19076"/>
        <m/>
        <n v="18864.893020000003"/>
        <n v="262149.44500999997"/>
        <n v="1600680.8556"/>
        <n v="462993.84336"/>
        <n v="188628.76893999998"/>
        <n v="33265.036230000005"/>
        <n v="407195.55253999995"/>
        <n v="0.0"/>
        <n v="497688.02999999997"/>
        <n v="37390.8797"/>
        <n v="228872.3409"/>
        <n v="217484.63231999998"/>
        <n v="164345.24294999999"/>
        <n v="579777.85875"/>
        <n v="757688.2977200001"/>
        <n v="379015.7103"/>
        <n v="203856.67632000003"/>
        <n v="874592.3249200002"/>
        <n v="510955.78608"/>
        <n v="2746247.7537"/>
        <n v="1595628.2655"/>
        <n v="632512.02645"/>
        <n v="597490.16615"/>
        <n v="2011394.6558199998"/>
        <n v="240404.19152"/>
        <n v="49274.04150000001"/>
        <n v="256389.88739999998"/>
        <n v="94895.93846"/>
        <n v="316836.34604000003"/>
        <n v="198693.97972"/>
        <n v="422408.51063"/>
        <n v="787699.0867500001"/>
        <n v="529793.12685"/>
        <n v="164574.35452000002"/>
        <n v="215762.85944000003"/>
        <n v="251315.11575"/>
        <n v="59136.426080000005"/>
        <n v="333591.79632"/>
        <n v="94697.18100000001"/>
        <n v="484161.41965"/>
        <n v="449855.37"/>
        <n v="33695.6371"/>
        <n v="186258.21075000003"/>
        <n v="507035.43000000005"/>
        <n v="1009267.6366999999"/>
        <n v="709256.5559200001"/>
        <n v="567375.80019"/>
        <n v="1731605.9652"/>
        <n v="263830.98014"/>
        <n v="52697.3205"/>
        <n v="43432.82315"/>
        <n v="128282.38997999999"/>
        <n v="420923.57323000004"/>
        <n v="215137.49820000003"/>
        <n v="387016.1485999999"/>
        <n v="913100.8443"/>
        <n v="586774.07485"/>
        <n v="191799.25402"/>
        <n v="22029.12972"/>
        <n v="334152.8454"/>
        <n v="66728.043"/>
        <n v="360402.85498"/>
        <n v="112829.60571"/>
        <n v="521063.60611999995"/>
        <n v="403201.257"/>
        <n v="32351.596019999994"/>
        <n v="214606.1073"/>
        <n v="460877.72819999995"/>
        <n v="1657142.6547299998"/>
        <n v="555967.7556"/>
        <n v="649642.218"/>
        <n v="540830.2794"/>
        <n v="703060.9955999999"/>
        <n v="30157.716720000004"/>
        <n v="112491.57671999998"/>
        <n v="369325.50239999994"/>
        <n v="296281.48360000004"/>
        <n v="194393.13639"/>
        <n v="180607.57175"/>
        <n v="780148.6094400001"/>
        <n v="575817.5813500001"/>
        <n v="168383.28255000003"/>
        <n v="126731.41384000001"/>
        <n v="54108.009"/>
        <n v="387223.26395"/>
        <n v="58700.12152000001"/>
        <n v="528023.1310500001"/>
        <n v="471561.30216"/>
        <n v="28512.967800000002"/>
        <n v="204627.08672"/>
        <n v="587722.61664"/>
        <n v="1605674.8015200002"/>
        <n v="505461.88739999995"/>
        <n v="752227.1876999999"/>
        <n v="437744.68994999997"/>
        <n v="157731.18444"/>
        <n v="117106.61796"/>
        <n v="172053.8688"/>
        <n v="417572.78442"/>
        <n v="58253.43216"/>
        <n v="233511.31522"/>
        <n v="174048.26064"/>
        <n v="743224.7733000001"/>
        <n v="427562.68784"/>
        <n v="81276.49581"/>
        <n v="165423.66282"/>
        <n v="46564.46253999999"/>
        <n v="91547.26121999999"/>
        <n v="461508.19602000003"/>
        <n v="318654.58902"/>
        <n v="32955.75454"/>
        <n v="175112.11463999996"/>
        <n v="547953.16602"/>
        <n v="360946.53242999996"/>
        <n v="239921.17877"/>
        <n v="897278.50156"/>
        <n v="321543.51808"/>
        <n v="27810.95772"/>
        <n v="92107.63512000002"/>
        <n v="53996.0512"/>
        <n v="240768.23708000005"/>
        <n v="175116.3144"/>
        <n v="676961.49376"/>
        <n v="360438.47584"/>
        <n v="97222.56032000002"/>
        <n v="36728.776"/>
        <n v="32267.39334"/>
        <n v="313458.94448"/>
        <n v="76121.43"/>
        <n v="348422.87104"/>
        <n v="330172.05199999997"/>
        <n v="28108.77517"/>
        <n v="50836.912000000004"/>
        <n v="342271.118"/>
        <n v="306672.8178"/>
        <n v="968071.2777399999"/>
        <n v="287844.98535"/>
        <n v="89474.92782"/>
        <n v="154563.35684"/>
        <n v="159904.13732999997"/>
        <n v="391212.70276"/>
        <n v="326005.08978"/>
        <n v="80047.06701"/>
        <n v="42.87"/>
        <n v="39616.89498"/>
        <n v="284498.12058"/>
        <n v="73382.958"/>
        <n v="309917.64855"/>
        <n v="410840.8289999999"/>
        <n v="31701.255039999996"/>
        <n v="122393.87904"/>
        <n v="452039.02128"/>
        <n v="185833.6506"/>
        <n v="1033528.2838"/>
        <n v="336005.00076"/>
        <n v="1210050.0888"/>
        <n v="69182.99960000001"/>
        <n v="154260.52829"/>
        <n v="128714.89884000001"/>
        <n v="326253.21828000003"/>
        <n v="80864.795"/>
        <n v="1254.6539999999998"/>
        <n v="37897.448000000004"/>
        <n v="248310.87424000003"/>
        <n v="53366.562000000005"/>
        <n v="379197.63024"/>
        <n v="448203.2579999999"/>
        <n v="27772.236"/>
        <n v="191963.87699999998"/>
        <n v="481757.9579999999"/>
        <n v="564803.69121"/>
        <n v="1448100.6832599998"/>
        <n v="329359.03"/>
        <n v="47190.495"/>
        <n v="86877.8405"/>
        <n v="100598.004"/>
        <n v="49968.76499999999"/>
        <n v="102357.4365"/>
        <n v="72652.545"/>
        <n v="316064.9525"/>
        <n v="443851.272"/>
        <n v="22581.407999999996"/>
        <n v="180621.711"/>
        <n v="475665.885"/>
        <n v="464028.63174"/>
        <n v="298086.7341"/>
        <n v="186247.48367999998"/>
        <n v="48413.842039999996"/>
        <n v="84735.0621"/>
        <n v="62544.95143"/>
        <n v="89374.81488"/>
        <n v="404171.96592"/>
        <n v="233669.7246"/>
        <n v="29998.935980000002"/>
        <n v="189080.43882"/>
        <n v="165068.66687999998"/>
        <n v="475333.09526999993"/>
        <n v="80632.26369"/>
        <n v="73338.41844000001"/>
        <n v="48579.51483"/>
        <n v="107441.08507"/>
        <n v="506303.79337999993"/>
        <n v="179566.96736"/>
        <n v="29899.03776"/>
        <n v="179416.04769"/>
        <n v="122505.61213000001"/>
        <n v="1766521.5568000001"/>
        <n v="51415.420000000006"/>
        <n v="58308.73932"/>
        <n v="49332.01337"/>
        <n v="117106.55"/>
        <n v="482912.95188999997"/>
        <n v="36067.96"/>
        <n v="22872.91084"/>
        <n v="173680.66000000003"/>
        <n v="44227.55"/>
        <n v="1272205.65784"/>
        <n v="66951.62155"/>
        <n v="48777.66362"/>
        <n v="119639.0041"/>
        <n v="470050.69677999994"/>
        <n v="355753.00558"/>
        <n v="29804.912060000002"/>
        <n v="189727.40296"/>
        <n v="437367.42892000003"/>
        <n v="60502.11114"/>
        <n v="46711.4202"/>
        <n v="90114.4566"/>
        <n v="446018.27742"/>
        <n v="125958.929175"/>
        <n v="395922.31560000003"/>
        <n v="30241.27508"/>
        <n v="194132.4462"/>
        <n v="396565.092"/>
        <n v="62656.26668000001"/>
        <n v="16553.37516"/>
        <n v="75875.11558000001"/>
        <n v="79636.49320000001"/>
        <n v="134071.4663"/>
        <n v="429155.27512000006"/>
        <n v="28885.860640000003"/>
        <n v="209342.02036000002"/>
        <n v="384500.97158"/>
        <n v="48990.133259999995"/>
        <n v="98428.05288000002"/>
        <n v="72879.89760000001"/>
        <n v="138707.5873"/>
        <n v="80328.65184"/>
        <n v="29350.52832"/>
        <n v="208498.13352"/>
        <n v="366100.91208"/>
        <n v="129407.78282999998"/>
        <n v="74479.75705"/>
        <n v="35544.172399999996"/>
        <n v="28941.1048"/>
        <n v="128122.44544"/>
        <n v="59024.0944"/>
        <n v="68841.22313000001"/>
        <n v="26427.21591"/>
        <n v="21659.2128"/>
        <n v="114454.93536"/>
        <n v="63666.845"/>
        <n v="56694.23682"/>
        <n v="27849.492800000004"/>
        <n v="24205.357040000003"/>
        <n v="93134.13624"/>
        <n v="60620.676999999996"/>
        <n v="37390.30253"/>
        <n v="23006.763"/>
        <n v="17089.604519999997"/>
        <n v="41071.08"/>
        <n v="40946.483"/>
        <n v="31964.401360000003"/>
        <n v="56406.100320000005"/>
        <n v="49635.59526"/>
        <n v="51508.30785"/>
        <n v="31605.400180000004"/>
        <n v="29430.671870000002"/>
        <n v="12913.179839999999"/>
        <n v="12073.82612"/>
        <n v="13233.107250000001"/>
        <n v="13173.57736"/>
      </sharedItems>
    </cacheField>
    <cacheField name="Valor dolar Actual ($)" numFmtId="164">
      <sharedItems containsString="0" containsBlank="1" containsNumber="1" containsInteger="1">
        <n v="1465.0"/>
        <m/>
      </sharedItems>
    </cacheField>
    <cacheField name="Ahorro ($)-A precio actual" numFmtId="164">
      <sharedItems containsString="0" containsBlank="1" containsNumber="1">
        <n v="50672.747529183674"/>
        <n v="2839569.120080625"/>
        <m/>
        <n v="23876.92293085783"/>
        <n v="331797.3808934391"/>
        <n v="2025950.1808752243"/>
        <n v="586002.1736486041"/>
        <n v="238743.71159953534"/>
        <n v="40113.78671640103"/>
        <n v="515379.37774033804"/>
        <n v="0.0"/>
        <n v="629913.9212357142"/>
        <n v="45089.07680286054"/>
        <n v="289679.2067085"/>
        <n v="275266.0086142694"/>
        <n v="208008.53181674998"/>
        <n v="733813.3980253827"/>
        <n v="958991.1308319361"/>
        <n v="479712.70734603057"/>
        <n v="258017.3735559021"/>
        <n v="1106954.2517890518"/>
        <n v="646706.6583613225"/>
        <n v="3475871.6041813157"/>
        <n v="2019555.217262602"/>
        <n v="800557.9937493519"/>
        <n v="756231.51607509"/>
        <n v="2545782.5352965314"/>
        <n v="304274.84253914014"/>
        <n v="62365.18225362245"/>
        <n v="324507.62245038775"/>
        <n v="120107.91721207688"/>
        <n v="401013.51266987895"/>
        <n v="251483.05031839863"/>
        <n v="534634.1186752697"/>
        <n v="996975.1944576278"/>
        <n v="670548.7089529032"/>
        <n v="208298.51381101093"/>
        <n v="273086.79464700137"/>
        <n v="318084.58408752555"/>
        <n v="74847.80785247892"/>
        <n v="422220.5555395756"/>
        <n v="119856.35381602043"/>
        <n v="612793.557367216"/>
        <n v="569373.0671112245"/>
        <n v="42647.90313360885"/>
        <n v="235743.34286456637"/>
        <n v="641744.7410112246"/>
        <n v="1277410.1370491053"/>
        <n v="897692.0306918068"/>
        <n v="728021.4103748306"/>
        <n v="2221889.295553697"/>
        <n v="338531.53799963935"/>
        <n v="67617.93079743104"/>
        <n v="55730.302835677576"/>
        <n v="164604.00046709584"/>
        <n v="540103.0028779838"/>
        <n v="276051.0843282828"/>
        <n v="496595.1001915378"/>
        <n v="1171634.3281809413"/>
        <n v="752912.0723877017"/>
        <n v="246104.89797718"/>
        <n v="28266.41193141104"/>
        <n v="428764.1906958414"/>
        <n v="81576.183051"/>
        <n v="462446.573677958"/>
        <n v="144775.94683016586"/>
        <n v="668596.4774941833"/>
        <n v="517362.8266974828"/>
        <n v="39550.38392058827"/>
        <n v="275369.2365082862"/>
        <n v="591369.6946224206"/>
        <n v="2126342.5974192424"/>
        <n v="713383.315642469"/>
        <n v="833580.5715171725"/>
        <n v="706134.5798860842"/>
        <n v="917950.9721849684"/>
        <n v="39375.39638133053"/>
        <n v="146874.5284676463"/>
        <n v="482209.518238821"/>
        <n v="386839.6591663018"/>
        <n v="253809.2280073084"/>
        <n v="235810.11762769296"/>
        <n v="1018600.3475744508"/>
        <n v="751815.7199864861"/>
        <n v="219849.48515677374"/>
        <n v="165466.75931228913"/>
        <n v="67308.46466936842"/>
        <n v="505577.71490678773"/>
        <n v="76641.76217125334"/>
        <n v="689412.9378772475"/>
        <n v="615693.6005149389"/>
        <n v="35469.13148818947"/>
        <n v="267171.1762785235"/>
        <n v="767359.5188698611"/>
        <n v="2096447.8961179203"/>
        <n v="659955.8698961894"/>
        <n v="982144.7677720945"/>
        <n v="607795.4349899049"/>
        <n v="205941.58260339792"/>
        <n v="162599.0433175209"/>
        <n v="238891.66089241792"/>
        <n v="579787.3463079336"/>
        <n v="80883.1516457373"/>
        <n v="324223.4906959485"/>
        <n v="241660.8144281731"/>
        <n v="1031945.4119129217"/>
        <n v="593658.0290005314"/>
        <n v="112849.98826813098"/>
        <n v="229685.81780578435"/>
        <n v="61598.876508605215"/>
        <n v="127110.6394499037"/>
        <n v="640790.3538097098"/>
        <n v="442442.38477698585"/>
        <n v="43596.28230248582"/>
        <n v="243137.94395033727"/>
        <n v="760816.614207844"/>
        <n v="501163.4857556989"/>
        <n v="333123.3948959131"/>
        <n v="1245844.4149831776"/>
        <n v="467381.087940425"/>
        <n v="40424.74795777031"/>
        <n v="133883.48478321565"/>
        <n v="78486.21332825"/>
        <n v="349969.7996087453"/>
        <n v="254541.1396538438"/>
        <n v="984000.55251185"/>
        <n v="523917.03611258755"/>
        <n v="141318.3082838875"/>
        <n v="53387.284520937494"/>
        <n v="44686.55844074296"/>
        <n v="455629.71808770625"/>
        <n v="110646.66139570312"/>
        <n v="506451.6974324001"/>
        <n v="479923.1338660937"/>
        <n v="38927.35961335977"/>
        <n v="73894.231735625"/>
        <n v="497509.7879647656"/>
        <n v="445765.7118420235"/>
        <n v="1407144.5435930912"/>
        <n v="418398.4277288613"/>
        <n v="130056.70074648515"/>
        <n v="224666.29185051718"/>
        <n v="232429.40836666521"/>
        <n v="568649.0579063422"/>
        <n v="473866.22639857733"/>
        <n v="116352.78947301212"/>
        <n v="62.313889453125"/>
        <n v="54864.756942419524"/>
        <n v="413533.57675399916"/>
        <n v="106666.14258351561"/>
        <n v="450482.25078883"/>
        <n v="597179.6128093359"/>
        <n v="43902.523239575"/>
        <n v="177906.1965999"/>
        <n v="657063.4383144563"/>
        <n v="270119.3739248672"/>
        <n v="1686781.6214246403"/>
        <n v="520961.753470015"/>
        <n v="1876132.2439307002"/>
        <n v="107265.3582548167"/>
        <n v="239174.5215916329"/>
        <n v="199567.08753063504"/>
        <n v="505842.0210590451"/>
        <n v="125377.49528104164"/>
        <n v="1945.2887497499996"/>
        <n v="55982.425997666665"/>
        <n v="384995.66422269336"/>
        <n v="82742.63077425"/>
        <n v="587930.12578586"/>
        <n v="694920.4763932498"/>
        <n v="41025.3784545"/>
        <n v="297631.99279362493"/>
        <n v="746945.6406307499"/>
        <n v="875704.5897339712"/>
        <n v="2363389.233543327"/>
        <n v="537534.1607600878"/>
        <n v="77017.78550197369"/>
        <n v="141789.97030024123"/>
        <n v="164182.11959842104"/>
        <n v="77699.23796249999"/>
        <n v="167053.62147375"/>
        <n v="118573.4145611842"/>
        <n v="515837.4099770833"/>
        <n v="690169.2607989473"/>
        <n v="35113.099027368415"/>
        <n v="280858.83860013157"/>
        <n v="739639.5886361842"/>
        <n v="757323.2199858394"/>
        <n v="486495.8536225921"/>
        <n v="316242.53320631897"/>
        <n v="82205.22364364316"/>
        <n v="143877.5448689528"/>
        <n v="101182.12014819939"/>
        <n v="151755.7032397755"/>
        <n v="686271.6415171855"/>
        <n v="396764.04846409307"/>
        <n v="48530.79065931737"/>
        <n v="321052.8044230445"/>
        <n v="280281.549772835"/>
        <n v="807101.0635679656"/>
        <n v="138140.2930096036"/>
        <n v="119708.42306414916"/>
        <n v="83227.08684802624"/>
        <n v="184069.53114823988"/>
        <n v="867406.5587229824"/>
        <n v="307636.5756184604"/>
        <n v="48803.43396433149"/>
        <n v="307378.01798308425"/>
        <n v="209878.2842066957"/>
        <n v="3026428.805252523"/>
        <n v="88945.56920595073"/>
        <n v="96105.05509586053"/>
        <n v="85341.4016509098"/>
        <n v="202587.25393072987"/>
        <n v="835410.220956708"/>
        <n v="62395.390960483506"/>
        <n v="37699.363459345426"/>
        <n v="300457.04506090196"/>
        <n v="76510.98851929336"/>
        <n v="2200838.8997621685"/>
        <n v="112494.5895171635"/>
        <n v="86022.06829212417"/>
        <n v="210989.9043395782"/>
        <n v="828960.0226483685"/>
        <n v="627389.8147221507"/>
        <n v="50079.315036169675"/>
        <n v="334594.61571301235"/>
        <n v="771321.2984617118"/>
        <n v="103873.18868021404"/>
        <n v="84173.30058412591"/>
        <n v="161992.70746582613"/>
        <n v="801003.1911716033"/>
        <n v="226976.160461546"/>
        <n v="711722.960666261"/>
        <n v="51794.39253194396"/>
        <n v="348978.8625868696"/>
        <n v="712878.4366382608"/>
        <n v="109642.28147117671"/>
        <n v="30403.14131681935"/>
        <n v="138877.95995314218"/>
        <n v="145762.5946121594"/>
        <n v="245397.6061234284"/>
        <n v="785504.0306192978"/>
        <n v="50422.964907430825"/>
        <n v="383169.0073593685"/>
        <n v="703771.0601801957"/>
        <n v="87498.59921747002"/>
        <n v="184514.17006134414"/>
        <n v="136552.56140954685"/>
        <n v="259891.64305238173"/>
        <n v="150509.03643596376"/>
        <n v="52421.37433395264"/>
        <n v="390852.5967966106"/>
        <n v="686296.2740256363"/>
        <n v="247196.76626730643"/>
        <n v="141908.15358871224"/>
        <n v="64722.524093333326"/>
        <n v="52698.972186666666"/>
        <n v="244741.49472627512"/>
        <n v="112748.74623811088"/>
        <n v="134188.09606550186"/>
        <n v="49105.035935913525"/>
        <n v="40266.600492836915"/>
        <n v="223217.11738369812"/>
        <n v="124101.98896254585"/>
        <n v="112936.25515572912"/>
        <n v="52855.89230398288"/>
        <n v="45939.642566334056"/>
        <n v="185525.3931277645"/>
        <n v="120757.81648003211"/>
        <n v="75780.53090652669"/>
        <n v="44425.858858333326"/>
        <n v="32999.87739910457"/>
        <n v="83240.52058169935"/>
        <n v="84741.91206412682"/>
        <n v="63027.470601561734"/>
        <n v="119054.30510536133"/>
        <n v="99814.56374094044"/>
        <n v="111047.25628078505"/>
        <n v="64919.24985988065"/>
        <n v="64572.2129100572"/>
        <n v="26993.57104171698"/>
        <n v="25755.316331670278"/>
        <n v="62057.32160505952"/>
        <n v="63890.949130517096"/>
      </sharedItems>
    </cacheField>
    <cacheField name="kg CO2e evitados" numFmtId="2">
      <sharedItems containsString="0" containsBlank="1" containsNumber="1">
        <n v="54.0"/>
        <n v="2690.34"/>
        <m/>
        <n v="16.180000000000003"/>
        <n v="268.46"/>
        <n v="1260.88"/>
        <n v="624.48"/>
        <n v="254.42"/>
        <n v="27.660000000000004"/>
        <n v="549.22"/>
        <n v="0.0"/>
        <n v="644.0"/>
        <n v="32.6"/>
        <n v="308.70000000000005"/>
        <n v="222.72"/>
        <n v="212.66"/>
        <n v="772.5"/>
        <n v="1021.96"/>
        <n v="490.44"/>
        <n v="235.84000000000003"/>
        <n v="1048.78"/>
        <n v="612.72"/>
        <n v="2163.2599999999998"/>
        <n v="1256.9"/>
        <n v="818.46"/>
        <n v="796.1"/>
        <n v="2492.66"/>
        <n v="246.44000000000003"/>
        <n v="67.56"/>
        <n v="203.64000000000001"/>
        <n v="126.44000000000001"/>
        <n v="381.14000000000004"/>
        <n v="239.01999999999998"/>
        <n v="562.82"/>
        <n v="1080.0200000000002"/>
        <n v="705.9000000000001"/>
        <n v="219.28000000000003"/>
        <n v="221.18000000000004"/>
        <n v="344.58000000000004"/>
        <n v="50.72"/>
        <n v="444.48"/>
        <n v="129.84"/>
        <n v="645.1"/>
        <n v="616.8000000000001"/>
        <n v="28.900000000000002"/>
        <n v="255.38000000000002"/>
        <n v="695.2"/>
        <n v="801.62"/>
        <n v="878.96"/>
        <n v="717.1800000000001"/>
        <n v="2045.2200000000003"/>
        <n v="254.38000000000002"/>
        <n v="67.10000000000001"/>
        <n v="34.9"/>
        <n v="103.08"/>
        <n v="532.0600000000001"/>
        <n v="225.8"/>
        <n v="489.20000000000005"/>
        <n v="1162.66"/>
        <n v="741.7"/>
        <n v="242.44000000000003"/>
        <n v="21.240000000000002"/>
        <n v="425.48"/>
        <n v="58.0"/>
        <n v="455.56000000000006"/>
        <n v="142.62"/>
        <n v="658.64"/>
        <n v="513.4"/>
        <n v="28.12"/>
        <n v="273.26"/>
        <n v="586.84"/>
        <n v="1331.58"/>
        <n v="656.6600000000001"/>
        <n v="767.3000000000001"/>
        <n v="686.64"/>
        <n v="38.46000000000001"/>
        <n v="143.46"/>
        <n v="298.40000000000003"/>
        <n v="376.16"/>
        <n v="202.06"/>
        <n v="229.3"/>
        <n v="994.9200000000001"/>
        <n v="731.0600000000001"/>
        <n v="213.78000000000003"/>
        <n v="161.62"/>
        <n v="47.1"/>
        <n v="491.62"/>
        <n v="74.86"/>
        <n v="670.3800000000001"/>
        <n v="601.38"/>
        <n v="24.82"/>
        <n v="260.96"/>
        <n v="749.52"/>
        <n v="1297.3200000000002"/>
        <n v="599.88"/>
        <n v="892.74"/>
        <n v="561.1"/>
        <n v="149.64000000000001"/>
        <n v="140.8"/>
        <n v="341.72"/>
        <n v="78.54"/>
        <n v="242.36"/>
        <n v="234.66"/>
        <n v="949.7"/>
        <n v="576.46"/>
        <n v="104.18"/>
        <n v="211.38000000000002"/>
        <n v="41.06"/>
        <n v="116.98"/>
        <n v="591.5600000000001"/>
        <n v="407.18000000000006"/>
        <n v="29.060000000000002"/>
        <n v="223.76"/>
        <n v="700.1800000000001"/>
        <n v="295.38000000000005"/>
        <n v="287.78000000000003"/>
        <n v="931.28"/>
        <n v="433.52"/>
        <n v="23.66"/>
        <n v="78.36000000000001"/>
        <n v="72.8"/>
        <n v="261.08000000000004"/>
        <n v="236.10000000000002"/>
        <n v="913.28"/>
        <n v="485.96000000000004"/>
        <n v="131.08"/>
        <n v="49.36000000000001"/>
        <n v="29.64"/>
        <n v="422.62"/>
        <n v="102.30000000000001"/>
        <n v="469.76000000000005"/>
        <n v="443.72"/>
        <n v="25.82"/>
        <n v="68.32000000000001"/>
        <n v="459.98"/>
        <n v="260.90000000000003"/>
        <n v="1049.74"/>
        <n v="393.90000000000003"/>
        <n v="122.44000000000001"/>
        <n v="167.54000000000002"/>
        <n v="218.82"/>
        <n v="527.7800000000001"/>
        <n v="446.12"/>
        <n v="109.54000000000002"/>
        <n v="0.06"/>
        <n v="34.839999999999996"/>
        <n v="389.32"/>
        <n v="99.0"/>
        <n v="424.1"/>
        <n v="563.22"/>
        <n v="29.12"/>
        <n v="165.12"/>
        <n v="609.84"/>
        <n v="160.68"/>
        <n v="1120.3"/>
        <n v="467.22"/>
        <n v="1572.7600000000002"/>
        <n v="96.2"/>
        <n v="178.98000000000002"/>
        <n v="453.6600000000001"/>
        <n v="110.66"/>
        <n v="1.72"/>
        <n v="35.260000000000005"/>
        <n v="345.28000000000003"/>
        <n v="73.16000000000001"/>
        <n v="527.2800000000001"/>
        <n v="614.44"/>
        <n v="27.12"/>
        <n v="257.86"/>
        <n v="660.44"/>
        <n v="496.62"/>
        <n v="473.20000000000005"/>
        <n v="67.8"/>
        <n v="124.82000000000001"/>
        <n v="142.48"/>
        <n v="45.54"/>
        <n v="147.06"/>
        <n v="102.9"/>
        <n v="454.1"/>
        <n v="628.64"/>
        <n v="22.72"/>
        <n v="255.82"/>
        <n v="673.7"/>
        <n v="420.12"/>
        <n v="327.70000000000005"/>
        <n v="269.52"/>
        <n v="70.06"/>
        <n v="120.9"/>
        <n v="57.46000000000001"/>
        <n v="127.52000000000001"/>
        <n v="584.88"/>
        <n v="333.40000000000003"/>
        <n v="27.560000000000002"/>
        <n v="269.78000000000003"/>
        <n v="235.51999999999998"/>
        <n v="434.94"/>
        <n v="117.54000000000002"/>
        <n v="71.82000000000001"/>
        <n v="156.62"/>
        <n v="748.52"/>
        <n v="261.76"/>
        <n v="29.28"/>
        <n v="261.54"/>
        <n v="178.58"/>
        <n v="1653.5200000000002"/>
        <n v="71.96000000000001"/>
        <n v="61.08"/>
        <n v="163.9"/>
        <n v="685.82"/>
        <n v="50.480000000000004"/>
        <n v="23.96"/>
        <n v="243.08000000000004"/>
        <n v="61.900000000000006"/>
        <n v="1222.5200000000002"/>
        <n v="67.3"/>
        <n v="169.4"/>
        <n v="675.14"/>
        <n v="503.72"/>
        <n v="29.960000000000004"/>
        <n v="268.64000000000004"/>
        <n v="619.2800000000001"/>
        <n v="61.86000000000001"/>
        <n v="128.98"/>
        <n v="647.3800000000001"/>
        <n v="182.82500000000002"/>
        <n v="566.6800000000001"/>
        <n v="30.92"/>
        <n v="277.86"/>
        <n v="567.6"/>
        <n v="65.42"/>
        <n v="24.36"/>
        <n v="110.14000000000001"/>
        <n v="115.60000000000001"/>
        <n v="197.3"/>
        <n v="622.96"/>
        <n v="30.160000000000004"/>
        <n v="303.88000000000005"/>
        <n v="558.14"/>
        <n v="52.74"/>
        <n v="146.94000000000003"/>
        <n v="108.80000000000001"/>
        <n v="209.9"/>
        <n v="119.92000000000002"/>
        <n v="33.36000000000001"/>
        <n v="311.26"/>
        <n v="546.54"/>
        <n v="203.46"/>
        <n v="117.10000000000001"/>
        <n v="40.480000000000004"/>
        <n v="32.96"/>
        <n v="204.16"/>
        <n v="92.80000000000001"/>
        <n v="118.94000000000001"/>
        <n v="33.42"/>
        <n v="28.8"/>
        <n v="200.32000000000002"/>
        <n v="110.0"/>
        <n v="101.94"/>
        <n v="37.6"/>
        <n v="32.68"/>
        <n v="169.44000000000003"/>
        <n v="109.0"/>
        <n v="85.94"/>
        <n v="33.54"/>
        <n v="26.939999999999998"/>
        <n v="94.4"/>
        <n v="93.32000000000001"/>
        <n v="48.080000000000005"/>
        <n v="131.52"/>
        <n v="72.36"/>
        <n v="120.10000000000001"/>
        <n v="47.54"/>
        <n v="174.74"/>
        <n v="47.52"/>
        <n v="40.72"/>
        <n v="49.5"/>
        <n v="55.84"/>
      </sharedItems>
    </cacheField>
    <cacheField name="Equivalente en árboles" numFmtId="2">
      <sharedItems containsString="0" containsBlank="1" containsNumber="1">
        <n v="2.4545454545454546"/>
        <n v="122.28818181818183"/>
        <m/>
        <n v="0.7354545454545456"/>
        <n v="12.202727272727271"/>
        <n v="57.31272727272728"/>
        <n v="28.385454545454547"/>
        <n v="11.564545454545454"/>
        <n v="1.2572727272727275"/>
        <n v="24.964545454545455"/>
        <n v="0.0"/>
        <n v="29.272727272727273"/>
        <n v="1.481818181818182"/>
        <n v="14.031818181818183"/>
        <n v="10.123636363636363"/>
        <n v="9.666363636363636"/>
        <n v="35.11363636363637"/>
        <n v="46.45272727272727"/>
        <n v="22.292727272727273"/>
        <n v="10.72"/>
        <n v="47.67181818181818"/>
        <n v="27.85090909090909"/>
        <n v="98.32999999999998"/>
        <n v="57.13181818181818"/>
        <n v="37.20272727272727"/>
        <n v="36.18636363636364"/>
        <n v="113.30272727272727"/>
        <n v="11.201818181818183"/>
        <n v="3.070909090909091"/>
        <n v="9.256363636363638"/>
        <n v="5.747272727272728"/>
        <n v="17.324545454545458"/>
        <n v="10.864545454545453"/>
        <n v="25.582727272727276"/>
        <n v="49.09181818181819"/>
        <n v="32.08636363636364"/>
        <n v="9.967272727272729"/>
        <n v="10.053636363636365"/>
        <n v="15.662727272727274"/>
        <n v="2.305454545454545"/>
        <n v="20.203636363636363"/>
        <n v="5.901818181818182"/>
        <n v="29.322727272727274"/>
        <n v="28.03636363636364"/>
        <n v="1.3136363636363637"/>
        <n v="11.60818181818182"/>
        <n v="31.6"/>
        <n v="36.43727272727273"/>
        <n v="39.95272727272727"/>
        <n v="32.59909090909091"/>
        <n v="92.96454545454547"/>
        <n v="11.562727272727274"/>
        <n v="3.0500000000000003"/>
        <n v="1.5863636363636362"/>
        <n v="4.6854545454545455"/>
        <n v="24.184545454545457"/>
        <n v="10.263636363636364"/>
        <n v="22.236363636363638"/>
        <n v="52.84818181818182"/>
        <n v="33.71363636363637"/>
        <n v="11.020000000000001"/>
        <n v="0.9654545454545456"/>
        <n v="19.34"/>
        <n v="2.6363636363636362"/>
        <n v="20.70727272727273"/>
        <n v="6.482727272727273"/>
        <n v="29.938181818181818"/>
        <n v="23.336363636363636"/>
        <n v="1.2781818181818183"/>
        <n v="12.42090909090909"/>
        <n v="26.674545454545456"/>
        <n v="60.526363636363634"/>
        <n v="29.84818181818182"/>
        <n v="34.87727272727273"/>
        <n v="31.21090909090909"/>
        <n v="1.7481818181818185"/>
        <n v="6.520909090909091"/>
        <n v="13.563636363636364"/>
        <n v="17.098181818181818"/>
        <n v="9.184545454545455"/>
        <n v="10.422727272727274"/>
        <n v="45.223636363636366"/>
        <n v="33.230000000000004"/>
        <n v="9.717272727272729"/>
        <n v="7.346363636363637"/>
        <n v="2.140909090909091"/>
        <n v="22.346363636363638"/>
        <n v="3.402727272727273"/>
        <n v="30.471818181818186"/>
        <n v="27.335454545454546"/>
        <n v="1.1281818181818182"/>
        <n v="11.861818181818181"/>
        <n v="34.06909090909091"/>
        <n v="58.969090909090916"/>
        <n v="27.267272727272726"/>
        <n v="40.57909090909091"/>
        <n v="25.504545454545454"/>
        <n v="6.801818181818183"/>
        <n v="6.4"/>
        <n v="15.532727272727273"/>
        <n v="3.5700000000000003"/>
        <n v="11.016363636363637"/>
        <n v="10.666363636363636"/>
        <n v="43.16818181818182"/>
        <n v="26.202727272727273"/>
        <n v="4.735454545454545"/>
        <n v="9.60818181818182"/>
        <n v="1.8663636363636364"/>
        <n v="5.317272727272727"/>
        <n v="26.88909090909091"/>
        <n v="18.50818181818182"/>
        <n v="1.320909090909091"/>
        <n v="10.17090909090909"/>
        <n v="31.826363636363638"/>
        <n v="13.42636363636364"/>
        <n v="13.080909090909092"/>
        <n v="42.33090909090909"/>
        <n v="19.705454545454543"/>
        <n v="1.0754545454545454"/>
        <n v="3.5618181818181824"/>
        <n v="3.309090909090909"/>
        <n v="11.867272727272729"/>
        <n v="10.731818181818182"/>
        <n v="41.51272727272727"/>
        <n v="22.08909090909091"/>
        <n v="5.958181818181819"/>
        <n v="2.243636363636364"/>
        <n v="1.3472727272727274"/>
        <n v="19.21"/>
        <n v="4.65"/>
        <n v="21.352727272727275"/>
        <n v="20.16909090909091"/>
        <n v="1.1736363636363636"/>
        <n v="3.105454545454546"/>
        <n v="20.90818181818182"/>
        <n v="11.859090909090911"/>
        <n v="47.71545454545455"/>
        <n v="17.904545454545456"/>
        <n v="5.565454545454546"/>
        <n v="7.615454545454546"/>
        <n v="9.946363636363635"/>
        <n v="23.990000000000006"/>
        <n v="20.278181818181817"/>
        <n v="4.97909090909091"/>
        <n v="0.002727272727272727"/>
        <n v="1.5836363636363635"/>
        <n v="17.696363636363635"/>
        <n v="4.5"/>
        <n v="19.277272727272727"/>
        <n v="25.60090909090909"/>
        <n v="1.3236363636363637"/>
        <n v="7.505454545454546"/>
        <n v="27.720000000000002"/>
        <n v="7.303636363636364"/>
        <n v="50.92272727272727"/>
        <n v="21.237272727272728"/>
        <n v="71.48909090909092"/>
        <n v="4.372727272727273"/>
        <n v="8.135454545454547"/>
        <n v="20.620909090909095"/>
        <n v="5.03"/>
        <n v="0.07818181818181819"/>
        <n v="1.602727272727273"/>
        <n v="15.694545454545455"/>
        <n v="3.325454545454546"/>
        <n v="23.967272727272732"/>
        <n v="27.929090909090913"/>
        <n v="1.2327272727272727"/>
        <n v="11.72090909090909"/>
        <n v="30.020000000000003"/>
        <n v="22.573636363636364"/>
        <n v="21.50909090909091"/>
        <n v="3.0818181818181816"/>
        <n v="5.673636363636364"/>
        <n v="6.476363636363636"/>
        <n v="2.07"/>
        <n v="6.684545454545455"/>
        <n v="4.677272727272728"/>
        <n v="20.64090909090909"/>
        <n v="28.574545454545454"/>
        <n v="1.0327272727272727"/>
        <n v="11.628181818181817"/>
        <n v="30.622727272727275"/>
        <n v="19.096363636363638"/>
        <n v="14.895454545454548"/>
        <n v="12.25090909090909"/>
        <n v="3.1845454545454546"/>
        <n v="5.495454545454546"/>
        <n v="2.6118181818181823"/>
        <n v="5.796363636363637"/>
        <n v="26.585454545454546"/>
        <n v="15.154545454545456"/>
        <n v="1.252727272727273"/>
        <n v="12.262727272727274"/>
        <n v="10.705454545454545"/>
        <n v="19.77"/>
        <n v="5.342727272727274"/>
        <n v="3.264545454545455"/>
        <n v="7.119090909090909"/>
        <n v="34.02363636363636"/>
        <n v="11.898181818181818"/>
        <n v="1.330909090909091"/>
        <n v="11.888181818181819"/>
        <n v="8.117272727272727"/>
        <n v="75.16000000000001"/>
        <n v="3.2709090909090914"/>
        <n v="2.7763636363636364"/>
        <n v="7.45"/>
        <n v="31.173636363636366"/>
        <n v="2.294545454545455"/>
        <n v="1.089090909090909"/>
        <n v="11.04909090909091"/>
        <n v="2.813636363636364"/>
        <n v="55.56909090909092"/>
        <n v="3.059090909090909"/>
        <n v="7.7"/>
        <n v="30.688181818181818"/>
        <n v="22.89636363636364"/>
        <n v="1.361818181818182"/>
        <n v="12.210909090909093"/>
        <n v="28.149090909090912"/>
        <n v="2.811818181818182"/>
        <n v="5.862727272727272"/>
        <n v="29.426363636363643"/>
        <n v="8.310227272727273"/>
        <n v="25.75818181818182"/>
        <n v="1.4054545454545455"/>
        <n v="12.63"/>
        <n v="25.8"/>
        <n v="2.9736363636363636"/>
        <n v="1.1072727272727272"/>
        <n v="5.006363636363637"/>
        <n v="5.254545454545455"/>
        <n v="8.968181818181819"/>
        <n v="28.316363636363636"/>
        <n v="1.370909090909091"/>
        <n v="13.812727272727274"/>
        <n v="25.37"/>
        <n v="2.3972727272727274"/>
        <n v="6.6790909090909105"/>
        <n v="4.945454545454546"/>
        <n v="9.540909090909091"/>
        <n v="5.450909090909092"/>
        <n v="1.5163636363636366"/>
        <n v="14.148181818181818"/>
        <n v="24.84272727272727"/>
        <n v="9.248181818181818"/>
        <n v="5.322727272727273"/>
        <n v="1.84"/>
        <n v="1.4981818181818183"/>
        <n v="9.28"/>
        <n v="4.218181818181819"/>
        <n v="5.406363636363637"/>
        <n v="1.5190909090909093"/>
        <n v="1.309090909090909"/>
        <n v="9.105454545454547"/>
        <n v="5.0"/>
        <n v="4.633636363636364"/>
        <n v="1.7090909090909092"/>
        <n v="1.4854545454545454"/>
        <n v="7.701818181818183"/>
        <n v="4.954545454545454"/>
        <n v="3.9063636363636363"/>
        <n v="1.5245454545454544"/>
        <n v="1.2245454545454544"/>
        <n v="4.290909090909091"/>
        <n v="4.241818181818182"/>
        <n v="2.1854545454545455"/>
        <n v="5.9781818181818185"/>
        <n v="3.289090909090909"/>
        <n v="5.45909090909091"/>
        <n v="2.1609090909090907"/>
        <n v="7.942727272727273"/>
        <n v="2.16"/>
        <n v="1.8509090909090908"/>
        <n v="2.25"/>
        <n v="2.5381818181818185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 1" cacheId="0" dataCaption="" compact="0" compactData="0">
  <location ref="A1:G141" firstHeaderRow="0" firstDataRow="3" firstDataCol="0"/>
  <pivotFields>
    <pivotField name="   Fecha " axis="axisRow" compact="0" numFmtId="166" outline="0" multipleItemSelectionAllowed="1" showAll="0" sortType="ascending">
      <items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4"/>
        <item x="95"/>
        <item x="92"/>
        <item x="93"/>
        <item x="90"/>
        <item x="91"/>
        <item x="89"/>
        <item x="88"/>
        <item x="86"/>
        <item x="87"/>
        <item x="84"/>
        <item x="85"/>
        <item x="82"/>
        <item x="83"/>
        <item x="79"/>
        <item x="80"/>
        <item x="81"/>
        <item x="77"/>
        <item x="78"/>
        <item x="74"/>
        <item x="75"/>
        <item x="76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28"/>
        <item x="29"/>
        <item x="30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0"/>
        <item x="1"/>
        <item x="2"/>
        <item t="default"/>
      </items>
    </pivotField>
    <pivotField name="NI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Cliente" axis="axisRow" compact="0" outline="0" multipleItemSelectionAllowed="1" showAll="0" sortType="ascending">
      <items>
        <item sd="0" x="38"/>
        <item sd="0" x="13"/>
        <item sd="0" x="5"/>
        <item x="20"/>
        <item x="21"/>
        <item x="35"/>
        <item x="1"/>
        <item sd="0" x="37"/>
        <item sd="0" x="24"/>
        <item x="4"/>
        <item x="25"/>
        <item x="15"/>
        <item x="0"/>
        <item x="26"/>
        <item x="16"/>
        <item x="32"/>
        <item sd="0" x="11"/>
        <item sd="0" x="34"/>
        <item sd="0" x="33"/>
        <item sd="0" x="12"/>
        <item sd="0" x="8"/>
        <item x="17"/>
        <item x="31"/>
        <item sd="0" x="10"/>
        <item x="14"/>
        <item sd="0" x="36"/>
        <item x="2"/>
        <item x="29"/>
        <item x="3"/>
        <item sd="0" x="9"/>
        <item sd="0" x="6"/>
        <item sd="0" x="7"/>
        <item x="18"/>
        <item x="30"/>
        <item x="22"/>
        <item x="28"/>
        <item x="19"/>
        <item x="23"/>
        <item x="27"/>
        <item t="default"/>
      </items>
    </pivotField>
    <pivotField name="IVA" compact="0" numFmtId="4" outline="0" multipleItemSelectionAllowed="1" showAll="0">
      <items>
        <item x="0"/>
        <item x="1"/>
        <item x="2"/>
        <item t="default"/>
      </items>
    </pivotField>
    <pivotField name="Consumo [kWh]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t="default"/>
      </items>
    </pivotField>
    <pivotField name="Consumo hs punta [kWh]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Consumo hs valle [kWh]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t="default"/>
      </items>
    </pivotField>
    <pivotField name="Consumo hs resto[kWh]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t="default"/>
      </items>
    </pivotField>
    <pivotField name="Catergoria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arifa punt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Tarifa vall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</pivotField>
    <pivotField name="Tarifa rest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name="Generacion FV [kWh]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t="default"/>
      </items>
    </pivotField>
    <pivotField name="CONSUMO TOTAL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t="default"/>
      </items>
    </pivotField>
    <pivotField name="Total a pagar S / IV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t="default"/>
      </items>
    </pivotField>
    <pivotField name="Valor US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Ahorro (USD)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t="default"/>
      </items>
    </pivotField>
    <pivotField name="Ahorro ($)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t="default"/>
      </items>
    </pivotField>
    <pivotField name="Valor dolar Actual ($)" compact="0" numFmtId="164" outline="0" multipleItemSelectionAllowed="1" showAll="0">
      <items>
        <item x="0"/>
        <item x="1"/>
        <item t="default"/>
      </items>
    </pivotField>
    <pivotField name="Ahorro ($)-A precio actu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t="default"/>
      </items>
    </pivotField>
    <pivotField name="kg CO2e evitados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t="default"/>
      </items>
    </pivotField>
    <pivotField name="Equivalente en árboles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t="default"/>
      </items>
    </pivotField>
  </pivotFields>
  <rowFields>
    <field x="2"/>
    <field x="0"/>
  </rowFields>
  <colFields>
    <field x="-2"/>
  </colFields>
  <dataFields>
    <dataField name="SUM of CONSUMO TOTAL" fld="13" baseField="0"/>
    <dataField name="SUM of Generacion FV [kWh]" fld="12" baseField="0"/>
    <dataField name="SUM of Ahorro (USD)" fld="16" baseField="0"/>
    <dataField name="SUM of kg CO2e evitados" fld="20" baseField="0"/>
    <dataField name="SUM of Equivalente en árboles" fld="21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5"/>
    <col customWidth="1" min="3" max="3" width="18.25"/>
    <col customWidth="1" min="4" max="4" width="6.88"/>
    <col customWidth="1" min="5" max="5" width="16.25"/>
    <col customWidth="1" min="6" max="6" width="18.0"/>
    <col customWidth="1" min="7" max="7" width="22.25"/>
    <col customWidth="1" min="8" max="8" width="23.63"/>
    <col customWidth="1" min="9" max="9" width="17.0"/>
    <col customWidth="1" min="10" max="10" width="12.88"/>
    <col customWidth="1" min="11" max="11" width="12.13"/>
    <col customWidth="1" min="12" max="12" width="12.5"/>
    <col customWidth="1" min="13" max="13" width="17.25"/>
    <col customWidth="1" min="14" max="14" width="18.13"/>
    <col customWidth="1" min="15" max="15" width="19.38"/>
    <col customWidth="1" min="16" max="16" width="11.5"/>
    <col customWidth="1" min="17" max="17" width="14.13"/>
    <col customWidth="1" min="18" max="18" width="12.13"/>
    <col customWidth="1" min="19" max="19" width="20.13"/>
    <col customWidth="1" min="20" max="20" width="24.0"/>
    <col customWidth="1" min="21" max="21" width="17.5"/>
    <col customWidth="1" min="22" max="22" width="21.63"/>
    <col customWidth="1" min="23" max="23" width="29.75"/>
    <col customWidth="1" min="24" max="25" width="19.13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2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1" t="s">
        <v>13</v>
      </c>
      <c r="O1" s="1" t="s">
        <v>14</v>
      </c>
      <c r="P1" s="7" t="s">
        <v>15</v>
      </c>
      <c r="Q1" s="8" t="s">
        <v>16</v>
      </c>
      <c r="R1" s="1" t="s">
        <v>17</v>
      </c>
      <c r="S1" s="2" t="s">
        <v>18</v>
      </c>
      <c r="T1" s="2" t="s">
        <v>19</v>
      </c>
      <c r="U1" s="9" t="s">
        <v>20</v>
      </c>
      <c r="V1" s="9" t="s">
        <v>21</v>
      </c>
      <c r="W1" s="10" t="s">
        <v>22</v>
      </c>
      <c r="X1" s="11" t="s">
        <v>23</v>
      </c>
      <c r="Y1" s="11"/>
    </row>
    <row r="2" ht="15.0" customHeight="1">
      <c r="A2" s="12">
        <v>45992.0</v>
      </c>
      <c r="B2" s="13">
        <v>5296128.0</v>
      </c>
      <c r="C2" s="14" t="s">
        <v>24</v>
      </c>
      <c r="D2" s="15">
        <v>0.27</v>
      </c>
      <c r="E2" s="16">
        <v>1420.0</v>
      </c>
      <c r="F2" s="17">
        <v>170.0</v>
      </c>
      <c r="G2" s="17">
        <v>301.0</v>
      </c>
      <c r="H2" s="17">
        <v>949.0</v>
      </c>
      <c r="I2" s="17" t="s">
        <v>25</v>
      </c>
      <c r="J2" s="18">
        <v>148.2814</v>
      </c>
      <c r="K2" s="18">
        <v>148.2814</v>
      </c>
      <c r="L2" s="18">
        <v>148.2814</v>
      </c>
      <c r="M2" s="14">
        <v>270.0</v>
      </c>
      <c r="N2" s="15">
        <f t="shared" ref="N2:N3" si="1">E2+M2</f>
        <v>1690</v>
      </c>
      <c r="O2" s="19">
        <f t="shared" ref="O2:O3" si="2">J2*F2+G2*K2+H2*L2</f>
        <v>210559.588</v>
      </c>
      <c r="P2" s="20">
        <v>1470.0</v>
      </c>
      <c r="Q2" s="21">
        <f t="shared" ref="Q2:Q3" si="3">(M2*L2)/P2</f>
        <v>27.23535918</v>
      </c>
      <c r="R2" s="20">
        <f t="shared" ref="R2:R3" si="4">Q2*P2</f>
        <v>40035.978</v>
      </c>
      <c r="S2" s="20">
        <f>IFERROR(__xludf.DUMMYFUNCTION("INDEX(IMPORTHTML(""https://www.bna.com.ar/Personas"", ""table"", 1), 2, 3)"),1465.0)</f>
        <v>1465</v>
      </c>
      <c r="T2" s="22">
        <f t="shared" ref="T2:T3" si="5">Q2*S2*(1+D2)</f>
        <v>50672.74753</v>
      </c>
      <c r="U2" s="23">
        <f t="shared" ref="U2:U3" si="6">M2*0.2</f>
        <v>54</v>
      </c>
      <c r="V2" s="24">
        <f t="shared" ref="V2:V3" si="7">U2/22</f>
        <v>2.454545455</v>
      </c>
      <c r="W2" s="25">
        <f t="shared" ref="W2:W3" si="8">(M2*L2)/(M2*L2+H2*L2+K2*G2+J2*F2)</f>
        <v>0.1597633136</v>
      </c>
      <c r="X2" s="19">
        <f t="shared" ref="X2:X3" si="9">F2*J2+G2*K2+H2*L2+M2*L2</f>
        <v>250595.566</v>
      </c>
      <c r="Y2" s="19"/>
    </row>
    <row r="3" ht="15.0" customHeight="1">
      <c r="A3" s="12">
        <v>45993.0</v>
      </c>
      <c r="B3" s="13">
        <v>5238545.0</v>
      </c>
      <c r="C3" s="14" t="s">
        <v>26</v>
      </c>
      <c r="D3" s="15">
        <v>0.27</v>
      </c>
      <c r="E3" s="16">
        <f t="shared" ref="E3:E4" si="10">SUM(F3:H3)</f>
        <v>46318</v>
      </c>
      <c r="F3" s="16">
        <v>11250.0</v>
      </c>
      <c r="G3" s="17">
        <v>11963.0</v>
      </c>
      <c r="H3" s="17">
        <v>23105.0</v>
      </c>
      <c r="I3" s="17" t="s">
        <v>27</v>
      </c>
      <c r="J3" s="18">
        <v>168.7698</v>
      </c>
      <c r="K3" s="18">
        <v>165.9802</v>
      </c>
      <c r="L3" s="18">
        <v>166.7828</v>
      </c>
      <c r="M3" s="14">
        <v>13451.7</v>
      </c>
      <c r="N3" s="15">
        <f t="shared" si="1"/>
        <v>59769.7</v>
      </c>
      <c r="O3" s="19">
        <f t="shared" si="2"/>
        <v>7737797.977</v>
      </c>
      <c r="P3" s="20">
        <v>1470.0</v>
      </c>
      <c r="Q3" s="21">
        <f t="shared" si="3"/>
        <v>1526.198769</v>
      </c>
      <c r="R3" s="20">
        <f t="shared" si="4"/>
        <v>2243512.191</v>
      </c>
      <c r="S3" s="20">
        <f>IFERROR(__xludf.DUMMYFUNCTION("INDEX(IMPORTHTML(""https://www.bna.com.ar/Personas"", ""table"", 1), 2, 3)"),1465.0)</f>
        <v>1465</v>
      </c>
      <c r="T3" s="22">
        <f t="shared" si="5"/>
        <v>2839569.12</v>
      </c>
      <c r="U3" s="23">
        <f t="shared" si="6"/>
        <v>2690.34</v>
      </c>
      <c r="V3" s="24">
        <f t="shared" si="7"/>
        <v>122.2881818</v>
      </c>
      <c r="W3" s="25">
        <f t="shared" si="8"/>
        <v>0.2247713129</v>
      </c>
      <c r="X3" s="19">
        <f t="shared" si="9"/>
        <v>9981310.167</v>
      </c>
      <c r="Y3" s="19"/>
    </row>
    <row r="4" ht="15.0" customHeight="1">
      <c r="A4" s="12">
        <v>45994.0</v>
      </c>
      <c r="B4" s="13">
        <v>5076526.0</v>
      </c>
      <c r="C4" s="14" t="s">
        <v>28</v>
      </c>
      <c r="D4" s="15">
        <v>0.27</v>
      </c>
      <c r="E4" s="16">
        <f t="shared" si="10"/>
        <v>4410</v>
      </c>
      <c r="F4" s="16">
        <v>30.0</v>
      </c>
      <c r="G4" s="17">
        <v>570.0</v>
      </c>
      <c r="H4" s="17">
        <v>3810.0</v>
      </c>
      <c r="I4" s="17" t="s">
        <v>29</v>
      </c>
      <c r="J4" s="18">
        <v>152.0913</v>
      </c>
      <c r="K4" s="18">
        <v>153.7589</v>
      </c>
      <c r="L4" s="18">
        <v>154.5615</v>
      </c>
      <c r="M4" s="14"/>
      <c r="N4" s="15"/>
      <c r="O4" s="19"/>
      <c r="P4" s="20"/>
      <c r="Q4" s="21"/>
      <c r="R4" s="20"/>
      <c r="S4" s="20"/>
      <c r="T4" s="22"/>
      <c r="U4" s="23"/>
      <c r="V4" s="24"/>
      <c r="W4" s="25"/>
      <c r="X4" s="19"/>
      <c r="Y4" s="19"/>
    </row>
    <row r="5" ht="15.0" customHeight="1">
      <c r="A5" s="26">
        <v>45992.0</v>
      </c>
      <c r="B5" s="27">
        <v>5347980.0</v>
      </c>
      <c r="C5" s="28" t="s">
        <v>30</v>
      </c>
      <c r="D5" s="29">
        <v>0.27</v>
      </c>
      <c r="E5" s="17">
        <v>577.0</v>
      </c>
      <c r="F5" s="17">
        <v>0.0</v>
      </c>
      <c r="G5" s="17">
        <v>0.0</v>
      </c>
      <c r="H5" s="17" t="s">
        <v>31</v>
      </c>
      <c r="I5" s="17" t="s">
        <v>32</v>
      </c>
      <c r="J5" s="30">
        <v>233.1878</v>
      </c>
      <c r="K5" s="30">
        <v>233.1878</v>
      </c>
      <c r="L5" s="30">
        <v>233.1878</v>
      </c>
      <c r="M5" s="28">
        <v>80.9</v>
      </c>
      <c r="N5" s="29">
        <f t="shared" ref="N5:N29" si="11">E5+M5</f>
        <v>657.9</v>
      </c>
      <c r="O5" s="31" t="str">
        <f t="shared" ref="O5:O31" si="12">J5*F5+G5*K5+H5*L5</f>
        <v>#VALUE!</v>
      </c>
      <c r="P5" s="32">
        <v>1470.0</v>
      </c>
      <c r="Q5" s="33">
        <f t="shared" ref="Q5:Q31" si="13">(M5*L5)/P5</f>
        <v>12.83326056</v>
      </c>
      <c r="R5" s="32">
        <f t="shared" ref="R5:R305" si="14">Q5*P5</f>
        <v>18864.89302</v>
      </c>
      <c r="S5" s="32">
        <f>IFERROR(__xludf.DUMMYFUNCTION("INDEX(IMPORTHTML(""https://www.bna.com.ar/Personas"", ""table"", 1), 2, 3)"),1465.0)</f>
        <v>1465</v>
      </c>
      <c r="T5" s="34">
        <f t="shared" ref="T5:T132" si="15">Q5*S5*(1+D5)</f>
        <v>23876.92293</v>
      </c>
      <c r="U5" s="35">
        <f t="shared" ref="U5:U305" si="16">M5*0.2</f>
        <v>16.18</v>
      </c>
      <c r="V5" s="36">
        <f t="shared" ref="V5:V151" si="17">U5/22</f>
        <v>0.7354545455</v>
      </c>
      <c r="W5" s="37" t="str">
        <f t="shared" ref="W5:W31" si="18">(M5*L5)/(M5*L5+H5*L5+K5*G5+J5*F5)</f>
        <v>#VALUE!</v>
      </c>
      <c r="X5" s="31" t="str">
        <f t="shared" ref="X5:X31" si="19">F5*J5+G5*K5+H5*L5+M5*L5</f>
        <v>#VALUE!</v>
      </c>
      <c r="Y5" s="31"/>
    </row>
    <row r="6" ht="15.0" customHeight="1">
      <c r="A6" s="12">
        <v>45992.0</v>
      </c>
      <c r="B6" s="13">
        <v>5263215.0</v>
      </c>
      <c r="C6" s="14" t="s">
        <v>33</v>
      </c>
      <c r="D6" s="15">
        <v>0.27</v>
      </c>
      <c r="E6" s="16">
        <v>2403.0</v>
      </c>
      <c r="F6" s="17">
        <v>0.0</v>
      </c>
      <c r="G6" s="17">
        <v>0.0</v>
      </c>
      <c r="H6" s="17">
        <v>2403.0</v>
      </c>
      <c r="I6" s="17" t="s">
        <v>34</v>
      </c>
      <c r="J6" s="18">
        <v>195.2987</v>
      </c>
      <c r="K6" s="18">
        <v>195.2987</v>
      </c>
      <c r="L6" s="18">
        <v>195.2987</v>
      </c>
      <c r="M6" s="14">
        <v>1342.3</v>
      </c>
      <c r="N6" s="15">
        <f t="shared" si="11"/>
        <v>3745.3</v>
      </c>
      <c r="O6" s="19">
        <f t="shared" si="12"/>
        <v>469302.7761</v>
      </c>
      <c r="P6" s="20">
        <v>1470.0</v>
      </c>
      <c r="Q6" s="21">
        <f t="shared" si="13"/>
        <v>178.3329558</v>
      </c>
      <c r="R6" s="20">
        <f t="shared" si="14"/>
        <v>262149.445</v>
      </c>
      <c r="S6" s="20">
        <f>IFERROR(__xludf.DUMMYFUNCTION("INDEX(IMPORTHTML(""https://www.bna.com.ar/Personas"", ""table"", 1), 2, 3)"),1465.0)</f>
        <v>1465</v>
      </c>
      <c r="T6" s="22">
        <f t="shared" si="15"/>
        <v>331797.3809</v>
      </c>
      <c r="U6" s="23">
        <f t="shared" si="16"/>
        <v>268.46</v>
      </c>
      <c r="V6" s="24">
        <f t="shared" si="17"/>
        <v>12.20272727</v>
      </c>
      <c r="W6" s="25">
        <f t="shared" si="18"/>
        <v>0.3583958561</v>
      </c>
      <c r="X6" s="19">
        <f t="shared" si="19"/>
        <v>731452.2211</v>
      </c>
      <c r="Y6" s="19"/>
    </row>
    <row r="7" ht="15.0" customHeight="1">
      <c r="A7" s="12">
        <v>45992.0</v>
      </c>
      <c r="B7" s="13">
        <v>3025373.0</v>
      </c>
      <c r="C7" s="14" t="s">
        <v>35</v>
      </c>
      <c r="D7" s="15">
        <v>0.27</v>
      </c>
      <c r="E7" s="16">
        <v>37973.0</v>
      </c>
      <c r="F7" s="17">
        <v>9357.0</v>
      </c>
      <c r="G7" s="17">
        <v>11035.0</v>
      </c>
      <c r="H7" s="17">
        <v>17581.0</v>
      </c>
      <c r="I7" s="17" t="s">
        <v>36</v>
      </c>
      <c r="J7" s="18">
        <v>255.886</v>
      </c>
      <c r="K7" s="18">
        <v>253.0963</v>
      </c>
      <c r="L7" s="18">
        <v>253.899</v>
      </c>
      <c r="M7" s="14">
        <v>6304.4</v>
      </c>
      <c r="N7" s="15">
        <f t="shared" si="11"/>
        <v>44277.4</v>
      </c>
      <c r="O7" s="19">
        <f t="shared" si="12"/>
        <v>9651041.292</v>
      </c>
      <c r="P7" s="20">
        <v>1470.0</v>
      </c>
      <c r="Q7" s="21">
        <f t="shared" si="13"/>
        <v>1088.898541</v>
      </c>
      <c r="R7" s="20">
        <f t="shared" si="14"/>
        <v>1600680.856</v>
      </c>
      <c r="S7" s="20">
        <f>IFERROR(__xludf.DUMMYFUNCTION("INDEX(IMPORTHTML(""https://www.bna.com.ar/Personas"", ""table"", 1), 2, 3)"),1465.0)</f>
        <v>1465</v>
      </c>
      <c r="T7" s="22">
        <f t="shared" si="15"/>
        <v>2025950.181</v>
      </c>
      <c r="U7" s="23">
        <f t="shared" si="16"/>
        <v>1260.88</v>
      </c>
      <c r="V7" s="24">
        <f t="shared" si="17"/>
        <v>57.31272727</v>
      </c>
      <c r="W7" s="25">
        <f t="shared" si="18"/>
        <v>0.1422609654</v>
      </c>
      <c r="X7" s="19">
        <f t="shared" si="19"/>
        <v>11251722.15</v>
      </c>
      <c r="Y7" s="19"/>
    </row>
    <row r="8" ht="15.0" customHeight="1">
      <c r="A8" s="12">
        <v>45992.0</v>
      </c>
      <c r="B8" s="13">
        <v>5346222.0</v>
      </c>
      <c r="C8" s="14" t="s">
        <v>37</v>
      </c>
      <c r="D8" s="15">
        <v>0.27</v>
      </c>
      <c r="E8" s="16">
        <v>3833.0</v>
      </c>
      <c r="F8" s="17">
        <v>998.0</v>
      </c>
      <c r="G8" s="17">
        <v>554.0</v>
      </c>
      <c r="H8" s="17">
        <v>2281.0</v>
      </c>
      <c r="I8" s="17" t="s">
        <v>25</v>
      </c>
      <c r="J8" s="18">
        <v>148.2814</v>
      </c>
      <c r="K8" s="18">
        <v>148.2814</v>
      </c>
      <c r="L8" s="18">
        <v>148.2814</v>
      </c>
      <c r="M8" s="14">
        <v>3122.4</v>
      </c>
      <c r="N8" s="15">
        <f t="shared" si="11"/>
        <v>6955.4</v>
      </c>
      <c r="O8" s="19">
        <f t="shared" si="12"/>
        <v>568362.6062</v>
      </c>
      <c r="P8" s="20">
        <v>1470.0</v>
      </c>
      <c r="Q8" s="21">
        <f t="shared" si="13"/>
        <v>314.9617982</v>
      </c>
      <c r="R8" s="20">
        <f t="shared" si="14"/>
        <v>462993.8434</v>
      </c>
      <c r="S8" s="20">
        <f>IFERROR(__xludf.DUMMYFUNCTION("INDEX(IMPORTHTML(""https://www.bna.com.ar/Personas"", ""table"", 1), 2, 3)"),1465.0)</f>
        <v>1465</v>
      </c>
      <c r="T8" s="22">
        <f t="shared" si="15"/>
        <v>586002.1736</v>
      </c>
      <c r="U8" s="23">
        <f t="shared" si="16"/>
        <v>624.48</v>
      </c>
      <c r="V8" s="24">
        <f t="shared" si="17"/>
        <v>28.38545455</v>
      </c>
      <c r="W8" s="25">
        <f t="shared" si="18"/>
        <v>0.4489173879</v>
      </c>
      <c r="X8" s="19">
        <f t="shared" si="19"/>
        <v>1031356.45</v>
      </c>
      <c r="Y8" s="19"/>
    </row>
    <row r="9" ht="15.0" customHeight="1">
      <c r="A9" s="12">
        <v>45992.0</v>
      </c>
      <c r="B9" s="13">
        <v>5211887.0</v>
      </c>
      <c r="C9" s="14" t="s">
        <v>38</v>
      </c>
      <c r="D9" s="15">
        <v>0.27</v>
      </c>
      <c r="E9" s="16">
        <v>2829.0</v>
      </c>
      <c r="F9" s="17">
        <v>0.0</v>
      </c>
      <c r="G9" s="17">
        <v>0.0</v>
      </c>
      <c r="H9" s="17">
        <v>2829.0</v>
      </c>
      <c r="I9" s="17" t="s">
        <v>25</v>
      </c>
      <c r="J9" s="18">
        <v>148.2814</v>
      </c>
      <c r="K9" s="18">
        <v>148.2814</v>
      </c>
      <c r="L9" s="18">
        <v>148.2814</v>
      </c>
      <c r="M9" s="14">
        <v>1272.1</v>
      </c>
      <c r="N9" s="15">
        <f t="shared" si="11"/>
        <v>4101.1</v>
      </c>
      <c r="O9" s="19">
        <f t="shared" si="12"/>
        <v>419488.0806</v>
      </c>
      <c r="P9" s="20">
        <v>1470.0</v>
      </c>
      <c r="Q9" s="21">
        <f t="shared" si="13"/>
        <v>128.3188904</v>
      </c>
      <c r="R9" s="20">
        <f t="shared" si="14"/>
        <v>188628.7689</v>
      </c>
      <c r="S9" s="20">
        <f>IFERROR(__xludf.DUMMYFUNCTION("INDEX(IMPORTHTML(""https://www.bna.com.ar/Personas"", ""table"", 1), 2, 3)"),1465.0)</f>
        <v>1465</v>
      </c>
      <c r="T9" s="22">
        <f t="shared" si="15"/>
        <v>238743.7116</v>
      </c>
      <c r="U9" s="23">
        <f t="shared" si="16"/>
        <v>254.42</v>
      </c>
      <c r="V9" s="24">
        <f t="shared" si="17"/>
        <v>11.56454545</v>
      </c>
      <c r="W9" s="25">
        <f t="shared" si="18"/>
        <v>0.3101850723</v>
      </c>
      <c r="X9" s="19">
        <f t="shared" si="19"/>
        <v>608116.8495</v>
      </c>
      <c r="Y9" s="19"/>
    </row>
    <row r="10" ht="15.0" customHeight="1">
      <c r="A10" s="12">
        <v>45992.0</v>
      </c>
      <c r="B10" s="13">
        <v>5253775.0</v>
      </c>
      <c r="C10" s="14" t="s">
        <v>39</v>
      </c>
      <c r="D10" s="15">
        <v>0.21</v>
      </c>
      <c r="E10" s="16">
        <v>542.0</v>
      </c>
      <c r="F10" s="17">
        <v>0.0</v>
      </c>
      <c r="G10" s="17">
        <v>0.0</v>
      </c>
      <c r="H10" s="17">
        <v>542.0</v>
      </c>
      <c r="I10" s="17" t="s">
        <v>32</v>
      </c>
      <c r="J10" s="18">
        <v>240.5281</v>
      </c>
      <c r="K10" s="18">
        <v>240.5281</v>
      </c>
      <c r="L10" s="18">
        <v>240.5281</v>
      </c>
      <c r="M10" s="14">
        <v>138.3</v>
      </c>
      <c r="N10" s="15">
        <f t="shared" si="11"/>
        <v>680.3</v>
      </c>
      <c r="O10" s="19">
        <f t="shared" si="12"/>
        <v>130366.2302</v>
      </c>
      <c r="P10" s="20">
        <v>1470.0</v>
      </c>
      <c r="Q10" s="21">
        <f t="shared" si="13"/>
        <v>22.62927635</v>
      </c>
      <c r="R10" s="20">
        <f t="shared" si="14"/>
        <v>33265.03623</v>
      </c>
      <c r="S10" s="20">
        <f>IFERROR(__xludf.DUMMYFUNCTION("INDEX(IMPORTHTML(""https://www.bna.com.ar/Personas"", ""table"", 1), 2, 3)"),1465.0)</f>
        <v>1465</v>
      </c>
      <c r="T10" s="22">
        <f t="shared" si="15"/>
        <v>40113.78672</v>
      </c>
      <c r="U10" s="23">
        <f t="shared" si="16"/>
        <v>27.66</v>
      </c>
      <c r="V10" s="24">
        <f t="shared" si="17"/>
        <v>1.257272727</v>
      </c>
      <c r="W10" s="25">
        <f t="shared" si="18"/>
        <v>0.203292665</v>
      </c>
      <c r="X10" s="19">
        <f t="shared" si="19"/>
        <v>163631.2664</v>
      </c>
      <c r="Y10" s="19"/>
    </row>
    <row r="11" ht="15.0" customHeight="1">
      <c r="A11" s="12">
        <v>45992.0</v>
      </c>
      <c r="B11" s="13">
        <v>4000681.0</v>
      </c>
      <c r="C11" s="14" t="s">
        <v>40</v>
      </c>
      <c r="D11" s="15">
        <v>0.27</v>
      </c>
      <c r="E11" s="16">
        <v>8034.0</v>
      </c>
      <c r="F11" s="17">
        <v>2164.0</v>
      </c>
      <c r="G11" s="17">
        <v>2756.0</v>
      </c>
      <c r="H11" s="17">
        <v>3114.0</v>
      </c>
      <c r="I11" s="17" t="s">
        <v>25</v>
      </c>
      <c r="J11" s="18">
        <v>148.2814</v>
      </c>
      <c r="K11" s="18">
        <v>148.2814</v>
      </c>
      <c r="L11" s="18">
        <v>148.2814</v>
      </c>
      <c r="M11" s="14">
        <v>2746.1</v>
      </c>
      <c r="N11" s="15">
        <f t="shared" si="11"/>
        <v>10780.1</v>
      </c>
      <c r="O11" s="19">
        <f t="shared" si="12"/>
        <v>1191292.768</v>
      </c>
      <c r="P11" s="20">
        <v>1470.0</v>
      </c>
      <c r="Q11" s="21">
        <f t="shared" si="13"/>
        <v>277.0037772</v>
      </c>
      <c r="R11" s="20">
        <f t="shared" si="14"/>
        <v>407195.5525</v>
      </c>
      <c r="S11" s="20">
        <f>IFERROR(__xludf.DUMMYFUNCTION("INDEX(IMPORTHTML(""https://www.bna.com.ar/Personas"", ""table"", 1), 2, 3)"),1465.0)</f>
        <v>1465</v>
      </c>
      <c r="T11" s="22">
        <f t="shared" si="15"/>
        <v>515379.3777</v>
      </c>
      <c r="U11" s="23">
        <f t="shared" si="16"/>
        <v>549.22</v>
      </c>
      <c r="V11" s="24">
        <f t="shared" si="17"/>
        <v>24.96454545</v>
      </c>
      <c r="W11" s="25">
        <f t="shared" si="18"/>
        <v>0.2547378967</v>
      </c>
      <c r="X11" s="19">
        <f t="shared" si="19"/>
        <v>1598488.32</v>
      </c>
      <c r="Y11" s="19"/>
    </row>
    <row r="12" ht="15.0" customHeight="1">
      <c r="A12" s="12">
        <v>45992.0</v>
      </c>
      <c r="B12" s="13">
        <v>5076619.0</v>
      </c>
      <c r="C12" s="14" t="s">
        <v>41</v>
      </c>
      <c r="D12" s="15">
        <v>0.27</v>
      </c>
      <c r="E12" s="16">
        <v>3196.0</v>
      </c>
      <c r="F12" s="17">
        <v>1096.0</v>
      </c>
      <c r="G12" s="17">
        <v>841.0</v>
      </c>
      <c r="H12" s="17">
        <v>1259.0</v>
      </c>
      <c r="I12" s="17" t="s">
        <v>25</v>
      </c>
      <c r="J12" s="18">
        <v>148.2814</v>
      </c>
      <c r="K12" s="18">
        <v>148.2814</v>
      </c>
      <c r="L12" s="18">
        <v>148.2814</v>
      </c>
      <c r="M12" s="14"/>
      <c r="N12" s="15">
        <f t="shared" si="11"/>
        <v>3196</v>
      </c>
      <c r="O12" s="19">
        <f t="shared" si="12"/>
        <v>473907.3544</v>
      </c>
      <c r="P12" s="20">
        <v>1470.0</v>
      </c>
      <c r="Q12" s="21">
        <f t="shared" si="13"/>
        <v>0</v>
      </c>
      <c r="R12" s="20">
        <f t="shared" si="14"/>
        <v>0</v>
      </c>
      <c r="S12" s="20">
        <f>IFERROR(__xludf.DUMMYFUNCTION("INDEX(IMPORTHTML(""https://www.bna.com.ar/Personas"", ""table"", 1), 2, 3)"),1465.0)</f>
        <v>1465</v>
      </c>
      <c r="T12" s="22">
        <f t="shared" si="15"/>
        <v>0</v>
      </c>
      <c r="U12" s="23">
        <f t="shared" si="16"/>
        <v>0</v>
      </c>
      <c r="V12" s="24">
        <f t="shared" si="17"/>
        <v>0</v>
      </c>
      <c r="W12" s="25">
        <f t="shared" si="18"/>
        <v>0</v>
      </c>
      <c r="X12" s="19">
        <f t="shared" si="19"/>
        <v>473907.3544</v>
      </c>
      <c r="Y12" s="19"/>
    </row>
    <row r="13" ht="15.0" customHeight="1">
      <c r="A13" s="12">
        <v>45992.0</v>
      </c>
      <c r="B13" s="13">
        <v>3092029.0</v>
      </c>
      <c r="C13" s="14" t="s">
        <v>42</v>
      </c>
      <c r="D13" s="15">
        <v>0.27</v>
      </c>
      <c r="E13" s="16">
        <v>14100.0</v>
      </c>
      <c r="F13" s="17">
        <v>4050.0</v>
      </c>
      <c r="G13" s="17">
        <v>2100.0</v>
      </c>
      <c r="H13" s="17">
        <v>7950.0</v>
      </c>
      <c r="I13" s="17" t="s">
        <v>29</v>
      </c>
      <c r="J13" s="18">
        <v>156.5485</v>
      </c>
      <c r="K13" s="18">
        <v>153.7589</v>
      </c>
      <c r="L13" s="18">
        <v>154.5615</v>
      </c>
      <c r="M13" s="14">
        <v>3220.0</v>
      </c>
      <c r="N13" s="15">
        <f t="shared" si="11"/>
        <v>17320</v>
      </c>
      <c r="O13" s="19">
        <f t="shared" si="12"/>
        <v>2185679.04</v>
      </c>
      <c r="P13" s="20">
        <v>1470.0</v>
      </c>
      <c r="Q13" s="21">
        <f t="shared" si="13"/>
        <v>338.5632857</v>
      </c>
      <c r="R13" s="20">
        <f t="shared" si="14"/>
        <v>497688.03</v>
      </c>
      <c r="S13" s="20">
        <f>IFERROR(__xludf.DUMMYFUNCTION("INDEX(IMPORTHTML(""https://www.bna.com.ar/Personas"", ""table"", 1), 2, 3)"),1465.0)</f>
        <v>1465</v>
      </c>
      <c r="T13" s="22">
        <f t="shared" si="15"/>
        <v>629913.9212</v>
      </c>
      <c r="U13" s="23">
        <f t="shared" si="16"/>
        <v>644</v>
      </c>
      <c r="V13" s="24">
        <f t="shared" si="17"/>
        <v>29.27272727</v>
      </c>
      <c r="W13" s="25">
        <f t="shared" si="18"/>
        <v>0.1854714681</v>
      </c>
      <c r="X13" s="19">
        <f t="shared" si="19"/>
        <v>2683367.07</v>
      </c>
      <c r="Y13" s="19"/>
    </row>
    <row r="14" ht="15.0" customHeight="1">
      <c r="A14" s="12">
        <v>45992.0</v>
      </c>
      <c r="B14" s="13">
        <v>5253773.0</v>
      </c>
      <c r="C14" s="14" t="s">
        <v>43</v>
      </c>
      <c r="D14" s="15">
        <v>0.21</v>
      </c>
      <c r="E14" s="16">
        <v>365.0</v>
      </c>
      <c r="F14" s="17">
        <v>116.0</v>
      </c>
      <c r="G14" s="17">
        <v>91.0</v>
      </c>
      <c r="H14" s="17">
        <v>158.0</v>
      </c>
      <c r="I14" s="17" t="s">
        <v>32</v>
      </c>
      <c r="J14" s="18">
        <v>229.3919</v>
      </c>
      <c r="K14" s="18">
        <v>229.3919</v>
      </c>
      <c r="L14" s="18">
        <v>229.3919</v>
      </c>
      <c r="M14" s="14">
        <v>163.0</v>
      </c>
      <c r="N14" s="15">
        <f t="shared" si="11"/>
        <v>528</v>
      </c>
      <c r="O14" s="19">
        <f t="shared" si="12"/>
        <v>83728.0435</v>
      </c>
      <c r="P14" s="20">
        <v>1470.0</v>
      </c>
      <c r="Q14" s="21">
        <f t="shared" si="13"/>
        <v>25.43597259</v>
      </c>
      <c r="R14" s="20">
        <f t="shared" si="14"/>
        <v>37390.8797</v>
      </c>
      <c r="S14" s="20">
        <f>IFERROR(__xludf.DUMMYFUNCTION("INDEX(IMPORTHTML(""https://www.bna.com.ar/Personas"", ""table"", 1), 2, 3)"),1465.0)</f>
        <v>1465</v>
      </c>
      <c r="T14" s="22">
        <f t="shared" si="15"/>
        <v>45089.0768</v>
      </c>
      <c r="U14" s="23">
        <f t="shared" si="16"/>
        <v>32.6</v>
      </c>
      <c r="V14" s="24">
        <f t="shared" si="17"/>
        <v>1.481818182</v>
      </c>
      <c r="W14" s="25">
        <f t="shared" si="18"/>
        <v>0.3087121212</v>
      </c>
      <c r="X14" s="19">
        <f t="shared" si="19"/>
        <v>121118.9232</v>
      </c>
      <c r="Y14" s="19"/>
    </row>
    <row r="15" ht="15.0" customHeight="1">
      <c r="A15" s="12">
        <v>45992.0</v>
      </c>
      <c r="B15" s="13">
        <v>5238577.0</v>
      </c>
      <c r="C15" s="14" t="s">
        <v>44</v>
      </c>
      <c r="D15" s="15">
        <v>0.27</v>
      </c>
      <c r="E15" s="16">
        <v>6223.0</v>
      </c>
      <c r="F15" s="17">
        <v>0.0</v>
      </c>
      <c r="G15" s="17">
        <v>0.0</v>
      </c>
      <c r="H15" s="17">
        <v>6223.0</v>
      </c>
      <c r="I15" s="17" t="s">
        <v>25</v>
      </c>
      <c r="J15" s="18">
        <v>148.2814</v>
      </c>
      <c r="K15" s="18">
        <v>148.2814</v>
      </c>
      <c r="L15" s="18">
        <v>148.2814</v>
      </c>
      <c r="M15" s="14">
        <v>1543.5</v>
      </c>
      <c r="N15" s="15">
        <f t="shared" si="11"/>
        <v>7766.5</v>
      </c>
      <c r="O15" s="19">
        <f t="shared" si="12"/>
        <v>922755.1522</v>
      </c>
      <c r="P15" s="20">
        <v>1470.0</v>
      </c>
      <c r="Q15" s="21">
        <f t="shared" si="13"/>
        <v>155.69547</v>
      </c>
      <c r="R15" s="20">
        <f t="shared" si="14"/>
        <v>228872.3409</v>
      </c>
      <c r="S15" s="20">
        <f>IFERROR(__xludf.DUMMYFUNCTION("INDEX(IMPORTHTML(""https://www.bna.com.ar/Personas"", ""table"", 1), 2, 3)"),1465.0)</f>
        <v>1465</v>
      </c>
      <c r="T15" s="22">
        <f t="shared" si="15"/>
        <v>289679.2067</v>
      </c>
      <c r="U15" s="23">
        <f t="shared" si="16"/>
        <v>308.7</v>
      </c>
      <c r="V15" s="24">
        <f t="shared" si="17"/>
        <v>14.03181818</v>
      </c>
      <c r="W15" s="25">
        <f t="shared" si="18"/>
        <v>0.1987381703</v>
      </c>
      <c r="X15" s="19">
        <f t="shared" si="19"/>
        <v>1151627.493</v>
      </c>
      <c r="Y15" s="19"/>
    </row>
    <row r="16" ht="15.0" customHeight="1">
      <c r="A16" s="12">
        <v>45992.0</v>
      </c>
      <c r="B16" s="13">
        <v>5272486.0</v>
      </c>
      <c r="C16" s="14" t="s">
        <v>45</v>
      </c>
      <c r="D16" s="15">
        <v>0.27</v>
      </c>
      <c r="E16" s="16">
        <v>4539.0</v>
      </c>
      <c r="F16" s="17">
        <v>0.0</v>
      </c>
      <c r="G16" s="17">
        <v>0.0</v>
      </c>
      <c r="H16" s="17">
        <v>4539.0</v>
      </c>
      <c r="I16" s="17" t="s">
        <v>34</v>
      </c>
      <c r="J16" s="18">
        <v>195.2987</v>
      </c>
      <c r="K16" s="18">
        <v>195.2987</v>
      </c>
      <c r="L16" s="18">
        <v>195.2987</v>
      </c>
      <c r="M16" s="14">
        <v>1113.6</v>
      </c>
      <c r="N16" s="15">
        <f t="shared" si="11"/>
        <v>5652.6</v>
      </c>
      <c r="O16" s="19">
        <f t="shared" si="12"/>
        <v>886460.7993</v>
      </c>
      <c r="P16" s="20">
        <v>1470.0</v>
      </c>
      <c r="Q16" s="21">
        <f t="shared" si="13"/>
        <v>147.9487295</v>
      </c>
      <c r="R16" s="20">
        <f t="shared" si="14"/>
        <v>217484.6323</v>
      </c>
      <c r="S16" s="20">
        <f>IFERROR(__xludf.DUMMYFUNCTION("INDEX(IMPORTHTML(""https://www.bna.com.ar/Personas"", ""table"", 1), 2, 3)"),1465.0)</f>
        <v>1465</v>
      </c>
      <c r="T16" s="22">
        <f t="shared" si="15"/>
        <v>275266.0086</v>
      </c>
      <c r="U16" s="23">
        <f t="shared" si="16"/>
        <v>222.72</v>
      </c>
      <c r="V16" s="24">
        <f t="shared" si="17"/>
        <v>10.12363636</v>
      </c>
      <c r="W16" s="25">
        <f t="shared" si="18"/>
        <v>0.1970066872</v>
      </c>
      <c r="X16" s="19">
        <f t="shared" si="19"/>
        <v>1103945.432</v>
      </c>
      <c r="Y16" s="19"/>
    </row>
    <row r="17" ht="15.0" customHeight="1">
      <c r="A17" s="12">
        <v>45992.0</v>
      </c>
      <c r="B17" s="13">
        <v>5019237.0</v>
      </c>
      <c r="C17" s="14" t="s">
        <v>46</v>
      </c>
      <c r="D17" s="15">
        <v>0.27</v>
      </c>
      <c r="E17" s="16">
        <v>2950.0</v>
      </c>
      <c r="F17" s="17">
        <v>684.0</v>
      </c>
      <c r="G17" s="17">
        <v>810.0</v>
      </c>
      <c r="H17" s="17">
        <v>1456.0</v>
      </c>
      <c r="I17" s="17" t="s">
        <v>29</v>
      </c>
      <c r="J17" s="18">
        <v>156.5485</v>
      </c>
      <c r="K17" s="18">
        <v>153.7589</v>
      </c>
      <c r="L17" s="18">
        <v>154.5615</v>
      </c>
      <c r="M17" s="14">
        <v>1063.3</v>
      </c>
      <c r="N17" s="15">
        <f t="shared" si="11"/>
        <v>4013.3</v>
      </c>
      <c r="O17" s="19">
        <f t="shared" si="12"/>
        <v>456665.427</v>
      </c>
      <c r="P17" s="20">
        <v>1470.0</v>
      </c>
      <c r="Q17" s="21">
        <f t="shared" si="13"/>
        <v>111.799485</v>
      </c>
      <c r="R17" s="20">
        <f t="shared" si="14"/>
        <v>164345.243</v>
      </c>
      <c r="S17" s="20">
        <f>IFERROR(__xludf.DUMMYFUNCTION("INDEX(IMPORTHTML(""https://www.bna.com.ar/Personas"", ""table"", 1), 2, 3)"),1465.0)</f>
        <v>1465</v>
      </c>
      <c r="T17" s="22">
        <f t="shared" si="15"/>
        <v>208008.5318</v>
      </c>
      <c r="U17" s="23">
        <f t="shared" si="16"/>
        <v>212.66</v>
      </c>
      <c r="V17" s="24">
        <f t="shared" si="17"/>
        <v>9.666363636</v>
      </c>
      <c r="W17" s="25">
        <f t="shared" si="18"/>
        <v>0.2646415769</v>
      </c>
      <c r="X17" s="19">
        <f t="shared" si="19"/>
        <v>621010.67</v>
      </c>
      <c r="Y17" s="19"/>
    </row>
    <row r="18" ht="15.0" customHeight="1">
      <c r="A18" s="12">
        <v>45962.0</v>
      </c>
      <c r="B18" s="13">
        <v>5068576.0</v>
      </c>
      <c r="C18" s="14" t="s">
        <v>47</v>
      </c>
      <c r="D18" s="15">
        <v>0.27</v>
      </c>
      <c r="E18" s="16">
        <v>13501.0</v>
      </c>
      <c r="F18" s="17">
        <v>2929.0</v>
      </c>
      <c r="G18" s="17">
        <v>3482.0</v>
      </c>
      <c r="H18" s="17">
        <v>7090.0</v>
      </c>
      <c r="I18" s="17" t="s">
        <v>29</v>
      </c>
      <c r="J18" s="18">
        <v>152.0913</v>
      </c>
      <c r="K18" s="18">
        <v>149.3017</v>
      </c>
      <c r="L18" s="18">
        <v>150.1043</v>
      </c>
      <c r="M18" s="14">
        <v>3862.5</v>
      </c>
      <c r="N18" s="15">
        <f t="shared" si="11"/>
        <v>17363.5</v>
      </c>
      <c r="O18" s="19">
        <f t="shared" si="12"/>
        <v>2029583.424</v>
      </c>
      <c r="P18" s="20">
        <v>1470.0</v>
      </c>
      <c r="Q18" s="21">
        <f t="shared" si="13"/>
        <v>394.4067066</v>
      </c>
      <c r="R18" s="20">
        <f t="shared" si="14"/>
        <v>579777.8588</v>
      </c>
      <c r="S18" s="20">
        <f>IFERROR(__xludf.DUMMYFUNCTION("INDEX(IMPORTHTML(""https://www.bna.com.ar/Personas"", ""table"", 1), 2, 3)"),1465.0)</f>
        <v>1465</v>
      </c>
      <c r="T18" s="22">
        <f t="shared" si="15"/>
        <v>733813.398</v>
      </c>
      <c r="U18" s="23">
        <f t="shared" si="16"/>
        <v>772.5</v>
      </c>
      <c r="V18" s="24">
        <f t="shared" si="17"/>
        <v>35.11363636</v>
      </c>
      <c r="W18" s="25">
        <f t="shared" si="18"/>
        <v>0.2221914852</v>
      </c>
      <c r="X18" s="19">
        <f t="shared" si="19"/>
        <v>2609361.283</v>
      </c>
      <c r="Y18" s="19"/>
    </row>
    <row r="19" ht="15.0" customHeight="1">
      <c r="A19" s="12">
        <v>45992.0</v>
      </c>
      <c r="B19" s="13">
        <v>5214767.0</v>
      </c>
      <c r="C19" s="14" t="s">
        <v>48</v>
      </c>
      <c r="D19" s="15">
        <v>0.27</v>
      </c>
      <c r="E19" s="16">
        <v>6345.0</v>
      </c>
      <c r="F19" s="17">
        <v>1180.0</v>
      </c>
      <c r="G19" s="17">
        <v>343.0</v>
      </c>
      <c r="H19" s="17">
        <v>4822.0</v>
      </c>
      <c r="I19" s="17" t="s">
        <v>25</v>
      </c>
      <c r="J19" s="18">
        <v>148.2814</v>
      </c>
      <c r="K19" s="18">
        <v>148.2814</v>
      </c>
      <c r="L19" s="18">
        <v>148.2814</v>
      </c>
      <c r="M19" s="14">
        <v>5109.8</v>
      </c>
      <c r="N19" s="15">
        <f t="shared" si="11"/>
        <v>11454.8</v>
      </c>
      <c r="O19" s="19">
        <f t="shared" si="12"/>
        <v>940845.483</v>
      </c>
      <c r="P19" s="20">
        <v>1470.0</v>
      </c>
      <c r="Q19" s="21">
        <f t="shared" si="13"/>
        <v>515.4342161</v>
      </c>
      <c r="R19" s="20">
        <f t="shared" si="14"/>
        <v>757688.2977</v>
      </c>
      <c r="S19" s="20">
        <f>IFERROR(__xludf.DUMMYFUNCTION("INDEX(IMPORTHTML(""https://www.bna.com.ar/Personas"", ""table"", 1), 2, 3)"),1465.0)</f>
        <v>1465</v>
      </c>
      <c r="T19" s="22">
        <f t="shared" si="15"/>
        <v>958991.1308</v>
      </c>
      <c r="U19" s="23">
        <f t="shared" si="16"/>
        <v>1021.96</v>
      </c>
      <c r="V19" s="24">
        <f t="shared" si="17"/>
        <v>46.45272727</v>
      </c>
      <c r="W19" s="25">
        <f t="shared" si="18"/>
        <v>0.4460837378</v>
      </c>
      <c r="X19" s="19">
        <f t="shared" si="19"/>
        <v>1698533.781</v>
      </c>
      <c r="Y19" s="19"/>
    </row>
    <row r="20" ht="15.0" customHeight="1">
      <c r="A20" s="12">
        <v>45992.0</v>
      </c>
      <c r="B20" s="13">
        <v>5346470.0</v>
      </c>
      <c r="C20" s="14" t="s">
        <v>49</v>
      </c>
      <c r="D20" s="15">
        <v>0.27</v>
      </c>
      <c r="E20" s="16">
        <v>6144.0</v>
      </c>
      <c r="F20" s="17">
        <v>1770.0</v>
      </c>
      <c r="G20" s="17">
        <v>1962.0</v>
      </c>
      <c r="H20" s="17">
        <v>2412.0</v>
      </c>
      <c r="I20" s="17" t="s">
        <v>29</v>
      </c>
      <c r="J20" s="18">
        <v>156.5485</v>
      </c>
      <c r="K20" s="18">
        <v>153.7589</v>
      </c>
      <c r="L20" s="18">
        <v>154.5615</v>
      </c>
      <c r="M20" s="14">
        <v>2452.2</v>
      </c>
      <c r="N20" s="15">
        <f t="shared" si="11"/>
        <v>8596.2</v>
      </c>
      <c r="O20" s="19">
        <f t="shared" si="12"/>
        <v>951568.1448</v>
      </c>
      <c r="P20" s="20">
        <v>1470.0</v>
      </c>
      <c r="Q20" s="21">
        <f t="shared" si="13"/>
        <v>257.8338165</v>
      </c>
      <c r="R20" s="20">
        <f t="shared" si="14"/>
        <v>379015.7103</v>
      </c>
      <c r="S20" s="20">
        <f>IFERROR(__xludf.DUMMYFUNCTION("INDEX(IMPORTHTML(""https://www.bna.com.ar/Personas"", ""table"", 1), 2, 3)"),1465.0)</f>
        <v>1465</v>
      </c>
      <c r="T20" s="22">
        <f t="shared" si="15"/>
        <v>479712.7073</v>
      </c>
      <c r="U20" s="23">
        <f t="shared" si="16"/>
        <v>490.44</v>
      </c>
      <c r="V20" s="24">
        <f t="shared" si="17"/>
        <v>22.29272727</v>
      </c>
      <c r="W20" s="25">
        <f t="shared" si="18"/>
        <v>0.2848491727</v>
      </c>
      <c r="X20" s="19">
        <f t="shared" si="19"/>
        <v>1330583.855</v>
      </c>
      <c r="Y20" s="19"/>
    </row>
    <row r="21" ht="15.0" customHeight="1">
      <c r="A21" s="12">
        <v>45992.0</v>
      </c>
      <c r="B21" s="13">
        <v>5213946.0</v>
      </c>
      <c r="C21" s="14" t="s">
        <v>50</v>
      </c>
      <c r="D21" s="15">
        <v>0.27</v>
      </c>
      <c r="E21" s="16">
        <v>6604.0</v>
      </c>
      <c r="F21" s="17">
        <v>2584.0</v>
      </c>
      <c r="G21" s="17">
        <v>869.0</v>
      </c>
      <c r="H21" s="17">
        <v>3151.0</v>
      </c>
      <c r="I21" s="17" t="s">
        <v>51</v>
      </c>
      <c r="J21" s="18">
        <v>174.6648</v>
      </c>
      <c r="K21" s="18">
        <v>172.155</v>
      </c>
      <c r="L21" s="18">
        <v>172.8771</v>
      </c>
      <c r="M21" s="14">
        <v>1179.2</v>
      </c>
      <c r="N21" s="15">
        <f t="shared" si="11"/>
        <v>7783.2</v>
      </c>
      <c r="O21" s="19">
        <f t="shared" si="12"/>
        <v>1145672.28</v>
      </c>
      <c r="P21" s="20">
        <v>1470.0</v>
      </c>
      <c r="Q21" s="21">
        <f t="shared" si="13"/>
        <v>138.6780111</v>
      </c>
      <c r="R21" s="20">
        <f t="shared" si="14"/>
        <v>203856.6763</v>
      </c>
      <c r="S21" s="20">
        <f>IFERROR(__xludf.DUMMYFUNCTION("INDEX(IMPORTHTML(""https://www.bna.com.ar/Personas"", ""table"", 1), 2, 3)"),1465.0)</f>
        <v>1465</v>
      </c>
      <c r="T21" s="22">
        <f t="shared" si="15"/>
        <v>258017.3736</v>
      </c>
      <c r="U21" s="23">
        <f t="shared" si="16"/>
        <v>235.84</v>
      </c>
      <c r="V21" s="24">
        <f t="shared" si="17"/>
        <v>10.72</v>
      </c>
      <c r="W21" s="25">
        <f t="shared" si="18"/>
        <v>0.1510576526</v>
      </c>
      <c r="X21" s="19">
        <f t="shared" si="19"/>
        <v>1349528.957</v>
      </c>
      <c r="Y21" s="19"/>
    </row>
    <row r="22" ht="15.0" customHeight="1">
      <c r="A22" s="12">
        <v>45992.0</v>
      </c>
      <c r="B22" s="13">
        <v>5251104.0</v>
      </c>
      <c r="C22" s="14" t="s">
        <v>52</v>
      </c>
      <c r="D22" s="15">
        <v>0.27</v>
      </c>
      <c r="E22" s="16">
        <v>12507.0</v>
      </c>
      <c r="F22" s="17">
        <v>1173.0</v>
      </c>
      <c r="G22" s="17">
        <v>215.0</v>
      </c>
      <c r="H22" s="17">
        <v>11119.0</v>
      </c>
      <c r="I22" s="17" t="s">
        <v>27</v>
      </c>
      <c r="J22" s="18">
        <v>168.7698</v>
      </c>
      <c r="K22" s="18">
        <v>165.9802</v>
      </c>
      <c r="L22" s="18">
        <v>166.7828</v>
      </c>
      <c r="M22" s="14">
        <v>5243.9</v>
      </c>
      <c r="N22" s="15">
        <f t="shared" si="11"/>
        <v>17750.9</v>
      </c>
      <c r="O22" s="19">
        <f t="shared" si="12"/>
        <v>2088110.672</v>
      </c>
      <c r="P22" s="20">
        <v>1470.0</v>
      </c>
      <c r="Q22" s="21">
        <f t="shared" si="13"/>
        <v>594.9607653</v>
      </c>
      <c r="R22" s="20">
        <f t="shared" si="14"/>
        <v>874592.3249</v>
      </c>
      <c r="S22" s="20">
        <f>IFERROR(__xludf.DUMMYFUNCTION("INDEX(IMPORTHTML(""https://www.bna.com.ar/Personas"", ""table"", 1), 2, 3)"),1465.0)</f>
        <v>1465</v>
      </c>
      <c r="T22" s="22">
        <f t="shared" si="15"/>
        <v>1106954.252</v>
      </c>
      <c r="U22" s="23">
        <f t="shared" si="16"/>
        <v>1048.78</v>
      </c>
      <c r="V22" s="24">
        <f t="shared" si="17"/>
        <v>47.67181818</v>
      </c>
      <c r="W22" s="25">
        <f t="shared" si="18"/>
        <v>0.2952008102</v>
      </c>
      <c r="X22" s="19">
        <f t="shared" si="19"/>
        <v>2962702.997</v>
      </c>
      <c r="Y22" s="19"/>
    </row>
    <row r="23" ht="15.0" customHeight="1">
      <c r="A23" s="12">
        <v>45992.0</v>
      </c>
      <c r="B23" s="13">
        <v>5251101.0</v>
      </c>
      <c r="C23" s="14" t="s">
        <v>53</v>
      </c>
      <c r="D23" s="15">
        <v>0.27</v>
      </c>
      <c r="E23" s="16">
        <v>4392.0</v>
      </c>
      <c r="F23" s="17">
        <v>852.0</v>
      </c>
      <c r="G23" s="17">
        <v>324.0</v>
      </c>
      <c r="H23" s="17">
        <v>3216.0</v>
      </c>
      <c r="I23" s="17" t="s">
        <v>27</v>
      </c>
      <c r="J23" s="18">
        <v>168.7698</v>
      </c>
      <c r="K23" s="18">
        <v>165.9802</v>
      </c>
      <c r="L23" s="18">
        <v>166.7828</v>
      </c>
      <c r="M23" s="14">
        <v>3063.6</v>
      </c>
      <c r="N23" s="15">
        <f t="shared" si="11"/>
        <v>7455.6</v>
      </c>
      <c r="O23" s="19">
        <f t="shared" si="12"/>
        <v>733942.9392</v>
      </c>
      <c r="P23" s="20">
        <v>1470.0</v>
      </c>
      <c r="Q23" s="21">
        <f t="shared" si="13"/>
        <v>347.5889701</v>
      </c>
      <c r="R23" s="20">
        <f t="shared" si="14"/>
        <v>510955.7861</v>
      </c>
      <c r="S23" s="20">
        <f>IFERROR(__xludf.DUMMYFUNCTION("INDEX(IMPORTHTML(""https://www.bna.com.ar/Personas"", ""table"", 1), 2, 3)"),1465.0)</f>
        <v>1465</v>
      </c>
      <c r="T23" s="22">
        <f t="shared" si="15"/>
        <v>646706.6584</v>
      </c>
      <c r="U23" s="23">
        <f t="shared" si="16"/>
        <v>612.72</v>
      </c>
      <c r="V23" s="24">
        <f t="shared" si="17"/>
        <v>27.85090909</v>
      </c>
      <c r="W23" s="25">
        <f t="shared" si="18"/>
        <v>0.4104396412</v>
      </c>
      <c r="X23" s="19">
        <f t="shared" si="19"/>
        <v>1244898.725</v>
      </c>
      <c r="Y23" s="19"/>
    </row>
    <row r="24" ht="15.0" customHeight="1">
      <c r="A24" s="12">
        <v>45992.0</v>
      </c>
      <c r="B24" s="13">
        <v>3011513.0</v>
      </c>
      <c r="C24" s="14" t="s">
        <v>54</v>
      </c>
      <c r="D24" s="15">
        <v>0.27</v>
      </c>
      <c r="E24" s="16">
        <v>28047.0</v>
      </c>
      <c r="F24" s="17">
        <v>7969.0</v>
      </c>
      <c r="G24" s="17">
        <v>9368.0</v>
      </c>
      <c r="H24" s="17">
        <v>10710.0</v>
      </c>
      <c r="I24" s="17" t="s">
        <v>36</v>
      </c>
      <c r="J24" s="18">
        <v>255.886</v>
      </c>
      <c r="K24" s="18">
        <v>253.0963</v>
      </c>
      <c r="L24" s="18">
        <v>253.899</v>
      </c>
      <c r="M24" s="14">
        <v>10816.3</v>
      </c>
      <c r="N24" s="15">
        <f t="shared" si="11"/>
        <v>38863.3</v>
      </c>
      <c r="O24" s="19">
        <f t="shared" si="12"/>
        <v>7129419.962</v>
      </c>
      <c r="P24" s="20">
        <v>1470.0</v>
      </c>
      <c r="Q24" s="21">
        <f t="shared" si="13"/>
        <v>1868.195751</v>
      </c>
      <c r="R24" s="20">
        <f t="shared" si="14"/>
        <v>2746247.754</v>
      </c>
      <c r="S24" s="20">
        <f>IFERROR(__xludf.DUMMYFUNCTION("INDEX(IMPORTHTML(""https://www.bna.com.ar/Personas"", ""table"", 1), 2, 3)"),1465.0)</f>
        <v>1465</v>
      </c>
      <c r="T24" s="22">
        <f t="shared" si="15"/>
        <v>3475871.604</v>
      </c>
      <c r="U24" s="23">
        <f t="shared" si="16"/>
        <v>2163.26</v>
      </c>
      <c r="V24" s="24">
        <f t="shared" si="17"/>
        <v>98.33</v>
      </c>
      <c r="W24" s="25">
        <f t="shared" si="18"/>
        <v>0.2780822353</v>
      </c>
      <c r="X24" s="19">
        <f t="shared" si="19"/>
        <v>9875667.716</v>
      </c>
      <c r="Y24" s="19"/>
    </row>
    <row r="25" ht="15.0" customHeight="1">
      <c r="A25" s="12">
        <v>45992.0</v>
      </c>
      <c r="B25" s="13">
        <v>3062898.0</v>
      </c>
      <c r="C25" s="14" t="s">
        <v>55</v>
      </c>
      <c r="D25" s="15">
        <v>0.27</v>
      </c>
      <c r="E25" s="16">
        <v>25661.0</v>
      </c>
      <c r="F25" s="17">
        <v>6829.0</v>
      </c>
      <c r="G25" s="17">
        <v>7919.0</v>
      </c>
      <c r="H25" s="17">
        <v>10913.0</v>
      </c>
      <c r="I25" s="17" t="s">
        <v>36</v>
      </c>
      <c r="J25" s="18">
        <v>255.886</v>
      </c>
      <c r="K25" s="18">
        <v>253.0963</v>
      </c>
      <c r="L25" s="18">
        <v>253.899</v>
      </c>
      <c r="M25" s="14">
        <v>6284.5</v>
      </c>
      <c r="N25" s="15">
        <f t="shared" si="11"/>
        <v>31945.5</v>
      </c>
      <c r="O25" s="19">
        <f t="shared" si="12"/>
        <v>6522514.881</v>
      </c>
      <c r="P25" s="20">
        <v>1470.0</v>
      </c>
      <c r="Q25" s="21">
        <f t="shared" si="13"/>
        <v>1085.461405</v>
      </c>
      <c r="R25" s="20">
        <f t="shared" si="14"/>
        <v>1595628.266</v>
      </c>
      <c r="S25" s="20">
        <f>IFERROR(__xludf.DUMMYFUNCTION("INDEX(IMPORTHTML(""https://www.bna.com.ar/Personas"", ""table"", 1), 2, 3)"),1465.0)</f>
        <v>1465</v>
      </c>
      <c r="T25" s="22">
        <f t="shared" si="15"/>
        <v>2019555.217</v>
      </c>
      <c r="U25" s="23">
        <f t="shared" si="16"/>
        <v>1256.9</v>
      </c>
      <c r="V25" s="24">
        <f t="shared" si="17"/>
        <v>57.13181818</v>
      </c>
      <c r="W25" s="25">
        <f t="shared" si="18"/>
        <v>0.1965508906</v>
      </c>
      <c r="X25" s="19">
        <f t="shared" si="19"/>
        <v>8118143.146</v>
      </c>
      <c r="Y25" s="19"/>
    </row>
    <row r="26" ht="15.0" customHeight="1">
      <c r="A26" s="38">
        <v>45992.0</v>
      </c>
      <c r="B26" s="39">
        <v>4000202.0</v>
      </c>
      <c r="C26" s="40" t="s">
        <v>56</v>
      </c>
      <c r="D26" s="15">
        <v>0.27</v>
      </c>
      <c r="E26" s="41">
        <v>16520.0</v>
      </c>
      <c r="F26" s="42">
        <v>4270.0</v>
      </c>
      <c r="G26" s="42">
        <v>3920.0</v>
      </c>
      <c r="H26" s="42">
        <v>8330.0</v>
      </c>
      <c r="I26" s="42" t="s">
        <v>29</v>
      </c>
      <c r="J26" s="43">
        <v>156.5485</v>
      </c>
      <c r="K26" s="43">
        <v>153.7589</v>
      </c>
      <c r="L26" s="43">
        <v>154.5615</v>
      </c>
      <c r="M26" s="40">
        <v>4092.3</v>
      </c>
      <c r="N26" s="44">
        <f t="shared" si="11"/>
        <v>20612.3</v>
      </c>
      <c r="O26" s="45">
        <f t="shared" si="12"/>
        <v>2558694.278</v>
      </c>
      <c r="P26" s="46">
        <v>1470.0</v>
      </c>
      <c r="Q26" s="47">
        <f t="shared" si="13"/>
        <v>430.2802901</v>
      </c>
      <c r="R26" s="46">
        <f t="shared" si="14"/>
        <v>632512.0265</v>
      </c>
      <c r="S26" s="46">
        <f>IFERROR(__xludf.DUMMYFUNCTION("INDEX(IMPORTHTML(""https://www.bna.com.ar/Personas"", ""table"", 1), 2, 3)"),1465.0)</f>
        <v>1465</v>
      </c>
      <c r="T26" s="48">
        <f t="shared" si="15"/>
        <v>800557.9937</v>
      </c>
      <c r="U26" s="49">
        <f t="shared" si="16"/>
        <v>818.46</v>
      </c>
      <c r="V26" s="50">
        <f t="shared" si="17"/>
        <v>37.20272727</v>
      </c>
      <c r="W26" s="51">
        <f t="shared" si="18"/>
        <v>0.1982046806</v>
      </c>
      <c r="X26" s="45">
        <f t="shared" si="19"/>
        <v>3191206.304</v>
      </c>
      <c r="Y26" s="45"/>
    </row>
    <row r="27" ht="15.0" customHeight="1">
      <c r="A27" s="12">
        <v>45962.0</v>
      </c>
      <c r="B27" s="13">
        <v>4000202.0</v>
      </c>
      <c r="C27" s="14" t="s">
        <v>56</v>
      </c>
      <c r="D27" s="52">
        <v>0.27</v>
      </c>
      <c r="E27" s="16">
        <f t="shared" ref="E27:E52" si="20">SUM(F27:H27)</f>
        <v>15680</v>
      </c>
      <c r="F27" s="17">
        <v>4130.0</v>
      </c>
      <c r="G27" s="17">
        <v>3780.0</v>
      </c>
      <c r="H27" s="17">
        <v>7770.0</v>
      </c>
      <c r="I27" s="17" t="s">
        <v>29</v>
      </c>
      <c r="J27" s="18">
        <v>152.0913</v>
      </c>
      <c r="K27" s="18">
        <v>149.3017</v>
      </c>
      <c r="L27" s="18">
        <v>150.1043</v>
      </c>
      <c r="M27" s="15">
        <v>3980.5</v>
      </c>
      <c r="N27" s="15">
        <f t="shared" si="11"/>
        <v>19660.5</v>
      </c>
      <c r="O27" s="19">
        <f t="shared" si="12"/>
        <v>2358807.906</v>
      </c>
      <c r="P27" s="20">
        <v>1470.0</v>
      </c>
      <c r="Q27" s="21">
        <f t="shared" si="13"/>
        <v>406.4558953</v>
      </c>
      <c r="R27" s="20">
        <f t="shared" si="14"/>
        <v>597490.1662</v>
      </c>
      <c r="S27" s="20">
        <f>IFERROR(__xludf.DUMMYFUNCTION("INDEX(IMPORTHTML(""https://www.bna.com.ar/Personas"", ""table"", 1), 2, 3)"),1465.0)</f>
        <v>1465</v>
      </c>
      <c r="T27" s="22">
        <f t="shared" si="15"/>
        <v>756231.5161</v>
      </c>
      <c r="U27" s="23">
        <f t="shared" si="16"/>
        <v>796.1</v>
      </c>
      <c r="V27" s="24">
        <f t="shared" si="17"/>
        <v>36.18636364</v>
      </c>
      <c r="W27" s="25">
        <f t="shared" si="18"/>
        <v>0.2021075519</v>
      </c>
      <c r="X27" s="19">
        <f t="shared" si="19"/>
        <v>2956298.072</v>
      </c>
      <c r="Y27" s="19"/>
    </row>
    <row r="28" ht="15.0" customHeight="1">
      <c r="A28" s="12">
        <v>45963.0</v>
      </c>
      <c r="B28" s="13">
        <v>5238545.0</v>
      </c>
      <c r="C28" s="14" t="s">
        <v>26</v>
      </c>
      <c r="D28" s="15">
        <v>0.27</v>
      </c>
      <c r="E28" s="16">
        <f t="shared" si="20"/>
        <v>35146</v>
      </c>
      <c r="F28" s="17">
        <v>9214.0</v>
      </c>
      <c r="G28" s="17">
        <v>9096.0</v>
      </c>
      <c r="H28" s="17">
        <v>16836.0</v>
      </c>
      <c r="I28" s="17" t="s">
        <v>27</v>
      </c>
      <c r="J28" s="18">
        <v>163.3724</v>
      </c>
      <c r="K28" s="18">
        <v>160.5827</v>
      </c>
      <c r="L28" s="18">
        <v>161.3854</v>
      </c>
      <c r="M28" s="15">
        <v>12463.3</v>
      </c>
      <c r="N28" s="17">
        <f t="shared" si="11"/>
        <v>47609.3</v>
      </c>
      <c r="O28" s="19">
        <f t="shared" si="12"/>
        <v>5683058.127</v>
      </c>
      <c r="P28" s="20">
        <v>1470.0</v>
      </c>
      <c r="Q28" s="21">
        <f t="shared" si="13"/>
        <v>1368.295684</v>
      </c>
      <c r="R28" s="20">
        <f t="shared" si="14"/>
        <v>2011394.656</v>
      </c>
      <c r="S28" s="20">
        <f>IFERROR(__xludf.DUMMYFUNCTION("INDEX(IMPORTHTML(""https://www.bna.com.ar/Personas"", ""table"", 1), 2, 3)"),1465.0)</f>
        <v>1465</v>
      </c>
      <c r="T28" s="22">
        <f t="shared" si="15"/>
        <v>2545782.535</v>
      </c>
      <c r="U28" s="23">
        <f t="shared" si="16"/>
        <v>2492.66</v>
      </c>
      <c r="V28" s="24">
        <f t="shared" si="17"/>
        <v>113.3027273</v>
      </c>
      <c r="W28" s="25">
        <f t="shared" si="18"/>
        <v>0.2614084084</v>
      </c>
      <c r="X28" s="19">
        <f t="shared" si="19"/>
        <v>7694452.783</v>
      </c>
      <c r="Y28" s="19"/>
    </row>
    <row r="29" ht="15.0" customHeight="1">
      <c r="A29" s="12">
        <v>45964.0</v>
      </c>
      <c r="B29" s="13">
        <v>5263215.0</v>
      </c>
      <c r="C29" s="14" t="s">
        <v>57</v>
      </c>
      <c r="D29" s="15">
        <v>0.27</v>
      </c>
      <c r="E29" s="16">
        <f t="shared" si="20"/>
        <v>2199</v>
      </c>
      <c r="F29" s="17"/>
      <c r="G29" s="17"/>
      <c r="H29" s="17">
        <v>2199.0</v>
      </c>
      <c r="I29" s="17" t="s">
        <v>34</v>
      </c>
      <c r="J29" s="18">
        <v>195.1016</v>
      </c>
      <c r="K29" s="18">
        <v>195.1016</v>
      </c>
      <c r="L29" s="18">
        <v>195.1016</v>
      </c>
      <c r="M29" s="14">
        <v>1232.2</v>
      </c>
      <c r="N29" s="17">
        <f t="shared" si="11"/>
        <v>3431.2</v>
      </c>
      <c r="O29" s="19">
        <f t="shared" si="12"/>
        <v>429028.4184</v>
      </c>
      <c r="P29" s="20">
        <v>1470.0</v>
      </c>
      <c r="Q29" s="21">
        <f t="shared" si="13"/>
        <v>163.5402663</v>
      </c>
      <c r="R29" s="20">
        <f t="shared" si="14"/>
        <v>240404.1915</v>
      </c>
      <c r="S29" s="20">
        <f>IFERROR(__xludf.DUMMYFUNCTION("INDEX(IMPORTHTML(""https://www.bna.com.ar/Personas"", ""table"", 1), 2, 3)"),1465.0)</f>
        <v>1465</v>
      </c>
      <c r="T29" s="22">
        <f t="shared" si="15"/>
        <v>304274.8425</v>
      </c>
      <c r="U29" s="23">
        <f t="shared" si="16"/>
        <v>246.44</v>
      </c>
      <c r="V29" s="24">
        <f t="shared" si="17"/>
        <v>11.20181818</v>
      </c>
      <c r="W29" s="25">
        <f t="shared" si="18"/>
        <v>0.3591163441</v>
      </c>
      <c r="X29" s="19">
        <f t="shared" si="19"/>
        <v>669432.6099</v>
      </c>
      <c r="Y29" s="19"/>
    </row>
    <row r="30" ht="15.0" customHeight="1">
      <c r="A30" s="12">
        <v>45965.0</v>
      </c>
      <c r="B30" s="13">
        <v>5296128.0</v>
      </c>
      <c r="C30" s="14" t="s">
        <v>58</v>
      </c>
      <c r="D30" s="15">
        <v>0.27</v>
      </c>
      <c r="E30" s="16">
        <f t="shared" si="20"/>
        <v>1461</v>
      </c>
      <c r="F30" s="17">
        <v>162.0</v>
      </c>
      <c r="G30" s="17">
        <v>268.0</v>
      </c>
      <c r="H30" s="17">
        <v>1031.0</v>
      </c>
      <c r="I30" s="17" t="s">
        <v>25</v>
      </c>
      <c r="J30" s="18">
        <v>145.8675</v>
      </c>
      <c r="K30" s="18">
        <v>145.8675</v>
      </c>
      <c r="L30" s="18">
        <v>145.8675</v>
      </c>
      <c r="M30" s="15">
        <v>337.8</v>
      </c>
      <c r="N30" s="17">
        <f>E29+M30</f>
        <v>2536.8</v>
      </c>
      <c r="O30" s="19">
        <f t="shared" si="12"/>
        <v>213112.4175</v>
      </c>
      <c r="P30" s="20">
        <v>1470.0</v>
      </c>
      <c r="Q30" s="21">
        <f t="shared" si="13"/>
        <v>33.51975612</v>
      </c>
      <c r="R30" s="20">
        <f t="shared" si="14"/>
        <v>49274.0415</v>
      </c>
      <c r="S30" s="20">
        <f>IFERROR(__xludf.DUMMYFUNCTION("INDEX(IMPORTHTML(""https://www.bna.com.ar/Personas"", ""table"", 1), 2, 3)"),1465.0)</f>
        <v>1465</v>
      </c>
      <c r="T30" s="22">
        <f t="shared" si="15"/>
        <v>62365.18225</v>
      </c>
      <c r="U30" s="23">
        <f t="shared" si="16"/>
        <v>67.56</v>
      </c>
      <c r="V30" s="24">
        <f t="shared" si="17"/>
        <v>3.070909091</v>
      </c>
      <c r="W30" s="25">
        <f t="shared" si="18"/>
        <v>0.1877918612</v>
      </c>
      <c r="X30" s="19">
        <f t="shared" si="19"/>
        <v>262386.459</v>
      </c>
      <c r="Y30" s="19"/>
    </row>
    <row r="31" ht="15.0" customHeight="1">
      <c r="A31" s="12">
        <v>45966.0</v>
      </c>
      <c r="B31" s="13">
        <v>3062898.0</v>
      </c>
      <c r="C31" s="14" t="s">
        <v>59</v>
      </c>
      <c r="D31" s="15">
        <v>0.27</v>
      </c>
      <c r="E31" s="16">
        <f t="shared" si="20"/>
        <v>7178</v>
      </c>
      <c r="F31" s="16">
        <v>1742.0</v>
      </c>
      <c r="G31" s="17">
        <v>1984.0</v>
      </c>
      <c r="H31" s="17">
        <v>3452.0</v>
      </c>
      <c r="I31" s="17" t="s">
        <v>36</v>
      </c>
      <c r="J31" s="18">
        <v>253.749</v>
      </c>
      <c r="K31" s="18">
        <v>251.0043</v>
      </c>
      <c r="L31" s="18">
        <v>251.807</v>
      </c>
      <c r="M31" s="15">
        <v>1018.2</v>
      </c>
      <c r="N31" s="17">
        <f>F31+M31</f>
        <v>2760.2</v>
      </c>
      <c r="O31" s="19">
        <f t="shared" si="12"/>
        <v>1809261.053</v>
      </c>
      <c r="P31" s="20">
        <v>1470.0</v>
      </c>
      <c r="Q31" s="21">
        <f t="shared" si="13"/>
        <v>174.4148894</v>
      </c>
      <c r="R31" s="20">
        <f t="shared" si="14"/>
        <v>256389.8874</v>
      </c>
      <c r="S31" s="20">
        <f>IFERROR(__xludf.DUMMYFUNCTION("INDEX(IMPORTHTML(""https://www.bna.com.ar/Personas"", ""table"", 1), 2, 3)"),1465.0)</f>
        <v>1465</v>
      </c>
      <c r="T31" s="22">
        <f t="shared" si="15"/>
        <v>324507.6225</v>
      </c>
      <c r="U31" s="23">
        <f t="shared" si="16"/>
        <v>203.64</v>
      </c>
      <c r="V31" s="24">
        <f t="shared" si="17"/>
        <v>9.256363636</v>
      </c>
      <c r="W31" s="25">
        <f t="shared" si="18"/>
        <v>0.1241206258</v>
      </c>
      <c r="X31" s="19">
        <f t="shared" si="19"/>
        <v>2065650.941</v>
      </c>
      <c r="Y31" s="19"/>
    </row>
    <row r="32" ht="15.0" customHeight="1">
      <c r="A32" s="12">
        <v>45967.0</v>
      </c>
      <c r="B32" s="13">
        <v>3011513.0</v>
      </c>
      <c r="C32" s="14" t="s">
        <v>60</v>
      </c>
      <c r="D32" s="15">
        <v>0.27</v>
      </c>
      <c r="E32" s="16">
        <f t="shared" si="20"/>
        <v>691</v>
      </c>
      <c r="F32" s="17">
        <v>208.0</v>
      </c>
      <c r="G32" s="17">
        <v>207.0</v>
      </c>
      <c r="H32" s="17">
        <v>276.0</v>
      </c>
      <c r="I32" s="17" t="s">
        <v>36</v>
      </c>
      <c r="J32" s="18">
        <v>253.749</v>
      </c>
      <c r="K32" s="18">
        <v>251.0043</v>
      </c>
      <c r="L32" s="18">
        <v>251.807</v>
      </c>
      <c r="M32" s="15">
        <v>632.2</v>
      </c>
      <c r="N32" s="17">
        <f>E32+M32</f>
        <v>1323.2</v>
      </c>
      <c r="O32" s="19">
        <f t="shared" ref="O32:O33" si="21">J33*F32+G32*K33+H32*L33</f>
        <v>103969.2291</v>
      </c>
      <c r="P32" s="20">
        <v>1470.0</v>
      </c>
      <c r="Q32" s="21">
        <f t="shared" ref="Q32:Q33" si="22">(M32*L33)/P32</f>
        <v>64.55506018</v>
      </c>
      <c r="R32" s="20">
        <f t="shared" si="14"/>
        <v>94895.93846</v>
      </c>
      <c r="S32" s="20">
        <f>IFERROR(__xludf.DUMMYFUNCTION("INDEX(IMPORTHTML(""https://www.bna.com.ar/Personas"", ""table"", 1), 2, 3)"),1465.0)</f>
        <v>1465</v>
      </c>
      <c r="T32" s="22">
        <f t="shared" si="15"/>
        <v>120107.9172</v>
      </c>
      <c r="U32" s="23">
        <f t="shared" si="16"/>
        <v>126.44</v>
      </c>
      <c r="V32" s="24">
        <f t="shared" si="17"/>
        <v>5.747272727</v>
      </c>
      <c r="W32" s="25">
        <f t="shared" ref="W32:W33" si="23">(M32*L33)/(M32*L33+H32*L33+K33*G32+J33*F32)</f>
        <v>0.4771873306</v>
      </c>
      <c r="X32" s="19">
        <f t="shared" ref="X32:X33" si="24">F32*J33+G32*K33+H32*L33+M32*L33</f>
        <v>198865.1676</v>
      </c>
      <c r="Y32" s="19"/>
    </row>
    <row r="33" ht="15.0" customHeight="1">
      <c r="A33" s="12">
        <v>45968.0</v>
      </c>
      <c r="B33" s="13">
        <v>5076526.0</v>
      </c>
      <c r="C33" s="14" t="s">
        <v>61</v>
      </c>
      <c r="D33" s="15">
        <v>0.27</v>
      </c>
      <c r="E33" s="16">
        <f t="shared" si="20"/>
        <v>6180</v>
      </c>
      <c r="F33" s="16">
        <v>30.0</v>
      </c>
      <c r="G33" s="17">
        <v>2130.0</v>
      </c>
      <c r="H33" s="17">
        <v>4020.0</v>
      </c>
      <c r="I33" s="17" t="s">
        <v>29</v>
      </c>
      <c r="J33" s="18">
        <v>152.0913</v>
      </c>
      <c r="K33" s="18">
        <v>149.3017</v>
      </c>
      <c r="L33" s="18">
        <v>150.1043</v>
      </c>
      <c r="M33" s="15">
        <v>1905.7</v>
      </c>
      <c r="N33" s="17">
        <f>F33+M33</f>
        <v>1935.7</v>
      </c>
      <c r="O33" s="19">
        <f t="shared" si="21"/>
        <v>1025984.841</v>
      </c>
      <c r="P33" s="20">
        <v>1470.0</v>
      </c>
      <c r="Q33" s="21">
        <f t="shared" si="22"/>
        <v>215.5349293</v>
      </c>
      <c r="R33" s="20">
        <f t="shared" si="14"/>
        <v>316836.346</v>
      </c>
      <c r="S33" s="20">
        <f>IFERROR(__xludf.DUMMYFUNCTION("INDEX(IMPORTHTML(""https://www.bna.com.ar/Personas"", ""table"", 1), 2, 3)"),1465.0)</f>
        <v>1465</v>
      </c>
      <c r="T33" s="22">
        <f t="shared" si="15"/>
        <v>401013.5127</v>
      </c>
      <c r="U33" s="23">
        <f t="shared" si="16"/>
        <v>381.14</v>
      </c>
      <c r="V33" s="24">
        <f t="shared" si="17"/>
        <v>17.32454545</v>
      </c>
      <c r="W33" s="25">
        <f t="shared" si="23"/>
        <v>0.2359482775</v>
      </c>
      <c r="X33" s="19">
        <f t="shared" si="24"/>
        <v>1342821.187</v>
      </c>
      <c r="Y33" s="19"/>
    </row>
    <row r="34" ht="15.0" customHeight="1">
      <c r="A34" s="12">
        <v>45969.0</v>
      </c>
      <c r="B34" s="13">
        <v>5213946.0</v>
      </c>
      <c r="C34" s="14" t="s">
        <v>50</v>
      </c>
      <c r="D34" s="15">
        <v>0.27</v>
      </c>
      <c r="E34" s="16">
        <f t="shared" si="20"/>
        <v>5951</v>
      </c>
      <c r="F34" s="17">
        <v>2497.0</v>
      </c>
      <c r="G34" s="17">
        <v>732.0</v>
      </c>
      <c r="H34" s="17">
        <v>2722.0</v>
      </c>
      <c r="I34" s="17" t="s">
        <v>51</v>
      </c>
      <c r="J34" s="18">
        <v>168.0449</v>
      </c>
      <c r="K34" s="18">
        <v>165.535</v>
      </c>
      <c r="L34" s="18">
        <v>166.2572</v>
      </c>
      <c r="M34" s="15">
        <v>1195.1</v>
      </c>
      <c r="N34" s="17">
        <f t="shared" ref="N34:N305" si="25">E34+M34</f>
        <v>7146.1</v>
      </c>
      <c r="O34" s="19">
        <f t="shared" ref="O34:O132" si="26">J34*F34+G34*K34+H34*L34</f>
        <v>993331.8337</v>
      </c>
      <c r="P34" s="20">
        <v>1470.0</v>
      </c>
      <c r="Q34" s="21">
        <f t="shared" ref="Q34:Q132" si="27">(M34*L34)/P34</f>
        <v>135.1659726</v>
      </c>
      <c r="R34" s="20">
        <f t="shared" si="14"/>
        <v>198693.9797</v>
      </c>
      <c r="S34" s="20">
        <f>IFERROR(__xludf.DUMMYFUNCTION("INDEX(IMPORTHTML(""https://www.bna.com.ar/Personas"", ""table"", 1), 2, 3)"),1465.0)</f>
        <v>1465</v>
      </c>
      <c r="T34" s="22">
        <f t="shared" si="15"/>
        <v>251483.0503</v>
      </c>
      <c r="U34" s="23">
        <f t="shared" si="16"/>
        <v>239.02</v>
      </c>
      <c r="V34" s="24">
        <f t="shared" si="17"/>
        <v>10.86454545</v>
      </c>
      <c r="W34" s="25">
        <f t="shared" ref="W34:W132" si="28">(M34*L34)/(M34*L34+H34*L34+K34*G34+J34*F34)</f>
        <v>0.1666859706</v>
      </c>
      <c r="X34" s="19">
        <f t="shared" ref="X34:X132" si="29">F34*J34+G34*K34+H34*L34+M34*L34</f>
        <v>1192025.813</v>
      </c>
      <c r="Y34" s="19"/>
    </row>
    <row r="35" ht="15.0" customHeight="1">
      <c r="A35" s="12">
        <v>45970.0</v>
      </c>
      <c r="B35" s="13">
        <v>5346470.0</v>
      </c>
      <c r="C35" s="14" t="s">
        <v>62</v>
      </c>
      <c r="D35" s="15">
        <v>0.27</v>
      </c>
      <c r="E35" s="16">
        <f t="shared" si="20"/>
        <v>5553</v>
      </c>
      <c r="F35" s="17">
        <v>1722.0</v>
      </c>
      <c r="G35" s="17">
        <v>1962.0</v>
      </c>
      <c r="H35" s="17">
        <v>1869.0</v>
      </c>
      <c r="I35" s="17" t="s">
        <v>29</v>
      </c>
      <c r="J35" s="18">
        <v>152.0913</v>
      </c>
      <c r="K35" s="18">
        <v>149.3017</v>
      </c>
      <c r="L35" s="18">
        <v>150.1043</v>
      </c>
      <c r="M35" s="15">
        <v>2814.1</v>
      </c>
      <c r="N35" s="17">
        <f t="shared" si="25"/>
        <v>8367.1</v>
      </c>
      <c r="O35" s="19">
        <f t="shared" si="26"/>
        <v>835376.0907</v>
      </c>
      <c r="P35" s="20">
        <v>1470.0</v>
      </c>
      <c r="Q35" s="21">
        <f t="shared" si="27"/>
        <v>287.3527283</v>
      </c>
      <c r="R35" s="20">
        <f t="shared" si="14"/>
        <v>422408.5106</v>
      </c>
      <c r="S35" s="20">
        <f>IFERROR(__xludf.DUMMYFUNCTION("INDEX(IMPORTHTML(""https://www.bna.com.ar/Personas"", ""table"", 1), 2, 3)"),1465.0)</f>
        <v>1465</v>
      </c>
      <c r="T35" s="22">
        <f t="shared" si="15"/>
        <v>534634.1187</v>
      </c>
      <c r="U35" s="23">
        <f t="shared" si="16"/>
        <v>562.82</v>
      </c>
      <c r="V35" s="24">
        <f t="shared" si="17"/>
        <v>25.58272727</v>
      </c>
      <c r="W35" s="25">
        <f t="shared" si="28"/>
        <v>0.3358353332</v>
      </c>
      <c r="X35" s="19">
        <f t="shared" si="29"/>
        <v>1257784.601</v>
      </c>
      <c r="Y35" s="19"/>
    </row>
    <row r="36" ht="15.0" customHeight="1">
      <c r="A36" s="12">
        <v>45971.0</v>
      </c>
      <c r="B36" s="13">
        <v>5214767.0</v>
      </c>
      <c r="C36" s="14" t="s">
        <v>63</v>
      </c>
      <c r="D36" s="15">
        <v>0.27</v>
      </c>
      <c r="E36" s="16">
        <f t="shared" si="20"/>
        <v>4876</v>
      </c>
      <c r="F36" s="17">
        <v>766.0</v>
      </c>
      <c r="G36" s="17">
        <v>2.0</v>
      </c>
      <c r="H36" s="17">
        <v>4108.0</v>
      </c>
      <c r="I36" s="17" t="s">
        <v>25</v>
      </c>
      <c r="J36" s="18">
        <v>145.8675</v>
      </c>
      <c r="K36" s="18">
        <v>145.8675</v>
      </c>
      <c r="L36" s="18">
        <v>145.8675</v>
      </c>
      <c r="M36" s="15">
        <v>5400.1</v>
      </c>
      <c r="N36" s="17">
        <f t="shared" si="25"/>
        <v>10276.1</v>
      </c>
      <c r="O36" s="19">
        <f t="shared" si="26"/>
        <v>711249.93</v>
      </c>
      <c r="P36" s="20">
        <v>1470.0</v>
      </c>
      <c r="Q36" s="21">
        <f t="shared" si="27"/>
        <v>535.8497189</v>
      </c>
      <c r="R36" s="20">
        <f t="shared" si="14"/>
        <v>787699.0868</v>
      </c>
      <c r="S36" s="20">
        <f>IFERROR(__xludf.DUMMYFUNCTION("INDEX(IMPORTHTML(""https://www.bna.com.ar/Personas"", ""table"", 1), 2, 3)"),1465.0)</f>
        <v>1465</v>
      </c>
      <c r="T36" s="22">
        <f t="shared" si="15"/>
        <v>996975.1945</v>
      </c>
      <c r="U36" s="23">
        <f t="shared" si="16"/>
        <v>1080.02</v>
      </c>
      <c r="V36" s="24">
        <f t="shared" si="17"/>
        <v>49.09181818</v>
      </c>
      <c r="W36" s="25">
        <f t="shared" si="28"/>
        <v>0.5255009196</v>
      </c>
      <c r="X36" s="19">
        <f t="shared" si="29"/>
        <v>1498949.017</v>
      </c>
      <c r="Y36" s="19"/>
    </row>
    <row r="37" ht="15.0" customHeight="1">
      <c r="A37" s="12">
        <v>45972.0</v>
      </c>
      <c r="B37" s="13">
        <v>5068576.0</v>
      </c>
      <c r="C37" s="14" t="s">
        <v>64</v>
      </c>
      <c r="D37" s="15">
        <v>0.27</v>
      </c>
      <c r="E37" s="16">
        <f t="shared" si="20"/>
        <v>13501</v>
      </c>
      <c r="F37" s="17">
        <v>2929.0</v>
      </c>
      <c r="G37" s="17">
        <v>3482.0</v>
      </c>
      <c r="H37" s="17">
        <v>7090.0</v>
      </c>
      <c r="I37" s="17" t="s">
        <v>29</v>
      </c>
      <c r="J37" s="18">
        <v>152.0913</v>
      </c>
      <c r="K37" s="18">
        <v>149.3017</v>
      </c>
      <c r="L37" s="18">
        <v>150.1043</v>
      </c>
      <c r="M37" s="15">
        <v>3529.5</v>
      </c>
      <c r="N37" s="17">
        <f t="shared" si="25"/>
        <v>17030.5</v>
      </c>
      <c r="O37" s="19">
        <f t="shared" si="26"/>
        <v>2029583.424</v>
      </c>
      <c r="P37" s="20">
        <v>1470.0</v>
      </c>
      <c r="Q37" s="21">
        <f t="shared" si="27"/>
        <v>360.4034877</v>
      </c>
      <c r="R37" s="20">
        <f t="shared" si="14"/>
        <v>529793.1269</v>
      </c>
      <c r="S37" s="20">
        <f>IFERROR(__xludf.DUMMYFUNCTION("INDEX(IMPORTHTML(""https://www.bna.com.ar/Personas"", ""table"", 1), 2, 3)"),1465.0)</f>
        <v>1465</v>
      </c>
      <c r="T37" s="22">
        <f t="shared" si="15"/>
        <v>670548.709</v>
      </c>
      <c r="U37" s="23">
        <f t="shared" si="16"/>
        <v>705.9</v>
      </c>
      <c r="V37" s="24">
        <f t="shared" si="17"/>
        <v>32.08636364</v>
      </c>
      <c r="W37" s="25">
        <f t="shared" si="28"/>
        <v>0.2070008521</v>
      </c>
      <c r="X37" s="19">
        <f t="shared" si="29"/>
        <v>2559376.551</v>
      </c>
      <c r="Y37" s="19"/>
    </row>
    <row r="38" ht="15.0" customHeight="1">
      <c r="A38" s="12">
        <v>45973.0</v>
      </c>
      <c r="B38" s="13">
        <v>5019237.0</v>
      </c>
      <c r="C38" s="14" t="s">
        <v>46</v>
      </c>
      <c r="D38" s="15">
        <v>0.27</v>
      </c>
      <c r="E38" s="16">
        <f t="shared" si="20"/>
        <v>3346</v>
      </c>
      <c r="F38" s="17">
        <v>809.0</v>
      </c>
      <c r="G38" s="17">
        <v>977.0</v>
      </c>
      <c r="H38" s="17">
        <v>1560.0</v>
      </c>
      <c r="I38" s="17" t="s">
        <v>29</v>
      </c>
      <c r="J38" s="18">
        <v>152.0913</v>
      </c>
      <c r="K38" s="18">
        <v>149.3017</v>
      </c>
      <c r="L38" s="18">
        <v>150.1043</v>
      </c>
      <c r="M38" s="15">
        <v>1096.4</v>
      </c>
      <c r="N38" s="17">
        <f t="shared" si="25"/>
        <v>4442.4</v>
      </c>
      <c r="O38" s="19">
        <f t="shared" si="26"/>
        <v>503072.3306</v>
      </c>
      <c r="P38" s="20">
        <v>1470.0</v>
      </c>
      <c r="Q38" s="21">
        <f t="shared" si="27"/>
        <v>111.9553432</v>
      </c>
      <c r="R38" s="20">
        <f t="shared" si="14"/>
        <v>164574.3545</v>
      </c>
      <c r="S38" s="20">
        <f>IFERROR(__xludf.DUMMYFUNCTION("INDEX(IMPORTHTML(""https://www.bna.com.ar/Personas"", ""table"", 1), 2, 3)"),1465.0)</f>
        <v>1465</v>
      </c>
      <c r="T38" s="22">
        <f t="shared" si="15"/>
        <v>208298.5138</v>
      </c>
      <c r="U38" s="23">
        <f t="shared" si="16"/>
        <v>219.28</v>
      </c>
      <c r="V38" s="24">
        <f t="shared" si="17"/>
        <v>9.967272727</v>
      </c>
      <c r="W38" s="25">
        <f t="shared" si="28"/>
        <v>0.2464991712</v>
      </c>
      <c r="X38" s="19">
        <f t="shared" si="29"/>
        <v>667646.6851</v>
      </c>
      <c r="Y38" s="19"/>
    </row>
    <row r="39" ht="15.0" customHeight="1">
      <c r="A39" s="12">
        <v>45974.0</v>
      </c>
      <c r="B39" s="13">
        <v>5272486.0</v>
      </c>
      <c r="C39" s="14" t="s">
        <v>45</v>
      </c>
      <c r="D39" s="15">
        <v>0.27</v>
      </c>
      <c r="E39" s="16">
        <f t="shared" si="20"/>
        <v>4054</v>
      </c>
      <c r="F39" s="17"/>
      <c r="G39" s="17"/>
      <c r="H39" s="17">
        <v>4054.0</v>
      </c>
      <c r="I39" s="17" t="s">
        <v>34</v>
      </c>
      <c r="J39" s="18">
        <v>195.1016</v>
      </c>
      <c r="K39" s="18">
        <v>195.1016</v>
      </c>
      <c r="L39" s="18">
        <v>195.1016</v>
      </c>
      <c r="M39" s="15">
        <v>1105.9</v>
      </c>
      <c r="N39" s="17">
        <f t="shared" si="25"/>
        <v>5159.9</v>
      </c>
      <c r="O39" s="19">
        <f t="shared" si="26"/>
        <v>790941.8864</v>
      </c>
      <c r="P39" s="20">
        <v>1470.0</v>
      </c>
      <c r="Q39" s="21">
        <f t="shared" si="27"/>
        <v>146.7774554</v>
      </c>
      <c r="R39" s="20">
        <f t="shared" si="14"/>
        <v>215762.8594</v>
      </c>
      <c r="S39" s="20">
        <f>IFERROR(__xludf.DUMMYFUNCTION("INDEX(IMPORTHTML(""https://www.bna.com.ar/Personas"", ""table"", 1), 2, 3)"),1465.0)</f>
        <v>1465</v>
      </c>
      <c r="T39" s="22">
        <f t="shared" si="15"/>
        <v>273086.7946</v>
      </c>
      <c r="U39" s="23">
        <f t="shared" si="16"/>
        <v>221.18</v>
      </c>
      <c r="V39" s="24">
        <f t="shared" si="17"/>
        <v>10.05363636</v>
      </c>
      <c r="W39" s="25">
        <f t="shared" si="28"/>
        <v>0.214325859</v>
      </c>
      <c r="X39" s="19">
        <f t="shared" si="29"/>
        <v>1006704.746</v>
      </c>
      <c r="Y39" s="19"/>
    </row>
    <row r="40" ht="15.0" customHeight="1">
      <c r="A40" s="12">
        <v>45975.0</v>
      </c>
      <c r="B40" s="13">
        <v>5238577.0</v>
      </c>
      <c r="C40" s="14" t="s">
        <v>44</v>
      </c>
      <c r="D40" s="15">
        <v>0.27</v>
      </c>
      <c r="E40" s="16">
        <f t="shared" si="20"/>
        <v>6333</v>
      </c>
      <c r="F40" s="17"/>
      <c r="G40" s="17"/>
      <c r="H40" s="17">
        <v>6333.0</v>
      </c>
      <c r="I40" s="17" t="s">
        <v>25</v>
      </c>
      <c r="J40" s="18">
        <v>145.8675</v>
      </c>
      <c r="K40" s="18">
        <v>145.8675</v>
      </c>
      <c r="L40" s="18">
        <v>145.8675</v>
      </c>
      <c r="M40" s="15">
        <v>1722.9</v>
      </c>
      <c r="N40" s="17">
        <f t="shared" si="25"/>
        <v>8055.9</v>
      </c>
      <c r="O40" s="19">
        <f t="shared" si="26"/>
        <v>923778.8775</v>
      </c>
      <c r="P40" s="20">
        <v>1470.0</v>
      </c>
      <c r="Q40" s="21">
        <f t="shared" si="27"/>
        <v>170.9626638</v>
      </c>
      <c r="R40" s="20">
        <f t="shared" si="14"/>
        <v>251315.1158</v>
      </c>
      <c r="S40" s="20">
        <f>IFERROR(__xludf.DUMMYFUNCTION("INDEX(IMPORTHTML(""https://www.bna.com.ar/Personas"", ""table"", 1), 2, 3)"),1465.0)</f>
        <v>1465</v>
      </c>
      <c r="T40" s="22">
        <f t="shared" si="15"/>
        <v>318084.5841</v>
      </c>
      <c r="U40" s="23">
        <f t="shared" si="16"/>
        <v>344.58</v>
      </c>
      <c r="V40" s="24">
        <f t="shared" si="17"/>
        <v>15.66272727</v>
      </c>
      <c r="W40" s="25">
        <f t="shared" si="28"/>
        <v>0.2138680967</v>
      </c>
      <c r="X40" s="19">
        <f t="shared" si="29"/>
        <v>1175093.993</v>
      </c>
      <c r="Y40" s="19"/>
    </row>
    <row r="41" ht="15.0" customHeight="1">
      <c r="A41" s="12">
        <v>45976.0</v>
      </c>
      <c r="B41" s="13">
        <v>5253773.0</v>
      </c>
      <c r="C41" s="14" t="s">
        <v>43</v>
      </c>
      <c r="D41" s="15">
        <v>0.27</v>
      </c>
      <c r="E41" s="16">
        <f t="shared" si="20"/>
        <v>517</v>
      </c>
      <c r="F41" s="17">
        <v>173.0</v>
      </c>
      <c r="G41" s="17">
        <v>74.0</v>
      </c>
      <c r="H41" s="17">
        <v>270.0</v>
      </c>
      <c r="I41" s="17" t="s">
        <v>32</v>
      </c>
      <c r="J41" s="18">
        <v>233.1878</v>
      </c>
      <c r="K41" s="18">
        <v>233.1878</v>
      </c>
      <c r="L41" s="18">
        <v>233.1878</v>
      </c>
      <c r="M41" s="15">
        <v>253.6</v>
      </c>
      <c r="N41" s="17">
        <f t="shared" si="25"/>
        <v>770.6</v>
      </c>
      <c r="O41" s="19">
        <f t="shared" si="26"/>
        <v>120558.0926</v>
      </c>
      <c r="P41" s="20">
        <v>1470.0</v>
      </c>
      <c r="Q41" s="21">
        <f t="shared" si="27"/>
        <v>40.22886128</v>
      </c>
      <c r="R41" s="20">
        <f t="shared" si="14"/>
        <v>59136.42608</v>
      </c>
      <c r="S41" s="20">
        <f>IFERROR(__xludf.DUMMYFUNCTION("INDEX(IMPORTHTML(""https://www.bna.com.ar/Personas"", ""table"", 1), 2, 3)"),1465.0)</f>
        <v>1465</v>
      </c>
      <c r="T41" s="22">
        <f t="shared" si="15"/>
        <v>74847.80785</v>
      </c>
      <c r="U41" s="23">
        <f t="shared" si="16"/>
        <v>50.72</v>
      </c>
      <c r="V41" s="24">
        <f t="shared" si="17"/>
        <v>2.305454545</v>
      </c>
      <c r="W41" s="25">
        <f t="shared" si="28"/>
        <v>0.3290942123</v>
      </c>
      <c r="X41" s="19">
        <f t="shared" si="29"/>
        <v>179694.5187</v>
      </c>
      <c r="Y41" s="19"/>
    </row>
    <row r="42" ht="15.0" customHeight="1">
      <c r="A42" s="12">
        <v>45977.0</v>
      </c>
      <c r="B42" s="13">
        <v>5320074.0</v>
      </c>
      <c r="C42" s="14" t="s">
        <v>65</v>
      </c>
      <c r="D42" s="15">
        <v>0.27</v>
      </c>
      <c r="E42" s="16">
        <f t="shared" si="20"/>
        <v>16473</v>
      </c>
      <c r="F42" s="17">
        <v>4042.0</v>
      </c>
      <c r="G42" s="17">
        <v>3998.0</v>
      </c>
      <c r="H42" s="17">
        <v>8433.0</v>
      </c>
      <c r="I42" s="17" t="s">
        <v>29</v>
      </c>
      <c r="J42" s="18">
        <v>152.0913</v>
      </c>
      <c r="K42" s="18">
        <v>149.3017</v>
      </c>
      <c r="L42" s="18">
        <v>150.1043</v>
      </c>
      <c r="M42" s="15">
        <v>2222.4</v>
      </c>
      <c r="N42" s="17">
        <f t="shared" si="25"/>
        <v>18695.4</v>
      </c>
      <c r="O42" s="19">
        <f t="shared" si="26"/>
        <v>2477490.793</v>
      </c>
      <c r="P42" s="20">
        <v>1470.0</v>
      </c>
      <c r="Q42" s="21">
        <f t="shared" si="27"/>
        <v>226.9331948</v>
      </c>
      <c r="R42" s="20">
        <f t="shared" si="14"/>
        <v>333591.7963</v>
      </c>
      <c r="S42" s="20">
        <f>IFERROR(__xludf.DUMMYFUNCTION("INDEX(IMPORTHTML(""https://www.bna.com.ar/Personas"", ""table"", 1), 2, 3)"),1465.0)</f>
        <v>1465</v>
      </c>
      <c r="T42" s="22">
        <f t="shared" si="15"/>
        <v>422220.5555</v>
      </c>
      <c r="U42" s="23">
        <f t="shared" si="16"/>
        <v>444.48</v>
      </c>
      <c r="V42" s="24">
        <f t="shared" si="17"/>
        <v>20.20363636</v>
      </c>
      <c r="W42" s="25">
        <f t="shared" si="28"/>
        <v>0.1186702225</v>
      </c>
      <c r="X42" s="19">
        <f t="shared" si="29"/>
        <v>2811082.589</v>
      </c>
      <c r="Y42" s="19"/>
    </row>
    <row r="43" ht="15.0" customHeight="1">
      <c r="A43" s="12">
        <v>45978.0</v>
      </c>
      <c r="B43" s="13">
        <v>5352763.0</v>
      </c>
      <c r="C43" s="14" t="s">
        <v>66</v>
      </c>
      <c r="D43" s="15">
        <v>0.27</v>
      </c>
      <c r="E43" s="16">
        <f t="shared" si="20"/>
        <v>2245</v>
      </c>
      <c r="F43" s="17">
        <v>637.0</v>
      </c>
      <c r="G43" s="17">
        <v>378.0</v>
      </c>
      <c r="H43" s="17">
        <v>1230.0</v>
      </c>
      <c r="I43" s="17" t="s">
        <v>25</v>
      </c>
      <c r="J43" s="18">
        <v>145.8675</v>
      </c>
      <c r="K43" s="18">
        <v>145.8675</v>
      </c>
      <c r="L43" s="18">
        <v>145.8675</v>
      </c>
      <c r="M43" s="15">
        <v>649.2</v>
      </c>
      <c r="N43" s="17">
        <f t="shared" si="25"/>
        <v>2894.2</v>
      </c>
      <c r="O43" s="19">
        <f t="shared" si="26"/>
        <v>327472.5375</v>
      </c>
      <c r="P43" s="20">
        <v>1470.0</v>
      </c>
      <c r="Q43" s="21">
        <f t="shared" si="27"/>
        <v>64.41985102</v>
      </c>
      <c r="R43" s="20">
        <f t="shared" si="14"/>
        <v>94697.181</v>
      </c>
      <c r="S43" s="20">
        <f>IFERROR(__xludf.DUMMYFUNCTION("INDEX(IMPORTHTML(""https://www.bna.com.ar/Personas"", ""table"", 1), 2, 3)"),1465.0)</f>
        <v>1465</v>
      </c>
      <c r="T43" s="22">
        <f t="shared" si="15"/>
        <v>119856.3538</v>
      </c>
      <c r="U43" s="23">
        <f t="shared" si="16"/>
        <v>129.84</v>
      </c>
      <c r="V43" s="24">
        <f t="shared" si="17"/>
        <v>5.901818182</v>
      </c>
      <c r="W43" s="25">
        <f t="shared" si="28"/>
        <v>0.2243106903</v>
      </c>
      <c r="X43" s="19">
        <f t="shared" si="29"/>
        <v>422169.7185</v>
      </c>
      <c r="Y43" s="19"/>
    </row>
    <row r="44" ht="15.0" customHeight="1">
      <c r="A44" s="12">
        <v>45979.0</v>
      </c>
      <c r="B44" s="13">
        <v>3092029.0</v>
      </c>
      <c r="C44" s="14" t="s">
        <v>42</v>
      </c>
      <c r="D44" s="15">
        <v>0.27</v>
      </c>
      <c r="E44" s="16">
        <f t="shared" si="20"/>
        <v>11790</v>
      </c>
      <c r="F44" s="17">
        <v>6270.0</v>
      </c>
      <c r="G44" s="17">
        <v>1770.0</v>
      </c>
      <c r="H44" s="17">
        <v>3750.0</v>
      </c>
      <c r="I44" s="17" t="s">
        <v>29</v>
      </c>
      <c r="J44" s="18">
        <v>152.0913</v>
      </c>
      <c r="K44" s="18">
        <v>149.3017</v>
      </c>
      <c r="L44" s="18">
        <v>150.1043</v>
      </c>
      <c r="M44" s="15">
        <v>3225.5</v>
      </c>
      <c r="N44" s="17">
        <f t="shared" si="25"/>
        <v>15015.5</v>
      </c>
      <c r="O44" s="19">
        <f t="shared" si="26"/>
        <v>1780767.585</v>
      </c>
      <c r="P44" s="20">
        <v>1470.0</v>
      </c>
      <c r="Q44" s="21">
        <f t="shared" si="27"/>
        <v>329.36151</v>
      </c>
      <c r="R44" s="20">
        <f t="shared" si="14"/>
        <v>484161.4197</v>
      </c>
      <c r="S44" s="20">
        <f>IFERROR(__xludf.DUMMYFUNCTION("INDEX(IMPORTHTML(""https://www.bna.com.ar/Personas"", ""table"", 1), 2, 3)"),1465.0)</f>
        <v>1465</v>
      </c>
      <c r="T44" s="22">
        <f t="shared" si="15"/>
        <v>612793.5574</v>
      </c>
      <c r="U44" s="23">
        <f t="shared" si="16"/>
        <v>645.1</v>
      </c>
      <c r="V44" s="24">
        <f t="shared" si="17"/>
        <v>29.32272727</v>
      </c>
      <c r="W44" s="25">
        <f t="shared" si="28"/>
        <v>0.2137645015</v>
      </c>
      <c r="X44" s="19">
        <f t="shared" si="29"/>
        <v>2264929.005</v>
      </c>
      <c r="Y44" s="19"/>
    </row>
    <row r="45" ht="15.0" customHeight="1">
      <c r="A45" s="12">
        <v>45980.0</v>
      </c>
      <c r="B45" s="13">
        <v>5076619.0</v>
      </c>
      <c r="C45" s="14" t="s">
        <v>41</v>
      </c>
      <c r="D45" s="15">
        <v>0.27</v>
      </c>
      <c r="E45" s="16">
        <f t="shared" si="20"/>
        <v>3694</v>
      </c>
      <c r="F45" s="17">
        <v>1129.0</v>
      </c>
      <c r="G45" s="17">
        <v>951.0</v>
      </c>
      <c r="H45" s="17">
        <v>1614.0</v>
      </c>
      <c r="I45" s="17" t="s">
        <v>25</v>
      </c>
      <c r="J45" s="18">
        <v>145.8675</v>
      </c>
      <c r="K45" s="18">
        <v>145.8675</v>
      </c>
      <c r="L45" s="18">
        <v>145.8675</v>
      </c>
      <c r="M45" s="15"/>
      <c r="N45" s="17">
        <f t="shared" si="25"/>
        <v>3694</v>
      </c>
      <c r="O45" s="19">
        <f t="shared" si="26"/>
        <v>538834.545</v>
      </c>
      <c r="P45" s="20">
        <v>1470.0</v>
      </c>
      <c r="Q45" s="21">
        <f t="shared" si="27"/>
        <v>0</v>
      </c>
      <c r="R45" s="20">
        <f t="shared" si="14"/>
        <v>0</v>
      </c>
      <c r="S45" s="20">
        <f>IFERROR(__xludf.DUMMYFUNCTION("INDEX(IMPORTHTML(""https://www.bna.com.ar/Personas"", ""table"", 1), 2, 3)"),1465.0)</f>
        <v>1465</v>
      </c>
      <c r="T45" s="22">
        <f t="shared" si="15"/>
        <v>0</v>
      </c>
      <c r="U45" s="23">
        <f t="shared" si="16"/>
        <v>0</v>
      </c>
      <c r="V45" s="24">
        <f t="shared" si="17"/>
        <v>0</v>
      </c>
      <c r="W45" s="25">
        <f t="shared" si="28"/>
        <v>0</v>
      </c>
      <c r="X45" s="19">
        <f t="shared" si="29"/>
        <v>538834.545</v>
      </c>
      <c r="Y45" s="19"/>
    </row>
    <row r="46" ht="15.0" customHeight="1">
      <c r="A46" s="12">
        <v>45981.0</v>
      </c>
      <c r="B46" s="13">
        <v>4000681.0</v>
      </c>
      <c r="C46" s="14" t="s">
        <v>40</v>
      </c>
      <c r="D46" s="15">
        <v>0.27</v>
      </c>
      <c r="E46" s="16">
        <f t="shared" si="20"/>
        <v>7741</v>
      </c>
      <c r="F46" s="17">
        <v>2428.0</v>
      </c>
      <c r="G46" s="17">
        <v>2630.0</v>
      </c>
      <c r="H46" s="17">
        <v>2683.0</v>
      </c>
      <c r="I46" s="17" t="s">
        <v>25</v>
      </c>
      <c r="J46" s="18">
        <v>145.8675</v>
      </c>
      <c r="K46" s="18">
        <v>145.8675</v>
      </c>
      <c r="L46" s="18">
        <v>145.8675</v>
      </c>
      <c r="M46" s="15">
        <v>3084.0</v>
      </c>
      <c r="N46" s="17">
        <f t="shared" si="25"/>
        <v>10825</v>
      </c>
      <c r="O46" s="19">
        <f t="shared" si="26"/>
        <v>1129160.318</v>
      </c>
      <c r="P46" s="20">
        <v>1470.0</v>
      </c>
      <c r="Q46" s="21">
        <f t="shared" si="27"/>
        <v>306.0240612</v>
      </c>
      <c r="R46" s="20">
        <f t="shared" si="14"/>
        <v>449855.37</v>
      </c>
      <c r="S46" s="20">
        <f>IFERROR(__xludf.DUMMYFUNCTION("INDEX(IMPORTHTML(""https://www.bna.com.ar/Personas"", ""table"", 1), 2, 3)"),1465.0)</f>
        <v>1465</v>
      </c>
      <c r="T46" s="22">
        <f t="shared" si="15"/>
        <v>569373.0671</v>
      </c>
      <c r="U46" s="23">
        <f t="shared" si="16"/>
        <v>616.8</v>
      </c>
      <c r="V46" s="24">
        <f t="shared" si="17"/>
        <v>28.03636364</v>
      </c>
      <c r="W46" s="25">
        <f t="shared" si="28"/>
        <v>0.2848960739</v>
      </c>
      <c r="X46" s="19">
        <f t="shared" si="29"/>
        <v>1579015.688</v>
      </c>
      <c r="Y46" s="19"/>
    </row>
    <row r="47" ht="15.0" customHeight="1">
      <c r="A47" s="12">
        <v>45982.0</v>
      </c>
      <c r="B47" s="13">
        <v>5253775.0</v>
      </c>
      <c r="C47" s="14" t="s">
        <v>39</v>
      </c>
      <c r="D47" s="15">
        <v>0.27</v>
      </c>
      <c r="E47" s="16">
        <f t="shared" si="20"/>
        <v>643</v>
      </c>
      <c r="F47" s="17"/>
      <c r="G47" s="17"/>
      <c r="H47" s="17">
        <v>643.0</v>
      </c>
      <c r="I47" s="17" t="s">
        <v>32</v>
      </c>
      <c r="J47" s="18">
        <v>233.1878</v>
      </c>
      <c r="K47" s="18">
        <v>233.1878</v>
      </c>
      <c r="L47" s="18">
        <v>233.1878</v>
      </c>
      <c r="M47" s="15">
        <v>144.5</v>
      </c>
      <c r="N47" s="17">
        <f t="shared" si="25"/>
        <v>787.5</v>
      </c>
      <c r="O47" s="19">
        <f t="shared" si="26"/>
        <v>149939.7554</v>
      </c>
      <c r="P47" s="20">
        <v>1470.0</v>
      </c>
      <c r="Q47" s="21">
        <f t="shared" si="27"/>
        <v>22.92220211</v>
      </c>
      <c r="R47" s="20">
        <f t="shared" si="14"/>
        <v>33695.6371</v>
      </c>
      <c r="S47" s="20">
        <f>IFERROR(__xludf.DUMMYFUNCTION("INDEX(IMPORTHTML(""https://www.bna.com.ar/Personas"", ""table"", 1), 2, 3)"),1465.0)</f>
        <v>1465</v>
      </c>
      <c r="T47" s="22">
        <f t="shared" si="15"/>
        <v>42647.90313</v>
      </c>
      <c r="U47" s="23">
        <f t="shared" si="16"/>
        <v>28.9</v>
      </c>
      <c r="V47" s="24">
        <f t="shared" si="17"/>
        <v>1.313636364</v>
      </c>
      <c r="W47" s="25">
        <f t="shared" si="28"/>
        <v>0.1834920635</v>
      </c>
      <c r="X47" s="19">
        <f t="shared" si="29"/>
        <v>183635.3925</v>
      </c>
      <c r="Y47" s="19"/>
    </row>
    <row r="48" ht="15.0" customHeight="1">
      <c r="A48" s="12">
        <v>45983.0</v>
      </c>
      <c r="B48" s="13">
        <v>5211887.0</v>
      </c>
      <c r="C48" s="14" t="s">
        <v>38</v>
      </c>
      <c r="D48" s="15">
        <v>0.27</v>
      </c>
      <c r="E48" s="16">
        <f t="shared" si="20"/>
        <v>2436</v>
      </c>
      <c r="F48" s="17"/>
      <c r="G48" s="17"/>
      <c r="H48" s="17">
        <v>2436.0</v>
      </c>
      <c r="I48" s="17" t="s">
        <v>25</v>
      </c>
      <c r="J48" s="18">
        <v>145.8675</v>
      </c>
      <c r="K48" s="18">
        <v>145.8675</v>
      </c>
      <c r="L48" s="18">
        <v>145.8675</v>
      </c>
      <c r="M48" s="15">
        <v>1276.9</v>
      </c>
      <c r="N48" s="17">
        <f t="shared" si="25"/>
        <v>3712.9</v>
      </c>
      <c r="O48" s="19">
        <f t="shared" si="26"/>
        <v>355333.23</v>
      </c>
      <c r="P48" s="20">
        <v>1470.0</v>
      </c>
      <c r="Q48" s="21">
        <f t="shared" si="27"/>
        <v>126.7062658</v>
      </c>
      <c r="R48" s="20">
        <f t="shared" si="14"/>
        <v>186258.2108</v>
      </c>
      <c r="S48" s="20">
        <f>IFERROR(__xludf.DUMMYFUNCTION("INDEX(IMPORTHTML(""https://www.bna.com.ar/Personas"", ""table"", 1), 2, 3)"),1465.0)</f>
        <v>1465</v>
      </c>
      <c r="T48" s="22">
        <f t="shared" si="15"/>
        <v>235743.3429</v>
      </c>
      <c r="U48" s="23">
        <f t="shared" si="16"/>
        <v>255.38</v>
      </c>
      <c r="V48" s="24">
        <f t="shared" si="17"/>
        <v>11.60818182</v>
      </c>
      <c r="W48" s="25">
        <f t="shared" si="28"/>
        <v>0.3439090738</v>
      </c>
      <c r="X48" s="19">
        <f t="shared" si="29"/>
        <v>541591.4408</v>
      </c>
      <c r="Y48" s="19"/>
    </row>
    <row r="49" ht="15.0" customHeight="1">
      <c r="A49" s="12">
        <v>45962.0</v>
      </c>
      <c r="B49" s="13">
        <v>5346222.0</v>
      </c>
      <c r="C49" s="14" t="s">
        <v>37</v>
      </c>
      <c r="D49" s="15">
        <v>0.27</v>
      </c>
      <c r="E49" s="16">
        <f t="shared" si="20"/>
        <v>7889</v>
      </c>
      <c r="F49" s="17">
        <v>2248.0</v>
      </c>
      <c r="G49" s="17">
        <v>2776.0</v>
      </c>
      <c r="H49" s="17">
        <v>2865.0</v>
      </c>
      <c r="I49" s="17" t="s">
        <v>25</v>
      </c>
      <c r="J49" s="18">
        <v>145.8675</v>
      </c>
      <c r="K49" s="18">
        <v>145.8675</v>
      </c>
      <c r="L49" s="18">
        <v>145.8675</v>
      </c>
      <c r="M49" s="15">
        <v>3476.0</v>
      </c>
      <c r="N49" s="17">
        <f t="shared" si="25"/>
        <v>11365</v>
      </c>
      <c r="O49" s="19">
        <f t="shared" si="26"/>
        <v>1150748.708</v>
      </c>
      <c r="P49" s="20">
        <v>1470.0</v>
      </c>
      <c r="Q49" s="21">
        <f t="shared" si="27"/>
        <v>344.9220612</v>
      </c>
      <c r="R49" s="20">
        <f t="shared" si="14"/>
        <v>507035.43</v>
      </c>
      <c r="S49" s="20">
        <f>IFERROR(__xludf.DUMMYFUNCTION("INDEX(IMPORTHTML(""https://www.bna.com.ar/Personas"", ""table"", 1), 2, 3)"),1465.0)</f>
        <v>1465</v>
      </c>
      <c r="T49" s="22">
        <f t="shared" si="15"/>
        <v>641744.741</v>
      </c>
      <c r="U49" s="23">
        <f t="shared" si="16"/>
        <v>695.2</v>
      </c>
      <c r="V49" s="24">
        <f t="shared" si="17"/>
        <v>31.6</v>
      </c>
      <c r="W49" s="25">
        <f t="shared" si="28"/>
        <v>0.3058512978</v>
      </c>
      <c r="X49" s="19">
        <f t="shared" si="29"/>
        <v>1657784.138</v>
      </c>
      <c r="Y49" s="19"/>
    </row>
    <row r="50" ht="15.0" customHeight="1">
      <c r="A50" s="12">
        <v>45985.0</v>
      </c>
      <c r="B50" s="13">
        <v>3025373.0</v>
      </c>
      <c r="C50" s="14" t="s">
        <v>35</v>
      </c>
      <c r="D50" s="15">
        <v>0.27</v>
      </c>
      <c r="E50" s="16">
        <f t="shared" si="20"/>
        <v>8097</v>
      </c>
      <c r="F50" s="17">
        <v>2444.0</v>
      </c>
      <c r="G50" s="17">
        <v>2347.0</v>
      </c>
      <c r="H50" s="17">
        <v>3306.0</v>
      </c>
      <c r="I50" s="17" t="s">
        <v>36</v>
      </c>
      <c r="J50" s="18">
        <v>253.749</v>
      </c>
      <c r="K50" s="18">
        <v>251.0043</v>
      </c>
      <c r="L50" s="18">
        <v>251.807</v>
      </c>
      <c r="M50" s="15">
        <v>4008.1</v>
      </c>
      <c r="N50" s="17">
        <f t="shared" si="25"/>
        <v>12105.1</v>
      </c>
      <c r="O50" s="19">
        <f t="shared" si="26"/>
        <v>2041743.59</v>
      </c>
      <c r="P50" s="20">
        <v>1470.0</v>
      </c>
      <c r="Q50" s="21">
        <f t="shared" si="27"/>
        <v>686.5766236</v>
      </c>
      <c r="R50" s="20">
        <f t="shared" si="14"/>
        <v>1009267.637</v>
      </c>
      <c r="S50" s="20">
        <f>IFERROR(__xludf.DUMMYFUNCTION("INDEX(IMPORTHTML(""https://www.bna.com.ar/Personas"", ""table"", 1), 2, 3)"),1465.0)</f>
        <v>1465</v>
      </c>
      <c r="T50" s="22">
        <f t="shared" si="15"/>
        <v>1277410.137</v>
      </c>
      <c r="U50" s="23">
        <f t="shared" si="16"/>
        <v>801.62</v>
      </c>
      <c r="V50" s="24">
        <f t="shared" si="17"/>
        <v>36.43727273</v>
      </c>
      <c r="W50" s="25">
        <f t="shared" si="28"/>
        <v>0.330797746</v>
      </c>
      <c r="X50" s="19">
        <f t="shared" si="29"/>
        <v>3051011.227</v>
      </c>
      <c r="Y50" s="19"/>
    </row>
    <row r="51" ht="15.0" customHeight="1">
      <c r="A51" s="12">
        <v>45986.0</v>
      </c>
      <c r="B51" s="13">
        <v>5251101.0</v>
      </c>
      <c r="C51" s="14" t="s">
        <v>67</v>
      </c>
      <c r="D51" s="15">
        <v>0.27</v>
      </c>
      <c r="E51" s="16">
        <f t="shared" si="20"/>
        <v>2160</v>
      </c>
      <c r="F51" s="17">
        <v>108.0</v>
      </c>
      <c r="G51" s="17">
        <v>180.0</v>
      </c>
      <c r="H51" s="17">
        <v>1872.0</v>
      </c>
      <c r="I51" s="17" t="s">
        <v>27</v>
      </c>
      <c r="J51" s="18">
        <v>163.3724</v>
      </c>
      <c r="K51" s="18">
        <v>160.5827</v>
      </c>
      <c r="L51" s="18">
        <v>161.3854</v>
      </c>
      <c r="M51" s="15">
        <v>4394.8</v>
      </c>
      <c r="N51" s="17">
        <f t="shared" si="25"/>
        <v>6554.8</v>
      </c>
      <c r="O51" s="19">
        <f t="shared" si="26"/>
        <v>348662.574</v>
      </c>
      <c r="P51" s="20">
        <v>1470.0</v>
      </c>
      <c r="Q51" s="21">
        <f t="shared" si="27"/>
        <v>482.487453</v>
      </c>
      <c r="R51" s="20">
        <f t="shared" si="14"/>
        <v>709256.5559</v>
      </c>
      <c r="S51" s="20">
        <f>IFERROR(__xludf.DUMMYFUNCTION("INDEX(IMPORTHTML(""https://www.bna.com.ar/Personas"", ""table"", 1), 2, 3)"),1465.0)</f>
        <v>1465</v>
      </c>
      <c r="T51" s="22">
        <f t="shared" si="15"/>
        <v>897692.0307</v>
      </c>
      <c r="U51" s="23">
        <f t="shared" si="16"/>
        <v>878.96</v>
      </c>
      <c r="V51" s="24">
        <f t="shared" si="17"/>
        <v>39.95272727</v>
      </c>
      <c r="W51" s="25">
        <f t="shared" si="28"/>
        <v>0.6704260617</v>
      </c>
      <c r="X51" s="19">
        <f t="shared" si="29"/>
        <v>1057919.13</v>
      </c>
      <c r="Y51" s="19"/>
    </row>
    <row r="52" ht="15.0" customHeight="1">
      <c r="A52" s="38">
        <v>45987.0</v>
      </c>
      <c r="B52" s="39">
        <v>5251104.0</v>
      </c>
      <c r="C52" s="40" t="s">
        <v>52</v>
      </c>
      <c r="D52" s="15">
        <v>0.27</v>
      </c>
      <c r="E52" s="41">
        <f t="shared" si="20"/>
        <v>4612</v>
      </c>
      <c r="F52" s="42">
        <v>77.0</v>
      </c>
      <c r="G52" s="42">
        <v>108.0</v>
      </c>
      <c r="H52" s="42">
        <v>4427.0</v>
      </c>
      <c r="I52" s="42" t="s">
        <v>27</v>
      </c>
      <c r="J52" s="43">
        <v>163.3724</v>
      </c>
      <c r="K52" s="43">
        <v>160.5827</v>
      </c>
      <c r="L52" s="43">
        <v>161.3854</v>
      </c>
      <c r="M52" s="44">
        <v>4394.8</v>
      </c>
      <c r="N52" s="42">
        <f t="shared" si="25"/>
        <v>9006.8</v>
      </c>
      <c r="O52" s="45">
        <f t="shared" si="26"/>
        <v>744375.7722</v>
      </c>
      <c r="P52" s="20">
        <v>1470.0</v>
      </c>
      <c r="Q52" s="47">
        <f t="shared" si="27"/>
        <v>482.487453</v>
      </c>
      <c r="R52" s="46">
        <f t="shared" si="14"/>
        <v>709256.5559</v>
      </c>
      <c r="S52" s="46">
        <f>IFERROR(__xludf.DUMMYFUNCTION("INDEX(IMPORTHTML(""https://www.bna.com.ar/Personas"", ""table"", 1), 2, 3)"),1465.0)</f>
        <v>1465</v>
      </c>
      <c r="T52" s="48">
        <f t="shared" si="15"/>
        <v>897692.0307</v>
      </c>
      <c r="U52" s="49">
        <f t="shared" si="16"/>
        <v>878.96</v>
      </c>
      <c r="V52" s="50">
        <f t="shared" si="17"/>
        <v>39.95272727</v>
      </c>
      <c r="W52" s="51">
        <f t="shared" si="28"/>
        <v>0.487920186</v>
      </c>
      <c r="X52" s="45">
        <f t="shared" si="29"/>
        <v>1453632.328</v>
      </c>
      <c r="Y52" s="45"/>
    </row>
    <row r="53" ht="15.0" customHeight="1">
      <c r="A53" s="53">
        <v>45931.0</v>
      </c>
      <c r="B53" s="54">
        <v>4000202.0</v>
      </c>
      <c r="C53" s="55" t="s">
        <v>56</v>
      </c>
      <c r="D53" s="52">
        <v>0.27</v>
      </c>
      <c r="E53" s="56">
        <f t="shared" ref="E53:E64" si="30">F53+G53+H53</f>
        <v>16520</v>
      </c>
      <c r="F53" s="56">
        <v>4200.0</v>
      </c>
      <c r="G53" s="56">
        <v>3640.0</v>
      </c>
      <c r="H53" s="56">
        <v>8680.0</v>
      </c>
      <c r="I53" s="55" t="s">
        <v>29</v>
      </c>
      <c r="J53" s="57">
        <v>159.8077</v>
      </c>
      <c r="K53" s="57">
        <v>156.9735</v>
      </c>
      <c r="L53" s="57">
        <v>158.2241</v>
      </c>
      <c r="M53" s="52">
        <v>3585.9</v>
      </c>
      <c r="N53" s="56">
        <f t="shared" si="25"/>
        <v>20105.9</v>
      </c>
      <c r="O53" s="58">
        <f t="shared" si="26"/>
        <v>2615961.068</v>
      </c>
      <c r="P53" s="59">
        <v>1450.0</v>
      </c>
      <c r="Q53" s="60">
        <f t="shared" si="27"/>
        <v>391.2936553</v>
      </c>
      <c r="R53" s="59">
        <f t="shared" si="14"/>
        <v>567375.8002</v>
      </c>
      <c r="S53" s="20">
        <f>IFERROR(__xludf.DUMMYFUNCTION("INDEX(IMPORTHTML(""https://www.bna.com.ar/Personas"", ""table"", 1), 2, 3)"),1465.0)</f>
        <v>1465</v>
      </c>
      <c r="T53" s="61">
        <f t="shared" si="15"/>
        <v>728021.4104</v>
      </c>
      <c r="U53" s="62">
        <f t="shared" si="16"/>
        <v>717.18</v>
      </c>
      <c r="V53" s="63">
        <f t="shared" si="17"/>
        <v>32.59909091</v>
      </c>
      <c r="W53" s="64">
        <f t="shared" si="28"/>
        <v>0.1782330377</v>
      </c>
      <c r="X53" s="58">
        <f t="shared" si="29"/>
        <v>3183336.868</v>
      </c>
      <c r="Y53" s="58"/>
    </row>
    <row r="54" ht="15.0" customHeight="1">
      <c r="A54" s="12">
        <v>45932.0</v>
      </c>
      <c r="B54" s="13">
        <v>5238545.0</v>
      </c>
      <c r="C54" s="14" t="s">
        <v>26</v>
      </c>
      <c r="D54" s="15">
        <v>0.27</v>
      </c>
      <c r="E54" s="17">
        <f t="shared" si="30"/>
        <v>27401</v>
      </c>
      <c r="F54" s="17">
        <v>7072.0</v>
      </c>
      <c r="G54" s="17">
        <v>7098.0</v>
      </c>
      <c r="H54" s="17">
        <v>13231.0</v>
      </c>
      <c r="I54" s="14" t="s">
        <v>27</v>
      </c>
      <c r="J54" s="18">
        <v>170.9156</v>
      </c>
      <c r="K54" s="18">
        <v>168.0814</v>
      </c>
      <c r="L54" s="18">
        <v>169.332</v>
      </c>
      <c r="M54" s="15">
        <v>10226.1</v>
      </c>
      <c r="N54" s="17">
        <f t="shared" si="25"/>
        <v>37627.1</v>
      </c>
      <c r="O54" s="19">
        <f t="shared" si="26"/>
        <v>4642188.592</v>
      </c>
      <c r="P54" s="20">
        <v>1450.0</v>
      </c>
      <c r="Q54" s="21">
        <f t="shared" si="27"/>
        <v>1194.21101</v>
      </c>
      <c r="R54" s="20">
        <f t="shared" si="14"/>
        <v>1731605.965</v>
      </c>
      <c r="S54" s="20">
        <f>IFERROR(__xludf.DUMMYFUNCTION("INDEX(IMPORTHTML(""https://www.bna.com.ar/Personas"", ""table"", 1), 2, 3)"),1465.0)</f>
        <v>1465</v>
      </c>
      <c r="T54" s="22">
        <f t="shared" si="15"/>
        <v>2221889.296</v>
      </c>
      <c r="U54" s="23">
        <f t="shared" si="16"/>
        <v>2045.22</v>
      </c>
      <c r="V54" s="24">
        <f t="shared" si="17"/>
        <v>92.96454545</v>
      </c>
      <c r="W54" s="25">
        <f t="shared" si="28"/>
        <v>0.271675836</v>
      </c>
      <c r="X54" s="19">
        <f t="shared" si="29"/>
        <v>6373794.558</v>
      </c>
      <c r="Y54" s="19"/>
    </row>
    <row r="55" ht="15.0" customHeight="1">
      <c r="A55" s="12">
        <v>45933.0</v>
      </c>
      <c r="B55" s="13">
        <v>5263215.0</v>
      </c>
      <c r="C55" s="14" t="s">
        <v>57</v>
      </c>
      <c r="D55" s="15">
        <v>0.27</v>
      </c>
      <c r="E55" s="17">
        <f t="shared" si="30"/>
        <v>2318</v>
      </c>
      <c r="F55" s="17"/>
      <c r="G55" s="17"/>
      <c r="H55" s="17">
        <v>2318.0</v>
      </c>
      <c r="I55" s="14" t="s">
        <v>34</v>
      </c>
      <c r="J55" s="18">
        <v>207.4306</v>
      </c>
      <c r="K55" s="18">
        <v>207.4306</v>
      </c>
      <c r="L55" s="18">
        <v>207.4306</v>
      </c>
      <c r="M55" s="15">
        <v>1271.9</v>
      </c>
      <c r="N55" s="17">
        <f t="shared" si="25"/>
        <v>3589.9</v>
      </c>
      <c r="O55" s="19">
        <f t="shared" si="26"/>
        <v>480824.1308</v>
      </c>
      <c r="P55" s="20">
        <v>1450.0</v>
      </c>
      <c r="Q55" s="21">
        <f t="shared" si="27"/>
        <v>181.9524001</v>
      </c>
      <c r="R55" s="20">
        <f t="shared" si="14"/>
        <v>263830.9801</v>
      </c>
      <c r="S55" s="20">
        <f>IFERROR(__xludf.DUMMYFUNCTION("INDEX(IMPORTHTML(""https://www.bna.com.ar/Personas"", ""table"", 1), 2, 3)"),1465.0)</f>
        <v>1465</v>
      </c>
      <c r="T55" s="22">
        <f t="shared" si="15"/>
        <v>338531.538</v>
      </c>
      <c r="U55" s="23">
        <f t="shared" si="16"/>
        <v>254.38</v>
      </c>
      <c r="V55" s="24">
        <f t="shared" si="17"/>
        <v>11.56272727</v>
      </c>
      <c r="W55" s="25">
        <f t="shared" si="28"/>
        <v>0.3542995627</v>
      </c>
      <c r="X55" s="19">
        <f t="shared" si="29"/>
        <v>744655.1109</v>
      </c>
      <c r="Y55" s="19"/>
    </row>
    <row r="56" ht="15.0" customHeight="1">
      <c r="A56" s="12">
        <v>45931.0</v>
      </c>
      <c r="B56" s="13">
        <v>5296128.0</v>
      </c>
      <c r="C56" s="14" t="s">
        <v>58</v>
      </c>
      <c r="D56" s="15">
        <v>0.27</v>
      </c>
      <c r="E56" s="17">
        <f t="shared" si="30"/>
        <v>1595</v>
      </c>
      <c r="F56" s="17">
        <v>179.0</v>
      </c>
      <c r="G56" s="17">
        <v>298.0</v>
      </c>
      <c r="H56" s="17">
        <v>1118.0</v>
      </c>
      <c r="I56" s="14" t="s">
        <v>25</v>
      </c>
      <c r="J56" s="18">
        <v>157.071</v>
      </c>
      <c r="K56" s="18">
        <v>157.071</v>
      </c>
      <c r="L56" s="18">
        <v>157.071</v>
      </c>
      <c r="M56" s="15">
        <v>335.5</v>
      </c>
      <c r="N56" s="17">
        <f t="shared" si="25"/>
        <v>1930.5</v>
      </c>
      <c r="O56" s="19">
        <f t="shared" si="26"/>
        <v>250528.245</v>
      </c>
      <c r="P56" s="20">
        <v>1450.0</v>
      </c>
      <c r="Q56" s="21">
        <f t="shared" si="27"/>
        <v>36.34297966</v>
      </c>
      <c r="R56" s="20">
        <f t="shared" si="14"/>
        <v>52697.3205</v>
      </c>
      <c r="S56" s="20">
        <f>IFERROR(__xludf.DUMMYFUNCTION("INDEX(IMPORTHTML(""https://www.bna.com.ar/Personas"", ""table"", 1), 2, 3)"),1465.0)</f>
        <v>1465</v>
      </c>
      <c r="T56" s="22">
        <f t="shared" si="15"/>
        <v>67617.9308</v>
      </c>
      <c r="U56" s="23">
        <f t="shared" si="16"/>
        <v>67.1</v>
      </c>
      <c r="V56" s="24">
        <f t="shared" si="17"/>
        <v>3.05</v>
      </c>
      <c r="W56" s="25">
        <f t="shared" si="28"/>
        <v>0.1737891738</v>
      </c>
      <c r="X56" s="19">
        <f t="shared" si="29"/>
        <v>303225.5655</v>
      </c>
      <c r="Y56" s="19"/>
    </row>
    <row r="57" ht="15.0" customHeight="1">
      <c r="A57" s="12">
        <v>45931.0</v>
      </c>
      <c r="B57" s="13">
        <v>3062898.0</v>
      </c>
      <c r="C57" s="14" t="s">
        <v>59</v>
      </c>
      <c r="D57" s="15">
        <v>0.27</v>
      </c>
      <c r="E57" s="17">
        <f t="shared" si="30"/>
        <v>1733</v>
      </c>
      <c r="F57" s="17">
        <v>377.0</v>
      </c>
      <c r="G57" s="17">
        <v>386.0</v>
      </c>
      <c r="H57" s="17">
        <v>970.0</v>
      </c>
      <c r="I57" s="14" t="s">
        <v>36</v>
      </c>
      <c r="J57" s="18">
        <v>250.4823</v>
      </c>
      <c r="K57" s="18">
        <v>247.6481</v>
      </c>
      <c r="L57" s="18">
        <v>248.8987</v>
      </c>
      <c r="M57" s="15">
        <v>174.5</v>
      </c>
      <c r="N57" s="17">
        <f t="shared" si="25"/>
        <v>1907.5</v>
      </c>
      <c r="O57" s="19">
        <f t="shared" si="26"/>
        <v>431455.7327</v>
      </c>
      <c r="P57" s="20">
        <v>1450.0</v>
      </c>
      <c r="Q57" s="21">
        <f t="shared" si="27"/>
        <v>29.95367114</v>
      </c>
      <c r="R57" s="20">
        <f t="shared" si="14"/>
        <v>43432.82315</v>
      </c>
      <c r="S57" s="20">
        <f>IFERROR(__xludf.DUMMYFUNCTION("INDEX(IMPORTHTML(""https://www.bna.com.ar/Personas"", ""table"", 1), 2, 3)"),1465.0)</f>
        <v>1465</v>
      </c>
      <c r="T57" s="22">
        <f t="shared" si="15"/>
        <v>55730.30284</v>
      </c>
      <c r="U57" s="23">
        <f t="shared" si="16"/>
        <v>34.9</v>
      </c>
      <c r="V57" s="24">
        <f t="shared" si="17"/>
        <v>1.586363636</v>
      </c>
      <c r="W57" s="25">
        <f t="shared" si="28"/>
        <v>0.09145898046</v>
      </c>
      <c r="X57" s="19">
        <f t="shared" si="29"/>
        <v>474888.5559</v>
      </c>
      <c r="Y57" s="19"/>
    </row>
    <row r="58" ht="15.0" customHeight="1">
      <c r="A58" s="12">
        <v>45931.0</v>
      </c>
      <c r="B58" s="13">
        <v>3011513.0</v>
      </c>
      <c r="C58" s="14" t="s">
        <v>60</v>
      </c>
      <c r="D58" s="15">
        <v>0.27</v>
      </c>
      <c r="E58" s="17">
        <f t="shared" si="30"/>
        <v>769</v>
      </c>
      <c r="F58" s="17">
        <v>233.0</v>
      </c>
      <c r="G58" s="17">
        <v>221.0</v>
      </c>
      <c r="H58" s="17">
        <v>315.0</v>
      </c>
      <c r="I58" s="14" t="s">
        <v>36</v>
      </c>
      <c r="J58" s="18">
        <v>250.4823</v>
      </c>
      <c r="K58" s="18">
        <v>247.6481</v>
      </c>
      <c r="L58" s="18">
        <v>248.8987</v>
      </c>
      <c r="M58" s="15">
        <v>515.4</v>
      </c>
      <c r="N58" s="17">
        <f t="shared" si="25"/>
        <v>1284.4</v>
      </c>
      <c r="O58" s="19">
        <f t="shared" si="26"/>
        <v>191495.6965</v>
      </c>
      <c r="P58" s="20">
        <v>1450.0</v>
      </c>
      <c r="Q58" s="21">
        <f t="shared" si="27"/>
        <v>88.47061378</v>
      </c>
      <c r="R58" s="20">
        <f t="shared" si="14"/>
        <v>128282.39</v>
      </c>
      <c r="S58" s="20">
        <f>IFERROR(__xludf.DUMMYFUNCTION("INDEX(IMPORTHTML(""https://www.bna.com.ar/Personas"", ""table"", 1), 2, 3)"),1465.0)</f>
        <v>1465</v>
      </c>
      <c r="T58" s="22">
        <f t="shared" si="15"/>
        <v>164604.0005</v>
      </c>
      <c r="U58" s="23">
        <f t="shared" si="16"/>
        <v>103.08</v>
      </c>
      <c r="V58" s="24">
        <f t="shared" si="17"/>
        <v>4.685454545</v>
      </c>
      <c r="W58" s="25">
        <f t="shared" si="28"/>
        <v>0.4011606655</v>
      </c>
      <c r="X58" s="19">
        <f t="shared" si="29"/>
        <v>319778.0865</v>
      </c>
      <c r="Y58" s="19"/>
    </row>
    <row r="59" ht="15.0" customHeight="1">
      <c r="A59" s="12">
        <v>45931.0</v>
      </c>
      <c r="B59" s="13">
        <v>5076526.0</v>
      </c>
      <c r="C59" s="14" t="s">
        <v>61</v>
      </c>
      <c r="D59" s="15">
        <v>0.27</v>
      </c>
      <c r="E59" s="17">
        <f t="shared" si="30"/>
        <v>8130</v>
      </c>
      <c r="F59" s="17">
        <v>30.0</v>
      </c>
      <c r="G59" s="17">
        <v>2850.0</v>
      </c>
      <c r="H59" s="17">
        <v>5250.0</v>
      </c>
      <c r="I59" s="14" t="s">
        <v>29</v>
      </c>
      <c r="J59" s="18">
        <v>159.8077</v>
      </c>
      <c r="K59" s="18">
        <v>156.9735</v>
      </c>
      <c r="L59" s="18">
        <v>158.2241</v>
      </c>
      <c r="M59" s="15">
        <v>2660.3</v>
      </c>
      <c r="N59" s="17">
        <f t="shared" si="25"/>
        <v>10790.3</v>
      </c>
      <c r="O59" s="19">
        <f t="shared" si="26"/>
        <v>1282845.231</v>
      </c>
      <c r="P59" s="20">
        <v>1450.0</v>
      </c>
      <c r="Q59" s="21">
        <f t="shared" si="27"/>
        <v>290.2921195</v>
      </c>
      <c r="R59" s="20">
        <f t="shared" si="14"/>
        <v>420923.5732</v>
      </c>
      <c r="S59" s="20">
        <f>IFERROR(__xludf.DUMMYFUNCTION("INDEX(IMPORTHTML(""https://www.bna.com.ar/Personas"", ""table"", 1), 2, 3)"),1465.0)</f>
        <v>1465</v>
      </c>
      <c r="T59" s="22">
        <f t="shared" si="15"/>
        <v>540103.0029</v>
      </c>
      <c r="U59" s="23">
        <f t="shared" si="16"/>
        <v>532.06</v>
      </c>
      <c r="V59" s="24">
        <f t="shared" si="17"/>
        <v>24.18454545</v>
      </c>
      <c r="W59" s="25">
        <f t="shared" si="28"/>
        <v>0.2470543962</v>
      </c>
      <c r="X59" s="19">
        <f t="shared" si="29"/>
        <v>1703768.804</v>
      </c>
      <c r="Y59" s="19"/>
    </row>
    <row r="60" ht="15.0" customHeight="1">
      <c r="A60" s="12">
        <v>45931.0</v>
      </c>
      <c r="B60" s="13">
        <v>5213946.0</v>
      </c>
      <c r="C60" s="14" t="s">
        <v>50</v>
      </c>
      <c r="D60" s="15">
        <v>0.27</v>
      </c>
      <c r="E60" s="17">
        <f t="shared" si="30"/>
        <v>6293</v>
      </c>
      <c r="F60" s="17">
        <v>2683.0</v>
      </c>
      <c r="G60" s="17">
        <v>679.0</v>
      </c>
      <c r="H60" s="17">
        <v>2931.0</v>
      </c>
      <c r="I60" s="14" t="s">
        <v>51</v>
      </c>
      <c r="J60" s="18">
        <v>191.9806</v>
      </c>
      <c r="K60" s="18">
        <v>189.4307</v>
      </c>
      <c r="L60" s="18">
        <v>190.5558</v>
      </c>
      <c r="M60" s="15">
        <v>1129.0</v>
      </c>
      <c r="N60" s="17">
        <f t="shared" si="25"/>
        <v>7422</v>
      </c>
      <c r="O60" s="19">
        <f t="shared" si="26"/>
        <v>1202226.445</v>
      </c>
      <c r="P60" s="20">
        <v>1450.0</v>
      </c>
      <c r="Q60" s="21">
        <f t="shared" si="27"/>
        <v>148.3706884</v>
      </c>
      <c r="R60" s="20">
        <f t="shared" si="14"/>
        <v>215137.4982</v>
      </c>
      <c r="S60" s="20">
        <f>IFERROR(__xludf.DUMMYFUNCTION("INDEX(IMPORTHTML(""https://www.bna.com.ar/Personas"", ""table"", 1), 2, 3)"),1465.0)</f>
        <v>1465</v>
      </c>
      <c r="T60" s="22">
        <f t="shared" si="15"/>
        <v>276051.0843</v>
      </c>
      <c r="U60" s="23">
        <f t="shared" si="16"/>
        <v>225.8</v>
      </c>
      <c r="V60" s="24">
        <f t="shared" si="17"/>
        <v>10.26363636</v>
      </c>
      <c r="W60" s="25">
        <f t="shared" si="28"/>
        <v>0.1517870546</v>
      </c>
      <c r="X60" s="19">
        <f t="shared" si="29"/>
        <v>1417363.943</v>
      </c>
      <c r="Y60" s="19"/>
    </row>
    <row r="61" ht="15.0" customHeight="1">
      <c r="A61" s="12">
        <v>45931.0</v>
      </c>
      <c r="B61" s="13">
        <v>5346470.0</v>
      </c>
      <c r="C61" s="14" t="s">
        <v>62</v>
      </c>
      <c r="D61" s="15">
        <v>0.27</v>
      </c>
      <c r="E61" s="17">
        <f t="shared" si="30"/>
        <v>6141</v>
      </c>
      <c r="F61" s="17">
        <v>1737.0</v>
      </c>
      <c r="G61" s="17">
        <v>2037.0</v>
      </c>
      <c r="H61" s="17">
        <v>2367.0</v>
      </c>
      <c r="I61" s="14" t="s">
        <v>29</v>
      </c>
      <c r="J61" s="18">
        <v>159.8077</v>
      </c>
      <c r="K61" s="18">
        <v>156.9735</v>
      </c>
      <c r="L61" s="18">
        <v>158.2241</v>
      </c>
      <c r="M61" s="15">
        <v>2446.0</v>
      </c>
      <c r="N61" s="17">
        <f t="shared" si="25"/>
        <v>8587</v>
      </c>
      <c r="O61" s="19">
        <f t="shared" si="26"/>
        <v>971857.4391</v>
      </c>
      <c r="P61" s="20">
        <v>1450.0</v>
      </c>
      <c r="Q61" s="21">
        <f t="shared" si="27"/>
        <v>266.9076887</v>
      </c>
      <c r="R61" s="20">
        <f t="shared" si="14"/>
        <v>387016.1486</v>
      </c>
      <c r="S61" s="20">
        <f>IFERROR(__xludf.DUMMYFUNCTION("INDEX(IMPORTHTML(""https://www.bna.com.ar/Personas"", ""table"", 1), 2, 3)"),1465.0)</f>
        <v>1465</v>
      </c>
      <c r="T61" s="22">
        <f t="shared" si="15"/>
        <v>496595.1002</v>
      </c>
      <c r="U61" s="23">
        <f t="shared" si="16"/>
        <v>489.2</v>
      </c>
      <c r="V61" s="24">
        <f t="shared" si="17"/>
        <v>22.23636364</v>
      </c>
      <c r="W61" s="25">
        <f t="shared" si="28"/>
        <v>0.2848065869</v>
      </c>
      <c r="X61" s="19">
        <f t="shared" si="29"/>
        <v>1358873.588</v>
      </c>
      <c r="Y61" s="19"/>
    </row>
    <row r="62" ht="15.0" customHeight="1">
      <c r="A62" s="12">
        <v>45931.0</v>
      </c>
      <c r="B62" s="13">
        <v>5214767.0</v>
      </c>
      <c r="C62" s="14" t="s">
        <v>63</v>
      </c>
      <c r="D62" s="15">
        <v>0.27</v>
      </c>
      <c r="E62" s="17">
        <f t="shared" si="30"/>
        <v>4781</v>
      </c>
      <c r="F62" s="17">
        <v>1034.0</v>
      </c>
      <c r="G62" s="17">
        <v>31.0</v>
      </c>
      <c r="H62" s="17">
        <v>3716.0</v>
      </c>
      <c r="I62" s="14" t="s">
        <v>25</v>
      </c>
      <c r="J62" s="18">
        <v>157.071</v>
      </c>
      <c r="K62" s="18">
        <v>157.071</v>
      </c>
      <c r="L62" s="18">
        <v>157.071</v>
      </c>
      <c r="M62" s="15">
        <v>5813.3</v>
      </c>
      <c r="N62" s="17">
        <f t="shared" si="25"/>
        <v>10594.3</v>
      </c>
      <c r="O62" s="19">
        <f t="shared" si="26"/>
        <v>750956.451</v>
      </c>
      <c r="P62" s="20">
        <v>1450.0</v>
      </c>
      <c r="Q62" s="21">
        <f t="shared" si="27"/>
        <v>629.7247202</v>
      </c>
      <c r="R62" s="20">
        <f t="shared" si="14"/>
        <v>913100.8443</v>
      </c>
      <c r="S62" s="20">
        <f>IFERROR(__xludf.DUMMYFUNCTION("INDEX(IMPORTHTML(""https://www.bna.com.ar/Personas"", ""table"", 1), 2, 3)"),1465.0)</f>
        <v>1465</v>
      </c>
      <c r="T62" s="22">
        <f t="shared" si="15"/>
        <v>1171634.328</v>
      </c>
      <c r="U62" s="23">
        <f t="shared" si="16"/>
        <v>1162.66</v>
      </c>
      <c r="V62" s="24">
        <f t="shared" si="17"/>
        <v>52.84818182</v>
      </c>
      <c r="W62" s="25">
        <f t="shared" si="28"/>
        <v>0.5487195945</v>
      </c>
      <c r="X62" s="19">
        <f t="shared" si="29"/>
        <v>1664057.295</v>
      </c>
      <c r="Y62" s="19"/>
    </row>
    <row r="63" ht="15.0" customHeight="1">
      <c r="A63" s="12">
        <v>45931.0</v>
      </c>
      <c r="B63" s="13">
        <v>5068576.0</v>
      </c>
      <c r="C63" s="14" t="s">
        <v>64</v>
      </c>
      <c r="D63" s="15">
        <v>0.27</v>
      </c>
      <c r="E63" s="17">
        <f t="shared" si="30"/>
        <v>16121</v>
      </c>
      <c r="F63" s="17">
        <v>3507.0</v>
      </c>
      <c r="G63" s="17">
        <v>4347.0</v>
      </c>
      <c r="H63" s="17">
        <v>8267.0</v>
      </c>
      <c r="I63" s="14" t="s">
        <v>29</v>
      </c>
      <c r="J63" s="18">
        <v>159.8077</v>
      </c>
      <c r="K63" s="18">
        <v>156.9735</v>
      </c>
      <c r="L63" s="18">
        <v>158.2241</v>
      </c>
      <c r="M63" s="15">
        <v>3708.5</v>
      </c>
      <c r="N63" s="17">
        <f t="shared" si="25"/>
        <v>19829.5</v>
      </c>
      <c r="O63" s="19">
        <f t="shared" si="26"/>
        <v>2550848.043</v>
      </c>
      <c r="P63" s="20">
        <v>1450.0</v>
      </c>
      <c r="Q63" s="21">
        <f t="shared" si="27"/>
        <v>404.6717758</v>
      </c>
      <c r="R63" s="20">
        <f t="shared" si="14"/>
        <v>586774.0749</v>
      </c>
      <c r="S63" s="20">
        <f>IFERROR(__xludf.DUMMYFUNCTION("INDEX(IMPORTHTML(""https://www.bna.com.ar/Personas"", ""table"", 1), 2, 3)"),1465.0)</f>
        <v>1465</v>
      </c>
      <c r="T63" s="22">
        <f t="shared" si="15"/>
        <v>752912.0724</v>
      </c>
      <c r="U63" s="23">
        <f t="shared" si="16"/>
        <v>741.7</v>
      </c>
      <c r="V63" s="24">
        <f t="shared" si="17"/>
        <v>33.71363636</v>
      </c>
      <c r="W63" s="25">
        <f t="shared" si="28"/>
        <v>0.1870123465</v>
      </c>
      <c r="X63" s="19">
        <f t="shared" si="29"/>
        <v>3137622.118</v>
      </c>
      <c r="Y63" s="19"/>
    </row>
    <row r="64" ht="15.0" customHeight="1">
      <c r="A64" s="12">
        <v>45931.0</v>
      </c>
      <c r="B64" s="13">
        <v>5019237.0</v>
      </c>
      <c r="C64" s="14" t="s">
        <v>46</v>
      </c>
      <c r="D64" s="15">
        <v>0.27</v>
      </c>
      <c r="E64" s="17">
        <f t="shared" si="30"/>
        <v>3240</v>
      </c>
      <c r="F64" s="17">
        <v>772.0</v>
      </c>
      <c r="G64" s="17">
        <v>953.0</v>
      </c>
      <c r="H64" s="17">
        <v>1515.0</v>
      </c>
      <c r="I64" s="14" t="s">
        <v>29</v>
      </c>
      <c r="J64" s="18">
        <v>159.8077</v>
      </c>
      <c r="K64" s="18">
        <v>156.9735</v>
      </c>
      <c r="L64" s="18">
        <v>158.2241</v>
      </c>
      <c r="M64" s="15">
        <v>1212.2</v>
      </c>
      <c r="N64" s="17">
        <f t="shared" si="25"/>
        <v>4452.2</v>
      </c>
      <c r="O64" s="19">
        <f t="shared" si="26"/>
        <v>512676.8014</v>
      </c>
      <c r="P64" s="20">
        <v>1450.0</v>
      </c>
      <c r="Q64" s="21">
        <f t="shared" si="27"/>
        <v>132.2753476</v>
      </c>
      <c r="R64" s="20">
        <f t="shared" si="14"/>
        <v>191799.254</v>
      </c>
      <c r="S64" s="20">
        <f>IFERROR(__xludf.DUMMYFUNCTION("INDEX(IMPORTHTML(""https://www.bna.com.ar/Personas"", ""table"", 1), 2, 3)"),1465.0)</f>
        <v>1465</v>
      </c>
      <c r="T64" s="22">
        <f t="shared" si="15"/>
        <v>246104.898</v>
      </c>
      <c r="U64" s="23">
        <f t="shared" si="16"/>
        <v>242.44</v>
      </c>
      <c r="V64" s="24">
        <f t="shared" si="17"/>
        <v>11.02</v>
      </c>
      <c r="W64" s="25">
        <f t="shared" si="28"/>
        <v>0.2722580172</v>
      </c>
      <c r="X64" s="19">
        <f t="shared" si="29"/>
        <v>704476.0554</v>
      </c>
      <c r="Y64" s="19"/>
    </row>
    <row r="65" ht="15.0" customHeight="1">
      <c r="A65" s="12">
        <v>45932.0</v>
      </c>
      <c r="B65" s="13">
        <v>5272486.0</v>
      </c>
      <c r="C65" s="14" t="s">
        <v>45</v>
      </c>
      <c r="D65" s="15">
        <v>0.27</v>
      </c>
      <c r="E65" s="17">
        <v>2726.0</v>
      </c>
      <c r="F65" s="17"/>
      <c r="G65" s="17"/>
      <c r="H65" s="17">
        <v>5990.0</v>
      </c>
      <c r="I65" s="14" t="s">
        <v>34</v>
      </c>
      <c r="J65" s="18">
        <v>207.4306</v>
      </c>
      <c r="K65" s="18">
        <v>207.4306</v>
      </c>
      <c r="L65" s="18">
        <v>207.4306</v>
      </c>
      <c r="M65" s="15">
        <v>106.2</v>
      </c>
      <c r="N65" s="17">
        <f t="shared" si="25"/>
        <v>2832.2</v>
      </c>
      <c r="O65" s="19">
        <f t="shared" si="26"/>
        <v>1242509.294</v>
      </c>
      <c r="P65" s="20">
        <v>1450.0</v>
      </c>
      <c r="Q65" s="21">
        <f t="shared" si="27"/>
        <v>15.19250326</v>
      </c>
      <c r="R65" s="20">
        <f t="shared" si="14"/>
        <v>22029.12972</v>
      </c>
      <c r="S65" s="20">
        <f>IFERROR(__xludf.DUMMYFUNCTION("INDEX(IMPORTHTML(""https://www.bna.com.ar/Personas"", ""table"", 1), 2, 3)"),1465.0)</f>
        <v>1465</v>
      </c>
      <c r="T65" s="22">
        <f t="shared" si="15"/>
        <v>28266.41193</v>
      </c>
      <c r="U65" s="23">
        <f t="shared" si="16"/>
        <v>21.24</v>
      </c>
      <c r="V65" s="24">
        <f t="shared" si="17"/>
        <v>0.9654545455</v>
      </c>
      <c r="W65" s="25">
        <f t="shared" si="28"/>
        <v>0.0174206883</v>
      </c>
      <c r="X65" s="19">
        <f t="shared" si="29"/>
        <v>1264538.424</v>
      </c>
      <c r="Y65" s="19"/>
    </row>
    <row r="66" ht="15.0" customHeight="1">
      <c r="A66" s="12">
        <v>45931.0</v>
      </c>
      <c r="B66" s="13">
        <v>5238577.0</v>
      </c>
      <c r="C66" s="14" t="s">
        <v>44</v>
      </c>
      <c r="D66" s="15">
        <v>0.27</v>
      </c>
      <c r="E66" s="17">
        <f t="shared" ref="E66:E78" si="31">F66+G66+H66</f>
        <v>7040</v>
      </c>
      <c r="F66" s="17"/>
      <c r="G66" s="17"/>
      <c r="H66" s="17">
        <v>7040.0</v>
      </c>
      <c r="I66" s="14" t="s">
        <v>25</v>
      </c>
      <c r="J66" s="18">
        <v>157.071</v>
      </c>
      <c r="K66" s="18">
        <v>157.071</v>
      </c>
      <c r="L66" s="18">
        <v>157.071</v>
      </c>
      <c r="M66" s="15">
        <v>2127.4</v>
      </c>
      <c r="N66" s="17">
        <f t="shared" si="25"/>
        <v>9167.4</v>
      </c>
      <c r="O66" s="19">
        <f t="shared" si="26"/>
        <v>1105779.84</v>
      </c>
      <c r="P66" s="20">
        <v>1450.0</v>
      </c>
      <c r="Q66" s="21">
        <f t="shared" si="27"/>
        <v>230.4502382</v>
      </c>
      <c r="R66" s="20">
        <f t="shared" si="14"/>
        <v>334152.8454</v>
      </c>
      <c r="S66" s="20">
        <f>IFERROR(__xludf.DUMMYFUNCTION("INDEX(IMPORTHTML(""https://www.bna.com.ar/Personas"", ""table"", 1), 2, 3)"),1465.0)</f>
        <v>1465</v>
      </c>
      <c r="T66" s="22">
        <f t="shared" si="15"/>
        <v>428764.1907</v>
      </c>
      <c r="U66" s="23">
        <f t="shared" si="16"/>
        <v>425.48</v>
      </c>
      <c r="V66" s="24">
        <f t="shared" si="17"/>
        <v>19.34</v>
      </c>
      <c r="W66" s="25">
        <f t="shared" si="28"/>
        <v>0.2320614351</v>
      </c>
      <c r="X66" s="19">
        <f t="shared" si="29"/>
        <v>1439932.685</v>
      </c>
      <c r="Y66" s="19"/>
    </row>
    <row r="67" ht="15.0" customHeight="1">
      <c r="A67" s="12">
        <v>45931.0</v>
      </c>
      <c r="B67" s="13">
        <v>5253773.0</v>
      </c>
      <c r="C67" s="14" t="s">
        <v>43</v>
      </c>
      <c r="D67" s="15">
        <v>0.21</v>
      </c>
      <c r="E67" s="17">
        <f t="shared" si="31"/>
        <v>612</v>
      </c>
      <c r="F67" s="17">
        <v>199.0</v>
      </c>
      <c r="G67" s="17">
        <v>80.0</v>
      </c>
      <c r="H67" s="17">
        <v>333.0</v>
      </c>
      <c r="I67" s="14" t="s">
        <v>32</v>
      </c>
      <c r="J67" s="18">
        <v>230.0967</v>
      </c>
      <c r="K67" s="18">
        <v>230.0967</v>
      </c>
      <c r="L67" s="18">
        <v>230.0967</v>
      </c>
      <c r="M67" s="15">
        <v>290.0</v>
      </c>
      <c r="N67" s="17">
        <f t="shared" si="25"/>
        <v>902</v>
      </c>
      <c r="O67" s="19">
        <f t="shared" si="26"/>
        <v>140819.1804</v>
      </c>
      <c r="P67" s="20">
        <v>1450.0</v>
      </c>
      <c r="Q67" s="21">
        <f t="shared" si="27"/>
        <v>46.01934</v>
      </c>
      <c r="R67" s="20">
        <f t="shared" si="14"/>
        <v>66728.043</v>
      </c>
      <c r="S67" s="20">
        <f>IFERROR(__xludf.DUMMYFUNCTION("INDEX(IMPORTHTML(""https://www.bna.com.ar/Personas"", ""table"", 1), 2, 3)"),1465.0)</f>
        <v>1465</v>
      </c>
      <c r="T67" s="22">
        <f t="shared" si="15"/>
        <v>81576.18305</v>
      </c>
      <c r="U67" s="23">
        <f t="shared" si="16"/>
        <v>58</v>
      </c>
      <c r="V67" s="24">
        <f t="shared" si="17"/>
        <v>2.636363636</v>
      </c>
      <c r="W67" s="25">
        <f t="shared" si="28"/>
        <v>0.3215077605</v>
      </c>
      <c r="X67" s="19">
        <f t="shared" si="29"/>
        <v>207547.2234</v>
      </c>
      <c r="Y67" s="19"/>
    </row>
    <row r="68" ht="15.0" customHeight="1">
      <c r="A68" s="12">
        <v>45931.0</v>
      </c>
      <c r="B68" s="13">
        <v>5320074.0</v>
      </c>
      <c r="C68" s="14" t="s">
        <v>65</v>
      </c>
      <c r="D68" s="15">
        <v>0.27</v>
      </c>
      <c r="E68" s="17">
        <f t="shared" si="31"/>
        <v>17195</v>
      </c>
      <c r="F68" s="17">
        <v>4089.0</v>
      </c>
      <c r="G68" s="17">
        <v>4303.0</v>
      </c>
      <c r="H68" s="17">
        <v>8803.0</v>
      </c>
      <c r="I68" s="14" t="s">
        <v>29</v>
      </c>
      <c r="J68" s="18">
        <v>159.8077</v>
      </c>
      <c r="K68" s="18">
        <v>156.9735</v>
      </c>
      <c r="L68" s="18">
        <v>158.2241</v>
      </c>
      <c r="M68" s="15">
        <v>2277.8</v>
      </c>
      <c r="N68" s="17">
        <f t="shared" si="25"/>
        <v>19472.8</v>
      </c>
      <c r="O68" s="19">
        <f t="shared" si="26"/>
        <v>2721757.408</v>
      </c>
      <c r="P68" s="20">
        <v>1450.0</v>
      </c>
      <c r="Q68" s="21">
        <f t="shared" si="27"/>
        <v>248.5536931</v>
      </c>
      <c r="R68" s="20">
        <f t="shared" si="14"/>
        <v>360402.855</v>
      </c>
      <c r="S68" s="20">
        <f>IFERROR(__xludf.DUMMYFUNCTION("INDEX(IMPORTHTML(""https://www.bna.com.ar/Personas"", ""table"", 1), 2, 3)"),1465.0)</f>
        <v>1465</v>
      </c>
      <c r="T68" s="22">
        <f t="shared" si="15"/>
        <v>462446.5737</v>
      </c>
      <c r="U68" s="23">
        <f t="shared" si="16"/>
        <v>455.56</v>
      </c>
      <c r="V68" s="24">
        <f t="shared" si="17"/>
        <v>20.70727273</v>
      </c>
      <c r="W68" s="25">
        <f t="shared" si="28"/>
        <v>0.1169318998</v>
      </c>
      <c r="X68" s="19">
        <f t="shared" si="29"/>
        <v>3082160.263</v>
      </c>
      <c r="Y68" s="19"/>
    </row>
    <row r="69" ht="15.0" customHeight="1">
      <c r="A69" s="12">
        <v>45931.0</v>
      </c>
      <c r="B69" s="13">
        <v>5320074.0</v>
      </c>
      <c r="C69" s="14" t="s">
        <v>66</v>
      </c>
      <c r="D69" s="15">
        <v>0.27</v>
      </c>
      <c r="E69" s="17">
        <f t="shared" si="31"/>
        <v>2045</v>
      </c>
      <c r="F69" s="17">
        <v>589.0</v>
      </c>
      <c r="G69" s="17">
        <v>396.0</v>
      </c>
      <c r="H69" s="17">
        <v>1060.0</v>
      </c>
      <c r="I69" s="14" t="s">
        <v>29</v>
      </c>
      <c r="J69" s="18">
        <v>159.8077</v>
      </c>
      <c r="K69" s="18">
        <v>156.9735</v>
      </c>
      <c r="L69" s="18">
        <v>158.2241</v>
      </c>
      <c r="M69" s="15">
        <v>713.1</v>
      </c>
      <c r="N69" s="17">
        <f t="shared" si="25"/>
        <v>2758.1</v>
      </c>
      <c r="O69" s="19">
        <f t="shared" si="26"/>
        <v>324005.7873</v>
      </c>
      <c r="P69" s="20">
        <v>1450.0</v>
      </c>
      <c r="Q69" s="21">
        <f t="shared" si="27"/>
        <v>77.81352118</v>
      </c>
      <c r="R69" s="20">
        <f t="shared" si="14"/>
        <v>112829.6057</v>
      </c>
      <c r="S69" s="20">
        <f>IFERROR(__xludf.DUMMYFUNCTION("INDEX(IMPORTHTML(""https://www.bna.com.ar/Personas"", ""table"", 1), 2, 3)"),1465.0)</f>
        <v>1465</v>
      </c>
      <c r="T69" s="22">
        <f t="shared" si="15"/>
        <v>144775.9468</v>
      </c>
      <c r="U69" s="23">
        <f t="shared" si="16"/>
        <v>142.62</v>
      </c>
      <c r="V69" s="24">
        <f t="shared" si="17"/>
        <v>6.482727273</v>
      </c>
      <c r="W69" s="25">
        <f t="shared" si="28"/>
        <v>0.2582886083</v>
      </c>
      <c r="X69" s="19">
        <f t="shared" si="29"/>
        <v>436835.393</v>
      </c>
      <c r="Y69" s="19"/>
    </row>
    <row r="70" ht="15.0" customHeight="1">
      <c r="A70" s="12">
        <v>45931.0</v>
      </c>
      <c r="B70" s="13">
        <v>3092029.0</v>
      </c>
      <c r="C70" s="14" t="s">
        <v>42</v>
      </c>
      <c r="D70" s="15">
        <v>0.27</v>
      </c>
      <c r="E70" s="17">
        <f t="shared" si="31"/>
        <v>10500</v>
      </c>
      <c r="F70" s="17">
        <v>3270.0</v>
      </c>
      <c r="G70" s="17">
        <v>1800.0</v>
      </c>
      <c r="H70" s="17">
        <v>5430.0</v>
      </c>
      <c r="I70" s="14" t="s">
        <v>29</v>
      </c>
      <c r="J70" s="18">
        <v>159.8077</v>
      </c>
      <c r="K70" s="18">
        <v>156.9735</v>
      </c>
      <c r="L70" s="18">
        <v>158.2241</v>
      </c>
      <c r="M70" s="15">
        <v>3293.2</v>
      </c>
      <c r="N70" s="17">
        <f t="shared" si="25"/>
        <v>13793.2</v>
      </c>
      <c r="O70" s="19">
        <f t="shared" si="26"/>
        <v>1664280.342</v>
      </c>
      <c r="P70" s="20">
        <v>1450.0</v>
      </c>
      <c r="Q70" s="21">
        <f t="shared" si="27"/>
        <v>359.3542111</v>
      </c>
      <c r="R70" s="20">
        <f t="shared" si="14"/>
        <v>521063.6061</v>
      </c>
      <c r="S70" s="20">
        <f>IFERROR(__xludf.DUMMYFUNCTION("INDEX(IMPORTHTML(""https://www.bna.com.ar/Personas"", ""table"", 1), 2, 3)"),1465.0)</f>
        <v>1465</v>
      </c>
      <c r="T70" s="22">
        <f t="shared" si="15"/>
        <v>668596.4775</v>
      </c>
      <c r="U70" s="23">
        <f t="shared" si="16"/>
        <v>658.64</v>
      </c>
      <c r="V70" s="24">
        <f t="shared" si="17"/>
        <v>29.93818182</v>
      </c>
      <c r="W70" s="25">
        <f t="shared" si="28"/>
        <v>0.2384355134</v>
      </c>
      <c r="X70" s="19">
        <f t="shared" si="29"/>
        <v>2185343.948</v>
      </c>
      <c r="Y70" s="19"/>
    </row>
    <row r="71" ht="15.0" customHeight="1">
      <c r="A71" s="12">
        <v>45931.0</v>
      </c>
      <c r="B71" s="13">
        <v>5076619.0</v>
      </c>
      <c r="C71" s="14" t="s">
        <v>41</v>
      </c>
      <c r="D71" s="15">
        <v>0.27</v>
      </c>
      <c r="E71" s="17">
        <f t="shared" si="31"/>
        <v>3425</v>
      </c>
      <c r="F71" s="17">
        <v>1196.0</v>
      </c>
      <c r="G71" s="17">
        <v>807.0</v>
      </c>
      <c r="H71" s="17">
        <v>1422.0</v>
      </c>
      <c r="I71" s="14" t="s">
        <v>25</v>
      </c>
      <c r="J71" s="18">
        <v>157.071</v>
      </c>
      <c r="K71" s="18">
        <v>157.071</v>
      </c>
      <c r="L71" s="18">
        <v>157.071</v>
      </c>
      <c r="M71" s="15"/>
      <c r="N71" s="17">
        <f t="shared" si="25"/>
        <v>3425</v>
      </c>
      <c r="O71" s="19">
        <f t="shared" si="26"/>
        <v>537968.175</v>
      </c>
      <c r="P71" s="20">
        <v>1450.0</v>
      </c>
      <c r="Q71" s="21">
        <f t="shared" si="27"/>
        <v>0</v>
      </c>
      <c r="R71" s="20">
        <f t="shared" si="14"/>
        <v>0</v>
      </c>
      <c r="S71" s="20">
        <f>IFERROR(__xludf.DUMMYFUNCTION("INDEX(IMPORTHTML(""https://www.bna.com.ar/Personas"", ""table"", 1), 2, 3)"),1465.0)</f>
        <v>1465</v>
      </c>
      <c r="T71" s="22">
        <f t="shared" si="15"/>
        <v>0</v>
      </c>
      <c r="U71" s="23">
        <f t="shared" si="16"/>
        <v>0</v>
      </c>
      <c r="V71" s="24">
        <f t="shared" si="17"/>
        <v>0</v>
      </c>
      <c r="W71" s="25">
        <f t="shared" si="28"/>
        <v>0</v>
      </c>
      <c r="X71" s="19">
        <f t="shared" si="29"/>
        <v>537968.175</v>
      </c>
      <c r="Y71" s="19"/>
    </row>
    <row r="72" ht="15.0" customHeight="1">
      <c r="A72" s="12">
        <v>45931.0</v>
      </c>
      <c r="B72" s="13">
        <v>4000681.0</v>
      </c>
      <c r="C72" s="14" t="s">
        <v>40</v>
      </c>
      <c r="D72" s="15">
        <v>0.27</v>
      </c>
      <c r="E72" s="17">
        <f t="shared" si="31"/>
        <v>7285</v>
      </c>
      <c r="F72" s="17">
        <v>2084.0</v>
      </c>
      <c r="G72" s="17">
        <v>2636.0</v>
      </c>
      <c r="H72" s="17">
        <v>2565.0</v>
      </c>
      <c r="I72" s="14" t="s">
        <v>25</v>
      </c>
      <c r="J72" s="18">
        <v>157.071</v>
      </c>
      <c r="K72" s="18">
        <v>157.071</v>
      </c>
      <c r="L72" s="18">
        <v>157.071</v>
      </c>
      <c r="M72" s="15">
        <v>2567.0</v>
      </c>
      <c r="N72" s="17">
        <f t="shared" si="25"/>
        <v>9852</v>
      </c>
      <c r="O72" s="19">
        <f t="shared" si="26"/>
        <v>1144262.235</v>
      </c>
      <c r="P72" s="20">
        <v>1450.0</v>
      </c>
      <c r="Q72" s="21">
        <f t="shared" si="27"/>
        <v>278.0698324</v>
      </c>
      <c r="R72" s="20">
        <f t="shared" si="14"/>
        <v>403201.257</v>
      </c>
      <c r="S72" s="20">
        <f>IFERROR(__xludf.DUMMYFUNCTION("INDEX(IMPORTHTML(""https://www.bna.com.ar/Personas"", ""table"", 1), 2, 3)"),1465.0)</f>
        <v>1465</v>
      </c>
      <c r="T72" s="22">
        <f t="shared" si="15"/>
        <v>517362.8267</v>
      </c>
      <c r="U72" s="23">
        <f t="shared" si="16"/>
        <v>513.4</v>
      </c>
      <c r="V72" s="24">
        <f t="shared" si="17"/>
        <v>23.33636364</v>
      </c>
      <c r="W72" s="25">
        <f t="shared" si="28"/>
        <v>0.2605562322</v>
      </c>
      <c r="X72" s="19">
        <f t="shared" si="29"/>
        <v>1547463.492</v>
      </c>
      <c r="Y72" s="19"/>
    </row>
    <row r="73" ht="15.0" customHeight="1">
      <c r="A73" s="12">
        <v>45931.0</v>
      </c>
      <c r="B73" s="13">
        <v>5253775.0</v>
      </c>
      <c r="C73" s="14" t="s">
        <v>39</v>
      </c>
      <c r="D73" s="15">
        <v>0.21</v>
      </c>
      <c r="E73" s="17">
        <f t="shared" si="31"/>
        <v>598</v>
      </c>
      <c r="F73" s="17"/>
      <c r="G73" s="17"/>
      <c r="H73" s="17">
        <v>598.0</v>
      </c>
      <c r="I73" s="14" t="s">
        <v>32</v>
      </c>
      <c r="J73" s="18">
        <v>230.0967</v>
      </c>
      <c r="K73" s="18">
        <v>230.0967</v>
      </c>
      <c r="L73" s="18">
        <v>230.0967</v>
      </c>
      <c r="M73" s="15">
        <v>140.6</v>
      </c>
      <c r="N73" s="17">
        <f t="shared" si="25"/>
        <v>738.6</v>
      </c>
      <c r="O73" s="19">
        <f t="shared" si="26"/>
        <v>137597.8266</v>
      </c>
      <c r="P73" s="20">
        <v>1450.0</v>
      </c>
      <c r="Q73" s="21">
        <f t="shared" si="27"/>
        <v>22.31144553</v>
      </c>
      <c r="R73" s="20">
        <f t="shared" si="14"/>
        <v>32351.59602</v>
      </c>
      <c r="S73" s="20">
        <f>IFERROR(__xludf.DUMMYFUNCTION("INDEX(IMPORTHTML(""https://www.bna.com.ar/Personas"", ""table"", 1), 2, 3)"),1465.0)</f>
        <v>1465</v>
      </c>
      <c r="T73" s="22">
        <f t="shared" si="15"/>
        <v>39550.38392</v>
      </c>
      <c r="U73" s="23">
        <f t="shared" si="16"/>
        <v>28.12</v>
      </c>
      <c r="V73" s="24">
        <f t="shared" si="17"/>
        <v>1.278181818</v>
      </c>
      <c r="W73" s="25">
        <f t="shared" si="28"/>
        <v>0.1903601408</v>
      </c>
      <c r="X73" s="19">
        <f t="shared" si="29"/>
        <v>169949.4226</v>
      </c>
      <c r="Y73" s="19"/>
    </row>
    <row r="74" ht="15.0" customHeight="1">
      <c r="A74" s="12">
        <v>45931.0</v>
      </c>
      <c r="B74" s="13">
        <v>5211887.0</v>
      </c>
      <c r="C74" s="14" t="s">
        <v>38</v>
      </c>
      <c r="D74" s="15">
        <v>0.27</v>
      </c>
      <c r="E74" s="17">
        <f t="shared" si="31"/>
        <v>2828</v>
      </c>
      <c r="F74" s="17"/>
      <c r="G74" s="17"/>
      <c r="H74" s="17">
        <v>2828.0</v>
      </c>
      <c r="I74" s="14" t="s">
        <v>25</v>
      </c>
      <c r="J74" s="18">
        <v>157.071</v>
      </c>
      <c r="K74" s="18">
        <v>157.071</v>
      </c>
      <c r="L74" s="18">
        <v>157.071</v>
      </c>
      <c r="M74" s="15">
        <v>1366.3</v>
      </c>
      <c r="N74" s="17">
        <f t="shared" si="25"/>
        <v>4194.3</v>
      </c>
      <c r="O74" s="19">
        <f t="shared" si="26"/>
        <v>444196.788</v>
      </c>
      <c r="P74" s="20">
        <v>1450.0</v>
      </c>
      <c r="Q74" s="21">
        <f t="shared" si="27"/>
        <v>148.0042119</v>
      </c>
      <c r="R74" s="20">
        <f t="shared" si="14"/>
        <v>214606.1073</v>
      </c>
      <c r="S74" s="20">
        <f>IFERROR(__xludf.DUMMYFUNCTION("INDEX(IMPORTHTML(""https://www.bna.com.ar/Personas"", ""table"", 1), 2, 3)"),1465.0)</f>
        <v>1465</v>
      </c>
      <c r="T74" s="22">
        <f t="shared" si="15"/>
        <v>275369.2365</v>
      </c>
      <c r="U74" s="23">
        <f t="shared" si="16"/>
        <v>273.26</v>
      </c>
      <c r="V74" s="24">
        <f t="shared" si="17"/>
        <v>12.42090909</v>
      </c>
      <c r="W74" s="25">
        <f t="shared" si="28"/>
        <v>0.3257516153</v>
      </c>
      <c r="X74" s="19">
        <f t="shared" si="29"/>
        <v>658802.8953</v>
      </c>
      <c r="Y74" s="19"/>
    </row>
    <row r="75" ht="15.0" customHeight="1">
      <c r="A75" s="12">
        <v>45931.0</v>
      </c>
      <c r="B75" s="13">
        <v>5346222.0</v>
      </c>
      <c r="C75" s="14" t="s">
        <v>37</v>
      </c>
      <c r="D75" s="15">
        <v>0.27</v>
      </c>
      <c r="E75" s="17">
        <f t="shared" si="31"/>
        <v>6096</v>
      </c>
      <c r="F75" s="17">
        <v>1853.0</v>
      </c>
      <c r="G75" s="17">
        <v>2111.0</v>
      </c>
      <c r="H75" s="17">
        <v>2132.0</v>
      </c>
      <c r="I75" s="14" t="s">
        <v>25</v>
      </c>
      <c r="J75" s="18">
        <v>157.071</v>
      </c>
      <c r="K75" s="18">
        <v>157.071</v>
      </c>
      <c r="L75" s="18">
        <v>157.071</v>
      </c>
      <c r="M75" s="15">
        <v>2934.2</v>
      </c>
      <c r="N75" s="17">
        <f t="shared" si="25"/>
        <v>9030.2</v>
      </c>
      <c r="O75" s="19">
        <f t="shared" si="26"/>
        <v>957504.816</v>
      </c>
      <c r="P75" s="20">
        <v>1450.0</v>
      </c>
      <c r="Q75" s="21">
        <f t="shared" si="27"/>
        <v>317.8467091</v>
      </c>
      <c r="R75" s="20">
        <f t="shared" si="14"/>
        <v>460877.7282</v>
      </c>
      <c r="S75" s="20">
        <f>IFERROR(__xludf.DUMMYFUNCTION("INDEX(IMPORTHTML(""https://www.bna.com.ar/Personas"", ""table"", 1), 2, 3)"),1465.0)</f>
        <v>1465</v>
      </c>
      <c r="T75" s="22">
        <f t="shared" si="15"/>
        <v>591369.6946</v>
      </c>
      <c r="U75" s="23">
        <f t="shared" si="16"/>
        <v>586.84</v>
      </c>
      <c r="V75" s="24">
        <f t="shared" si="17"/>
        <v>26.67454545</v>
      </c>
      <c r="W75" s="25">
        <f t="shared" si="28"/>
        <v>0.3249318952</v>
      </c>
      <c r="X75" s="19">
        <f t="shared" si="29"/>
        <v>1418382.544</v>
      </c>
      <c r="Y75" s="19"/>
    </row>
    <row r="76" ht="15.0" customHeight="1">
      <c r="A76" s="12">
        <v>45931.0</v>
      </c>
      <c r="B76" s="13">
        <v>3025373.0</v>
      </c>
      <c r="C76" s="14" t="s">
        <v>35</v>
      </c>
      <c r="D76" s="15">
        <v>0.27</v>
      </c>
      <c r="E76" s="17">
        <f t="shared" si="31"/>
        <v>15832</v>
      </c>
      <c r="F76" s="17">
        <v>4161.0</v>
      </c>
      <c r="G76" s="17">
        <v>4704.0</v>
      </c>
      <c r="H76" s="17">
        <v>6967.0</v>
      </c>
      <c r="I76" s="14" t="s">
        <v>36</v>
      </c>
      <c r="J76" s="18">
        <v>250.4823</v>
      </c>
      <c r="K76" s="18">
        <v>247.6481</v>
      </c>
      <c r="L76" s="18">
        <v>248.8987</v>
      </c>
      <c r="M76" s="15">
        <v>6657.9</v>
      </c>
      <c r="N76" s="17">
        <f t="shared" si="25"/>
        <v>22489.9</v>
      </c>
      <c r="O76" s="19">
        <f t="shared" si="26"/>
        <v>3941270.756</v>
      </c>
      <c r="P76" s="20">
        <v>1450.0</v>
      </c>
      <c r="Q76" s="21">
        <f t="shared" si="27"/>
        <v>1142.857003</v>
      </c>
      <c r="R76" s="20">
        <f t="shared" si="14"/>
        <v>1657142.655</v>
      </c>
      <c r="S76" s="20">
        <f>IFERROR(__xludf.DUMMYFUNCTION("INDEX(IMPORTHTML(""https://www.bna.com.ar/Personas"", ""table"", 1), 2, 3)"),1465.0)</f>
        <v>1465</v>
      </c>
      <c r="T76" s="22">
        <f t="shared" si="15"/>
        <v>2126342.597</v>
      </c>
      <c r="U76" s="23">
        <f t="shared" si="16"/>
        <v>1331.58</v>
      </c>
      <c r="V76" s="24">
        <f t="shared" si="17"/>
        <v>60.52636364</v>
      </c>
      <c r="W76" s="25">
        <f t="shared" si="28"/>
        <v>0.2960021944</v>
      </c>
      <c r="X76" s="19">
        <f t="shared" si="29"/>
        <v>5598413.41</v>
      </c>
      <c r="Y76" s="19"/>
    </row>
    <row r="77" ht="15.0" customHeight="1">
      <c r="A77" s="12">
        <v>45931.0</v>
      </c>
      <c r="B77" s="13">
        <v>5251101.0</v>
      </c>
      <c r="C77" s="14" t="s">
        <v>67</v>
      </c>
      <c r="D77" s="15">
        <v>0.27</v>
      </c>
      <c r="E77" s="17">
        <f t="shared" si="31"/>
        <v>6104</v>
      </c>
      <c r="F77" s="17">
        <v>455.0</v>
      </c>
      <c r="G77" s="17">
        <v>590.0</v>
      </c>
      <c r="H77" s="17">
        <v>5059.0</v>
      </c>
      <c r="I77" s="14" t="s">
        <v>27</v>
      </c>
      <c r="J77" s="18">
        <v>170.9156</v>
      </c>
      <c r="K77" s="18">
        <v>168.0814</v>
      </c>
      <c r="L77" s="18">
        <v>169.332</v>
      </c>
      <c r="M77" s="15">
        <v>3283.3</v>
      </c>
      <c r="N77" s="17">
        <f t="shared" si="25"/>
        <v>9387.3</v>
      </c>
      <c r="O77" s="19">
        <f t="shared" si="26"/>
        <v>1033585.212</v>
      </c>
      <c r="P77" s="20">
        <v>1450.0</v>
      </c>
      <c r="Q77" s="21">
        <f t="shared" si="27"/>
        <v>383.4260383</v>
      </c>
      <c r="R77" s="20">
        <f t="shared" si="14"/>
        <v>555967.7556</v>
      </c>
      <c r="S77" s="20">
        <f>IFERROR(__xludf.DUMMYFUNCTION("INDEX(IMPORTHTML(""https://www.bna.com.ar/Personas"", ""table"", 1), 2, 3)"),1465.0)</f>
        <v>1465</v>
      </c>
      <c r="T77" s="22">
        <f t="shared" si="15"/>
        <v>713383.3156</v>
      </c>
      <c r="U77" s="23">
        <f t="shared" si="16"/>
        <v>656.66</v>
      </c>
      <c r="V77" s="24">
        <f t="shared" si="17"/>
        <v>29.84818182</v>
      </c>
      <c r="W77" s="25">
        <f t="shared" si="28"/>
        <v>0.349763592</v>
      </c>
      <c r="X77" s="19">
        <f t="shared" si="29"/>
        <v>1589552.968</v>
      </c>
      <c r="Y77" s="19"/>
    </row>
    <row r="78" ht="15.0" customHeight="1">
      <c r="A78" s="38">
        <v>45931.0</v>
      </c>
      <c r="B78" s="39">
        <v>5251104.0</v>
      </c>
      <c r="C78" s="40" t="s">
        <v>52</v>
      </c>
      <c r="D78" s="44">
        <v>0.27</v>
      </c>
      <c r="E78" s="42">
        <f t="shared" si="31"/>
        <v>1872</v>
      </c>
      <c r="F78" s="42">
        <v>120.0</v>
      </c>
      <c r="G78" s="42">
        <v>180.0</v>
      </c>
      <c r="H78" s="42">
        <v>1572.0</v>
      </c>
      <c r="I78" s="40" t="s">
        <v>27</v>
      </c>
      <c r="J78" s="43">
        <v>170.9156</v>
      </c>
      <c r="K78" s="43">
        <v>168.0814</v>
      </c>
      <c r="L78" s="43">
        <v>169.332</v>
      </c>
      <c r="M78" s="44">
        <v>3836.5</v>
      </c>
      <c r="N78" s="42">
        <f t="shared" si="25"/>
        <v>5708.5</v>
      </c>
      <c r="O78" s="45">
        <f t="shared" si="26"/>
        <v>316954.428</v>
      </c>
      <c r="P78" s="46">
        <v>1450.0</v>
      </c>
      <c r="Q78" s="47">
        <f t="shared" si="27"/>
        <v>448.0291159</v>
      </c>
      <c r="R78" s="46">
        <f t="shared" si="14"/>
        <v>649642.218</v>
      </c>
      <c r="S78" s="46">
        <f>IFERROR(__xludf.DUMMYFUNCTION("INDEX(IMPORTHTML(""https://www.bna.com.ar/Personas"", ""table"", 1), 2, 3)"),1465.0)</f>
        <v>1465</v>
      </c>
      <c r="T78" s="48">
        <f t="shared" si="15"/>
        <v>833580.5715</v>
      </c>
      <c r="U78" s="49">
        <f t="shared" si="16"/>
        <v>767.3</v>
      </c>
      <c r="V78" s="50">
        <f t="shared" si="17"/>
        <v>34.87727273</v>
      </c>
      <c r="W78" s="51">
        <f t="shared" si="28"/>
        <v>0.6720923569</v>
      </c>
      <c r="X78" s="45">
        <f t="shared" si="29"/>
        <v>966596.646</v>
      </c>
      <c r="Y78" s="45"/>
    </row>
    <row r="79" ht="15.0" customHeight="1">
      <c r="A79" s="53">
        <v>45901.0</v>
      </c>
      <c r="B79" s="54">
        <v>4000202.0</v>
      </c>
      <c r="C79" s="55" t="s">
        <v>56</v>
      </c>
      <c r="D79" s="52">
        <v>0.27</v>
      </c>
      <c r="E79" s="56">
        <v>15120.0</v>
      </c>
      <c r="F79" s="56">
        <v>4060.0</v>
      </c>
      <c r="G79" s="56">
        <v>3500.0</v>
      </c>
      <c r="H79" s="56">
        <v>7560.0</v>
      </c>
      <c r="I79" s="55" t="s">
        <v>29</v>
      </c>
      <c r="J79" s="57">
        <v>159.1156</v>
      </c>
      <c r="K79" s="57">
        <v>156.2753</v>
      </c>
      <c r="L79" s="57">
        <v>157.5295</v>
      </c>
      <c r="M79" s="52">
        <v>3433.2</v>
      </c>
      <c r="N79" s="56">
        <f t="shared" si="25"/>
        <v>18553.2</v>
      </c>
      <c r="O79" s="58">
        <f t="shared" si="26"/>
        <v>2383895.906</v>
      </c>
      <c r="P79" s="20">
        <v>1425.0</v>
      </c>
      <c r="Q79" s="60">
        <f t="shared" si="27"/>
        <v>379.5300206</v>
      </c>
      <c r="R79" s="59">
        <f t="shared" si="14"/>
        <v>540830.2794</v>
      </c>
      <c r="S79" s="20">
        <f>IFERROR(__xludf.DUMMYFUNCTION("INDEX(IMPORTHTML(""https://www.bna.com.ar/Personas"", ""table"", 1), 2, 3)"),1465.0)</f>
        <v>1465</v>
      </c>
      <c r="T79" s="61">
        <f t="shared" si="15"/>
        <v>706134.5799</v>
      </c>
      <c r="U79" s="62">
        <f t="shared" si="16"/>
        <v>686.64</v>
      </c>
      <c r="V79" s="63">
        <f t="shared" si="17"/>
        <v>31.21090909</v>
      </c>
      <c r="W79" s="64">
        <f t="shared" si="28"/>
        <v>0.1849165512</v>
      </c>
      <c r="X79" s="58">
        <f t="shared" si="29"/>
        <v>2924726.185</v>
      </c>
      <c r="Y79" s="19"/>
    </row>
    <row r="80" ht="15.0" customHeight="1">
      <c r="A80" s="12">
        <v>45902.0</v>
      </c>
      <c r="B80" s="13">
        <v>5263215.0</v>
      </c>
      <c r="C80" s="14" t="s">
        <v>57</v>
      </c>
      <c r="D80" s="15">
        <v>0.27</v>
      </c>
      <c r="E80" s="17">
        <v>15120.0</v>
      </c>
      <c r="F80" s="17"/>
      <c r="G80" s="17"/>
      <c r="H80" s="17">
        <v>2989.0</v>
      </c>
      <c r="I80" s="14" t="s">
        <v>34</v>
      </c>
      <c r="J80" s="18">
        <v>204.783</v>
      </c>
      <c r="K80" s="18">
        <v>204.783</v>
      </c>
      <c r="L80" s="18">
        <v>204.783</v>
      </c>
      <c r="M80" s="15">
        <v>3433.2</v>
      </c>
      <c r="N80" s="17">
        <f t="shared" si="25"/>
        <v>18553.2</v>
      </c>
      <c r="O80" s="19">
        <f t="shared" si="26"/>
        <v>612096.387</v>
      </c>
      <c r="P80" s="20">
        <v>1425.0</v>
      </c>
      <c r="Q80" s="21">
        <f t="shared" si="27"/>
        <v>493.3761373</v>
      </c>
      <c r="R80" s="20">
        <f t="shared" si="14"/>
        <v>703060.9956</v>
      </c>
      <c r="S80" s="20">
        <f>IFERROR(__xludf.DUMMYFUNCTION("INDEX(IMPORTHTML(""https://www.bna.com.ar/Personas"", ""table"", 1), 2, 3)"),1465.0)</f>
        <v>1465</v>
      </c>
      <c r="T80" s="22">
        <f t="shared" si="15"/>
        <v>917950.9722</v>
      </c>
      <c r="U80" s="23">
        <f t="shared" si="16"/>
        <v>686.64</v>
      </c>
      <c r="V80" s="24">
        <f t="shared" si="17"/>
        <v>31.21090909</v>
      </c>
      <c r="W80" s="25">
        <f t="shared" si="28"/>
        <v>0.5345831646</v>
      </c>
      <c r="X80" s="19">
        <f t="shared" si="29"/>
        <v>1315157.383</v>
      </c>
      <c r="Y80" s="19"/>
    </row>
    <row r="81" ht="15.0" customHeight="1">
      <c r="A81" s="12">
        <v>45902.0</v>
      </c>
      <c r="B81" s="13">
        <v>5296128.0</v>
      </c>
      <c r="C81" s="14" t="s">
        <v>58</v>
      </c>
      <c r="D81" s="15">
        <v>0.27</v>
      </c>
      <c r="E81" s="17">
        <v>1544.0</v>
      </c>
      <c r="F81" s="17">
        <v>168.0</v>
      </c>
      <c r="G81" s="17">
        <v>278.0</v>
      </c>
      <c r="H81" s="17">
        <v>1098.0</v>
      </c>
      <c r="I81" s="14" t="s">
        <v>25</v>
      </c>
      <c r="J81" s="18">
        <v>156.8264</v>
      </c>
      <c r="K81" s="18">
        <v>156.8264</v>
      </c>
      <c r="L81" s="18">
        <v>156.8264</v>
      </c>
      <c r="M81" s="15">
        <v>192.3</v>
      </c>
      <c r="N81" s="17">
        <f t="shared" si="25"/>
        <v>1736.3</v>
      </c>
      <c r="O81" s="19">
        <f t="shared" si="26"/>
        <v>242139.9616</v>
      </c>
      <c r="P81" s="20">
        <v>1425.0</v>
      </c>
      <c r="Q81" s="21">
        <f t="shared" si="27"/>
        <v>21.16330998</v>
      </c>
      <c r="R81" s="20">
        <f t="shared" si="14"/>
        <v>30157.71672</v>
      </c>
      <c r="S81" s="20">
        <f>IFERROR(__xludf.DUMMYFUNCTION("INDEX(IMPORTHTML(""https://www.bna.com.ar/Personas"", ""table"", 1), 2, 3)"),1465.0)</f>
        <v>1465</v>
      </c>
      <c r="T81" s="22">
        <f t="shared" si="15"/>
        <v>39375.39638</v>
      </c>
      <c r="U81" s="23">
        <f t="shared" si="16"/>
        <v>38.46</v>
      </c>
      <c r="V81" s="24">
        <f t="shared" si="17"/>
        <v>1.748181818</v>
      </c>
      <c r="W81" s="25">
        <f t="shared" si="28"/>
        <v>0.1107527501</v>
      </c>
      <c r="X81" s="19">
        <f t="shared" si="29"/>
        <v>272297.6783</v>
      </c>
      <c r="Y81" s="19"/>
    </row>
    <row r="82" ht="15.0" customHeight="1">
      <c r="A82" s="12">
        <v>45903.0</v>
      </c>
      <c r="B82" s="13">
        <v>3062898.0</v>
      </c>
      <c r="C82" s="14" t="s">
        <v>59</v>
      </c>
      <c r="D82" s="15">
        <v>0.27</v>
      </c>
      <c r="E82" s="17">
        <v>1544.0</v>
      </c>
      <c r="F82" s="17">
        <v>168.0</v>
      </c>
      <c r="G82" s="17">
        <v>278.0</v>
      </c>
      <c r="H82" s="17">
        <v>1098.0</v>
      </c>
      <c r="I82" s="14" t="s">
        <v>25</v>
      </c>
      <c r="J82" s="18">
        <v>156.8264</v>
      </c>
      <c r="K82" s="18">
        <v>156.8264</v>
      </c>
      <c r="L82" s="18">
        <v>156.8264</v>
      </c>
      <c r="M82" s="15">
        <v>717.3</v>
      </c>
      <c r="N82" s="17">
        <f t="shared" si="25"/>
        <v>2261.3</v>
      </c>
      <c r="O82" s="19">
        <f t="shared" si="26"/>
        <v>242139.9616</v>
      </c>
      <c r="P82" s="20">
        <v>1425.0</v>
      </c>
      <c r="Q82" s="21">
        <f t="shared" si="27"/>
        <v>78.94145735</v>
      </c>
      <c r="R82" s="20">
        <f t="shared" si="14"/>
        <v>112491.5767</v>
      </c>
      <c r="S82" s="20">
        <f>IFERROR(__xludf.DUMMYFUNCTION("INDEX(IMPORTHTML(""https://www.bna.com.ar/Personas"", ""table"", 1), 2, 3)"),1465.0)</f>
        <v>1465</v>
      </c>
      <c r="T82" s="22">
        <f t="shared" si="15"/>
        <v>146874.5285</v>
      </c>
      <c r="U82" s="23">
        <f t="shared" si="16"/>
        <v>143.46</v>
      </c>
      <c r="V82" s="24">
        <f t="shared" si="17"/>
        <v>6.520909091</v>
      </c>
      <c r="W82" s="25">
        <f t="shared" si="28"/>
        <v>0.3172069164</v>
      </c>
      <c r="X82" s="19">
        <f t="shared" si="29"/>
        <v>354631.5383</v>
      </c>
      <c r="Y82" s="19"/>
    </row>
    <row r="83" ht="15.0" customHeight="1">
      <c r="A83" s="12">
        <v>45904.0</v>
      </c>
      <c r="B83" s="13">
        <v>3011513.0</v>
      </c>
      <c r="C83" s="14" t="s">
        <v>60</v>
      </c>
      <c r="D83" s="15">
        <v>0.27</v>
      </c>
      <c r="E83" s="17">
        <v>729.0</v>
      </c>
      <c r="F83" s="17">
        <v>233.0</v>
      </c>
      <c r="G83" s="17">
        <v>225.0</v>
      </c>
      <c r="H83" s="17">
        <v>271.0</v>
      </c>
      <c r="I83" s="14" t="s">
        <v>36</v>
      </c>
      <c r="J83" s="18">
        <v>249.1232</v>
      </c>
      <c r="K83" s="18">
        <v>246.2829</v>
      </c>
      <c r="L83" s="18">
        <v>247.5372</v>
      </c>
      <c r="M83" s="15">
        <v>1492.0</v>
      </c>
      <c r="N83" s="17">
        <f t="shared" si="25"/>
        <v>2221</v>
      </c>
      <c r="O83" s="19">
        <f t="shared" si="26"/>
        <v>180541.9393</v>
      </c>
      <c r="P83" s="20">
        <v>1425.0</v>
      </c>
      <c r="Q83" s="21">
        <f t="shared" si="27"/>
        <v>259.1757912</v>
      </c>
      <c r="R83" s="20">
        <f t="shared" si="14"/>
        <v>369325.5024</v>
      </c>
      <c r="S83" s="20">
        <f>IFERROR(__xludf.DUMMYFUNCTION("INDEX(IMPORTHTML(""https://www.bna.com.ar/Personas"", ""table"", 1), 2, 3)"),1465.0)</f>
        <v>1465</v>
      </c>
      <c r="T83" s="22">
        <f t="shared" si="15"/>
        <v>482209.5182</v>
      </c>
      <c r="U83" s="23">
        <f t="shared" si="16"/>
        <v>298.4</v>
      </c>
      <c r="V83" s="24">
        <f t="shared" si="17"/>
        <v>13.56363636</v>
      </c>
      <c r="W83" s="25">
        <f t="shared" si="28"/>
        <v>0.6716627943</v>
      </c>
      <c r="X83" s="19">
        <f t="shared" si="29"/>
        <v>549867.4417</v>
      </c>
      <c r="Y83" s="19"/>
    </row>
    <row r="84" ht="15.0" customHeight="1">
      <c r="A84" s="12">
        <v>45907.0</v>
      </c>
      <c r="B84" s="13">
        <v>5076526.0</v>
      </c>
      <c r="C84" s="14" t="s">
        <v>61</v>
      </c>
      <c r="D84" s="15">
        <v>0.27</v>
      </c>
      <c r="E84" s="17">
        <v>7140.0</v>
      </c>
      <c r="F84" s="17">
        <v>30.0</v>
      </c>
      <c r="G84" s="17">
        <v>2340.0</v>
      </c>
      <c r="H84" s="17">
        <v>4770.0</v>
      </c>
      <c r="I84" s="14" t="s">
        <v>29</v>
      </c>
      <c r="J84" s="18">
        <v>159.1156</v>
      </c>
      <c r="K84" s="18">
        <v>156.2753</v>
      </c>
      <c r="L84" s="18">
        <v>157.5295</v>
      </c>
      <c r="M84" s="15">
        <v>1880.8</v>
      </c>
      <c r="N84" s="17">
        <f t="shared" si="25"/>
        <v>9020.8</v>
      </c>
      <c r="O84" s="19">
        <f t="shared" si="26"/>
        <v>1121873.385</v>
      </c>
      <c r="P84" s="20">
        <v>1425.0</v>
      </c>
      <c r="Q84" s="21">
        <f t="shared" si="27"/>
        <v>207.9168306</v>
      </c>
      <c r="R84" s="20">
        <f t="shared" si="14"/>
        <v>296281.4836</v>
      </c>
      <c r="S84" s="20">
        <f>IFERROR(__xludf.DUMMYFUNCTION("INDEX(IMPORTHTML(""https://www.bna.com.ar/Personas"", ""table"", 1), 2, 3)"),1465.0)</f>
        <v>1465</v>
      </c>
      <c r="T84" s="22">
        <f t="shared" si="15"/>
        <v>386839.6592</v>
      </c>
      <c r="U84" s="23">
        <f t="shared" si="16"/>
        <v>376.16</v>
      </c>
      <c r="V84" s="24">
        <f t="shared" si="17"/>
        <v>17.09818182</v>
      </c>
      <c r="W84" s="25">
        <f t="shared" si="28"/>
        <v>0.2089204008</v>
      </c>
      <c r="X84" s="19">
        <f t="shared" si="29"/>
        <v>1418154.869</v>
      </c>
      <c r="Y84" s="19"/>
    </row>
    <row r="85" ht="15.0" customHeight="1">
      <c r="A85" s="12">
        <v>45908.0</v>
      </c>
      <c r="B85" s="13">
        <v>5213946.0</v>
      </c>
      <c r="C85" s="14" t="s">
        <v>50</v>
      </c>
      <c r="D85" s="15">
        <v>0.27</v>
      </c>
      <c r="E85" s="17">
        <v>6004.0</v>
      </c>
      <c r="F85" s="17">
        <v>2590.0</v>
      </c>
      <c r="G85" s="17">
        <v>589.0</v>
      </c>
      <c r="H85" s="17">
        <v>2825.0</v>
      </c>
      <c r="I85" s="14" t="s">
        <v>51</v>
      </c>
      <c r="J85" s="18">
        <v>193.8383</v>
      </c>
      <c r="K85" s="18">
        <v>191.2829</v>
      </c>
      <c r="L85" s="18">
        <v>192.4113</v>
      </c>
      <c r="M85" s="15">
        <v>1010.3</v>
      </c>
      <c r="N85" s="17">
        <f t="shared" si="25"/>
        <v>7014.3</v>
      </c>
      <c r="O85" s="19">
        <f t="shared" si="26"/>
        <v>1158268.748</v>
      </c>
      <c r="P85" s="20">
        <v>1425.0</v>
      </c>
      <c r="Q85" s="21">
        <f t="shared" si="27"/>
        <v>136.4162361</v>
      </c>
      <c r="R85" s="20">
        <f t="shared" si="14"/>
        <v>194393.1364</v>
      </c>
      <c r="S85" s="20">
        <f>IFERROR(__xludf.DUMMYFUNCTION("INDEX(IMPORTHTML(""https://www.bna.com.ar/Personas"", ""table"", 1), 2, 3)"),1465.0)</f>
        <v>1465</v>
      </c>
      <c r="T85" s="22">
        <f t="shared" si="15"/>
        <v>253809.228</v>
      </c>
      <c r="U85" s="23">
        <f t="shared" si="16"/>
        <v>202.06</v>
      </c>
      <c r="V85" s="24">
        <f t="shared" si="17"/>
        <v>9.184545455</v>
      </c>
      <c r="W85" s="25">
        <f t="shared" si="28"/>
        <v>0.1437115503</v>
      </c>
      <c r="X85" s="19">
        <f t="shared" si="29"/>
        <v>1352661.884</v>
      </c>
      <c r="Y85" s="19"/>
    </row>
    <row r="86" ht="15.0" customHeight="1">
      <c r="A86" s="12">
        <v>45909.0</v>
      </c>
      <c r="B86" s="13">
        <v>5346470.0</v>
      </c>
      <c r="C86" s="14" t="s">
        <v>62</v>
      </c>
      <c r="D86" s="15">
        <v>0.27</v>
      </c>
      <c r="E86" s="17">
        <v>6063.0</v>
      </c>
      <c r="F86" s="17">
        <v>1644.0</v>
      </c>
      <c r="G86" s="17">
        <v>1956.0</v>
      </c>
      <c r="H86" s="17">
        <v>2463.0</v>
      </c>
      <c r="I86" s="14" t="s">
        <v>29</v>
      </c>
      <c r="J86" s="18">
        <v>159.1156</v>
      </c>
      <c r="K86" s="18">
        <v>156.2753</v>
      </c>
      <c r="L86" s="18">
        <v>157.5295</v>
      </c>
      <c r="M86" s="15">
        <v>1146.5</v>
      </c>
      <c r="N86" s="17">
        <f t="shared" si="25"/>
        <v>7209.5</v>
      </c>
      <c r="O86" s="19">
        <f t="shared" si="26"/>
        <v>955255.6917</v>
      </c>
      <c r="P86" s="20">
        <v>1425.0</v>
      </c>
      <c r="Q86" s="21">
        <f t="shared" si="27"/>
        <v>126.7421556</v>
      </c>
      <c r="R86" s="20">
        <f t="shared" si="14"/>
        <v>180607.5718</v>
      </c>
      <c r="S86" s="20">
        <f>IFERROR(__xludf.DUMMYFUNCTION("INDEX(IMPORTHTML(""https://www.bna.com.ar/Personas"", ""table"", 1), 2, 3)"),1465.0)</f>
        <v>1465</v>
      </c>
      <c r="T86" s="22">
        <f t="shared" si="15"/>
        <v>235810.1176</v>
      </c>
      <c r="U86" s="23">
        <f t="shared" si="16"/>
        <v>229.3</v>
      </c>
      <c r="V86" s="24">
        <f t="shared" si="17"/>
        <v>10.42272727</v>
      </c>
      <c r="W86" s="25">
        <f t="shared" si="28"/>
        <v>0.1590046774</v>
      </c>
      <c r="X86" s="19">
        <f t="shared" si="29"/>
        <v>1135863.263</v>
      </c>
      <c r="Y86" s="19"/>
    </row>
    <row r="87" ht="15.0" customHeight="1">
      <c r="A87" s="12">
        <v>45910.0</v>
      </c>
      <c r="B87" s="13">
        <v>5214767.0</v>
      </c>
      <c r="C87" s="14" t="s">
        <v>63</v>
      </c>
      <c r="D87" s="15">
        <v>0.27</v>
      </c>
      <c r="E87" s="17">
        <v>6396.0</v>
      </c>
      <c r="F87" s="17">
        <v>1726.0</v>
      </c>
      <c r="G87" s="17">
        <v>2.0</v>
      </c>
      <c r="H87" s="17">
        <v>4668.0</v>
      </c>
      <c r="I87" s="14" t="s">
        <v>25</v>
      </c>
      <c r="J87" s="18">
        <v>156.8264</v>
      </c>
      <c r="K87" s="18">
        <v>156.8264</v>
      </c>
      <c r="L87" s="18">
        <v>156.8264</v>
      </c>
      <c r="M87" s="15">
        <v>4974.6</v>
      </c>
      <c r="N87" s="17">
        <f t="shared" si="25"/>
        <v>11370.6</v>
      </c>
      <c r="O87" s="19">
        <f t="shared" si="26"/>
        <v>1003061.654</v>
      </c>
      <c r="P87" s="20">
        <v>1425.0</v>
      </c>
      <c r="Q87" s="21">
        <f t="shared" si="27"/>
        <v>547.4727084</v>
      </c>
      <c r="R87" s="20">
        <f t="shared" si="14"/>
        <v>780148.6094</v>
      </c>
      <c r="S87" s="20">
        <f>IFERROR(__xludf.DUMMYFUNCTION("INDEX(IMPORTHTML(""https://www.bna.com.ar/Personas"", ""table"", 1), 2, 3)"),1465.0)</f>
        <v>1465</v>
      </c>
      <c r="T87" s="22">
        <f t="shared" si="15"/>
        <v>1018600.348</v>
      </c>
      <c r="U87" s="23">
        <f t="shared" si="16"/>
        <v>994.92</v>
      </c>
      <c r="V87" s="24">
        <f t="shared" si="17"/>
        <v>45.22363636</v>
      </c>
      <c r="W87" s="25">
        <f t="shared" si="28"/>
        <v>0.437496702</v>
      </c>
      <c r="X87" s="19">
        <f t="shared" si="29"/>
        <v>1783210.264</v>
      </c>
      <c r="Y87" s="19"/>
    </row>
    <row r="88" ht="15.0" customHeight="1">
      <c r="A88" s="12">
        <v>45911.0</v>
      </c>
      <c r="B88" s="13">
        <v>5068576.0</v>
      </c>
      <c r="C88" s="14" t="s">
        <v>64</v>
      </c>
      <c r="D88" s="15">
        <v>0.27</v>
      </c>
      <c r="E88" s="17">
        <v>13817.0</v>
      </c>
      <c r="F88" s="17">
        <v>2965.0</v>
      </c>
      <c r="G88" s="17">
        <v>3555.0</v>
      </c>
      <c r="H88" s="17">
        <v>7297.0</v>
      </c>
      <c r="I88" s="14" t="s">
        <v>29</v>
      </c>
      <c r="J88" s="18">
        <v>159.1156</v>
      </c>
      <c r="K88" s="18">
        <v>156.2753</v>
      </c>
      <c r="L88" s="18">
        <v>157.5295</v>
      </c>
      <c r="M88" s="15">
        <v>3655.3</v>
      </c>
      <c r="N88" s="17">
        <f t="shared" si="25"/>
        <v>17472.3</v>
      </c>
      <c r="O88" s="19">
        <f t="shared" si="26"/>
        <v>2176829.207</v>
      </c>
      <c r="P88" s="20">
        <v>1425.0</v>
      </c>
      <c r="Q88" s="21">
        <f t="shared" si="27"/>
        <v>404.0825132</v>
      </c>
      <c r="R88" s="20">
        <f t="shared" si="14"/>
        <v>575817.5814</v>
      </c>
      <c r="S88" s="20">
        <f>IFERROR(__xludf.DUMMYFUNCTION("INDEX(IMPORTHTML(""https://www.bna.com.ar/Personas"", ""table"", 1), 2, 3)"),1465.0)</f>
        <v>1465</v>
      </c>
      <c r="T88" s="22">
        <f t="shared" si="15"/>
        <v>751815.72</v>
      </c>
      <c r="U88" s="23">
        <f t="shared" si="16"/>
        <v>731.06</v>
      </c>
      <c r="V88" s="24">
        <f t="shared" si="17"/>
        <v>33.23</v>
      </c>
      <c r="W88" s="25">
        <f t="shared" si="28"/>
        <v>0.2091868756</v>
      </c>
      <c r="X88" s="19">
        <f t="shared" si="29"/>
        <v>2752646.788</v>
      </c>
      <c r="Y88" s="19"/>
    </row>
    <row r="89" ht="15.0" customHeight="1">
      <c r="A89" s="12">
        <v>45912.0</v>
      </c>
      <c r="B89" s="13">
        <v>5019237.0</v>
      </c>
      <c r="C89" s="14" t="s">
        <v>46</v>
      </c>
      <c r="D89" s="15">
        <v>0.27</v>
      </c>
      <c r="E89" s="17">
        <v>2726.0</v>
      </c>
      <c r="F89" s="17">
        <v>638.0</v>
      </c>
      <c r="G89" s="17">
        <v>825.0</v>
      </c>
      <c r="H89" s="17">
        <v>1263.0</v>
      </c>
      <c r="I89" s="14" t="s">
        <v>29</v>
      </c>
      <c r="J89" s="18">
        <v>159.1156</v>
      </c>
      <c r="K89" s="18">
        <v>156.2753</v>
      </c>
      <c r="L89" s="18">
        <v>157.5295</v>
      </c>
      <c r="M89" s="15">
        <v>1068.9</v>
      </c>
      <c r="N89" s="17">
        <f t="shared" si="25"/>
        <v>3794.9</v>
      </c>
      <c r="O89" s="19">
        <f t="shared" si="26"/>
        <v>429402.6338</v>
      </c>
      <c r="P89" s="20">
        <v>1425.0</v>
      </c>
      <c r="Q89" s="21">
        <f t="shared" si="27"/>
        <v>118.1637071</v>
      </c>
      <c r="R89" s="20">
        <f t="shared" si="14"/>
        <v>168383.2826</v>
      </c>
      <c r="S89" s="20">
        <f>IFERROR(__xludf.DUMMYFUNCTION("INDEX(IMPORTHTML(""https://www.bna.com.ar/Personas"", ""table"", 1), 2, 3)"),1465.0)</f>
        <v>1465</v>
      </c>
      <c r="T89" s="22">
        <f t="shared" si="15"/>
        <v>219849.4852</v>
      </c>
      <c r="U89" s="23">
        <f t="shared" si="16"/>
        <v>213.78</v>
      </c>
      <c r="V89" s="24">
        <f t="shared" si="17"/>
        <v>9.717272727</v>
      </c>
      <c r="W89" s="25">
        <f t="shared" si="28"/>
        <v>0.2816782362</v>
      </c>
      <c r="X89" s="19">
        <f t="shared" si="29"/>
        <v>597785.9164</v>
      </c>
      <c r="Y89" s="19"/>
    </row>
    <row r="90" ht="15.0" customHeight="1">
      <c r="A90" s="12">
        <v>45913.0</v>
      </c>
      <c r="B90" s="13">
        <v>5272486.0</v>
      </c>
      <c r="C90" s="14" t="s">
        <v>45</v>
      </c>
      <c r="D90" s="15">
        <v>0.27</v>
      </c>
      <c r="E90" s="17">
        <v>2726.0</v>
      </c>
      <c r="F90" s="17"/>
      <c r="G90" s="17"/>
      <c r="H90" s="17"/>
      <c r="I90" s="14" t="s">
        <v>34</v>
      </c>
      <c r="J90" s="18"/>
      <c r="K90" s="18"/>
      <c r="L90" s="18"/>
      <c r="M90" s="15"/>
      <c r="N90" s="17">
        <f t="shared" si="25"/>
        <v>2726</v>
      </c>
      <c r="O90" s="19">
        <f t="shared" si="26"/>
        <v>0</v>
      </c>
      <c r="P90" s="20">
        <v>1425.0</v>
      </c>
      <c r="Q90" s="21">
        <f t="shared" si="27"/>
        <v>0</v>
      </c>
      <c r="R90" s="20">
        <f t="shared" si="14"/>
        <v>0</v>
      </c>
      <c r="S90" s="20">
        <f>IFERROR(__xludf.DUMMYFUNCTION("INDEX(IMPORTHTML(""https://www.bna.com.ar/Personas"", ""table"", 1), 2, 3)"),1465.0)</f>
        <v>1465</v>
      </c>
      <c r="T90" s="22">
        <f t="shared" si="15"/>
        <v>0</v>
      </c>
      <c r="U90" s="23">
        <f t="shared" si="16"/>
        <v>0</v>
      </c>
      <c r="V90" s="24">
        <f t="shared" si="17"/>
        <v>0</v>
      </c>
      <c r="W90" s="25" t="str">
        <f t="shared" si="28"/>
        <v>#DIV/0!</v>
      </c>
      <c r="X90" s="19">
        <f t="shared" si="29"/>
        <v>0</v>
      </c>
      <c r="Y90" s="19"/>
    </row>
    <row r="91" ht="15.0" customHeight="1">
      <c r="A91" s="12">
        <v>45914.0</v>
      </c>
      <c r="B91" s="13">
        <v>5238577.0</v>
      </c>
      <c r="C91" s="14" t="s">
        <v>44</v>
      </c>
      <c r="D91" s="15">
        <v>0.27</v>
      </c>
      <c r="E91" s="17">
        <v>2067.0</v>
      </c>
      <c r="F91" s="17"/>
      <c r="G91" s="17"/>
      <c r="H91" s="17">
        <v>2067.0</v>
      </c>
      <c r="I91" s="14" t="s">
        <v>25</v>
      </c>
      <c r="J91" s="18">
        <v>156.8264</v>
      </c>
      <c r="K91" s="18">
        <v>156.8264</v>
      </c>
      <c r="L91" s="18">
        <v>156.8264</v>
      </c>
      <c r="M91" s="15">
        <v>808.1</v>
      </c>
      <c r="N91" s="17">
        <f t="shared" si="25"/>
        <v>2875.1</v>
      </c>
      <c r="O91" s="19">
        <f t="shared" si="26"/>
        <v>324160.1688</v>
      </c>
      <c r="P91" s="20">
        <v>1425.0</v>
      </c>
      <c r="Q91" s="21">
        <f t="shared" si="27"/>
        <v>88.9343255</v>
      </c>
      <c r="R91" s="20">
        <f t="shared" si="14"/>
        <v>126731.4138</v>
      </c>
      <c r="S91" s="20">
        <f>IFERROR(__xludf.DUMMYFUNCTION("INDEX(IMPORTHTML(""https://www.bna.com.ar/Personas"", ""table"", 1), 2, 3)"),1465.0)</f>
        <v>1465</v>
      </c>
      <c r="T91" s="22">
        <f t="shared" si="15"/>
        <v>165466.7593</v>
      </c>
      <c r="U91" s="23">
        <f t="shared" si="16"/>
        <v>161.62</v>
      </c>
      <c r="V91" s="24">
        <f t="shared" si="17"/>
        <v>7.346363636</v>
      </c>
      <c r="W91" s="25">
        <f t="shared" si="28"/>
        <v>0.2810684846</v>
      </c>
      <c r="X91" s="19">
        <f t="shared" si="29"/>
        <v>450891.5826</v>
      </c>
      <c r="Y91" s="19"/>
    </row>
    <row r="92" ht="15.0" customHeight="1">
      <c r="A92" s="12">
        <v>45915.0</v>
      </c>
      <c r="B92" s="13">
        <v>5253773.0</v>
      </c>
      <c r="C92" s="14" t="s">
        <v>43</v>
      </c>
      <c r="D92" s="15">
        <v>0.21</v>
      </c>
      <c r="E92" s="17">
        <v>590.0</v>
      </c>
      <c r="F92" s="17">
        <v>216.0</v>
      </c>
      <c r="G92" s="17">
        <v>100.0</v>
      </c>
      <c r="H92" s="17">
        <v>274.0</v>
      </c>
      <c r="I92" s="14" t="s">
        <v>32</v>
      </c>
      <c r="J92" s="18">
        <v>229.758</v>
      </c>
      <c r="K92" s="18">
        <v>229.758</v>
      </c>
      <c r="L92" s="18">
        <v>229.758</v>
      </c>
      <c r="M92" s="15">
        <v>235.5</v>
      </c>
      <c r="N92" s="17">
        <f t="shared" si="25"/>
        <v>825.5</v>
      </c>
      <c r="O92" s="19">
        <f t="shared" si="26"/>
        <v>135557.22</v>
      </c>
      <c r="P92" s="20">
        <v>1425.0</v>
      </c>
      <c r="Q92" s="21">
        <f t="shared" si="27"/>
        <v>37.97053263</v>
      </c>
      <c r="R92" s="20">
        <f t="shared" si="14"/>
        <v>54108.009</v>
      </c>
      <c r="S92" s="20">
        <f>IFERROR(__xludf.DUMMYFUNCTION("INDEX(IMPORTHTML(""https://www.bna.com.ar/Personas"", ""table"", 1), 2, 3)"),1465.0)</f>
        <v>1465</v>
      </c>
      <c r="T92" s="22">
        <f t="shared" si="15"/>
        <v>67308.46467</v>
      </c>
      <c r="U92" s="23">
        <f t="shared" si="16"/>
        <v>47.1</v>
      </c>
      <c r="V92" s="24">
        <f t="shared" si="17"/>
        <v>2.140909091</v>
      </c>
      <c r="W92" s="25">
        <f t="shared" si="28"/>
        <v>0.2852816475</v>
      </c>
      <c r="X92" s="19">
        <f t="shared" si="29"/>
        <v>189665.229</v>
      </c>
      <c r="Y92" s="19"/>
    </row>
    <row r="93" ht="15.0" customHeight="1">
      <c r="A93" s="12">
        <v>45916.0</v>
      </c>
      <c r="B93" s="13">
        <v>5320074.0</v>
      </c>
      <c r="C93" s="14" t="s">
        <v>65</v>
      </c>
      <c r="D93" s="15">
        <v>0.27</v>
      </c>
      <c r="E93" s="17">
        <v>19794.0</v>
      </c>
      <c r="F93" s="17">
        <v>4729.0</v>
      </c>
      <c r="G93" s="17">
        <v>4961.0</v>
      </c>
      <c r="H93" s="17">
        <v>10104.0</v>
      </c>
      <c r="I93" s="14" t="s">
        <v>29</v>
      </c>
      <c r="J93" s="18">
        <v>159.1156</v>
      </c>
      <c r="K93" s="18">
        <v>156.2753</v>
      </c>
      <c r="L93" s="18">
        <v>157.5295</v>
      </c>
      <c r="M93" s="15">
        <v>2458.1</v>
      </c>
      <c r="N93" s="17">
        <f t="shared" si="25"/>
        <v>22252.1</v>
      </c>
      <c r="O93" s="19">
        <f t="shared" si="26"/>
        <v>3119417.504</v>
      </c>
      <c r="P93" s="20">
        <v>1425.0</v>
      </c>
      <c r="Q93" s="21">
        <f t="shared" si="27"/>
        <v>271.7356238</v>
      </c>
      <c r="R93" s="20">
        <f t="shared" si="14"/>
        <v>387223.264</v>
      </c>
      <c r="S93" s="20">
        <f>IFERROR(__xludf.DUMMYFUNCTION("INDEX(IMPORTHTML(""https://www.bna.com.ar/Personas"", ""table"", 1), 2, 3)"),1465.0)</f>
        <v>1465</v>
      </c>
      <c r="T93" s="22">
        <f t="shared" si="15"/>
        <v>505577.7149</v>
      </c>
      <c r="U93" s="23">
        <f t="shared" si="16"/>
        <v>491.62</v>
      </c>
      <c r="V93" s="24">
        <f t="shared" si="17"/>
        <v>22.34636364</v>
      </c>
      <c r="W93" s="25">
        <f t="shared" si="28"/>
        <v>0.1104257007</v>
      </c>
      <c r="X93" s="19">
        <f t="shared" si="29"/>
        <v>3506640.768</v>
      </c>
      <c r="Y93" s="19"/>
    </row>
    <row r="94" ht="15.0" customHeight="1">
      <c r="A94" s="12">
        <v>45917.0</v>
      </c>
      <c r="B94" s="13">
        <v>5352763.0</v>
      </c>
      <c r="C94" s="14" t="s">
        <v>66</v>
      </c>
      <c r="D94" s="15">
        <v>0.27</v>
      </c>
      <c r="E94" s="17">
        <v>1737.0</v>
      </c>
      <c r="F94" s="17">
        <v>521.0</v>
      </c>
      <c r="G94" s="17">
        <v>381.0</v>
      </c>
      <c r="H94" s="17">
        <v>835.0</v>
      </c>
      <c r="I94" s="14" t="s">
        <v>25</v>
      </c>
      <c r="J94" s="18">
        <v>156.8264</v>
      </c>
      <c r="K94" s="18">
        <v>156.8264</v>
      </c>
      <c r="L94" s="18">
        <v>156.8264</v>
      </c>
      <c r="M94" s="15">
        <v>374.3</v>
      </c>
      <c r="N94" s="17">
        <f t="shared" si="25"/>
        <v>2111.3</v>
      </c>
      <c r="O94" s="19">
        <f t="shared" si="26"/>
        <v>272407.4568</v>
      </c>
      <c r="P94" s="20">
        <v>1425.0</v>
      </c>
      <c r="Q94" s="21">
        <f t="shared" si="27"/>
        <v>41.19306773</v>
      </c>
      <c r="R94" s="20">
        <f t="shared" si="14"/>
        <v>58700.12152</v>
      </c>
      <c r="S94" s="20">
        <f>IFERROR(__xludf.DUMMYFUNCTION("INDEX(IMPORTHTML(""https://www.bna.com.ar/Personas"", ""table"", 1), 2, 3)"),1465.0)</f>
        <v>1465</v>
      </c>
      <c r="T94" s="22">
        <f t="shared" si="15"/>
        <v>76641.76217</v>
      </c>
      <c r="U94" s="23">
        <f t="shared" si="16"/>
        <v>74.86</v>
      </c>
      <c r="V94" s="24">
        <f t="shared" si="17"/>
        <v>3.402727273</v>
      </c>
      <c r="W94" s="25">
        <f t="shared" si="28"/>
        <v>0.1772841377</v>
      </c>
      <c r="X94" s="19">
        <f t="shared" si="29"/>
        <v>331107.5783</v>
      </c>
      <c r="Y94" s="19"/>
    </row>
    <row r="95" ht="15.0" customHeight="1">
      <c r="A95" s="12">
        <v>45918.0</v>
      </c>
      <c r="B95" s="13">
        <v>3092029.0</v>
      </c>
      <c r="C95" s="14" t="s">
        <v>42</v>
      </c>
      <c r="D95" s="15">
        <v>0.27</v>
      </c>
      <c r="E95" s="17">
        <v>9600.0</v>
      </c>
      <c r="F95" s="17">
        <v>3210.0</v>
      </c>
      <c r="G95" s="17">
        <v>1650.0</v>
      </c>
      <c r="H95" s="17">
        <v>4740.0</v>
      </c>
      <c r="I95" s="14" t="s">
        <v>29</v>
      </c>
      <c r="J95" s="18">
        <v>159.1156</v>
      </c>
      <c r="K95" s="18">
        <v>156.2753</v>
      </c>
      <c r="L95" s="18">
        <v>157.5295</v>
      </c>
      <c r="M95" s="15">
        <v>3351.9</v>
      </c>
      <c r="N95" s="17">
        <f t="shared" si="25"/>
        <v>12951.9</v>
      </c>
      <c r="O95" s="19">
        <f t="shared" si="26"/>
        <v>1515305.151</v>
      </c>
      <c r="P95" s="20">
        <v>1425.0</v>
      </c>
      <c r="Q95" s="21">
        <f t="shared" si="27"/>
        <v>370.5425481</v>
      </c>
      <c r="R95" s="20">
        <f t="shared" si="14"/>
        <v>528023.1311</v>
      </c>
      <c r="S95" s="20">
        <f>IFERROR(__xludf.DUMMYFUNCTION("INDEX(IMPORTHTML(""https://www.bna.com.ar/Personas"", ""table"", 1), 2, 3)"),1465.0)</f>
        <v>1465</v>
      </c>
      <c r="T95" s="22">
        <f t="shared" si="15"/>
        <v>689412.9379</v>
      </c>
      <c r="U95" s="23">
        <f t="shared" si="16"/>
        <v>670.38</v>
      </c>
      <c r="V95" s="24">
        <f t="shared" si="17"/>
        <v>30.47181818</v>
      </c>
      <c r="W95" s="25">
        <f t="shared" si="28"/>
        <v>0.2584132641</v>
      </c>
      <c r="X95" s="19">
        <f t="shared" si="29"/>
        <v>2043328.282</v>
      </c>
      <c r="Y95" s="19"/>
    </row>
    <row r="96" ht="15.0" customHeight="1">
      <c r="A96" s="12">
        <v>45919.0</v>
      </c>
      <c r="B96" s="13">
        <v>5076619.0</v>
      </c>
      <c r="C96" s="14" t="s">
        <v>41</v>
      </c>
      <c r="D96" s="15">
        <v>0.27</v>
      </c>
      <c r="E96" s="17">
        <v>3169.0</v>
      </c>
      <c r="F96" s="17">
        <v>1095.0</v>
      </c>
      <c r="G96" s="17">
        <v>707.0</v>
      </c>
      <c r="H96" s="17">
        <v>1367.0</v>
      </c>
      <c r="I96" s="14" t="s">
        <v>25</v>
      </c>
      <c r="J96" s="18">
        <v>156.8264</v>
      </c>
      <c r="K96" s="18">
        <v>156.8264</v>
      </c>
      <c r="L96" s="18">
        <v>156.8264</v>
      </c>
      <c r="M96" s="15"/>
      <c r="N96" s="17">
        <f t="shared" si="25"/>
        <v>3169</v>
      </c>
      <c r="O96" s="19">
        <f t="shared" si="26"/>
        <v>496982.8616</v>
      </c>
      <c r="P96" s="20">
        <v>1425.0</v>
      </c>
      <c r="Q96" s="21">
        <f t="shared" si="27"/>
        <v>0</v>
      </c>
      <c r="R96" s="20">
        <f t="shared" si="14"/>
        <v>0</v>
      </c>
      <c r="S96" s="20">
        <f>IFERROR(__xludf.DUMMYFUNCTION("INDEX(IMPORTHTML(""https://www.bna.com.ar/Personas"", ""table"", 1), 2, 3)"),1465.0)</f>
        <v>1465</v>
      </c>
      <c r="T96" s="22">
        <f t="shared" si="15"/>
        <v>0</v>
      </c>
      <c r="U96" s="23">
        <f t="shared" si="16"/>
        <v>0</v>
      </c>
      <c r="V96" s="24">
        <f t="shared" si="17"/>
        <v>0</v>
      </c>
      <c r="W96" s="25">
        <f t="shared" si="28"/>
        <v>0</v>
      </c>
      <c r="X96" s="19">
        <f t="shared" si="29"/>
        <v>496982.8616</v>
      </c>
      <c r="Y96" s="19"/>
    </row>
    <row r="97" ht="15.0" customHeight="1">
      <c r="A97" s="12">
        <v>45920.0</v>
      </c>
      <c r="B97" s="13">
        <v>4000681.0</v>
      </c>
      <c r="C97" s="14" t="s">
        <v>40</v>
      </c>
      <c r="D97" s="15">
        <v>0.27</v>
      </c>
      <c r="E97" s="17">
        <v>7602.0</v>
      </c>
      <c r="F97" s="17">
        <v>2344.0</v>
      </c>
      <c r="G97" s="17">
        <v>2463.0</v>
      </c>
      <c r="H97" s="17">
        <v>2795.0</v>
      </c>
      <c r="I97" s="14" t="s">
        <v>25</v>
      </c>
      <c r="J97" s="18">
        <v>156.8264</v>
      </c>
      <c r="K97" s="18">
        <v>156.8264</v>
      </c>
      <c r="L97" s="18">
        <v>156.8264</v>
      </c>
      <c r="M97" s="15">
        <v>3006.9</v>
      </c>
      <c r="N97" s="17">
        <f t="shared" si="25"/>
        <v>10608.9</v>
      </c>
      <c r="O97" s="19">
        <f t="shared" si="26"/>
        <v>1192194.293</v>
      </c>
      <c r="P97" s="20">
        <v>1425.0</v>
      </c>
      <c r="Q97" s="21">
        <f t="shared" si="27"/>
        <v>330.920212</v>
      </c>
      <c r="R97" s="20">
        <f t="shared" si="14"/>
        <v>471561.3022</v>
      </c>
      <c r="S97" s="20">
        <f>IFERROR(__xludf.DUMMYFUNCTION("INDEX(IMPORTHTML(""https://www.bna.com.ar/Personas"", ""table"", 1), 2, 3)"),1465.0)</f>
        <v>1465</v>
      </c>
      <c r="T97" s="22">
        <f t="shared" si="15"/>
        <v>615693.6005</v>
      </c>
      <c r="U97" s="23">
        <f t="shared" si="16"/>
        <v>601.38</v>
      </c>
      <c r="V97" s="24">
        <f t="shared" si="17"/>
        <v>27.33545455</v>
      </c>
      <c r="W97" s="25">
        <f t="shared" si="28"/>
        <v>0.2834318355</v>
      </c>
      <c r="X97" s="19">
        <f t="shared" si="29"/>
        <v>1663755.595</v>
      </c>
      <c r="Y97" s="19"/>
    </row>
    <row r="98" ht="15.0" customHeight="1">
      <c r="A98" s="12">
        <v>45921.0</v>
      </c>
      <c r="B98" s="13">
        <v>5253775.0</v>
      </c>
      <c r="C98" s="14" t="s">
        <v>39</v>
      </c>
      <c r="D98" s="15">
        <v>0.21</v>
      </c>
      <c r="E98" s="17">
        <v>546.0</v>
      </c>
      <c r="F98" s="17"/>
      <c r="G98" s="17"/>
      <c r="H98" s="17">
        <v>546.0</v>
      </c>
      <c r="I98" s="14" t="s">
        <v>32</v>
      </c>
      <c r="J98" s="18">
        <v>229.758</v>
      </c>
      <c r="K98" s="18">
        <v>229.758</v>
      </c>
      <c r="L98" s="18">
        <v>229.758</v>
      </c>
      <c r="M98" s="15">
        <v>124.1</v>
      </c>
      <c r="N98" s="17">
        <f t="shared" si="25"/>
        <v>670.1</v>
      </c>
      <c r="O98" s="19">
        <f t="shared" si="26"/>
        <v>125447.868</v>
      </c>
      <c r="P98" s="20">
        <v>1425.0</v>
      </c>
      <c r="Q98" s="21">
        <f t="shared" si="27"/>
        <v>20.00910021</v>
      </c>
      <c r="R98" s="20">
        <f t="shared" si="14"/>
        <v>28512.9678</v>
      </c>
      <c r="S98" s="20">
        <f>IFERROR(__xludf.DUMMYFUNCTION("INDEX(IMPORTHTML(""https://www.bna.com.ar/Personas"", ""table"", 1), 2, 3)"),1465.0)</f>
        <v>1465</v>
      </c>
      <c r="T98" s="22">
        <f t="shared" si="15"/>
        <v>35469.13149</v>
      </c>
      <c r="U98" s="23">
        <f t="shared" si="16"/>
        <v>24.82</v>
      </c>
      <c r="V98" s="24">
        <f t="shared" si="17"/>
        <v>1.128181818</v>
      </c>
      <c r="W98" s="25">
        <f t="shared" si="28"/>
        <v>0.1851962394</v>
      </c>
      <c r="X98" s="19">
        <f t="shared" si="29"/>
        <v>153960.8358</v>
      </c>
      <c r="Y98" s="19"/>
    </row>
    <row r="99" ht="15.0" customHeight="1">
      <c r="A99" s="12">
        <v>45922.0</v>
      </c>
      <c r="B99" s="13">
        <v>5211887.0</v>
      </c>
      <c r="C99" s="14" t="s">
        <v>38</v>
      </c>
      <c r="D99" s="15">
        <v>0.27</v>
      </c>
      <c r="E99" s="17">
        <v>371.0</v>
      </c>
      <c r="F99" s="17"/>
      <c r="G99" s="17"/>
      <c r="H99" s="17">
        <v>371.0</v>
      </c>
      <c r="I99" s="14" t="s">
        <v>25</v>
      </c>
      <c r="J99" s="18">
        <v>156.8264</v>
      </c>
      <c r="K99" s="18">
        <v>156.8264</v>
      </c>
      <c r="L99" s="18">
        <v>156.8264</v>
      </c>
      <c r="M99" s="15">
        <v>1304.8</v>
      </c>
      <c r="N99" s="17">
        <f t="shared" si="25"/>
        <v>1675.8</v>
      </c>
      <c r="O99" s="19">
        <f t="shared" si="26"/>
        <v>58182.5944</v>
      </c>
      <c r="P99" s="20">
        <v>1425.0</v>
      </c>
      <c r="Q99" s="21">
        <f t="shared" si="27"/>
        <v>143.5979556</v>
      </c>
      <c r="R99" s="20">
        <f t="shared" si="14"/>
        <v>204627.0867</v>
      </c>
      <c r="S99" s="20">
        <f>IFERROR(__xludf.DUMMYFUNCTION("INDEX(IMPORTHTML(""https://www.bna.com.ar/Personas"", ""table"", 1), 2, 3)"),1465.0)</f>
        <v>1465</v>
      </c>
      <c r="T99" s="22">
        <f t="shared" si="15"/>
        <v>267171.1763</v>
      </c>
      <c r="U99" s="23">
        <f t="shared" si="16"/>
        <v>260.96</v>
      </c>
      <c r="V99" s="24">
        <f t="shared" si="17"/>
        <v>11.86181818</v>
      </c>
      <c r="W99" s="25">
        <f t="shared" si="28"/>
        <v>0.7786131997</v>
      </c>
      <c r="X99" s="19">
        <f t="shared" si="29"/>
        <v>262809.6811</v>
      </c>
      <c r="Y99" s="19"/>
    </row>
    <row r="100" ht="15.0" customHeight="1">
      <c r="A100" s="12">
        <v>45923.0</v>
      </c>
      <c r="B100" s="13">
        <v>5346222.0</v>
      </c>
      <c r="C100" s="14" t="s">
        <v>37</v>
      </c>
      <c r="D100" s="15">
        <v>0.27</v>
      </c>
      <c r="E100" s="17">
        <v>1767.0</v>
      </c>
      <c r="F100" s="17">
        <v>363.0</v>
      </c>
      <c r="G100" s="17">
        <v>7.0</v>
      </c>
      <c r="H100" s="17">
        <v>1397.0</v>
      </c>
      <c r="I100" s="14" t="s">
        <v>25</v>
      </c>
      <c r="J100" s="18">
        <v>156.8264</v>
      </c>
      <c r="K100" s="18">
        <v>156.8264</v>
      </c>
      <c r="L100" s="18">
        <v>156.8264</v>
      </c>
      <c r="M100" s="15">
        <v>3747.6</v>
      </c>
      <c r="N100" s="17">
        <f t="shared" si="25"/>
        <v>5514.6</v>
      </c>
      <c r="O100" s="19">
        <f t="shared" si="26"/>
        <v>277112.2488</v>
      </c>
      <c r="P100" s="20">
        <v>1425.0</v>
      </c>
      <c r="Q100" s="21">
        <f t="shared" si="27"/>
        <v>412.436924</v>
      </c>
      <c r="R100" s="20">
        <f t="shared" si="14"/>
        <v>587722.6166</v>
      </c>
      <c r="S100" s="20">
        <f>IFERROR(__xludf.DUMMYFUNCTION("INDEX(IMPORTHTML(""https://www.bna.com.ar/Personas"", ""table"", 1), 2, 3)"),1465.0)</f>
        <v>1465</v>
      </c>
      <c r="T100" s="22">
        <f t="shared" si="15"/>
        <v>767359.5189</v>
      </c>
      <c r="U100" s="23">
        <f t="shared" si="16"/>
        <v>749.52</v>
      </c>
      <c r="V100" s="24">
        <f t="shared" si="17"/>
        <v>34.06909091</v>
      </c>
      <c r="W100" s="25">
        <f t="shared" si="28"/>
        <v>0.6795778479</v>
      </c>
      <c r="X100" s="19">
        <f t="shared" si="29"/>
        <v>864834.8654</v>
      </c>
      <c r="Y100" s="19"/>
    </row>
    <row r="101" ht="15.0" customHeight="1">
      <c r="A101" s="12">
        <v>45924.0</v>
      </c>
      <c r="B101" s="13">
        <v>3025373.0</v>
      </c>
      <c r="C101" s="14" t="s">
        <v>35</v>
      </c>
      <c r="D101" s="15">
        <v>0.27</v>
      </c>
      <c r="E101" s="17">
        <v>18911.0</v>
      </c>
      <c r="F101" s="17">
        <v>5055.0</v>
      </c>
      <c r="G101" s="17">
        <v>5695.0</v>
      </c>
      <c r="H101" s="17">
        <v>8161.0</v>
      </c>
      <c r="I101" s="14" t="s">
        <v>36</v>
      </c>
      <c r="J101" s="18">
        <v>249.1232</v>
      </c>
      <c r="K101" s="18">
        <v>246.2829</v>
      </c>
      <c r="L101" s="18">
        <v>247.5372</v>
      </c>
      <c r="M101" s="15">
        <v>6486.6</v>
      </c>
      <c r="N101" s="17">
        <f t="shared" si="25"/>
        <v>25397.6</v>
      </c>
      <c r="O101" s="19">
        <f t="shared" si="26"/>
        <v>4682049.981</v>
      </c>
      <c r="P101" s="20">
        <v>1425.0</v>
      </c>
      <c r="Q101" s="21">
        <f t="shared" si="27"/>
        <v>1126.789334</v>
      </c>
      <c r="R101" s="20">
        <f t="shared" si="14"/>
        <v>1605674.802</v>
      </c>
      <c r="S101" s="20">
        <f>IFERROR(__xludf.DUMMYFUNCTION("INDEX(IMPORTHTML(""https://www.bna.com.ar/Personas"", ""table"", 1), 2, 3)"),1465.0)</f>
        <v>1465</v>
      </c>
      <c r="T101" s="22">
        <f t="shared" si="15"/>
        <v>2096447.896</v>
      </c>
      <c r="U101" s="23">
        <f t="shared" si="16"/>
        <v>1297.32</v>
      </c>
      <c r="V101" s="24">
        <f t="shared" si="17"/>
        <v>58.96909091</v>
      </c>
      <c r="W101" s="25">
        <f t="shared" si="28"/>
        <v>0.2553665844</v>
      </c>
      <c r="X101" s="19">
        <f t="shared" si="29"/>
        <v>6287724.782</v>
      </c>
      <c r="Y101" s="19"/>
    </row>
    <row r="102" ht="15.0" customHeight="1">
      <c r="A102" s="12">
        <v>45925.0</v>
      </c>
      <c r="B102" s="13">
        <v>5251101.0</v>
      </c>
      <c r="C102" s="14" t="s">
        <v>67</v>
      </c>
      <c r="D102" s="15">
        <v>0.27</v>
      </c>
      <c r="E102" s="17">
        <v>3468.0</v>
      </c>
      <c r="F102" s="17">
        <v>336.0</v>
      </c>
      <c r="G102" s="17">
        <v>168.0</v>
      </c>
      <c r="H102" s="17">
        <v>2964.0</v>
      </c>
      <c r="I102" s="14" t="s">
        <v>27</v>
      </c>
      <c r="J102" s="18">
        <v>170.107</v>
      </c>
      <c r="K102" s="18">
        <v>167.2668</v>
      </c>
      <c r="L102" s="18">
        <v>168.521</v>
      </c>
      <c r="M102" s="15">
        <v>2999.4</v>
      </c>
      <c r="N102" s="17">
        <f t="shared" si="25"/>
        <v>6467.4</v>
      </c>
      <c r="O102" s="19">
        <f t="shared" si="26"/>
        <v>584753.0184</v>
      </c>
      <c r="P102" s="20">
        <v>1425.0</v>
      </c>
      <c r="Q102" s="21">
        <f t="shared" si="27"/>
        <v>354.7100964</v>
      </c>
      <c r="R102" s="20">
        <f t="shared" si="14"/>
        <v>505461.8874</v>
      </c>
      <c r="S102" s="20">
        <f>IFERROR(__xludf.DUMMYFUNCTION("INDEX(IMPORTHTML(""https://www.bna.com.ar/Personas"", ""table"", 1), 2, 3)"),1465.0)</f>
        <v>1465</v>
      </c>
      <c r="T102" s="22">
        <f t="shared" si="15"/>
        <v>659955.8699</v>
      </c>
      <c r="U102" s="23">
        <f t="shared" si="16"/>
        <v>599.88</v>
      </c>
      <c r="V102" s="24">
        <f t="shared" si="17"/>
        <v>27.26727273</v>
      </c>
      <c r="W102" s="25">
        <f t="shared" si="28"/>
        <v>0.4636350913</v>
      </c>
      <c r="X102" s="19">
        <f t="shared" si="29"/>
        <v>1090214.906</v>
      </c>
      <c r="Y102" s="19"/>
    </row>
    <row r="103" ht="17.25" customHeight="1">
      <c r="A103" s="38">
        <v>45925.0</v>
      </c>
      <c r="B103" s="39">
        <v>5251104.0</v>
      </c>
      <c r="C103" s="40" t="s">
        <v>52</v>
      </c>
      <c r="D103" s="44">
        <v>0.27</v>
      </c>
      <c r="E103" s="42">
        <v>7899.0</v>
      </c>
      <c r="F103" s="42">
        <v>445.0</v>
      </c>
      <c r="G103" s="42">
        <v>221.0</v>
      </c>
      <c r="H103" s="42">
        <v>7233.0</v>
      </c>
      <c r="I103" s="40" t="s">
        <v>27</v>
      </c>
      <c r="J103" s="43">
        <v>170.107</v>
      </c>
      <c r="K103" s="43">
        <v>167.2668</v>
      </c>
      <c r="L103" s="43">
        <v>168.521</v>
      </c>
      <c r="M103" s="44">
        <v>4463.7</v>
      </c>
      <c r="N103" s="42">
        <f t="shared" si="25"/>
        <v>12362.7</v>
      </c>
      <c r="O103" s="45">
        <f t="shared" si="26"/>
        <v>1331575.971</v>
      </c>
      <c r="P103" s="46">
        <v>1425.0</v>
      </c>
      <c r="Q103" s="47">
        <f t="shared" si="27"/>
        <v>527.8787282</v>
      </c>
      <c r="R103" s="46">
        <f t="shared" si="14"/>
        <v>752227.1877</v>
      </c>
      <c r="S103" s="46">
        <f>IFERROR(__xludf.DUMMYFUNCTION("INDEX(IMPORTHTML(""https://www.bna.com.ar/Personas"", ""table"", 1), 2, 3)"),1465.0)</f>
        <v>1465</v>
      </c>
      <c r="T103" s="48">
        <f t="shared" si="15"/>
        <v>982144.7678</v>
      </c>
      <c r="U103" s="49">
        <f t="shared" si="16"/>
        <v>892.74</v>
      </c>
      <c r="V103" s="50">
        <f t="shared" si="17"/>
        <v>40.57909091</v>
      </c>
      <c r="W103" s="51">
        <f t="shared" si="28"/>
        <v>0.3609876416</v>
      </c>
      <c r="X103" s="45">
        <f t="shared" si="29"/>
        <v>2083803.159</v>
      </c>
      <c r="Y103" s="45"/>
    </row>
    <row r="104" ht="15.0" customHeight="1">
      <c r="A104" s="53">
        <v>45870.0</v>
      </c>
      <c r="B104" s="54">
        <v>4000202.0</v>
      </c>
      <c r="C104" s="55" t="s">
        <v>56</v>
      </c>
      <c r="D104" s="52">
        <v>0.27</v>
      </c>
      <c r="E104" s="56">
        <v>15330.0</v>
      </c>
      <c r="F104" s="56">
        <v>3990.0</v>
      </c>
      <c r="G104" s="56">
        <v>3360.0</v>
      </c>
      <c r="H104" s="56">
        <v>7980.0</v>
      </c>
      <c r="I104" s="55" t="s">
        <v>29</v>
      </c>
      <c r="J104" s="57">
        <v>157.6231</v>
      </c>
      <c r="K104" s="57">
        <v>154.7731</v>
      </c>
      <c r="L104" s="57">
        <v>156.0309</v>
      </c>
      <c r="M104" s="52">
        <v>2805.5</v>
      </c>
      <c r="N104" s="56">
        <f t="shared" si="25"/>
        <v>18135.5</v>
      </c>
      <c r="O104" s="58">
        <f t="shared" si="26"/>
        <v>2394080.367</v>
      </c>
      <c r="P104" s="59">
        <v>1340.0</v>
      </c>
      <c r="Q104" s="60">
        <f t="shared" si="27"/>
        <v>326.6751418</v>
      </c>
      <c r="R104" s="59">
        <f t="shared" si="14"/>
        <v>437744.69</v>
      </c>
      <c r="S104" s="20">
        <f>IFERROR(__xludf.DUMMYFUNCTION("INDEX(IMPORTHTML(""https://www.bna.com.ar/Personas"", ""table"", 1), 2, 3)"),1465.0)</f>
        <v>1465</v>
      </c>
      <c r="T104" s="61">
        <f t="shared" si="15"/>
        <v>607795.435</v>
      </c>
      <c r="U104" s="62">
        <f t="shared" si="16"/>
        <v>561.1</v>
      </c>
      <c r="V104" s="63">
        <f t="shared" si="17"/>
        <v>25.50454545</v>
      </c>
      <c r="W104" s="64">
        <f t="shared" si="28"/>
        <v>0.1545804141</v>
      </c>
      <c r="X104" s="58">
        <f t="shared" si="29"/>
        <v>2831825.057</v>
      </c>
      <c r="Y104" s="19"/>
    </row>
    <row r="105" ht="15.0" customHeight="1">
      <c r="A105" s="12">
        <v>45871.0</v>
      </c>
      <c r="B105" s="13">
        <v>5263215.0</v>
      </c>
      <c r="C105" s="14" t="s">
        <v>57</v>
      </c>
      <c r="D105" s="15">
        <v>0.27</v>
      </c>
      <c r="E105" s="17">
        <v>15120.0</v>
      </c>
      <c r="F105" s="17"/>
      <c r="G105" s="17"/>
      <c r="H105" s="17">
        <v>4200.0</v>
      </c>
      <c r="I105" s="14" t="s">
        <v>34</v>
      </c>
      <c r="J105" s="18">
        <v>210.8142</v>
      </c>
      <c r="K105" s="18">
        <v>210.8142</v>
      </c>
      <c r="L105" s="18">
        <v>210.8142</v>
      </c>
      <c r="M105" s="15">
        <v>748.2</v>
      </c>
      <c r="N105" s="17">
        <f t="shared" si="25"/>
        <v>15868.2</v>
      </c>
      <c r="O105" s="19">
        <f t="shared" si="26"/>
        <v>885419.64</v>
      </c>
      <c r="P105" s="20">
        <v>1425.0</v>
      </c>
      <c r="Q105" s="21">
        <f t="shared" si="27"/>
        <v>110.6885505</v>
      </c>
      <c r="R105" s="20">
        <f t="shared" si="14"/>
        <v>157731.1844</v>
      </c>
      <c r="S105" s="20">
        <f>IFERROR(__xludf.DUMMYFUNCTION("INDEX(IMPORTHTML(""https://www.bna.com.ar/Personas"", ""table"", 1), 2, 3)"),1465.0)</f>
        <v>1465</v>
      </c>
      <c r="T105" s="22">
        <f t="shared" si="15"/>
        <v>205941.5826</v>
      </c>
      <c r="U105" s="23">
        <f t="shared" si="16"/>
        <v>149.64</v>
      </c>
      <c r="V105" s="24">
        <f t="shared" si="17"/>
        <v>6.801818182</v>
      </c>
      <c r="W105" s="25">
        <f t="shared" si="28"/>
        <v>0.1512064993</v>
      </c>
      <c r="X105" s="19">
        <f t="shared" si="29"/>
        <v>1043150.824</v>
      </c>
      <c r="Y105" s="19"/>
    </row>
    <row r="106" ht="15.0" customHeight="1">
      <c r="A106" s="12">
        <v>45871.0</v>
      </c>
      <c r="B106" s="13">
        <v>5296128.0</v>
      </c>
      <c r="C106" s="14" t="s">
        <v>58</v>
      </c>
      <c r="D106" s="65">
        <v>0.27</v>
      </c>
      <c r="E106" s="17">
        <v>1394.0</v>
      </c>
      <c r="F106" s="17">
        <v>153.0</v>
      </c>
      <c r="G106" s="17">
        <v>262.0</v>
      </c>
      <c r="H106" s="17">
        <v>979.0</v>
      </c>
      <c r="I106" s="14" t="s">
        <v>25</v>
      </c>
      <c r="J106" s="18">
        <v>156.5178</v>
      </c>
      <c r="K106" s="18">
        <v>156.5178</v>
      </c>
      <c r="L106" s="18">
        <v>156.5178</v>
      </c>
      <c r="M106" s="15">
        <v>748.2</v>
      </c>
      <c r="N106" s="17">
        <f t="shared" si="25"/>
        <v>2142.2</v>
      </c>
      <c r="O106" s="19">
        <f t="shared" si="26"/>
        <v>218185.8132</v>
      </c>
      <c r="P106" s="20">
        <v>1340.0</v>
      </c>
      <c r="Q106" s="21">
        <f t="shared" si="27"/>
        <v>87.39299848</v>
      </c>
      <c r="R106" s="20">
        <f t="shared" si="14"/>
        <v>117106.618</v>
      </c>
      <c r="S106" s="20">
        <f>IFERROR(__xludf.DUMMYFUNCTION("INDEX(IMPORTHTML(""https://www.bna.com.ar/Personas"", ""table"", 1), 2, 3)"),1465.0)</f>
        <v>1465</v>
      </c>
      <c r="T106" s="22">
        <f t="shared" si="15"/>
        <v>162599.0433</v>
      </c>
      <c r="U106" s="23">
        <f t="shared" si="16"/>
        <v>149.64</v>
      </c>
      <c r="V106" s="24">
        <f t="shared" si="17"/>
        <v>6.801818182</v>
      </c>
      <c r="W106" s="25">
        <f t="shared" si="28"/>
        <v>0.3492671086</v>
      </c>
      <c r="X106" s="19">
        <f t="shared" si="29"/>
        <v>335292.4312</v>
      </c>
      <c r="Y106" s="19"/>
    </row>
    <row r="107" ht="15.0" customHeight="1">
      <c r="A107" s="12">
        <v>45871.0</v>
      </c>
      <c r="B107" s="13">
        <v>3062898.0</v>
      </c>
      <c r="C107" s="14" t="s">
        <v>59</v>
      </c>
      <c r="D107" s="65">
        <v>0.27</v>
      </c>
      <c r="E107" s="17">
        <v>2018.0</v>
      </c>
      <c r="F107" s="17">
        <v>488.0</v>
      </c>
      <c r="G107" s="17">
        <v>571.0</v>
      </c>
      <c r="H107" s="17">
        <v>959.0</v>
      </c>
      <c r="I107" s="14" t="s">
        <v>36</v>
      </c>
      <c r="J107" s="18">
        <v>245.9868</v>
      </c>
      <c r="K107" s="18">
        <v>243.1367</v>
      </c>
      <c r="L107" s="18">
        <v>244.3947</v>
      </c>
      <c r="M107" s="15">
        <v>704.0</v>
      </c>
      <c r="N107" s="17">
        <f t="shared" si="25"/>
        <v>2722</v>
      </c>
      <c r="O107" s="19">
        <f t="shared" si="26"/>
        <v>493247.1314</v>
      </c>
      <c r="P107" s="20">
        <v>1340.0</v>
      </c>
      <c r="Q107" s="21">
        <f t="shared" si="27"/>
        <v>128.3984096</v>
      </c>
      <c r="R107" s="20">
        <f t="shared" si="14"/>
        <v>172053.8688</v>
      </c>
      <c r="S107" s="20">
        <f>IFERROR(__xludf.DUMMYFUNCTION("INDEX(IMPORTHTML(""https://www.bna.com.ar/Personas"", ""table"", 1), 2, 3)"),1465.0)</f>
        <v>1465</v>
      </c>
      <c r="T107" s="22">
        <f t="shared" si="15"/>
        <v>238891.6609</v>
      </c>
      <c r="U107" s="23">
        <f t="shared" si="16"/>
        <v>140.8</v>
      </c>
      <c r="V107" s="24">
        <f t="shared" si="17"/>
        <v>6.4</v>
      </c>
      <c r="W107" s="25">
        <f t="shared" si="28"/>
        <v>0.2586105669</v>
      </c>
      <c r="X107" s="19">
        <f t="shared" si="29"/>
        <v>665301.0002</v>
      </c>
      <c r="Y107" s="19"/>
    </row>
    <row r="108" ht="15.0" customHeight="1">
      <c r="A108" s="12">
        <v>45872.0</v>
      </c>
      <c r="B108" s="13">
        <v>3011513.0</v>
      </c>
      <c r="C108" s="14" t="s">
        <v>60</v>
      </c>
      <c r="D108" s="65">
        <v>0.27</v>
      </c>
      <c r="E108" s="17">
        <v>915.0</v>
      </c>
      <c r="F108" s="17">
        <v>231.0</v>
      </c>
      <c r="G108" s="17">
        <v>204.0</v>
      </c>
      <c r="H108" s="17">
        <v>480.0</v>
      </c>
      <c r="I108" s="14" t="s">
        <v>36</v>
      </c>
      <c r="J108" s="18">
        <v>245.9868</v>
      </c>
      <c r="K108" s="18">
        <v>243.1367</v>
      </c>
      <c r="L108" s="18">
        <v>244.3947</v>
      </c>
      <c r="M108" s="15">
        <v>1708.6</v>
      </c>
      <c r="N108" s="17">
        <f t="shared" si="25"/>
        <v>2623.6</v>
      </c>
      <c r="O108" s="19">
        <f t="shared" si="26"/>
        <v>223732.2936</v>
      </c>
      <c r="P108" s="20">
        <v>1340.0</v>
      </c>
      <c r="Q108" s="21">
        <f t="shared" si="27"/>
        <v>311.6214809</v>
      </c>
      <c r="R108" s="20">
        <f t="shared" si="14"/>
        <v>417572.7844</v>
      </c>
      <c r="S108" s="20">
        <f>IFERROR(__xludf.DUMMYFUNCTION("INDEX(IMPORTHTML(""https://www.bna.com.ar/Personas"", ""table"", 1), 2, 3)"),1465.0)</f>
        <v>1465</v>
      </c>
      <c r="T108" s="22">
        <f t="shared" si="15"/>
        <v>579787.3463</v>
      </c>
      <c r="U108" s="23">
        <f t="shared" si="16"/>
        <v>341.72</v>
      </c>
      <c r="V108" s="24">
        <f t="shared" si="17"/>
        <v>15.53272727</v>
      </c>
      <c r="W108" s="25">
        <f t="shared" si="28"/>
        <v>0.6511297021</v>
      </c>
      <c r="X108" s="19">
        <f t="shared" si="29"/>
        <v>641305.078</v>
      </c>
      <c r="Y108" s="19"/>
    </row>
    <row r="109" ht="15.0" customHeight="1">
      <c r="A109" s="12">
        <v>45875.0</v>
      </c>
      <c r="B109" s="13">
        <v>5076526.0</v>
      </c>
      <c r="C109" s="14" t="s">
        <v>61</v>
      </c>
      <c r="D109" s="15">
        <v>0.27</v>
      </c>
      <c r="E109" s="17">
        <v>90.0</v>
      </c>
      <c r="F109" s="17">
        <v>30.0</v>
      </c>
      <c r="G109" s="17">
        <v>30.0</v>
      </c>
      <c r="H109" s="17">
        <v>30.0</v>
      </c>
      <c r="I109" s="14" t="s">
        <v>29</v>
      </c>
      <c r="J109" s="18">
        <v>149.9317</v>
      </c>
      <c r="K109" s="18">
        <v>147.0841</v>
      </c>
      <c r="L109" s="18">
        <v>148.3408</v>
      </c>
      <c r="M109" s="15">
        <v>392.7</v>
      </c>
      <c r="N109" s="17">
        <f t="shared" si="25"/>
        <v>482.7</v>
      </c>
      <c r="O109" s="19">
        <f t="shared" si="26"/>
        <v>13360.698</v>
      </c>
      <c r="P109" s="20">
        <v>1340.0</v>
      </c>
      <c r="Q109" s="21">
        <f t="shared" si="27"/>
        <v>43.47271057</v>
      </c>
      <c r="R109" s="20">
        <f t="shared" si="14"/>
        <v>58253.43216</v>
      </c>
      <c r="S109" s="20">
        <f>IFERROR(__xludf.DUMMYFUNCTION("INDEX(IMPORTHTML(""https://www.bna.com.ar/Personas"", ""table"", 1), 2, 3)"),1465.0)</f>
        <v>1465</v>
      </c>
      <c r="T109" s="22">
        <f t="shared" si="15"/>
        <v>80883.15165</v>
      </c>
      <c r="U109" s="23">
        <f t="shared" si="16"/>
        <v>78.54</v>
      </c>
      <c r="V109" s="24">
        <f t="shared" si="17"/>
        <v>3.57</v>
      </c>
      <c r="W109" s="25">
        <f t="shared" si="28"/>
        <v>0.813434891</v>
      </c>
      <c r="X109" s="19">
        <f t="shared" si="29"/>
        <v>71614.13016</v>
      </c>
      <c r="Y109" s="19"/>
    </row>
    <row r="110" ht="15.0" customHeight="1">
      <c r="A110" s="12">
        <v>45876.0</v>
      </c>
      <c r="B110" s="13">
        <v>5213946.0</v>
      </c>
      <c r="C110" s="14" t="s">
        <v>50</v>
      </c>
      <c r="D110" s="15">
        <v>0.27</v>
      </c>
      <c r="E110" s="17">
        <v>5933.0</v>
      </c>
      <c r="F110" s="17">
        <v>2550.0</v>
      </c>
      <c r="G110" s="17">
        <v>659.0</v>
      </c>
      <c r="H110" s="17">
        <v>2724.0</v>
      </c>
      <c r="I110" s="14" t="s">
        <v>51</v>
      </c>
      <c r="J110" s="18">
        <v>194.1304</v>
      </c>
      <c r="K110" s="18">
        <v>191.5662</v>
      </c>
      <c r="L110" s="18">
        <v>192.6979</v>
      </c>
      <c r="M110" s="15">
        <v>1211.8</v>
      </c>
      <c r="N110" s="17">
        <f t="shared" si="25"/>
        <v>7144.8</v>
      </c>
      <c r="O110" s="19">
        <f t="shared" si="26"/>
        <v>1146183.725</v>
      </c>
      <c r="P110" s="20">
        <v>1340.0</v>
      </c>
      <c r="Q110" s="21">
        <f t="shared" si="27"/>
        <v>174.2621755</v>
      </c>
      <c r="R110" s="20">
        <f t="shared" si="14"/>
        <v>233511.3152</v>
      </c>
      <c r="S110" s="20">
        <f>IFERROR(__xludf.DUMMYFUNCTION("INDEX(IMPORTHTML(""https://www.bna.com.ar/Personas"", ""table"", 1), 2, 3)"),1465.0)</f>
        <v>1465</v>
      </c>
      <c r="T110" s="22">
        <f t="shared" si="15"/>
        <v>324223.4907</v>
      </c>
      <c r="U110" s="23">
        <f t="shared" si="16"/>
        <v>242.36</v>
      </c>
      <c r="V110" s="24">
        <f t="shared" si="17"/>
        <v>11.01636364</v>
      </c>
      <c r="W110" s="25">
        <f t="shared" si="28"/>
        <v>0.1692484994</v>
      </c>
      <c r="X110" s="19">
        <f t="shared" si="29"/>
        <v>1379695.041</v>
      </c>
      <c r="Y110" s="19"/>
    </row>
    <row r="111" ht="15.0" customHeight="1">
      <c r="A111" s="12">
        <v>45877.0</v>
      </c>
      <c r="B111" s="13">
        <v>5346470.0</v>
      </c>
      <c r="C111" s="14" t="s">
        <v>62</v>
      </c>
      <c r="D111" s="15">
        <v>0.27</v>
      </c>
      <c r="E111" s="17">
        <v>7524.0</v>
      </c>
      <c r="F111" s="17">
        <v>1815.0</v>
      </c>
      <c r="G111" s="17">
        <v>2325.0</v>
      </c>
      <c r="H111" s="17">
        <v>3384.0</v>
      </c>
      <c r="I111" s="14" t="s">
        <v>29</v>
      </c>
      <c r="J111" s="18">
        <v>149.9317</v>
      </c>
      <c r="K111" s="18">
        <v>147.0841</v>
      </c>
      <c r="L111" s="18">
        <v>148.3408</v>
      </c>
      <c r="M111" s="15">
        <v>1173.3</v>
      </c>
      <c r="N111" s="17">
        <f t="shared" si="25"/>
        <v>8697.3</v>
      </c>
      <c r="O111" s="19">
        <f t="shared" si="26"/>
        <v>1116081.835</v>
      </c>
      <c r="P111" s="20">
        <v>1340.0</v>
      </c>
      <c r="Q111" s="21">
        <f t="shared" si="27"/>
        <v>129.8867617</v>
      </c>
      <c r="R111" s="20">
        <f t="shared" si="14"/>
        <v>174048.2606</v>
      </c>
      <c r="S111" s="20">
        <f>IFERROR(__xludf.DUMMYFUNCTION("INDEX(IMPORTHTML(""https://www.bna.com.ar/Personas"", ""table"", 1), 2, 3)"),1465.0)</f>
        <v>1465</v>
      </c>
      <c r="T111" s="22">
        <f t="shared" si="15"/>
        <v>241660.8144</v>
      </c>
      <c r="U111" s="23">
        <f t="shared" si="16"/>
        <v>234.66</v>
      </c>
      <c r="V111" s="24">
        <f t="shared" si="17"/>
        <v>10.66636364</v>
      </c>
      <c r="W111" s="25">
        <f t="shared" si="28"/>
        <v>0.1349075269</v>
      </c>
      <c r="X111" s="19">
        <f t="shared" si="29"/>
        <v>1290130.096</v>
      </c>
      <c r="Y111" s="19"/>
    </row>
    <row r="112" ht="15.0" customHeight="1">
      <c r="A112" s="26">
        <v>45878.0</v>
      </c>
      <c r="B112" s="27">
        <v>5214767.0</v>
      </c>
      <c r="C112" s="28" t="s">
        <v>63</v>
      </c>
      <c r="D112" s="15">
        <v>0.27</v>
      </c>
      <c r="E112" s="17">
        <v>7525.0</v>
      </c>
      <c r="F112" s="17">
        <v>1040.0</v>
      </c>
      <c r="G112" s="17">
        <v>342.0</v>
      </c>
      <c r="H112" s="17">
        <v>1579.0</v>
      </c>
      <c r="I112" s="14" t="s">
        <v>25</v>
      </c>
      <c r="J112" s="18">
        <v>156.5178</v>
      </c>
      <c r="K112" s="18">
        <v>156.5178</v>
      </c>
      <c r="L112" s="18">
        <v>156.5178</v>
      </c>
      <c r="M112" s="15">
        <v>4748.5</v>
      </c>
      <c r="N112" s="17">
        <f t="shared" si="25"/>
        <v>12273.5</v>
      </c>
      <c r="O112" s="19">
        <f t="shared" si="26"/>
        <v>463449.2058</v>
      </c>
      <c r="P112" s="20">
        <v>1340.0</v>
      </c>
      <c r="Q112" s="21">
        <f t="shared" si="27"/>
        <v>554.6453532</v>
      </c>
      <c r="R112" s="20">
        <f t="shared" si="14"/>
        <v>743224.7733</v>
      </c>
      <c r="S112" s="20">
        <f>IFERROR(__xludf.DUMMYFUNCTION("INDEX(IMPORTHTML(""https://www.bna.com.ar/Personas"", ""table"", 1), 2, 3)"),1465.0)</f>
        <v>1465</v>
      </c>
      <c r="T112" s="22">
        <f t="shared" si="15"/>
        <v>1031945.412</v>
      </c>
      <c r="U112" s="23">
        <f t="shared" si="16"/>
        <v>949.7</v>
      </c>
      <c r="V112" s="24">
        <f t="shared" si="17"/>
        <v>43.16818182</v>
      </c>
      <c r="W112" s="25">
        <f t="shared" si="28"/>
        <v>0.6159284</v>
      </c>
      <c r="X112" s="19">
        <f t="shared" si="29"/>
        <v>1206673.979</v>
      </c>
      <c r="Y112" s="19"/>
    </row>
    <row r="113" ht="15.0" customHeight="1">
      <c r="A113" s="12">
        <v>45879.0</v>
      </c>
      <c r="B113" s="13">
        <v>5068576.0</v>
      </c>
      <c r="C113" s="14" t="s">
        <v>64</v>
      </c>
      <c r="D113" s="15">
        <v>0.27</v>
      </c>
      <c r="E113" s="17">
        <v>11476.0</v>
      </c>
      <c r="F113" s="17">
        <v>2513.0</v>
      </c>
      <c r="G113" s="17">
        <v>3085.0</v>
      </c>
      <c r="H113" s="17">
        <v>5878.0</v>
      </c>
      <c r="I113" s="14" t="s">
        <v>29</v>
      </c>
      <c r="J113" s="18">
        <v>149.9317</v>
      </c>
      <c r="K113" s="18">
        <v>147.0841</v>
      </c>
      <c r="L113" s="18">
        <v>148.3408</v>
      </c>
      <c r="M113" s="15">
        <v>2882.3</v>
      </c>
      <c r="N113" s="17">
        <f t="shared" si="25"/>
        <v>14358.3</v>
      </c>
      <c r="O113" s="19">
        <f t="shared" si="26"/>
        <v>1702480.033</v>
      </c>
      <c r="P113" s="20">
        <v>1340.0</v>
      </c>
      <c r="Q113" s="21">
        <f t="shared" si="27"/>
        <v>319.0766327</v>
      </c>
      <c r="R113" s="20">
        <f t="shared" si="14"/>
        <v>427562.6878</v>
      </c>
      <c r="S113" s="20">
        <f>IFERROR(__xludf.DUMMYFUNCTION("INDEX(IMPORTHTML(""https://www.bna.com.ar/Personas"", ""table"", 1), 2, 3)"),1465.0)</f>
        <v>1465</v>
      </c>
      <c r="T113" s="22">
        <f t="shared" si="15"/>
        <v>593658.029</v>
      </c>
      <c r="U113" s="23">
        <f t="shared" si="16"/>
        <v>576.46</v>
      </c>
      <c r="V113" s="24">
        <f t="shared" si="17"/>
        <v>26.20272727</v>
      </c>
      <c r="W113" s="25">
        <f t="shared" si="28"/>
        <v>0.2007296303</v>
      </c>
      <c r="X113" s="19">
        <f t="shared" si="29"/>
        <v>2130042.721</v>
      </c>
      <c r="Y113" s="19"/>
    </row>
    <row r="114" ht="15.0" customHeight="1">
      <c r="A114" s="12">
        <v>45880.0</v>
      </c>
      <c r="B114" s="13">
        <v>5019237.0</v>
      </c>
      <c r="C114" s="14" t="s">
        <v>46</v>
      </c>
      <c r="D114" s="15">
        <v>0.27</v>
      </c>
      <c r="E114" s="17">
        <v>2883.0</v>
      </c>
      <c r="F114" s="17">
        <v>488.0</v>
      </c>
      <c r="G114" s="17">
        <v>906.0</v>
      </c>
      <c r="H114" s="17">
        <v>1489.0</v>
      </c>
      <c r="I114" s="14" t="s">
        <v>29</v>
      </c>
      <c r="J114" s="18">
        <v>157.6231</v>
      </c>
      <c r="K114" s="18">
        <v>154.7731</v>
      </c>
      <c r="L114" s="18">
        <v>156.0309</v>
      </c>
      <c r="M114" s="15">
        <v>520.9</v>
      </c>
      <c r="N114" s="17">
        <f t="shared" si="25"/>
        <v>3403.9</v>
      </c>
      <c r="O114" s="19">
        <f t="shared" si="26"/>
        <v>449474.5115</v>
      </c>
      <c r="P114" s="20">
        <v>1340.0</v>
      </c>
      <c r="Q114" s="21">
        <f t="shared" si="27"/>
        <v>60.65410135</v>
      </c>
      <c r="R114" s="20">
        <f t="shared" si="14"/>
        <v>81276.49581</v>
      </c>
      <c r="S114" s="20">
        <f>IFERROR(__xludf.DUMMYFUNCTION("INDEX(IMPORTHTML(""https://www.bna.com.ar/Personas"", ""table"", 1), 2, 3)"),1465.0)</f>
        <v>1465</v>
      </c>
      <c r="T114" s="22">
        <f t="shared" si="15"/>
        <v>112849.9883</v>
      </c>
      <c r="U114" s="23">
        <f t="shared" si="16"/>
        <v>104.18</v>
      </c>
      <c r="V114" s="24">
        <f t="shared" si="17"/>
        <v>4.735454545</v>
      </c>
      <c r="W114" s="25">
        <f t="shared" si="28"/>
        <v>0.1531348875</v>
      </c>
      <c r="X114" s="19">
        <f t="shared" si="29"/>
        <v>530751.0073</v>
      </c>
      <c r="Y114" s="19"/>
    </row>
    <row r="115" ht="15.0" customHeight="1">
      <c r="A115" s="12">
        <v>45882.0</v>
      </c>
      <c r="B115" s="13">
        <v>5238577.0</v>
      </c>
      <c r="C115" s="14" t="s">
        <v>44</v>
      </c>
      <c r="D115" s="15">
        <v>0.27</v>
      </c>
      <c r="E115" s="17">
        <v>2588.0</v>
      </c>
      <c r="F115" s="17"/>
      <c r="G115" s="17"/>
      <c r="H115" s="17">
        <v>2588.0</v>
      </c>
      <c r="I115" s="14" t="s">
        <v>25</v>
      </c>
      <c r="J115" s="18">
        <v>156.5178</v>
      </c>
      <c r="K115" s="18">
        <v>156.5178</v>
      </c>
      <c r="L115" s="18">
        <v>156.5178</v>
      </c>
      <c r="M115" s="15">
        <v>1056.9</v>
      </c>
      <c r="N115" s="17">
        <f t="shared" si="25"/>
        <v>3644.9</v>
      </c>
      <c r="O115" s="19">
        <f t="shared" si="26"/>
        <v>405068.0664</v>
      </c>
      <c r="P115" s="20">
        <v>1340.0</v>
      </c>
      <c r="Q115" s="21">
        <f t="shared" si="27"/>
        <v>123.4504946</v>
      </c>
      <c r="R115" s="20">
        <f t="shared" si="14"/>
        <v>165423.6628</v>
      </c>
      <c r="S115" s="20">
        <f>IFERROR(__xludf.DUMMYFUNCTION("INDEX(IMPORTHTML(""https://www.bna.com.ar/Personas"", ""table"", 1), 2, 3)"),1465.0)</f>
        <v>1465</v>
      </c>
      <c r="T115" s="22">
        <f t="shared" si="15"/>
        <v>229685.8178</v>
      </c>
      <c r="U115" s="23">
        <f t="shared" si="16"/>
        <v>211.38</v>
      </c>
      <c r="V115" s="24">
        <f t="shared" si="17"/>
        <v>9.608181818</v>
      </c>
      <c r="W115" s="25">
        <f t="shared" si="28"/>
        <v>0.2899668029</v>
      </c>
      <c r="X115" s="19">
        <f t="shared" si="29"/>
        <v>570491.7292</v>
      </c>
      <c r="Y115" s="19"/>
    </row>
    <row r="116" ht="15.0" customHeight="1">
      <c r="A116" s="12">
        <v>45883.0</v>
      </c>
      <c r="B116" s="13">
        <v>5253773.0</v>
      </c>
      <c r="C116" s="14" t="s">
        <v>43</v>
      </c>
      <c r="D116" s="15">
        <v>0.21</v>
      </c>
      <c r="E116" s="17">
        <v>576.0</v>
      </c>
      <c r="F116" s="17">
        <v>214.0</v>
      </c>
      <c r="G116" s="17">
        <v>95.0</v>
      </c>
      <c r="H116" s="17">
        <v>267.0</v>
      </c>
      <c r="I116" s="14" t="s">
        <v>32</v>
      </c>
      <c r="J116" s="18">
        <v>226.8118</v>
      </c>
      <c r="K116" s="18">
        <v>226.8118</v>
      </c>
      <c r="L116" s="18">
        <v>226.8118</v>
      </c>
      <c r="M116" s="15">
        <v>205.3</v>
      </c>
      <c r="N116" s="17">
        <f t="shared" si="25"/>
        <v>781.3</v>
      </c>
      <c r="O116" s="19">
        <f t="shared" si="26"/>
        <v>130643.5968</v>
      </c>
      <c r="P116" s="20">
        <v>1340.0</v>
      </c>
      <c r="Q116" s="21">
        <f t="shared" si="27"/>
        <v>34.74959891</v>
      </c>
      <c r="R116" s="20">
        <f t="shared" si="14"/>
        <v>46564.46254</v>
      </c>
      <c r="S116" s="20">
        <f>IFERROR(__xludf.DUMMYFUNCTION("INDEX(IMPORTHTML(""https://www.bna.com.ar/Personas"", ""table"", 1), 2, 3)"),1465.0)</f>
        <v>1465</v>
      </c>
      <c r="T116" s="22">
        <f t="shared" si="15"/>
        <v>61598.87651</v>
      </c>
      <c r="U116" s="23">
        <f t="shared" si="16"/>
        <v>41.06</v>
      </c>
      <c r="V116" s="24">
        <f t="shared" si="17"/>
        <v>1.866363636</v>
      </c>
      <c r="W116" s="25">
        <f t="shared" si="28"/>
        <v>0.2627671829</v>
      </c>
      <c r="X116" s="19">
        <f t="shared" si="29"/>
        <v>177208.0593</v>
      </c>
      <c r="Y116" s="19"/>
    </row>
    <row r="117" ht="15.0" customHeight="1">
      <c r="A117" s="12">
        <v>45885.0</v>
      </c>
      <c r="B117" s="13">
        <v>5352763.0</v>
      </c>
      <c r="C117" s="14" t="s">
        <v>66</v>
      </c>
      <c r="D117" s="15">
        <v>0.27</v>
      </c>
      <c r="E117" s="17">
        <v>1405.0</v>
      </c>
      <c r="F117" s="17">
        <v>377.0</v>
      </c>
      <c r="G117" s="17">
        <v>332.0</v>
      </c>
      <c r="H117" s="17">
        <v>696.0</v>
      </c>
      <c r="I117" s="14" t="s">
        <v>25</v>
      </c>
      <c r="J117" s="18">
        <v>156.5178</v>
      </c>
      <c r="K117" s="18">
        <v>156.5178</v>
      </c>
      <c r="L117" s="18">
        <v>156.5178</v>
      </c>
      <c r="M117" s="15">
        <v>584.9</v>
      </c>
      <c r="N117" s="17">
        <f t="shared" si="25"/>
        <v>1989.9</v>
      </c>
      <c r="O117" s="19">
        <f t="shared" si="26"/>
        <v>219907.509</v>
      </c>
      <c r="P117" s="20">
        <v>1340.0</v>
      </c>
      <c r="Q117" s="21">
        <f t="shared" si="27"/>
        <v>68.31885166</v>
      </c>
      <c r="R117" s="20">
        <f t="shared" si="14"/>
        <v>91547.26122</v>
      </c>
      <c r="S117" s="20">
        <f>IFERROR(__xludf.DUMMYFUNCTION("INDEX(IMPORTHTML(""https://www.bna.com.ar/Personas"", ""table"", 1), 2, 3)"),1465.0)</f>
        <v>1465</v>
      </c>
      <c r="T117" s="22">
        <f t="shared" si="15"/>
        <v>127110.6394</v>
      </c>
      <c r="U117" s="23">
        <f t="shared" si="16"/>
        <v>116.98</v>
      </c>
      <c r="V117" s="24">
        <f t="shared" si="17"/>
        <v>5.317272727</v>
      </c>
      <c r="W117" s="25">
        <f t="shared" si="28"/>
        <v>0.2939343686</v>
      </c>
      <c r="X117" s="19">
        <f t="shared" si="29"/>
        <v>311454.7702</v>
      </c>
      <c r="Y117" s="19"/>
    </row>
    <row r="118" ht="15.0" customHeight="1">
      <c r="A118" s="12">
        <v>45886.0</v>
      </c>
      <c r="B118" s="13">
        <v>3092029.0</v>
      </c>
      <c r="C118" s="14" t="s">
        <v>42</v>
      </c>
      <c r="D118" s="15">
        <v>0.27</v>
      </c>
      <c r="E118" s="17">
        <v>7290.0</v>
      </c>
      <c r="F118" s="17">
        <v>2520.0</v>
      </c>
      <c r="G118" s="17">
        <v>1560.0</v>
      </c>
      <c r="H118" s="17">
        <v>3210.0</v>
      </c>
      <c r="I118" s="14" t="s">
        <v>29</v>
      </c>
      <c r="J118" s="18">
        <v>157.6231</v>
      </c>
      <c r="K118" s="18">
        <v>154.7731</v>
      </c>
      <c r="L118" s="18">
        <v>156.0309</v>
      </c>
      <c r="M118" s="15">
        <v>2957.8</v>
      </c>
      <c r="N118" s="17">
        <f t="shared" si="25"/>
        <v>10247.8</v>
      </c>
      <c r="O118" s="19">
        <f t="shared" si="26"/>
        <v>1139515.437</v>
      </c>
      <c r="P118" s="20">
        <v>1340.0</v>
      </c>
      <c r="Q118" s="21">
        <f t="shared" si="27"/>
        <v>344.4091015</v>
      </c>
      <c r="R118" s="20">
        <f t="shared" si="14"/>
        <v>461508.196</v>
      </c>
      <c r="S118" s="20">
        <f>IFERROR(__xludf.DUMMYFUNCTION("INDEX(IMPORTHTML(""https://www.bna.com.ar/Personas"", ""table"", 1), 2, 3)"),1465.0)</f>
        <v>1465</v>
      </c>
      <c r="T118" s="22">
        <f t="shared" si="15"/>
        <v>640790.3538</v>
      </c>
      <c r="U118" s="23">
        <f t="shared" si="16"/>
        <v>591.56</v>
      </c>
      <c r="V118" s="24">
        <f t="shared" si="17"/>
        <v>26.88909091</v>
      </c>
      <c r="W118" s="25">
        <f t="shared" si="28"/>
        <v>0.2882582034</v>
      </c>
      <c r="X118" s="19">
        <f t="shared" si="29"/>
        <v>1601023.633</v>
      </c>
      <c r="Y118" s="19"/>
    </row>
    <row r="119" ht="15.0" customHeight="1">
      <c r="A119" s="12">
        <v>45887.0</v>
      </c>
      <c r="B119" s="13">
        <v>5076619.0</v>
      </c>
      <c r="C119" s="14" t="s">
        <v>41</v>
      </c>
      <c r="D119" s="15">
        <v>0.27</v>
      </c>
      <c r="E119" s="17">
        <v>7920.0</v>
      </c>
      <c r="F119" s="17">
        <v>2490.0</v>
      </c>
      <c r="G119" s="17">
        <v>1440.0</v>
      </c>
      <c r="H119" s="17">
        <v>3990.0</v>
      </c>
      <c r="I119" s="14" t="s">
        <v>29</v>
      </c>
      <c r="J119" s="18">
        <v>149.9317</v>
      </c>
      <c r="K119" s="18">
        <v>147.0841</v>
      </c>
      <c r="L119" s="18">
        <v>148.3408</v>
      </c>
      <c r="M119" s="15"/>
      <c r="N119" s="17">
        <f t="shared" si="25"/>
        <v>7920</v>
      </c>
      <c r="O119" s="19">
        <f t="shared" si="26"/>
        <v>1177010.829</v>
      </c>
      <c r="P119" s="20">
        <v>1340.0</v>
      </c>
      <c r="Q119" s="21">
        <f t="shared" si="27"/>
        <v>0</v>
      </c>
      <c r="R119" s="20">
        <f t="shared" si="14"/>
        <v>0</v>
      </c>
      <c r="S119" s="20">
        <f>IFERROR(__xludf.DUMMYFUNCTION("INDEX(IMPORTHTML(""https://www.bna.com.ar/Personas"", ""table"", 1), 2, 3)"),1465.0)</f>
        <v>1465</v>
      </c>
      <c r="T119" s="22">
        <f t="shared" si="15"/>
        <v>0</v>
      </c>
      <c r="U119" s="23">
        <f t="shared" si="16"/>
        <v>0</v>
      </c>
      <c r="V119" s="24">
        <f t="shared" si="17"/>
        <v>0</v>
      </c>
      <c r="W119" s="25">
        <f t="shared" si="28"/>
        <v>0</v>
      </c>
      <c r="X119" s="19">
        <f t="shared" si="29"/>
        <v>1177010.829</v>
      </c>
      <c r="Y119" s="19"/>
    </row>
    <row r="120" ht="15.0" customHeight="1">
      <c r="A120" s="12">
        <v>45888.0</v>
      </c>
      <c r="B120" s="13">
        <v>4000681.0</v>
      </c>
      <c r="C120" s="14" t="s">
        <v>40</v>
      </c>
      <c r="D120" s="15">
        <v>0.27</v>
      </c>
      <c r="E120" s="17">
        <v>5570.0</v>
      </c>
      <c r="F120" s="17">
        <v>1683.0</v>
      </c>
      <c r="G120" s="17">
        <v>1804.0</v>
      </c>
      <c r="H120" s="17">
        <v>2083.0</v>
      </c>
      <c r="I120" s="14" t="s">
        <v>25</v>
      </c>
      <c r="J120" s="18">
        <v>156.5178</v>
      </c>
      <c r="K120" s="18">
        <v>156.5178</v>
      </c>
      <c r="L120" s="18">
        <v>156.5178</v>
      </c>
      <c r="M120" s="15">
        <v>2035.9</v>
      </c>
      <c r="N120" s="17">
        <f t="shared" si="25"/>
        <v>7605.9</v>
      </c>
      <c r="O120" s="19">
        <f t="shared" si="26"/>
        <v>871804.146</v>
      </c>
      <c r="P120" s="20">
        <v>1340.0</v>
      </c>
      <c r="Q120" s="21">
        <f t="shared" si="27"/>
        <v>237.8019321</v>
      </c>
      <c r="R120" s="20">
        <f t="shared" si="14"/>
        <v>318654.589</v>
      </c>
      <c r="S120" s="20">
        <f>IFERROR(__xludf.DUMMYFUNCTION("INDEX(IMPORTHTML(""https://www.bna.com.ar/Personas"", ""table"", 1), 2, 3)"),1465.0)</f>
        <v>1465</v>
      </c>
      <c r="T120" s="22">
        <f t="shared" si="15"/>
        <v>442442.3848</v>
      </c>
      <c r="U120" s="23">
        <f t="shared" si="16"/>
        <v>407.18</v>
      </c>
      <c r="V120" s="24">
        <f t="shared" si="17"/>
        <v>18.50818182</v>
      </c>
      <c r="W120" s="25">
        <f t="shared" si="28"/>
        <v>0.2676737796</v>
      </c>
      <c r="X120" s="19">
        <f t="shared" si="29"/>
        <v>1190458.735</v>
      </c>
      <c r="Y120" s="19"/>
    </row>
    <row r="121" ht="15.0" customHeight="1">
      <c r="A121" s="12">
        <v>45889.0</v>
      </c>
      <c r="B121" s="13">
        <v>5253775.0</v>
      </c>
      <c r="C121" s="14" t="s">
        <v>39</v>
      </c>
      <c r="D121" s="15">
        <v>0.21</v>
      </c>
      <c r="E121" s="17">
        <v>572.0</v>
      </c>
      <c r="F121" s="17"/>
      <c r="G121" s="17"/>
      <c r="H121" s="17">
        <v>572.0</v>
      </c>
      <c r="I121" s="14" t="s">
        <v>32</v>
      </c>
      <c r="J121" s="18">
        <v>226.8118</v>
      </c>
      <c r="K121" s="18">
        <v>226.8118</v>
      </c>
      <c r="L121" s="18">
        <v>226.8118</v>
      </c>
      <c r="M121" s="15">
        <v>145.3</v>
      </c>
      <c r="N121" s="17">
        <f t="shared" si="25"/>
        <v>717.3</v>
      </c>
      <c r="O121" s="19">
        <f t="shared" si="26"/>
        <v>129736.3496</v>
      </c>
      <c r="P121" s="20">
        <v>1340.0</v>
      </c>
      <c r="Q121" s="21">
        <f t="shared" si="27"/>
        <v>24.59384667</v>
      </c>
      <c r="R121" s="20">
        <f t="shared" si="14"/>
        <v>32955.75454</v>
      </c>
      <c r="S121" s="20">
        <f>IFERROR(__xludf.DUMMYFUNCTION("INDEX(IMPORTHTML(""https://www.bna.com.ar/Personas"", ""table"", 1), 2, 3)"),1465.0)</f>
        <v>1465</v>
      </c>
      <c r="T121" s="22">
        <f t="shared" si="15"/>
        <v>43596.2823</v>
      </c>
      <c r="U121" s="23">
        <f t="shared" si="16"/>
        <v>29.06</v>
      </c>
      <c r="V121" s="24">
        <f t="shared" si="17"/>
        <v>1.320909091</v>
      </c>
      <c r="W121" s="25">
        <f t="shared" si="28"/>
        <v>0.202565175</v>
      </c>
      <c r="X121" s="19">
        <f t="shared" si="29"/>
        <v>162692.1041</v>
      </c>
      <c r="Y121" s="19"/>
    </row>
    <row r="122" ht="15.0" customHeight="1">
      <c r="A122" s="12">
        <v>45890.0</v>
      </c>
      <c r="B122" s="13">
        <v>5211887.0</v>
      </c>
      <c r="C122" s="14" t="s">
        <v>38</v>
      </c>
      <c r="D122" s="15">
        <v>0.27</v>
      </c>
      <c r="E122" s="17">
        <v>295.0</v>
      </c>
      <c r="F122" s="17"/>
      <c r="G122" s="17"/>
      <c r="H122" s="17">
        <v>295.0</v>
      </c>
      <c r="I122" s="14" t="s">
        <v>25</v>
      </c>
      <c r="J122" s="18">
        <v>156.5178</v>
      </c>
      <c r="K122" s="18">
        <v>156.5178</v>
      </c>
      <c r="L122" s="18">
        <v>156.5178</v>
      </c>
      <c r="M122" s="15">
        <v>1118.8</v>
      </c>
      <c r="N122" s="17">
        <f t="shared" si="25"/>
        <v>1413.8</v>
      </c>
      <c r="O122" s="19">
        <f t="shared" si="26"/>
        <v>46172.751</v>
      </c>
      <c r="P122" s="20">
        <v>1340.0</v>
      </c>
      <c r="Q122" s="21">
        <f t="shared" si="27"/>
        <v>130.6806826</v>
      </c>
      <c r="R122" s="20">
        <f t="shared" si="14"/>
        <v>175112.1146</v>
      </c>
      <c r="S122" s="20">
        <f>IFERROR(__xludf.DUMMYFUNCTION("INDEX(IMPORTHTML(""https://www.bna.com.ar/Personas"", ""table"", 1), 2, 3)"),1465.0)</f>
        <v>1465</v>
      </c>
      <c r="T122" s="22">
        <f t="shared" si="15"/>
        <v>243137.944</v>
      </c>
      <c r="U122" s="23">
        <f t="shared" si="16"/>
        <v>223.76</v>
      </c>
      <c r="V122" s="24">
        <f t="shared" si="17"/>
        <v>10.17090909</v>
      </c>
      <c r="W122" s="25">
        <f t="shared" si="28"/>
        <v>0.7913424813</v>
      </c>
      <c r="X122" s="19">
        <f t="shared" si="29"/>
        <v>221284.8656</v>
      </c>
      <c r="Y122" s="19"/>
    </row>
    <row r="123" ht="15.0" customHeight="1">
      <c r="A123" s="12">
        <v>45891.0</v>
      </c>
      <c r="B123" s="13">
        <v>5346222.0</v>
      </c>
      <c r="C123" s="28" t="s">
        <v>37</v>
      </c>
      <c r="D123" s="15">
        <v>0.27</v>
      </c>
      <c r="E123" s="17">
        <v>1056.0</v>
      </c>
      <c r="F123" s="17">
        <v>56.0</v>
      </c>
      <c r="G123" s="17">
        <v>6.0</v>
      </c>
      <c r="H123" s="17">
        <v>994.0</v>
      </c>
      <c r="I123" s="14" t="s">
        <v>25</v>
      </c>
      <c r="J123" s="18">
        <v>156.5178</v>
      </c>
      <c r="K123" s="18">
        <v>156.5178</v>
      </c>
      <c r="L123" s="18">
        <v>156.5178</v>
      </c>
      <c r="M123" s="15">
        <v>3500.9</v>
      </c>
      <c r="N123" s="17">
        <f t="shared" si="25"/>
        <v>4556.9</v>
      </c>
      <c r="O123" s="19">
        <f t="shared" si="26"/>
        <v>165282.7968</v>
      </c>
      <c r="P123" s="20">
        <v>1340.0</v>
      </c>
      <c r="Q123" s="21">
        <f t="shared" si="27"/>
        <v>408.9202731</v>
      </c>
      <c r="R123" s="20">
        <f t="shared" si="14"/>
        <v>547953.166</v>
      </c>
      <c r="S123" s="20">
        <f>IFERROR(__xludf.DUMMYFUNCTION("INDEX(IMPORTHTML(""https://www.bna.com.ar/Personas"", ""table"", 1), 2, 3)"),1465.0)</f>
        <v>1465</v>
      </c>
      <c r="T123" s="22">
        <f t="shared" si="15"/>
        <v>760816.6142</v>
      </c>
      <c r="U123" s="23">
        <f t="shared" si="16"/>
        <v>700.18</v>
      </c>
      <c r="V123" s="24">
        <f t="shared" si="17"/>
        <v>31.82636364</v>
      </c>
      <c r="W123" s="25">
        <f t="shared" si="28"/>
        <v>0.7682635125</v>
      </c>
      <c r="X123" s="19">
        <f t="shared" si="29"/>
        <v>713235.9628</v>
      </c>
      <c r="Y123" s="19"/>
    </row>
    <row r="124" ht="15.0" customHeight="1">
      <c r="A124" s="12">
        <v>45892.0</v>
      </c>
      <c r="B124" s="13">
        <v>3025373.0</v>
      </c>
      <c r="C124" s="14" t="s">
        <v>35</v>
      </c>
      <c r="D124" s="65">
        <v>0.27</v>
      </c>
      <c r="E124" s="17">
        <v>2377.0</v>
      </c>
      <c r="F124" s="17">
        <v>519.0</v>
      </c>
      <c r="G124" s="17">
        <v>491.0</v>
      </c>
      <c r="H124" s="17">
        <v>1367.0</v>
      </c>
      <c r="I124" s="14" t="s">
        <v>36</v>
      </c>
      <c r="J124" s="18">
        <v>245.9868</v>
      </c>
      <c r="K124" s="18">
        <v>243.1367</v>
      </c>
      <c r="L124" s="18">
        <v>244.3947</v>
      </c>
      <c r="M124" s="15">
        <v>1476.9</v>
      </c>
      <c r="N124" s="17">
        <f t="shared" si="25"/>
        <v>3853.9</v>
      </c>
      <c r="O124" s="19">
        <f t="shared" si="26"/>
        <v>581134.8238</v>
      </c>
      <c r="P124" s="20">
        <v>1340.0</v>
      </c>
      <c r="Q124" s="21">
        <f t="shared" si="27"/>
        <v>269.3630839</v>
      </c>
      <c r="R124" s="20">
        <f t="shared" si="14"/>
        <v>360946.5324</v>
      </c>
      <c r="S124" s="20">
        <f>IFERROR(__xludf.DUMMYFUNCTION("INDEX(IMPORTHTML(""https://www.bna.com.ar/Personas"", ""table"", 1), 2, 3)"),1465.0)</f>
        <v>1465</v>
      </c>
      <c r="T124" s="22">
        <f t="shared" si="15"/>
        <v>501163.4858</v>
      </c>
      <c r="U124" s="23">
        <f t="shared" si="16"/>
        <v>295.38</v>
      </c>
      <c r="V124" s="24">
        <f t="shared" si="17"/>
        <v>13.42636364</v>
      </c>
      <c r="W124" s="25">
        <f t="shared" si="28"/>
        <v>0.3831373268</v>
      </c>
      <c r="X124" s="19">
        <f t="shared" si="29"/>
        <v>942081.3562</v>
      </c>
      <c r="Y124" s="19"/>
    </row>
    <row r="125" ht="15.0" customHeight="1">
      <c r="A125" s="12">
        <v>45893.0</v>
      </c>
      <c r="B125" s="13">
        <v>5251101.0</v>
      </c>
      <c r="C125" s="14" t="s">
        <v>67</v>
      </c>
      <c r="D125" s="15">
        <v>0.27</v>
      </c>
      <c r="E125" s="17">
        <v>2556.0</v>
      </c>
      <c r="F125" s="17">
        <v>408.0</v>
      </c>
      <c r="G125" s="17">
        <v>180.0</v>
      </c>
      <c r="H125" s="17">
        <v>1968.0</v>
      </c>
      <c r="I125" s="14" t="s">
        <v>27</v>
      </c>
      <c r="J125" s="18">
        <v>168.3315</v>
      </c>
      <c r="K125" s="18">
        <v>165.4814</v>
      </c>
      <c r="L125" s="18">
        <v>166.7393</v>
      </c>
      <c r="M125" s="15">
        <v>1438.9</v>
      </c>
      <c r="N125" s="17">
        <f t="shared" si="25"/>
        <v>3994.9</v>
      </c>
      <c r="O125" s="19">
        <f t="shared" si="26"/>
        <v>426608.8464</v>
      </c>
      <c r="P125" s="20">
        <v>1340.0</v>
      </c>
      <c r="Q125" s="21">
        <f t="shared" si="27"/>
        <v>179.0456558</v>
      </c>
      <c r="R125" s="20">
        <f t="shared" si="14"/>
        <v>239921.1788</v>
      </c>
      <c r="S125" s="20">
        <f>IFERROR(__xludf.DUMMYFUNCTION("INDEX(IMPORTHTML(""https://www.bna.com.ar/Personas"", ""table"", 1), 2, 3)"),1465.0)</f>
        <v>1465</v>
      </c>
      <c r="T125" s="22">
        <f t="shared" si="15"/>
        <v>333123.3949</v>
      </c>
      <c r="U125" s="23">
        <f t="shared" si="16"/>
        <v>287.78</v>
      </c>
      <c r="V125" s="24">
        <f t="shared" si="17"/>
        <v>13.08090909</v>
      </c>
      <c r="W125" s="25">
        <f t="shared" si="28"/>
        <v>0.3599555455</v>
      </c>
      <c r="X125" s="19">
        <f t="shared" si="29"/>
        <v>666530.0252</v>
      </c>
      <c r="Y125" s="19"/>
    </row>
    <row r="126" ht="15.0" customHeight="1">
      <c r="A126" s="38">
        <v>45893.0</v>
      </c>
      <c r="B126" s="39">
        <v>5251104.0</v>
      </c>
      <c r="C126" s="40" t="s">
        <v>52</v>
      </c>
      <c r="D126" s="44">
        <v>0.27</v>
      </c>
      <c r="E126" s="42">
        <v>4539.0</v>
      </c>
      <c r="F126" s="42">
        <v>411.0</v>
      </c>
      <c r="G126" s="42">
        <v>112.0</v>
      </c>
      <c r="H126" s="42">
        <v>4016.0</v>
      </c>
      <c r="I126" s="40" t="s">
        <v>51</v>
      </c>
      <c r="J126" s="43">
        <v>194.1304</v>
      </c>
      <c r="K126" s="43">
        <v>191.5662</v>
      </c>
      <c r="L126" s="43">
        <v>192.6979</v>
      </c>
      <c r="M126" s="44">
        <v>4656.4</v>
      </c>
      <c r="N126" s="42">
        <f t="shared" si="25"/>
        <v>9195.4</v>
      </c>
      <c r="O126" s="45">
        <f t="shared" si="26"/>
        <v>875117.7752</v>
      </c>
      <c r="P126" s="46">
        <v>1340.0</v>
      </c>
      <c r="Q126" s="47">
        <f t="shared" si="27"/>
        <v>669.6108221</v>
      </c>
      <c r="R126" s="46">
        <f t="shared" si="14"/>
        <v>897278.5016</v>
      </c>
      <c r="S126" s="46">
        <f>IFERROR(__xludf.DUMMYFUNCTION("INDEX(IMPORTHTML(""https://www.bna.com.ar/Personas"", ""table"", 1), 2, 3)"),1465.0)</f>
        <v>1465</v>
      </c>
      <c r="T126" s="48">
        <f t="shared" si="15"/>
        <v>1245844.415</v>
      </c>
      <c r="U126" s="49">
        <f t="shared" si="16"/>
        <v>931.28</v>
      </c>
      <c r="V126" s="50">
        <f t="shared" si="17"/>
        <v>42.33090909</v>
      </c>
      <c r="W126" s="51">
        <f t="shared" si="28"/>
        <v>0.5062516286</v>
      </c>
      <c r="X126" s="45">
        <f t="shared" si="29"/>
        <v>1772396.277</v>
      </c>
      <c r="Y126" s="45"/>
    </row>
    <row r="127" ht="15.0" customHeight="1">
      <c r="A127" s="53">
        <v>45839.0</v>
      </c>
      <c r="B127" s="54">
        <v>4000202.0</v>
      </c>
      <c r="C127" s="55" t="s">
        <v>56</v>
      </c>
      <c r="D127" s="52">
        <v>0.27</v>
      </c>
      <c r="E127" s="56">
        <v>10923.0</v>
      </c>
      <c r="F127" s="56">
        <v>2319.0</v>
      </c>
      <c r="G127" s="56">
        <v>2649.0</v>
      </c>
      <c r="H127" s="56">
        <v>5955.0</v>
      </c>
      <c r="I127" s="55" t="s">
        <v>29</v>
      </c>
      <c r="J127" s="57">
        <v>149.9317</v>
      </c>
      <c r="K127" s="57">
        <v>147.0841</v>
      </c>
      <c r="L127" s="57">
        <v>148.3408</v>
      </c>
      <c r="M127" s="52">
        <v>2167.6</v>
      </c>
      <c r="N127" s="56">
        <f t="shared" si="25"/>
        <v>13090.6</v>
      </c>
      <c r="O127" s="58">
        <f t="shared" si="26"/>
        <v>1620686.857</v>
      </c>
      <c r="P127" s="59">
        <v>1280.0</v>
      </c>
      <c r="Q127" s="60">
        <f t="shared" si="27"/>
        <v>251.2058735</v>
      </c>
      <c r="R127" s="59">
        <f t="shared" si="14"/>
        <v>321543.5181</v>
      </c>
      <c r="S127" s="20">
        <f>IFERROR(__xludf.DUMMYFUNCTION("INDEX(IMPORTHTML(""https://www.bna.com.ar/Personas"", ""table"", 1), 2, 3)"),1465.0)</f>
        <v>1465</v>
      </c>
      <c r="T127" s="61">
        <f t="shared" si="15"/>
        <v>467381.0879</v>
      </c>
      <c r="U127" s="62">
        <f t="shared" si="16"/>
        <v>433.52</v>
      </c>
      <c r="V127" s="63">
        <f t="shared" si="17"/>
        <v>19.70545455</v>
      </c>
      <c r="W127" s="64">
        <f t="shared" si="28"/>
        <v>0.165553748</v>
      </c>
      <c r="X127" s="58">
        <f t="shared" si="29"/>
        <v>1942230.375</v>
      </c>
      <c r="Y127" s="19"/>
    </row>
    <row r="128" ht="15.75" customHeight="1">
      <c r="A128" s="12">
        <v>45840.0</v>
      </c>
      <c r="B128" s="13">
        <v>3062898.0</v>
      </c>
      <c r="C128" s="14" t="s">
        <v>59</v>
      </c>
      <c r="D128" s="65">
        <v>0.27</v>
      </c>
      <c r="E128" s="17">
        <v>2546.0</v>
      </c>
      <c r="F128" s="17">
        <v>533.0</v>
      </c>
      <c r="G128" s="17">
        <v>628.0</v>
      </c>
      <c r="H128" s="17">
        <v>1385.0</v>
      </c>
      <c r="I128" s="14" t="s">
        <v>36</v>
      </c>
      <c r="J128" s="18">
        <v>236.6792</v>
      </c>
      <c r="K128" s="18">
        <v>233.8316</v>
      </c>
      <c r="L128" s="18">
        <v>235.0884</v>
      </c>
      <c r="M128" s="15">
        <v>118.3</v>
      </c>
      <c r="N128" s="17">
        <f t="shared" si="25"/>
        <v>2664.3</v>
      </c>
      <c r="O128" s="19">
        <f t="shared" si="26"/>
        <v>598593.6924</v>
      </c>
      <c r="P128" s="20">
        <v>1280.0</v>
      </c>
      <c r="Q128" s="21">
        <f t="shared" si="27"/>
        <v>21.72731072</v>
      </c>
      <c r="R128" s="20">
        <f t="shared" si="14"/>
        <v>27810.95772</v>
      </c>
      <c r="S128" s="20">
        <f>IFERROR(__xludf.DUMMYFUNCTION("INDEX(IMPORTHTML(""https://www.bna.com.ar/Personas"", ""table"", 1), 2, 3)"),1465.0)</f>
        <v>1465</v>
      </c>
      <c r="T128" s="22">
        <f t="shared" si="15"/>
        <v>40424.74796</v>
      </c>
      <c r="U128" s="23">
        <f t="shared" si="16"/>
        <v>23.66</v>
      </c>
      <c r="V128" s="24">
        <f t="shared" si="17"/>
        <v>1.075454545</v>
      </c>
      <c r="W128" s="25">
        <f t="shared" si="28"/>
        <v>0.04439775106</v>
      </c>
      <c r="X128" s="19">
        <f t="shared" si="29"/>
        <v>626404.6501</v>
      </c>
      <c r="Y128" s="19"/>
    </row>
    <row r="129" ht="15.75" customHeight="1">
      <c r="A129" s="12">
        <v>45840.0</v>
      </c>
      <c r="B129" s="13">
        <v>3011513.0</v>
      </c>
      <c r="C129" s="14" t="s">
        <v>60</v>
      </c>
      <c r="D129" s="65">
        <v>0.27</v>
      </c>
      <c r="E129" s="17">
        <v>1147.0</v>
      </c>
      <c r="F129" s="17">
        <v>261.0</v>
      </c>
      <c r="G129" s="17">
        <v>209.0</v>
      </c>
      <c r="H129" s="17">
        <v>677.0</v>
      </c>
      <c r="I129" s="14" t="s">
        <v>36</v>
      </c>
      <c r="J129" s="18">
        <v>236.6792</v>
      </c>
      <c r="K129" s="18">
        <v>233.8316</v>
      </c>
      <c r="L129" s="18">
        <v>235.0884</v>
      </c>
      <c r="M129" s="15">
        <v>391.8</v>
      </c>
      <c r="N129" s="17">
        <f t="shared" si="25"/>
        <v>1538.8</v>
      </c>
      <c r="O129" s="19">
        <f t="shared" si="26"/>
        <v>269798.9224</v>
      </c>
      <c r="P129" s="20">
        <v>1280.0</v>
      </c>
      <c r="Q129" s="21">
        <f t="shared" si="27"/>
        <v>71.95908994</v>
      </c>
      <c r="R129" s="20">
        <f t="shared" si="14"/>
        <v>92107.63512</v>
      </c>
      <c r="S129" s="20">
        <f>IFERROR(__xludf.DUMMYFUNCTION("INDEX(IMPORTHTML(""https://www.bna.com.ar/Personas"", ""table"", 1), 2, 3)"),1465.0)</f>
        <v>1465</v>
      </c>
      <c r="T129" s="22">
        <f t="shared" si="15"/>
        <v>133883.4848</v>
      </c>
      <c r="U129" s="23">
        <f t="shared" si="16"/>
        <v>78.36</v>
      </c>
      <c r="V129" s="24">
        <f t="shared" si="17"/>
        <v>3.561818182</v>
      </c>
      <c r="W129" s="25">
        <f t="shared" si="28"/>
        <v>0.2545066764</v>
      </c>
      <c r="X129" s="19">
        <f t="shared" si="29"/>
        <v>361906.5575</v>
      </c>
      <c r="Y129" s="19"/>
    </row>
    <row r="130" ht="15.75" customHeight="1">
      <c r="A130" s="12">
        <v>45843.0</v>
      </c>
      <c r="B130" s="13">
        <v>5076526.0</v>
      </c>
      <c r="C130" s="14" t="s">
        <v>61</v>
      </c>
      <c r="D130" s="15">
        <v>0.27</v>
      </c>
      <c r="E130" s="17">
        <v>90.0</v>
      </c>
      <c r="F130" s="17">
        <v>30.0</v>
      </c>
      <c r="G130" s="17">
        <v>30.0</v>
      </c>
      <c r="H130" s="17">
        <v>30.0</v>
      </c>
      <c r="I130" s="14" t="s">
        <v>29</v>
      </c>
      <c r="J130" s="18">
        <v>149.9317</v>
      </c>
      <c r="K130" s="18">
        <v>147.0841</v>
      </c>
      <c r="L130" s="18">
        <v>148.3408</v>
      </c>
      <c r="M130" s="15">
        <v>364.0</v>
      </c>
      <c r="N130" s="17">
        <f t="shared" si="25"/>
        <v>454</v>
      </c>
      <c r="O130" s="19">
        <f t="shared" si="26"/>
        <v>13360.698</v>
      </c>
      <c r="P130" s="20">
        <v>1280.0</v>
      </c>
      <c r="Q130" s="21">
        <f t="shared" si="27"/>
        <v>42.184415</v>
      </c>
      <c r="R130" s="20">
        <f t="shared" si="14"/>
        <v>53996.0512</v>
      </c>
      <c r="S130" s="20">
        <f>IFERROR(__xludf.DUMMYFUNCTION("INDEX(IMPORTHTML(""https://www.bna.com.ar/Personas"", ""table"", 1), 2, 3)"),1465.0)</f>
        <v>1465</v>
      </c>
      <c r="T130" s="22">
        <f t="shared" si="15"/>
        <v>78486.21333</v>
      </c>
      <c r="U130" s="23">
        <f t="shared" si="16"/>
        <v>72.8</v>
      </c>
      <c r="V130" s="24">
        <f t="shared" si="17"/>
        <v>3.309090909</v>
      </c>
      <c r="W130" s="25">
        <f t="shared" si="28"/>
        <v>0.8016427729</v>
      </c>
      <c r="X130" s="19">
        <f t="shared" si="29"/>
        <v>67356.7492</v>
      </c>
      <c r="Y130" s="19"/>
    </row>
    <row r="131" ht="15.75" customHeight="1">
      <c r="A131" s="12">
        <v>45839.0</v>
      </c>
      <c r="B131" s="13">
        <v>5213946.0</v>
      </c>
      <c r="C131" s="14" t="s">
        <v>50</v>
      </c>
      <c r="D131" s="15">
        <v>0.27</v>
      </c>
      <c r="E131" s="17">
        <v>5561.0</v>
      </c>
      <c r="F131" s="17">
        <v>2482.0</v>
      </c>
      <c r="G131" s="17">
        <v>575.0</v>
      </c>
      <c r="H131" s="17">
        <v>2504.0</v>
      </c>
      <c r="I131" s="14" t="s">
        <v>51</v>
      </c>
      <c r="J131" s="18">
        <v>185.8715</v>
      </c>
      <c r="K131" s="18">
        <v>183.3095</v>
      </c>
      <c r="L131" s="18">
        <v>184.4402</v>
      </c>
      <c r="M131" s="15">
        <v>1305.4</v>
      </c>
      <c r="N131" s="17">
        <f t="shared" si="25"/>
        <v>6866.4</v>
      </c>
      <c r="O131" s="19">
        <f t="shared" si="26"/>
        <v>1028574.286</v>
      </c>
      <c r="P131" s="20">
        <v>1280.0</v>
      </c>
      <c r="Q131" s="21">
        <f t="shared" si="27"/>
        <v>188.1001852</v>
      </c>
      <c r="R131" s="20">
        <f t="shared" si="14"/>
        <v>240768.2371</v>
      </c>
      <c r="S131" s="20">
        <f>IFERROR(__xludf.DUMMYFUNCTION("INDEX(IMPORTHTML(""https://www.bna.com.ar/Personas"", ""table"", 1), 2, 3)"),1465.0)</f>
        <v>1465</v>
      </c>
      <c r="T131" s="22">
        <f t="shared" si="15"/>
        <v>349969.7996</v>
      </c>
      <c r="U131" s="23">
        <f t="shared" si="16"/>
        <v>261.08</v>
      </c>
      <c r="V131" s="24">
        <f t="shared" si="17"/>
        <v>11.86727273</v>
      </c>
      <c r="W131" s="25">
        <f t="shared" si="28"/>
        <v>0.1896794858</v>
      </c>
      <c r="X131" s="19">
        <f t="shared" si="29"/>
        <v>1269342.523</v>
      </c>
      <c r="Y131" s="19"/>
    </row>
    <row r="132" ht="15.75" customHeight="1">
      <c r="A132" s="12">
        <v>45839.0</v>
      </c>
      <c r="B132" s="13">
        <v>5346470.0</v>
      </c>
      <c r="C132" s="14" t="s">
        <v>62</v>
      </c>
      <c r="D132" s="15">
        <v>0.27</v>
      </c>
      <c r="E132" s="17">
        <v>10923.0</v>
      </c>
      <c r="F132" s="17">
        <v>2319.0</v>
      </c>
      <c r="G132" s="17">
        <v>2649.0</v>
      </c>
      <c r="H132" s="17">
        <v>5955.0</v>
      </c>
      <c r="I132" s="14" t="s">
        <v>29</v>
      </c>
      <c r="J132" s="18">
        <v>149.9317</v>
      </c>
      <c r="K132" s="18">
        <v>147.0841</v>
      </c>
      <c r="L132" s="18">
        <v>148.3408</v>
      </c>
      <c r="M132" s="15">
        <v>1180.5</v>
      </c>
      <c r="N132" s="17">
        <f t="shared" si="25"/>
        <v>12103.5</v>
      </c>
      <c r="O132" s="19">
        <f t="shared" si="26"/>
        <v>1620686.857</v>
      </c>
      <c r="P132" s="20">
        <v>1280.0</v>
      </c>
      <c r="Q132" s="21">
        <f t="shared" si="27"/>
        <v>136.8096206</v>
      </c>
      <c r="R132" s="20">
        <f t="shared" si="14"/>
        <v>175116.3144</v>
      </c>
      <c r="S132" s="20">
        <f>IFERROR(__xludf.DUMMYFUNCTION("INDEX(IMPORTHTML(""https://www.bna.com.ar/Personas"", ""table"", 1), 2, 3)"),1465.0)</f>
        <v>1465</v>
      </c>
      <c r="T132" s="22">
        <f t="shared" si="15"/>
        <v>254541.1397</v>
      </c>
      <c r="U132" s="23">
        <f t="shared" si="16"/>
        <v>236.1</v>
      </c>
      <c r="V132" s="24">
        <f t="shared" si="17"/>
        <v>10.73181818</v>
      </c>
      <c r="W132" s="25">
        <f t="shared" si="28"/>
        <v>0.09751420265</v>
      </c>
      <c r="X132" s="19">
        <f t="shared" si="29"/>
        <v>1795803.172</v>
      </c>
      <c r="Y132" s="19"/>
    </row>
    <row r="133" ht="15.75" customHeight="1">
      <c r="A133" s="12">
        <v>45839.0</v>
      </c>
      <c r="B133" s="13">
        <v>5214767.0</v>
      </c>
      <c r="C133" s="14" t="s">
        <v>63</v>
      </c>
      <c r="D133" s="15">
        <v>0.27</v>
      </c>
      <c r="E133" s="17">
        <v>2963.0</v>
      </c>
      <c r="F133" s="17"/>
      <c r="G133" s="17"/>
      <c r="H133" s="17">
        <v>2963.0</v>
      </c>
      <c r="I133" s="14" t="s">
        <v>25</v>
      </c>
      <c r="J133" s="18">
        <v>148.82</v>
      </c>
      <c r="K133" s="18">
        <v>148.82</v>
      </c>
      <c r="L133" s="18">
        <v>148.82</v>
      </c>
      <c r="M133" s="15">
        <v>4566.4</v>
      </c>
      <c r="N133" s="17">
        <f t="shared" si="25"/>
        <v>7529.4</v>
      </c>
      <c r="O133" s="19">
        <f>J152*F152+G152*K152+H152*L152</f>
        <v>238235.1788</v>
      </c>
      <c r="P133" s="20">
        <v>1280.0</v>
      </c>
      <c r="Q133" s="21">
        <f>(M133*L152)/P133</f>
        <v>528.876167</v>
      </c>
      <c r="R133" s="20">
        <f t="shared" si="14"/>
        <v>676961.4938</v>
      </c>
      <c r="S133" s="20">
        <f>IFERROR(__xludf.DUMMYFUNCTION("INDEX(IMPORTHTML(""https://www.bna.com.ar/Personas"", ""table"", 1), 2, 3)"),1465.0)</f>
        <v>1465</v>
      </c>
      <c r="T133" s="22">
        <f>Q133*S133*(1+D152)</f>
        <v>984000.5525</v>
      </c>
      <c r="U133" s="23">
        <f t="shared" si="16"/>
        <v>913.28</v>
      </c>
      <c r="V133" s="24">
        <f t="shared" si="17"/>
        <v>41.51272727</v>
      </c>
      <c r="W133" s="25">
        <f>(M133*L152)/(M133*L152+H152*L152+K152*G152+J152*F152)</f>
        <v>0.7396896362</v>
      </c>
      <c r="X133" s="19">
        <f>F152*J152+G152*K152+H152*L152+M133*L152</f>
        <v>915196.6726</v>
      </c>
      <c r="Y133" s="19"/>
    </row>
    <row r="134" ht="15.75" customHeight="1">
      <c r="A134" s="12">
        <v>45839.0</v>
      </c>
      <c r="B134" s="13">
        <v>5068576.0</v>
      </c>
      <c r="C134" s="14" t="s">
        <v>64</v>
      </c>
      <c r="D134" s="15">
        <v>0.27</v>
      </c>
      <c r="E134" s="17">
        <v>10354.0</v>
      </c>
      <c r="F134" s="17">
        <v>2006.0</v>
      </c>
      <c r="G134" s="17">
        <v>2651.0</v>
      </c>
      <c r="H134" s="17">
        <v>5697.0</v>
      </c>
      <c r="I134" s="14" t="s">
        <v>29</v>
      </c>
      <c r="J134" s="18">
        <v>149.9317</v>
      </c>
      <c r="K134" s="18">
        <v>147.0841</v>
      </c>
      <c r="L134" s="18">
        <v>148.3408</v>
      </c>
      <c r="M134" s="15">
        <v>2429.8</v>
      </c>
      <c r="N134" s="17">
        <f t="shared" si="25"/>
        <v>12783.8</v>
      </c>
      <c r="O134" s="19">
        <f t="shared" ref="O134:O295" si="32">J134*F134+G134*K134+H134*L134</f>
        <v>1535780.477</v>
      </c>
      <c r="P134" s="20">
        <v>1280.0</v>
      </c>
      <c r="Q134" s="21">
        <f t="shared" ref="Q134:Q284" si="33">(M134*L134)/P134</f>
        <v>281.5925593</v>
      </c>
      <c r="R134" s="20">
        <f t="shared" si="14"/>
        <v>360438.4758</v>
      </c>
      <c r="S134" s="20">
        <f>IFERROR(__xludf.DUMMYFUNCTION("INDEX(IMPORTHTML(""https://www.bna.com.ar/Personas"", ""table"", 1), 2, 3)"),1465.0)</f>
        <v>1465</v>
      </c>
      <c r="T134" s="22">
        <f t="shared" ref="T134:T305" si="34">Q134*S134*(1+D134)</f>
        <v>523917.0361</v>
      </c>
      <c r="U134" s="23">
        <f t="shared" si="16"/>
        <v>485.96</v>
      </c>
      <c r="V134" s="24">
        <f t="shared" si="17"/>
        <v>22.08909091</v>
      </c>
      <c r="W134" s="25">
        <f t="shared" ref="W134:W305" si="35">(M134*L134)/(M134*L134+H134*L134+K134*G134+J134*F134)</f>
        <v>0.1900827303</v>
      </c>
      <c r="X134" s="19">
        <f t="shared" ref="X134:X305" si="36">F134*J134+G134*K134+H134*L134+M134*L134</f>
        <v>1896218.953</v>
      </c>
      <c r="Y134" s="19"/>
    </row>
    <row r="135" ht="15.75" customHeight="1">
      <c r="A135" s="12">
        <v>45839.0</v>
      </c>
      <c r="B135" s="13">
        <v>5019237.0</v>
      </c>
      <c r="C135" s="14" t="s">
        <v>46</v>
      </c>
      <c r="D135" s="15">
        <v>0.27</v>
      </c>
      <c r="E135" s="17">
        <v>3946.0</v>
      </c>
      <c r="F135" s="17">
        <v>681.0</v>
      </c>
      <c r="G135" s="17">
        <v>1101.0</v>
      </c>
      <c r="H135" s="17">
        <v>2164.0</v>
      </c>
      <c r="I135" s="14" t="s">
        <v>29</v>
      </c>
      <c r="J135" s="18">
        <v>149.9317</v>
      </c>
      <c r="K135" s="18">
        <v>147.0841</v>
      </c>
      <c r="L135" s="18">
        <v>148.3408</v>
      </c>
      <c r="M135" s="15">
        <v>655.4</v>
      </c>
      <c r="N135" s="17">
        <f t="shared" si="25"/>
        <v>4601.4</v>
      </c>
      <c r="O135" s="19">
        <f t="shared" si="32"/>
        <v>585052.573</v>
      </c>
      <c r="P135" s="20">
        <v>1280.0</v>
      </c>
      <c r="Q135" s="21">
        <f t="shared" si="33"/>
        <v>75.95512525</v>
      </c>
      <c r="R135" s="20">
        <f t="shared" si="14"/>
        <v>97222.56032</v>
      </c>
      <c r="S135" s="20">
        <f>IFERROR(__xludf.DUMMYFUNCTION("INDEX(IMPORTHTML(""https://www.bna.com.ar/Personas"", ""table"", 1), 2, 3)"),1465.0)</f>
        <v>1465</v>
      </c>
      <c r="T135" s="22">
        <f t="shared" si="34"/>
        <v>141318.3083</v>
      </c>
      <c r="U135" s="23">
        <f t="shared" si="16"/>
        <v>131.08</v>
      </c>
      <c r="V135" s="24">
        <f t="shared" si="17"/>
        <v>5.958181818</v>
      </c>
      <c r="W135" s="25">
        <f t="shared" si="35"/>
        <v>0.1424975872</v>
      </c>
      <c r="X135" s="19">
        <f t="shared" si="36"/>
        <v>682275.1333</v>
      </c>
      <c r="Y135" s="19"/>
    </row>
    <row r="136" ht="15.75" customHeight="1">
      <c r="A136" s="12">
        <v>45839.0</v>
      </c>
      <c r="B136" s="13">
        <v>5238577.0</v>
      </c>
      <c r="C136" s="14" t="s">
        <v>44</v>
      </c>
      <c r="D136" s="15">
        <v>0.27</v>
      </c>
      <c r="E136" s="17">
        <v>680.0</v>
      </c>
      <c r="F136" s="17"/>
      <c r="G136" s="17"/>
      <c r="H136" s="17">
        <v>680.0</v>
      </c>
      <c r="I136" s="14" t="s">
        <v>25</v>
      </c>
      <c r="J136" s="18">
        <v>148.82</v>
      </c>
      <c r="K136" s="18">
        <v>148.82</v>
      </c>
      <c r="L136" s="18">
        <v>148.82</v>
      </c>
      <c r="M136" s="15">
        <v>246.8</v>
      </c>
      <c r="N136" s="17">
        <f t="shared" si="25"/>
        <v>926.8</v>
      </c>
      <c r="O136" s="19">
        <f t="shared" si="32"/>
        <v>101197.6</v>
      </c>
      <c r="P136" s="20">
        <v>1280.0</v>
      </c>
      <c r="Q136" s="21">
        <f t="shared" si="33"/>
        <v>28.69435625</v>
      </c>
      <c r="R136" s="20">
        <f t="shared" si="14"/>
        <v>36728.776</v>
      </c>
      <c r="S136" s="20">
        <f>IFERROR(__xludf.DUMMYFUNCTION("INDEX(IMPORTHTML(""https://www.bna.com.ar/Personas"", ""table"", 1), 2, 3)"),1465.0)</f>
        <v>1465</v>
      </c>
      <c r="T136" s="22">
        <f t="shared" si="34"/>
        <v>53387.28452</v>
      </c>
      <c r="U136" s="23">
        <f t="shared" si="16"/>
        <v>49.36</v>
      </c>
      <c r="V136" s="24">
        <f t="shared" si="17"/>
        <v>2.243636364</v>
      </c>
      <c r="W136" s="25">
        <f t="shared" si="35"/>
        <v>0.2662926198</v>
      </c>
      <c r="X136" s="19">
        <f t="shared" si="36"/>
        <v>137926.376</v>
      </c>
      <c r="Y136" s="19"/>
    </row>
    <row r="137" ht="15.75" customHeight="1">
      <c r="A137" s="12">
        <v>45839.0</v>
      </c>
      <c r="B137" s="13">
        <v>5253773.0</v>
      </c>
      <c r="C137" s="14" t="s">
        <v>43</v>
      </c>
      <c r="D137" s="15">
        <v>0.21</v>
      </c>
      <c r="E137" s="17">
        <v>514.0</v>
      </c>
      <c r="F137" s="17">
        <v>136.0</v>
      </c>
      <c r="G137" s="17">
        <v>86.0</v>
      </c>
      <c r="H137" s="17">
        <v>292.0</v>
      </c>
      <c r="I137" s="14" t="s">
        <v>32</v>
      </c>
      <c r="J137" s="18">
        <v>217.7287</v>
      </c>
      <c r="K137" s="18">
        <v>217.7287</v>
      </c>
      <c r="L137" s="18">
        <v>217.7287</v>
      </c>
      <c r="M137" s="15">
        <v>148.2</v>
      </c>
      <c r="N137" s="17">
        <f t="shared" si="25"/>
        <v>662.2</v>
      </c>
      <c r="O137" s="19">
        <f t="shared" si="32"/>
        <v>111912.5518</v>
      </c>
      <c r="P137" s="20">
        <v>1280.0</v>
      </c>
      <c r="Q137" s="21">
        <f t="shared" si="33"/>
        <v>25.20890105</v>
      </c>
      <c r="R137" s="20">
        <f t="shared" si="14"/>
        <v>32267.39334</v>
      </c>
      <c r="S137" s="20">
        <f>IFERROR(__xludf.DUMMYFUNCTION("INDEX(IMPORTHTML(""https://www.bna.com.ar/Personas"", ""table"", 1), 2, 3)"),1465.0)</f>
        <v>1465</v>
      </c>
      <c r="T137" s="22">
        <f t="shared" si="34"/>
        <v>44686.55844</v>
      </c>
      <c r="U137" s="23">
        <f t="shared" si="16"/>
        <v>29.64</v>
      </c>
      <c r="V137" s="24">
        <f t="shared" si="17"/>
        <v>1.347272727</v>
      </c>
      <c r="W137" s="25">
        <f t="shared" si="35"/>
        <v>0.2237994564</v>
      </c>
      <c r="X137" s="19">
        <f t="shared" si="36"/>
        <v>144179.9451</v>
      </c>
      <c r="Y137" s="19"/>
    </row>
    <row r="138" ht="15.75" customHeight="1">
      <c r="A138" s="12">
        <v>45839.0</v>
      </c>
      <c r="B138" s="13">
        <v>5320074.0</v>
      </c>
      <c r="C138" s="14" t="s">
        <v>65</v>
      </c>
      <c r="D138" s="15">
        <v>0.27</v>
      </c>
      <c r="E138" s="17">
        <v>24776.0</v>
      </c>
      <c r="F138" s="17">
        <v>5288.0</v>
      </c>
      <c r="G138" s="17">
        <v>6052.0</v>
      </c>
      <c r="H138" s="17">
        <v>13436.0</v>
      </c>
      <c r="I138" s="14" t="s">
        <v>29</v>
      </c>
      <c r="J138" s="18">
        <v>149.9317</v>
      </c>
      <c r="K138" s="18">
        <v>147.0841</v>
      </c>
      <c r="L138" s="18">
        <v>148.3408</v>
      </c>
      <c r="M138" s="15">
        <v>2113.1</v>
      </c>
      <c r="N138" s="17">
        <f t="shared" si="25"/>
        <v>26889.1</v>
      </c>
      <c r="O138" s="19">
        <f t="shared" si="32"/>
        <v>3676098.792</v>
      </c>
      <c r="P138" s="20">
        <v>1280.0</v>
      </c>
      <c r="Q138" s="21">
        <f t="shared" si="33"/>
        <v>244.8898004</v>
      </c>
      <c r="R138" s="20">
        <f t="shared" si="14"/>
        <v>313458.9445</v>
      </c>
      <c r="S138" s="20">
        <f>IFERROR(__xludf.DUMMYFUNCTION("INDEX(IMPORTHTML(""https://www.bna.com.ar/Personas"", ""table"", 1), 2, 3)"),1465.0)</f>
        <v>1465</v>
      </c>
      <c r="T138" s="22">
        <f t="shared" si="34"/>
        <v>455629.7181</v>
      </c>
      <c r="U138" s="23">
        <f t="shared" si="16"/>
        <v>422.62</v>
      </c>
      <c r="V138" s="24">
        <f t="shared" si="17"/>
        <v>19.21</v>
      </c>
      <c r="W138" s="25">
        <f t="shared" si="35"/>
        <v>0.07856984789</v>
      </c>
      <c r="X138" s="19">
        <f t="shared" si="36"/>
        <v>3989557.736</v>
      </c>
      <c r="Y138" s="19"/>
    </row>
    <row r="139" ht="15.75" customHeight="1">
      <c r="A139" s="12">
        <v>45839.0</v>
      </c>
      <c r="B139" s="13">
        <v>5352763.0</v>
      </c>
      <c r="C139" s="14" t="s">
        <v>66</v>
      </c>
      <c r="D139" s="15">
        <v>0.27</v>
      </c>
      <c r="E139" s="17">
        <v>2062.0</v>
      </c>
      <c r="F139" s="17">
        <v>468.0</v>
      </c>
      <c r="G139" s="17">
        <v>358.0</v>
      </c>
      <c r="H139" s="17">
        <v>1236.0</v>
      </c>
      <c r="I139" s="14" t="s">
        <v>25</v>
      </c>
      <c r="J139" s="18">
        <v>148.82</v>
      </c>
      <c r="K139" s="18">
        <v>148.82</v>
      </c>
      <c r="L139" s="18">
        <v>148.82</v>
      </c>
      <c r="M139" s="15">
        <v>511.5</v>
      </c>
      <c r="N139" s="17">
        <f t="shared" si="25"/>
        <v>2573.5</v>
      </c>
      <c r="O139" s="19">
        <f t="shared" si="32"/>
        <v>306866.84</v>
      </c>
      <c r="P139" s="20">
        <v>1280.0</v>
      </c>
      <c r="Q139" s="21">
        <f t="shared" si="33"/>
        <v>59.46986719</v>
      </c>
      <c r="R139" s="20">
        <f t="shared" si="14"/>
        <v>76121.43</v>
      </c>
      <c r="S139" s="20">
        <f>IFERROR(__xludf.DUMMYFUNCTION("INDEX(IMPORTHTML(""https://www.bna.com.ar/Personas"", ""table"", 1), 2, 3)"),1465.0)</f>
        <v>1465</v>
      </c>
      <c r="T139" s="22">
        <f t="shared" si="34"/>
        <v>110646.6614</v>
      </c>
      <c r="U139" s="23">
        <f t="shared" si="16"/>
        <v>102.3</v>
      </c>
      <c r="V139" s="24">
        <f t="shared" si="17"/>
        <v>4.65</v>
      </c>
      <c r="W139" s="25">
        <f t="shared" si="35"/>
        <v>0.1987565572</v>
      </c>
      <c r="X139" s="19">
        <f t="shared" si="36"/>
        <v>382988.27</v>
      </c>
      <c r="Y139" s="19"/>
    </row>
    <row r="140" ht="15.75" customHeight="1">
      <c r="A140" s="12">
        <v>45839.0</v>
      </c>
      <c r="B140" s="13">
        <v>3092029.0</v>
      </c>
      <c r="C140" s="14" t="s">
        <v>42</v>
      </c>
      <c r="D140" s="15">
        <v>0.27</v>
      </c>
      <c r="E140" s="17">
        <v>7920.0</v>
      </c>
      <c r="F140" s="17">
        <v>2490.0</v>
      </c>
      <c r="G140" s="17">
        <v>1440.0</v>
      </c>
      <c r="H140" s="17">
        <v>3990.0</v>
      </c>
      <c r="I140" s="14" t="s">
        <v>29</v>
      </c>
      <c r="J140" s="18">
        <v>149.9317</v>
      </c>
      <c r="K140" s="18">
        <v>147.0841</v>
      </c>
      <c r="L140" s="18">
        <v>148.3408</v>
      </c>
      <c r="M140" s="15">
        <v>2348.8</v>
      </c>
      <c r="N140" s="17">
        <f t="shared" si="25"/>
        <v>10268.8</v>
      </c>
      <c r="O140" s="19">
        <f t="shared" si="32"/>
        <v>1177010.829</v>
      </c>
      <c r="P140" s="20">
        <v>1280.0</v>
      </c>
      <c r="Q140" s="21">
        <f t="shared" si="33"/>
        <v>272.205368</v>
      </c>
      <c r="R140" s="20">
        <f t="shared" si="14"/>
        <v>348422.871</v>
      </c>
      <c r="S140" s="20">
        <f>IFERROR(__xludf.DUMMYFUNCTION("INDEX(IMPORTHTML(""https://www.bna.com.ar/Personas"", ""table"", 1), 2, 3)"),1465.0)</f>
        <v>1465</v>
      </c>
      <c r="T140" s="22">
        <f t="shared" si="34"/>
        <v>506451.6974</v>
      </c>
      <c r="U140" s="23">
        <f t="shared" si="16"/>
        <v>469.76</v>
      </c>
      <c r="V140" s="24">
        <f t="shared" si="17"/>
        <v>21.35272727</v>
      </c>
      <c r="W140" s="25">
        <f t="shared" si="35"/>
        <v>0.2284090558</v>
      </c>
      <c r="X140" s="19">
        <f t="shared" si="36"/>
        <v>1525433.7</v>
      </c>
      <c r="Y140" s="19"/>
    </row>
    <row r="141" ht="15.75" customHeight="1">
      <c r="A141" s="12">
        <v>45839.0</v>
      </c>
      <c r="B141" s="13">
        <v>5076619.0</v>
      </c>
      <c r="C141" s="14" t="s">
        <v>41</v>
      </c>
      <c r="D141" s="15">
        <v>0.27</v>
      </c>
      <c r="E141" s="17">
        <v>3747.0</v>
      </c>
      <c r="F141" s="17">
        <v>1343.0</v>
      </c>
      <c r="G141" s="17">
        <v>844.0</v>
      </c>
      <c r="H141" s="17">
        <v>1560.0</v>
      </c>
      <c r="I141" s="14" t="s">
        <v>25</v>
      </c>
      <c r="J141" s="18">
        <v>148.82</v>
      </c>
      <c r="K141" s="18">
        <v>148.82</v>
      </c>
      <c r="L141" s="18">
        <v>148.82</v>
      </c>
      <c r="M141" s="15"/>
      <c r="N141" s="17">
        <f t="shared" si="25"/>
        <v>3747</v>
      </c>
      <c r="O141" s="19">
        <f t="shared" si="32"/>
        <v>557628.54</v>
      </c>
      <c r="P141" s="20">
        <v>1280.0</v>
      </c>
      <c r="Q141" s="21">
        <f t="shared" si="33"/>
        <v>0</v>
      </c>
      <c r="R141" s="20">
        <f t="shared" si="14"/>
        <v>0</v>
      </c>
      <c r="S141" s="20">
        <f>IFERROR(__xludf.DUMMYFUNCTION("INDEX(IMPORTHTML(""https://www.bna.com.ar/Personas"", ""table"", 1), 2, 3)"),1465.0)</f>
        <v>1465</v>
      </c>
      <c r="T141" s="22">
        <f t="shared" si="34"/>
        <v>0</v>
      </c>
      <c r="U141" s="23">
        <f t="shared" si="16"/>
        <v>0</v>
      </c>
      <c r="V141" s="24">
        <f t="shared" si="17"/>
        <v>0</v>
      </c>
      <c r="W141" s="25">
        <f t="shared" si="35"/>
        <v>0</v>
      </c>
      <c r="X141" s="19">
        <f t="shared" si="36"/>
        <v>557628.54</v>
      </c>
      <c r="Y141" s="19"/>
    </row>
    <row r="142" ht="15.75" customHeight="1">
      <c r="A142" s="12">
        <v>45839.0</v>
      </c>
      <c r="B142" s="13">
        <v>4000681.0</v>
      </c>
      <c r="C142" s="14" t="s">
        <v>40</v>
      </c>
      <c r="D142" s="15">
        <v>0.27</v>
      </c>
      <c r="E142" s="17">
        <v>525.0</v>
      </c>
      <c r="F142" s="17"/>
      <c r="G142" s="17"/>
      <c r="H142" s="17">
        <v>525.0</v>
      </c>
      <c r="I142" s="14" t="s">
        <v>25</v>
      </c>
      <c r="J142" s="18">
        <v>148.82</v>
      </c>
      <c r="K142" s="18">
        <v>148.82</v>
      </c>
      <c r="L142" s="18">
        <v>148.82</v>
      </c>
      <c r="M142" s="15">
        <v>2218.6</v>
      </c>
      <c r="N142" s="17">
        <f t="shared" si="25"/>
        <v>2743.6</v>
      </c>
      <c r="O142" s="19">
        <f t="shared" si="32"/>
        <v>78130.5</v>
      </c>
      <c r="P142" s="20">
        <v>1280.0</v>
      </c>
      <c r="Q142" s="21">
        <f t="shared" si="33"/>
        <v>257.9469156</v>
      </c>
      <c r="R142" s="20">
        <f t="shared" si="14"/>
        <v>330172.052</v>
      </c>
      <c r="S142" s="20">
        <f>IFERROR(__xludf.DUMMYFUNCTION("INDEX(IMPORTHTML(""https://www.bna.com.ar/Personas"", ""table"", 1), 2, 3)"),1465.0)</f>
        <v>1465</v>
      </c>
      <c r="T142" s="22">
        <f t="shared" si="34"/>
        <v>479923.1339</v>
      </c>
      <c r="U142" s="23">
        <f t="shared" si="16"/>
        <v>443.72</v>
      </c>
      <c r="V142" s="24">
        <f t="shared" si="17"/>
        <v>20.16909091</v>
      </c>
      <c r="W142" s="25">
        <f t="shared" si="35"/>
        <v>0.8086455752</v>
      </c>
      <c r="X142" s="19">
        <f t="shared" si="36"/>
        <v>408302.552</v>
      </c>
      <c r="Y142" s="19"/>
    </row>
    <row r="143" ht="15.75" customHeight="1">
      <c r="A143" s="12">
        <v>45839.0</v>
      </c>
      <c r="B143" s="13">
        <v>5253775.0</v>
      </c>
      <c r="C143" s="14" t="s">
        <v>39</v>
      </c>
      <c r="D143" s="15">
        <v>0.21</v>
      </c>
      <c r="E143" s="17">
        <v>592.0</v>
      </c>
      <c r="F143" s="17"/>
      <c r="G143" s="17"/>
      <c r="H143" s="17">
        <v>592.0</v>
      </c>
      <c r="I143" s="14" t="s">
        <v>32</v>
      </c>
      <c r="J143" s="18">
        <v>217.7287</v>
      </c>
      <c r="K143" s="18">
        <v>217.7287</v>
      </c>
      <c r="L143" s="18">
        <v>217.7287</v>
      </c>
      <c r="M143" s="15">
        <v>129.1</v>
      </c>
      <c r="N143" s="17">
        <f t="shared" si="25"/>
        <v>721.1</v>
      </c>
      <c r="O143" s="19">
        <f t="shared" si="32"/>
        <v>128895.3904</v>
      </c>
      <c r="P143" s="20">
        <v>1280.0</v>
      </c>
      <c r="Q143" s="21">
        <f t="shared" si="33"/>
        <v>21.9599806</v>
      </c>
      <c r="R143" s="20">
        <f t="shared" si="14"/>
        <v>28108.77517</v>
      </c>
      <c r="S143" s="20">
        <f>IFERROR(__xludf.DUMMYFUNCTION("INDEX(IMPORTHTML(""https://www.bna.com.ar/Personas"", ""table"", 1), 2, 3)"),1465.0)</f>
        <v>1465</v>
      </c>
      <c r="T143" s="22">
        <f t="shared" si="34"/>
        <v>38927.35961</v>
      </c>
      <c r="U143" s="23">
        <f t="shared" si="16"/>
        <v>25.82</v>
      </c>
      <c r="V143" s="24">
        <f t="shared" si="17"/>
        <v>1.173636364</v>
      </c>
      <c r="W143" s="25">
        <f t="shared" si="35"/>
        <v>0.1790320344</v>
      </c>
      <c r="X143" s="19">
        <f t="shared" si="36"/>
        <v>157004.1656</v>
      </c>
      <c r="Y143" s="19"/>
    </row>
    <row r="144" ht="15.75" customHeight="1">
      <c r="A144" s="12">
        <v>45839.0</v>
      </c>
      <c r="B144" s="13">
        <v>5211887.0</v>
      </c>
      <c r="C144" s="14" t="s">
        <v>38</v>
      </c>
      <c r="D144" s="15">
        <v>0.27</v>
      </c>
      <c r="E144" s="17">
        <v>380.0</v>
      </c>
      <c r="F144" s="17"/>
      <c r="G144" s="17"/>
      <c r="H144" s="17">
        <v>380.0</v>
      </c>
      <c r="I144" s="14" t="s">
        <v>25</v>
      </c>
      <c r="J144" s="18">
        <v>148.82</v>
      </c>
      <c r="K144" s="18">
        <v>148.82</v>
      </c>
      <c r="L144" s="18">
        <v>148.82</v>
      </c>
      <c r="M144" s="15">
        <v>341.6</v>
      </c>
      <c r="N144" s="17">
        <f t="shared" si="25"/>
        <v>721.6</v>
      </c>
      <c r="O144" s="19">
        <f t="shared" si="32"/>
        <v>56551.6</v>
      </c>
      <c r="P144" s="20">
        <v>1280.0</v>
      </c>
      <c r="Q144" s="21">
        <f t="shared" si="33"/>
        <v>39.7163375</v>
      </c>
      <c r="R144" s="20">
        <f t="shared" si="14"/>
        <v>50836.912</v>
      </c>
      <c r="S144" s="20">
        <f>IFERROR(__xludf.DUMMYFUNCTION("INDEX(IMPORTHTML(""https://www.bna.com.ar/Personas"", ""table"", 1), 2, 3)"),1465.0)</f>
        <v>1465</v>
      </c>
      <c r="T144" s="22">
        <f t="shared" si="34"/>
        <v>73894.23174</v>
      </c>
      <c r="U144" s="23">
        <f t="shared" si="16"/>
        <v>68.32</v>
      </c>
      <c r="V144" s="24">
        <f t="shared" si="17"/>
        <v>3.105454545</v>
      </c>
      <c r="W144" s="25">
        <f t="shared" si="35"/>
        <v>0.4733924612</v>
      </c>
      <c r="X144" s="19">
        <f t="shared" si="36"/>
        <v>107388.512</v>
      </c>
      <c r="Y144" s="19"/>
    </row>
    <row r="145" ht="15.75" customHeight="1">
      <c r="A145" s="12">
        <v>45839.0</v>
      </c>
      <c r="B145" s="13">
        <v>5346222.0</v>
      </c>
      <c r="C145" s="28" t="s">
        <v>37</v>
      </c>
      <c r="D145" s="15">
        <v>0.27</v>
      </c>
      <c r="E145" s="17">
        <v>1095.0</v>
      </c>
      <c r="F145" s="17">
        <v>303.0</v>
      </c>
      <c r="G145" s="17">
        <v>38.0</v>
      </c>
      <c r="H145" s="17">
        <v>754.0</v>
      </c>
      <c r="I145" s="14" t="s">
        <v>25</v>
      </c>
      <c r="J145" s="18">
        <v>148.82</v>
      </c>
      <c r="K145" s="18">
        <v>148.82</v>
      </c>
      <c r="L145" s="18">
        <v>148.82</v>
      </c>
      <c r="M145" s="15">
        <v>2299.9</v>
      </c>
      <c r="N145" s="17">
        <f t="shared" si="25"/>
        <v>3394.9</v>
      </c>
      <c r="O145" s="19">
        <f t="shared" si="32"/>
        <v>162957.9</v>
      </c>
      <c r="P145" s="20">
        <v>1280.0</v>
      </c>
      <c r="Q145" s="21">
        <f t="shared" si="33"/>
        <v>267.3993109</v>
      </c>
      <c r="R145" s="20">
        <f t="shared" si="14"/>
        <v>342271.118</v>
      </c>
      <c r="S145" s="20">
        <f>IFERROR(__xludf.DUMMYFUNCTION("INDEX(IMPORTHTML(""https://www.bna.com.ar/Personas"", ""table"", 1), 2, 3)"),1465.0)</f>
        <v>1465</v>
      </c>
      <c r="T145" s="22">
        <f t="shared" si="34"/>
        <v>497509.788</v>
      </c>
      <c r="U145" s="23">
        <f t="shared" si="16"/>
        <v>459.98</v>
      </c>
      <c r="V145" s="24">
        <f t="shared" si="17"/>
        <v>20.90818182</v>
      </c>
      <c r="W145" s="25">
        <f t="shared" si="35"/>
        <v>0.6774573625</v>
      </c>
      <c r="X145" s="19">
        <f t="shared" si="36"/>
        <v>505229.018</v>
      </c>
      <c r="Y145" s="19"/>
    </row>
    <row r="146" ht="15.75" customHeight="1">
      <c r="A146" s="12">
        <v>45839.0</v>
      </c>
      <c r="B146" s="13">
        <v>3025373.0</v>
      </c>
      <c r="C146" s="14" t="s">
        <v>35</v>
      </c>
      <c r="D146" s="15">
        <v>0.27</v>
      </c>
      <c r="E146" s="17">
        <v>2829.0</v>
      </c>
      <c r="F146" s="17">
        <v>634.0</v>
      </c>
      <c r="G146" s="17">
        <v>650.0</v>
      </c>
      <c r="H146" s="17">
        <v>1545.0</v>
      </c>
      <c r="I146" s="14" t="s">
        <v>36</v>
      </c>
      <c r="J146" s="18">
        <v>236.6792</v>
      </c>
      <c r="K146" s="18">
        <v>233.8316</v>
      </c>
      <c r="L146" s="18">
        <v>235.0884</v>
      </c>
      <c r="M146" s="15">
        <v>1304.5</v>
      </c>
      <c r="N146" s="17">
        <f t="shared" si="25"/>
        <v>4133.5</v>
      </c>
      <c r="O146" s="19">
        <f t="shared" si="32"/>
        <v>665256.7308</v>
      </c>
      <c r="P146" s="20">
        <v>1280.0</v>
      </c>
      <c r="Q146" s="21">
        <f t="shared" si="33"/>
        <v>239.5881389</v>
      </c>
      <c r="R146" s="20">
        <f t="shared" si="14"/>
        <v>306672.8178</v>
      </c>
      <c r="S146" s="20">
        <f>IFERROR(__xludf.DUMMYFUNCTION("INDEX(IMPORTHTML(""https://www.bna.com.ar/Personas"", ""table"", 1), 2, 3)"),1465.0)</f>
        <v>1465</v>
      </c>
      <c r="T146" s="22">
        <f t="shared" si="34"/>
        <v>445765.7118</v>
      </c>
      <c r="U146" s="23">
        <f t="shared" si="16"/>
        <v>260.9</v>
      </c>
      <c r="V146" s="24">
        <f t="shared" si="17"/>
        <v>11.85909091</v>
      </c>
      <c r="W146" s="25">
        <f t="shared" si="35"/>
        <v>0.3155298841</v>
      </c>
      <c r="X146" s="19">
        <f t="shared" si="36"/>
        <v>971929.5486</v>
      </c>
      <c r="Y146" s="19"/>
    </row>
    <row r="147" ht="15.75" customHeight="1">
      <c r="A147" s="38">
        <v>45839.0</v>
      </c>
      <c r="B147" s="39">
        <v>5251104.0</v>
      </c>
      <c r="C147" s="40" t="s">
        <v>52</v>
      </c>
      <c r="D147" s="44">
        <v>0.27</v>
      </c>
      <c r="E147" s="42">
        <v>6490.0</v>
      </c>
      <c r="F147" s="42">
        <v>648.0</v>
      </c>
      <c r="G147" s="42">
        <v>132.0</v>
      </c>
      <c r="H147" s="42">
        <v>5710.0</v>
      </c>
      <c r="I147" s="40" t="s">
        <v>51</v>
      </c>
      <c r="J147" s="43">
        <v>185.8715</v>
      </c>
      <c r="K147" s="43">
        <v>183.3095</v>
      </c>
      <c r="L147" s="43">
        <v>184.4402</v>
      </c>
      <c r="M147" s="44">
        <v>5248.7</v>
      </c>
      <c r="N147" s="42">
        <f t="shared" si="25"/>
        <v>11738.7</v>
      </c>
      <c r="O147" s="45">
        <f t="shared" si="32"/>
        <v>1197795.128</v>
      </c>
      <c r="P147" s="46">
        <v>1280.0</v>
      </c>
      <c r="Q147" s="47">
        <f t="shared" si="33"/>
        <v>756.3056857</v>
      </c>
      <c r="R147" s="46">
        <f t="shared" si="14"/>
        <v>968071.2777</v>
      </c>
      <c r="S147" s="46">
        <f>IFERROR(__xludf.DUMMYFUNCTION("INDEX(IMPORTHTML(""https://www.bna.com.ar/Personas"", ""table"", 1), 2, 3)"),1465.0)</f>
        <v>1465</v>
      </c>
      <c r="T147" s="48">
        <f t="shared" si="34"/>
        <v>1407144.544</v>
      </c>
      <c r="U147" s="49">
        <f t="shared" si="16"/>
        <v>1049.74</v>
      </c>
      <c r="V147" s="50">
        <f t="shared" si="17"/>
        <v>47.71545455</v>
      </c>
      <c r="W147" s="51">
        <f t="shared" si="35"/>
        <v>0.4469672161</v>
      </c>
      <c r="X147" s="45">
        <f t="shared" si="36"/>
        <v>2165866.406</v>
      </c>
      <c r="Y147" s="45"/>
    </row>
    <row r="148" ht="15.75" customHeight="1">
      <c r="A148" s="12">
        <v>45809.0</v>
      </c>
      <c r="B148" s="13">
        <v>4000202.0</v>
      </c>
      <c r="C148" s="14" t="s">
        <v>56</v>
      </c>
      <c r="D148" s="15">
        <v>0.27</v>
      </c>
      <c r="E148" s="17">
        <v>14980.0</v>
      </c>
      <c r="F148" s="17">
        <v>3500.0</v>
      </c>
      <c r="G148" s="17">
        <v>3150.0</v>
      </c>
      <c r="H148" s="17">
        <v>8330.0</v>
      </c>
      <c r="I148" s="14" t="s">
        <v>29</v>
      </c>
      <c r="J148" s="18">
        <v>147.7231</v>
      </c>
      <c r="K148" s="18">
        <v>144.9122</v>
      </c>
      <c r="L148" s="18">
        <v>146.1513</v>
      </c>
      <c r="M148" s="15">
        <v>1969.5</v>
      </c>
      <c r="N148" s="17">
        <f t="shared" si="25"/>
        <v>16949.5</v>
      </c>
      <c r="O148" s="19">
        <f t="shared" si="32"/>
        <v>2190944.609</v>
      </c>
      <c r="P148" s="20">
        <v>1280.0</v>
      </c>
      <c r="Q148" s="21">
        <f t="shared" si="33"/>
        <v>224.8788948</v>
      </c>
      <c r="R148" s="20">
        <f t="shared" si="14"/>
        <v>287844.9854</v>
      </c>
      <c r="S148" s="20">
        <f>IFERROR(__xludf.DUMMYFUNCTION("INDEX(IMPORTHTML(""https://www.bna.com.ar/Personas"", ""table"", 1), 2, 3)"),1465.0)</f>
        <v>1465</v>
      </c>
      <c r="T148" s="22">
        <f t="shared" si="34"/>
        <v>418398.4277</v>
      </c>
      <c r="U148" s="23">
        <f t="shared" si="16"/>
        <v>393.9</v>
      </c>
      <c r="V148" s="24">
        <f t="shared" si="17"/>
        <v>17.90454545</v>
      </c>
      <c r="W148" s="25">
        <f t="shared" si="35"/>
        <v>0.1161232022</v>
      </c>
      <c r="X148" s="19">
        <f t="shared" si="36"/>
        <v>2478789.594</v>
      </c>
      <c r="Y148" s="19"/>
    </row>
    <row r="149" ht="15.75" customHeight="1">
      <c r="A149" s="12">
        <v>45812.0</v>
      </c>
      <c r="B149" s="13">
        <v>5076526.0</v>
      </c>
      <c r="C149" s="14" t="s">
        <v>61</v>
      </c>
      <c r="D149" s="15">
        <v>0.27</v>
      </c>
      <c r="E149" s="17">
        <v>120.0</v>
      </c>
      <c r="F149" s="17">
        <v>30.0</v>
      </c>
      <c r="G149" s="17">
        <v>30.0</v>
      </c>
      <c r="H149" s="17">
        <v>60.0</v>
      </c>
      <c r="I149" s="14" t="s">
        <v>29</v>
      </c>
      <c r="J149" s="18">
        <v>147.7231</v>
      </c>
      <c r="K149" s="18">
        <v>144.9122</v>
      </c>
      <c r="L149" s="18">
        <v>146.1531</v>
      </c>
      <c r="M149" s="15">
        <v>612.2</v>
      </c>
      <c r="N149" s="17">
        <f t="shared" si="25"/>
        <v>732.2</v>
      </c>
      <c r="O149" s="19">
        <f t="shared" si="32"/>
        <v>17548.245</v>
      </c>
      <c r="P149" s="20">
        <v>1280.0</v>
      </c>
      <c r="Q149" s="21">
        <f t="shared" si="33"/>
        <v>69.90228736</v>
      </c>
      <c r="R149" s="20">
        <f t="shared" si="14"/>
        <v>89474.92782</v>
      </c>
      <c r="S149" s="20">
        <f>IFERROR(__xludf.DUMMYFUNCTION("INDEX(IMPORTHTML(""https://www.bna.com.ar/Personas"", ""table"", 1), 2, 3)"),1465.0)</f>
        <v>1465</v>
      </c>
      <c r="T149" s="22">
        <f t="shared" si="34"/>
        <v>130056.7007</v>
      </c>
      <c r="U149" s="23">
        <f t="shared" si="16"/>
        <v>122.44</v>
      </c>
      <c r="V149" s="24">
        <f t="shared" si="17"/>
        <v>5.565454545</v>
      </c>
      <c r="W149" s="25">
        <f t="shared" si="35"/>
        <v>0.8360332203</v>
      </c>
      <c r="X149" s="19">
        <f t="shared" si="36"/>
        <v>107023.1728</v>
      </c>
      <c r="Y149" s="19"/>
    </row>
    <row r="150" ht="15.75" customHeight="1">
      <c r="A150" s="12">
        <v>45809.0</v>
      </c>
      <c r="B150" s="66">
        <v>5213946.0</v>
      </c>
      <c r="C150" s="14" t="s">
        <v>50</v>
      </c>
      <c r="D150" s="15">
        <v>0.27</v>
      </c>
      <c r="E150" s="17">
        <v>6870.0</v>
      </c>
      <c r="F150" s="17">
        <v>1686.0</v>
      </c>
      <c r="G150" s="17">
        <v>906.0</v>
      </c>
      <c r="H150" s="17">
        <v>4278.0</v>
      </c>
      <c r="I150" s="14" t="s">
        <v>51</v>
      </c>
      <c r="J150" s="18">
        <v>185.9218</v>
      </c>
      <c r="K150" s="18">
        <v>183.3928</v>
      </c>
      <c r="L150" s="18">
        <v>184.5092</v>
      </c>
      <c r="M150" s="15">
        <v>837.7</v>
      </c>
      <c r="N150" s="17">
        <f t="shared" si="25"/>
        <v>7707.7</v>
      </c>
      <c r="O150" s="19">
        <f t="shared" si="32"/>
        <v>1268948.389</v>
      </c>
      <c r="P150" s="20">
        <v>1280.0</v>
      </c>
      <c r="Q150" s="21">
        <f t="shared" si="33"/>
        <v>120.7526225</v>
      </c>
      <c r="R150" s="20">
        <f t="shared" si="14"/>
        <v>154563.3568</v>
      </c>
      <c r="S150" s="20">
        <f>IFERROR(__xludf.DUMMYFUNCTION("INDEX(IMPORTHTML(""https://www.bna.com.ar/Personas"", ""table"", 1), 2, 3)"),1465.0)</f>
        <v>1465</v>
      </c>
      <c r="T150" s="22">
        <f t="shared" si="34"/>
        <v>224666.2919</v>
      </c>
      <c r="U150" s="23">
        <f t="shared" si="16"/>
        <v>167.54</v>
      </c>
      <c r="V150" s="24">
        <f t="shared" si="17"/>
        <v>7.615454545</v>
      </c>
      <c r="W150" s="25">
        <f t="shared" si="35"/>
        <v>0.1085789122</v>
      </c>
      <c r="X150" s="19">
        <f t="shared" si="36"/>
        <v>1423511.746</v>
      </c>
      <c r="Y150" s="19"/>
    </row>
    <row r="151" ht="15.75" customHeight="1">
      <c r="A151" s="12">
        <v>45809.0</v>
      </c>
      <c r="B151" s="66">
        <v>5346470.0</v>
      </c>
      <c r="C151" s="14" t="s">
        <v>62</v>
      </c>
      <c r="D151" s="15">
        <v>0.27</v>
      </c>
      <c r="E151" s="17">
        <v>10131.0</v>
      </c>
      <c r="F151" s="17">
        <v>1872.0</v>
      </c>
      <c r="G151" s="17">
        <v>2079.0</v>
      </c>
      <c r="H151" s="17">
        <v>6180.0</v>
      </c>
      <c r="I151" s="14" t="s">
        <v>29</v>
      </c>
      <c r="J151" s="18">
        <v>147.7231</v>
      </c>
      <c r="K151" s="18">
        <v>144.9122</v>
      </c>
      <c r="L151" s="18">
        <v>146.1513</v>
      </c>
      <c r="M151" s="15">
        <v>1094.1</v>
      </c>
      <c r="N151" s="17">
        <f t="shared" si="25"/>
        <v>11225.1</v>
      </c>
      <c r="O151" s="19">
        <f t="shared" si="32"/>
        <v>1481025.141</v>
      </c>
      <c r="P151" s="20">
        <v>1280.0</v>
      </c>
      <c r="Q151" s="21">
        <f t="shared" si="33"/>
        <v>124.9251073</v>
      </c>
      <c r="R151" s="20">
        <f t="shared" si="14"/>
        <v>159904.1373</v>
      </c>
      <c r="S151" s="20">
        <f>IFERROR(__xludf.DUMMYFUNCTION("INDEX(IMPORTHTML(""https://www.bna.com.ar/Personas"", ""table"", 1), 2, 3)"),1465.0)</f>
        <v>1465</v>
      </c>
      <c r="T151" s="22">
        <f t="shared" si="34"/>
        <v>232429.4084</v>
      </c>
      <c r="U151" s="23">
        <f t="shared" si="16"/>
        <v>218.82</v>
      </c>
      <c r="V151" s="24">
        <f t="shared" si="17"/>
        <v>9.946363636</v>
      </c>
      <c r="W151" s="25">
        <f t="shared" si="35"/>
        <v>0.09744730589</v>
      </c>
      <c r="X151" s="19">
        <f t="shared" si="36"/>
        <v>1640929.278</v>
      </c>
      <c r="Y151" s="19"/>
    </row>
    <row r="152" ht="15.75" customHeight="1">
      <c r="A152" s="67">
        <v>45809.0</v>
      </c>
      <c r="B152" s="68">
        <v>5214767.0</v>
      </c>
      <c r="C152" s="69" t="s">
        <v>63</v>
      </c>
      <c r="D152" s="15">
        <v>0.27</v>
      </c>
      <c r="E152" s="17">
        <v>1607.0</v>
      </c>
      <c r="F152" s="17"/>
      <c r="G152" s="17"/>
      <c r="H152" s="17">
        <v>1607.0</v>
      </c>
      <c r="I152" s="14" t="s">
        <v>25</v>
      </c>
      <c r="J152" s="18">
        <v>148.2484</v>
      </c>
      <c r="K152" s="18">
        <v>148.2484</v>
      </c>
      <c r="L152" s="18">
        <v>148.2484</v>
      </c>
      <c r="M152" s="15">
        <v>2638.9</v>
      </c>
      <c r="N152" s="17">
        <f t="shared" si="25"/>
        <v>4245.9</v>
      </c>
      <c r="O152" s="19">
        <f t="shared" si="32"/>
        <v>238235.1788</v>
      </c>
      <c r="P152" s="70">
        <v>1280.0</v>
      </c>
      <c r="Q152" s="21">
        <f t="shared" si="33"/>
        <v>305.634924</v>
      </c>
      <c r="R152" s="20">
        <f t="shared" si="14"/>
        <v>391212.7028</v>
      </c>
      <c r="S152" s="20">
        <f>IFERROR(__xludf.DUMMYFUNCTION("INDEX(IMPORTHTML(""https://www.bna.com.ar/Personas"", ""table"", 1), 2, 3)"),1465.0)</f>
        <v>1465</v>
      </c>
      <c r="T152" s="22">
        <f t="shared" si="34"/>
        <v>568649.0579</v>
      </c>
      <c r="U152" s="71">
        <f t="shared" si="16"/>
        <v>527.78</v>
      </c>
      <c r="V152" s="71">
        <f t="shared" ref="V152:V153" si="37">U152/22</f>
        <v>23.99</v>
      </c>
      <c r="W152" s="25">
        <f t="shared" si="35"/>
        <v>0.6215172284</v>
      </c>
      <c r="X152" s="19">
        <f t="shared" si="36"/>
        <v>629447.8816</v>
      </c>
      <c r="Y152" s="19"/>
    </row>
    <row r="153" ht="15.75" customHeight="1">
      <c r="A153" s="67">
        <v>45809.0</v>
      </c>
      <c r="B153" s="69">
        <v>5068576.0</v>
      </c>
      <c r="C153" s="69" t="s">
        <v>64</v>
      </c>
      <c r="D153" s="72">
        <v>0.27</v>
      </c>
      <c r="E153" s="17">
        <v>10638.0</v>
      </c>
      <c r="F153" s="17">
        <v>2108.0</v>
      </c>
      <c r="G153" s="17">
        <v>2495.0</v>
      </c>
      <c r="H153" s="17">
        <v>6035.0</v>
      </c>
      <c r="I153" s="14" t="s">
        <v>29</v>
      </c>
      <c r="J153" s="70">
        <v>147.7231</v>
      </c>
      <c r="K153" s="70">
        <v>144.9122</v>
      </c>
      <c r="L153" s="70">
        <v>146.1513</v>
      </c>
      <c r="M153" s="15">
        <v>2230.6</v>
      </c>
      <c r="N153" s="17">
        <f t="shared" si="25"/>
        <v>12868.6</v>
      </c>
      <c r="O153" s="70">
        <f t="shared" si="32"/>
        <v>1554979.329</v>
      </c>
      <c r="P153" s="70">
        <v>1280.0</v>
      </c>
      <c r="Q153" s="73">
        <f t="shared" si="33"/>
        <v>254.6914764</v>
      </c>
      <c r="R153" s="70">
        <f t="shared" si="14"/>
        <v>326005.0898</v>
      </c>
      <c r="S153" s="20">
        <f>IFERROR(__xludf.DUMMYFUNCTION("INDEX(IMPORTHTML(""https://www.bna.com.ar/Personas"", ""table"", 1), 2, 3)"),1465.0)</f>
        <v>1465</v>
      </c>
      <c r="T153" s="70">
        <f t="shared" si="34"/>
        <v>473866.2264</v>
      </c>
      <c r="U153" s="71">
        <f t="shared" si="16"/>
        <v>446.12</v>
      </c>
      <c r="V153" s="71">
        <f t="shared" si="37"/>
        <v>20.27818182</v>
      </c>
      <c r="W153" s="74">
        <f t="shared" si="35"/>
        <v>0.1733162096</v>
      </c>
      <c r="X153" s="70">
        <f t="shared" si="36"/>
        <v>1880984.419</v>
      </c>
      <c r="Y153" s="70"/>
    </row>
    <row r="154" ht="15.75" customHeight="1">
      <c r="A154" s="75">
        <v>45809.0</v>
      </c>
      <c r="B154" s="69">
        <v>5019237.0</v>
      </c>
      <c r="C154" s="76" t="s">
        <v>46</v>
      </c>
      <c r="D154" s="72">
        <v>0.27</v>
      </c>
      <c r="E154" s="17">
        <v>2892.0</v>
      </c>
      <c r="F154" s="17">
        <v>529.0</v>
      </c>
      <c r="G154" s="17">
        <v>729.0</v>
      </c>
      <c r="H154" s="17">
        <v>1569.0</v>
      </c>
      <c r="I154" s="69" t="s">
        <v>29</v>
      </c>
      <c r="J154" s="18">
        <v>147.7231</v>
      </c>
      <c r="K154" s="18">
        <v>144.9122</v>
      </c>
      <c r="L154" s="18">
        <v>146.1513</v>
      </c>
      <c r="M154" s="15">
        <v>547.7</v>
      </c>
      <c r="N154" s="17">
        <f t="shared" si="25"/>
        <v>3439.7</v>
      </c>
      <c r="O154" s="19">
        <f t="shared" si="32"/>
        <v>413097.9034</v>
      </c>
      <c r="P154" s="20">
        <v>1280.0</v>
      </c>
      <c r="Q154" s="21">
        <f t="shared" si="33"/>
        <v>62.5367711</v>
      </c>
      <c r="R154" s="20">
        <f t="shared" si="14"/>
        <v>80047.06701</v>
      </c>
      <c r="S154" s="20">
        <f>IFERROR(__xludf.DUMMYFUNCTION("INDEX(IMPORTHTML(""https://www.bna.com.ar/Personas"", ""table"", 1), 2, 3)"),1465.0)</f>
        <v>1465</v>
      </c>
      <c r="T154" s="22">
        <f t="shared" si="34"/>
        <v>116352.7895</v>
      </c>
      <c r="U154" s="23">
        <f t="shared" si="16"/>
        <v>109.54</v>
      </c>
      <c r="V154" s="24">
        <f t="shared" ref="V154:V171" si="38">U154/22</f>
        <v>4.979090909</v>
      </c>
      <c r="W154" s="25">
        <f t="shared" si="35"/>
        <v>0.1623195446</v>
      </c>
      <c r="X154" s="19">
        <f t="shared" si="36"/>
        <v>493144.9704</v>
      </c>
      <c r="Y154" s="19"/>
    </row>
    <row r="155" ht="15.75" customHeight="1">
      <c r="A155" s="12">
        <v>45809.0</v>
      </c>
      <c r="B155" s="14">
        <v>5238577.0</v>
      </c>
      <c r="C155" s="14" t="s">
        <v>44</v>
      </c>
      <c r="D155" s="15">
        <v>0.27</v>
      </c>
      <c r="E155" s="17">
        <v>1805.0</v>
      </c>
      <c r="F155" s="17"/>
      <c r="G155" s="17"/>
      <c r="H155" s="17">
        <v>1805.0</v>
      </c>
      <c r="I155" s="14" t="s">
        <v>25</v>
      </c>
      <c r="J155" s="18">
        <v>142.9</v>
      </c>
      <c r="K155" s="18">
        <v>142.9</v>
      </c>
      <c r="L155" s="18">
        <v>142.9</v>
      </c>
      <c r="M155" s="15">
        <v>0.3</v>
      </c>
      <c r="N155" s="17">
        <f t="shared" si="25"/>
        <v>1805.3</v>
      </c>
      <c r="O155" s="19">
        <f t="shared" si="32"/>
        <v>257934.5</v>
      </c>
      <c r="P155" s="20">
        <v>1280.0</v>
      </c>
      <c r="Q155" s="21">
        <f t="shared" si="33"/>
        <v>0.0334921875</v>
      </c>
      <c r="R155" s="20">
        <f t="shared" si="14"/>
        <v>42.87</v>
      </c>
      <c r="S155" s="20">
        <f>IFERROR(__xludf.DUMMYFUNCTION("INDEX(IMPORTHTML(""https://www.bna.com.ar/Personas"", ""table"", 1), 2, 3)"),1465.0)</f>
        <v>1465</v>
      </c>
      <c r="T155" s="22">
        <f t="shared" si="34"/>
        <v>62.31388945</v>
      </c>
      <c r="U155" s="23">
        <f t="shared" si="16"/>
        <v>0.06</v>
      </c>
      <c r="V155" s="24">
        <f t="shared" si="38"/>
        <v>0.002727272727</v>
      </c>
      <c r="W155" s="25">
        <f t="shared" si="35"/>
        <v>0.0001661773666</v>
      </c>
      <c r="X155" s="19">
        <f t="shared" si="36"/>
        <v>257977.37</v>
      </c>
      <c r="Y155" s="19"/>
    </row>
    <row r="156" ht="16.5" customHeight="1">
      <c r="A156" s="12">
        <v>45809.0</v>
      </c>
      <c r="B156" s="77">
        <v>5253773.0</v>
      </c>
      <c r="C156" s="77" t="s">
        <v>43</v>
      </c>
      <c r="D156" s="29">
        <v>0.21</v>
      </c>
      <c r="E156" s="17">
        <v>711.0</v>
      </c>
      <c r="F156" s="17">
        <v>240.0</v>
      </c>
      <c r="G156" s="17">
        <v>103.0</v>
      </c>
      <c r="H156" s="17">
        <v>368.0</v>
      </c>
      <c r="I156" s="28" t="s">
        <v>32</v>
      </c>
      <c r="J156" s="30">
        <v>227.4219</v>
      </c>
      <c r="K156" s="30">
        <v>227.4219</v>
      </c>
      <c r="L156" s="30">
        <v>227.4219</v>
      </c>
      <c r="M156" s="15">
        <v>174.2</v>
      </c>
      <c r="N156" s="17">
        <f t="shared" si="25"/>
        <v>885.2</v>
      </c>
      <c r="O156" s="31">
        <f t="shared" si="32"/>
        <v>161696.9709</v>
      </c>
      <c r="P156" s="20">
        <v>1280.0</v>
      </c>
      <c r="Q156" s="33">
        <f t="shared" si="33"/>
        <v>30.9506992</v>
      </c>
      <c r="R156" s="32">
        <f t="shared" si="14"/>
        <v>39616.89498</v>
      </c>
      <c r="S156" s="20">
        <f>IFERROR(__xludf.DUMMYFUNCTION("INDEX(IMPORTHTML(""https://www.bna.com.ar/Personas"", ""table"", 1), 2, 3)"),1465.0)</f>
        <v>1465</v>
      </c>
      <c r="T156" s="34">
        <f t="shared" si="34"/>
        <v>54864.75694</v>
      </c>
      <c r="U156" s="35">
        <f t="shared" si="16"/>
        <v>34.84</v>
      </c>
      <c r="V156" s="36">
        <f t="shared" si="38"/>
        <v>1.583636364</v>
      </c>
      <c r="W156" s="37">
        <f t="shared" si="35"/>
        <v>0.1967916855</v>
      </c>
      <c r="X156" s="31">
        <f t="shared" si="36"/>
        <v>201313.8659</v>
      </c>
      <c r="Y156" s="31"/>
    </row>
    <row r="157" ht="15.75" customHeight="1">
      <c r="A157" s="12">
        <v>45809.0</v>
      </c>
      <c r="B157" s="28">
        <v>5320074.0</v>
      </c>
      <c r="C157" s="28" t="s">
        <v>65</v>
      </c>
      <c r="D157" s="29">
        <v>0.27</v>
      </c>
      <c r="E157" s="17">
        <v>25754.0</v>
      </c>
      <c r="F157" s="17">
        <v>5515.0</v>
      </c>
      <c r="G157" s="17">
        <v>6352.0</v>
      </c>
      <c r="H157" s="17">
        <v>13887.0</v>
      </c>
      <c r="I157" s="28" t="s">
        <v>29</v>
      </c>
      <c r="J157" s="30">
        <v>147.7231</v>
      </c>
      <c r="K157" s="30">
        <v>144.9122</v>
      </c>
      <c r="L157" s="30">
        <v>146.1513</v>
      </c>
      <c r="M157" s="15">
        <v>1946.6</v>
      </c>
      <c r="N157" s="17">
        <f t="shared" si="25"/>
        <v>27700.6</v>
      </c>
      <c r="O157" s="31">
        <f t="shared" si="32"/>
        <v>3764778.294</v>
      </c>
      <c r="P157" s="20">
        <v>1280.0</v>
      </c>
      <c r="Q157" s="33">
        <f t="shared" si="33"/>
        <v>222.2641567</v>
      </c>
      <c r="R157" s="32">
        <f t="shared" si="14"/>
        <v>284498.1206</v>
      </c>
      <c r="S157" s="20">
        <f>IFERROR(__xludf.DUMMYFUNCTION("INDEX(IMPORTHTML(""https://www.bna.com.ar/Personas"", ""table"", 1), 2, 3)"),1465.0)</f>
        <v>1465</v>
      </c>
      <c r="T157" s="34">
        <f t="shared" si="34"/>
        <v>413533.5768</v>
      </c>
      <c r="U157" s="35">
        <f t="shared" si="16"/>
        <v>389.32</v>
      </c>
      <c r="V157" s="36">
        <f t="shared" si="38"/>
        <v>17.69636364</v>
      </c>
      <c r="W157" s="37">
        <f t="shared" si="35"/>
        <v>0.07025900221</v>
      </c>
      <c r="X157" s="31">
        <f t="shared" si="36"/>
        <v>4049276.415</v>
      </c>
      <c r="Y157" s="31"/>
    </row>
    <row r="158" ht="15.75" customHeight="1">
      <c r="A158" s="12">
        <v>45809.0</v>
      </c>
      <c r="B158" s="77">
        <v>5352763.0</v>
      </c>
      <c r="C158" s="77" t="s">
        <v>66</v>
      </c>
      <c r="D158" s="29">
        <v>0.27</v>
      </c>
      <c r="E158" s="17">
        <v>1867.0</v>
      </c>
      <c r="F158" s="17">
        <v>414.0</v>
      </c>
      <c r="G158" s="17">
        <v>316.0</v>
      </c>
      <c r="H158" s="17">
        <v>1137.0</v>
      </c>
      <c r="I158" s="28" t="s">
        <v>25</v>
      </c>
      <c r="J158" s="30">
        <v>148.2484</v>
      </c>
      <c r="K158" s="30">
        <v>148.2484</v>
      </c>
      <c r="L158" s="30">
        <v>148.2484</v>
      </c>
      <c r="M158" s="15">
        <v>495.0</v>
      </c>
      <c r="N158" s="17">
        <f t="shared" si="25"/>
        <v>2362</v>
      </c>
      <c r="O158" s="31">
        <f t="shared" si="32"/>
        <v>276779.7628</v>
      </c>
      <c r="P158" s="20">
        <v>1280.0</v>
      </c>
      <c r="Q158" s="33">
        <f t="shared" si="33"/>
        <v>57.33043594</v>
      </c>
      <c r="R158" s="32">
        <f t="shared" si="14"/>
        <v>73382.958</v>
      </c>
      <c r="S158" s="20">
        <f>IFERROR(__xludf.DUMMYFUNCTION("INDEX(IMPORTHTML(""https://www.bna.com.ar/Personas"", ""table"", 1), 2, 3)"),1465.0)</f>
        <v>1465</v>
      </c>
      <c r="T158" s="34">
        <f t="shared" si="34"/>
        <v>106666.1426</v>
      </c>
      <c r="U158" s="35">
        <f t="shared" si="16"/>
        <v>99</v>
      </c>
      <c r="V158" s="36">
        <f t="shared" si="38"/>
        <v>4.5</v>
      </c>
      <c r="W158" s="37">
        <f t="shared" si="35"/>
        <v>0.2095681626</v>
      </c>
      <c r="X158" s="31">
        <f t="shared" si="36"/>
        <v>350162.7208</v>
      </c>
      <c r="Y158" s="31"/>
    </row>
    <row r="159" ht="15.75" customHeight="1">
      <c r="A159" s="12">
        <v>45809.0</v>
      </c>
      <c r="B159" s="77">
        <v>3092029.0</v>
      </c>
      <c r="C159" s="77" t="s">
        <v>42</v>
      </c>
      <c r="D159" s="29">
        <v>0.27</v>
      </c>
      <c r="E159" s="17">
        <v>7500.0</v>
      </c>
      <c r="F159" s="17">
        <v>2250.0</v>
      </c>
      <c r="G159" s="17">
        <v>1410.0</v>
      </c>
      <c r="H159" s="17">
        <v>3840.0</v>
      </c>
      <c r="I159" s="28" t="s">
        <v>29</v>
      </c>
      <c r="J159" s="30">
        <v>147.7231</v>
      </c>
      <c r="K159" s="30">
        <v>144.9122</v>
      </c>
      <c r="L159" s="30">
        <v>146.1531</v>
      </c>
      <c r="M159" s="15">
        <v>2120.5</v>
      </c>
      <c r="N159" s="17">
        <f t="shared" si="25"/>
        <v>9620.5</v>
      </c>
      <c r="O159" s="31">
        <f t="shared" si="32"/>
        <v>1097931.081</v>
      </c>
      <c r="P159" s="20">
        <v>1280.0</v>
      </c>
      <c r="Q159" s="33">
        <f t="shared" si="33"/>
        <v>242.1231629</v>
      </c>
      <c r="R159" s="32">
        <f t="shared" si="14"/>
        <v>309917.6486</v>
      </c>
      <c r="S159" s="20">
        <f>IFERROR(__xludf.DUMMYFUNCTION("INDEX(IMPORTHTML(""https://www.bna.com.ar/Personas"", ""table"", 1), 2, 3)"),1465.0)</f>
        <v>1465</v>
      </c>
      <c r="T159" s="34">
        <f t="shared" si="34"/>
        <v>450482.2508</v>
      </c>
      <c r="U159" s="35">
        <f t="shared" si="16"/>
        <v>424.1</v>
      </c>
      <c r="V159" s="36">
        <f t="shared" si="38"/>
        <v>19.27727273</v>
      </c>
      <c r="W159" s="37">
        <f t="shared" si="35"/>
        <v>0.2201356169</v>
      </c>
      <c r="X159" s="31">
        <f t="shared" si="36"/>
        <v>1407848.73</v>
      </c>
      <c r="Y159" s="31"/>
    </row>
    <row r="160" ht="15.75" customHeight="1">
      <c r="A160" s="12">
        <v>45809.0</v>
      </c>
      <c r="B160" s="77">
        <v>5076619.0</v>
      </c>
      <c r="C160" s="77" t="s">
        <v>41</v>
      </c>
      <c r="D160" s="29">
        <v>0.27</v>
      </c>
      <c r="E160" s="17">
        <v>3344.0</v>
      </c>
      <c r="F160" s="17">
        <v>1054.0</v>
      </c>
      <c r="G160" s="17">
        <v>811.0</v>
      </c>
      <c r="H160" s="17">
        <v>1479.0</v>
      </c>
      <c r="I160" s="28" t="s">
        <v>29</v>
      </c>
      <c r="J160" s="30">
        <v>148.2484</v>
      </c>
      <c r="K160" s="30">
        <v>148.2484</v>
      </c>
      <c r="L160" s="30">
        <v>148.2484</v>
      </c>
      <c r="M160" s="15">
        <v>0.0</v>
      </c>
      <c r="N160" s="17">
        <f t="shared" si="25"/>
        <v>3344</v>
      </c>
      <c r="O160" s="31">
        <f t="shared" si="32"/>
        <v>495742.6496</v>
      </c>
      <c r="P160" s="20">
        <v>1280.0</v>
      </c>
      <c r="Q160" s="33">
        <f t="shared" si="33"/>
        <v>0</v>
      </c>
      <c r="R160" s="32">
        <f t="shared" si="14"/>
        <v>0</v>
      </c>
      <c r="S160" s="20">
        <f>IFERROR(__xludf.DUMMYFUNCTION("INDEX(IMPORTHTML(""https://www.bna.com.ar/Personas"", ""table"", 1), 2, 3)"),1465.0)</f>
        <v>1465</v>
      </c>
      <c r="T160" s="34">
        <f t="shared" si="34"/>
        <v>0</v>
      </c>
      <c r="U160" s="35">
        <f t="shared" si="16"/>
        <v>0</v>
      </c>
      <c r="V160" s="36">
        <f t="shared" si="38"/>
        <v>0</v>
      </c>
      <c r="W160" s="37">
        <f t="shared" si="35"/>
        <v>0</v>
      </c>
      <c r="X160" s="31">
        <f t="shared" si="36"/>
        <v>495742.6496</v>
      </c>
      <c r="Y160" s="31"/>
    </row>
    <row r="161" ht="15.75" customHeight="1">
      <c r="A161" s="12">
        <v>45809.0</v>
      </c>
      <c r="B161" s="28">
        <v>4000681.0</v>
      </c>
      <c r="C161" s="28" t="s">
        <v>40</v>
      </c>
      <c r="D161" s="29">
        <v>0.27</v>
      </c>
      <c r="E161" s="17">
        <v>905.0</v>
      </c>
      <c r="F161" s="17">
        <v>3.0</v>
      </c>
      <c r="G161" s="17">
        <v>3.0</v>
      </c>
      <c r="H161" s="17">
        <v>899.0</v>
      </c>
      <c r="I161" s="28" t="s">
        <v>25</v>
      </c>
      <c r="J161" s="30">
        <v>148.2484</v>
      </c>
      <c r="K161" s="30">
        <v>145.89</v>
      </c>
      <c r="L161" s="30">
        <v>145.89</v>
      </c>
      <c r="M161" s="15">
        <v>2816.1</v>
      </c>
      <c r="N161" s="17">
        <f t="shared" si="25"/>
        <v>3721.1</v>
      </c>
      <c r="O161" s="31">
        <f t="shared" si="32"/>
        <v>132037.5252</v>
      </c>
      <c r="P161" s="20">
        <v>1280.0</v>
      </c>
      <c r="Q161" s="33">
        <f t="shared" si="33"/>
        <v>320.9693977</v>
      </c>
      <c r="R161" s="32">
        <f t="shared" si="14"/>
        <v>410840.829</v>
      </c>
      <c r="S161" s="20">
        <f>IFERROR(__xludf.DUMMYFUNCTION("INDEX(IMPORTHTML(""https://www.bna.com.ar/Personas"", ""table"", 1), 2, 3)"),1465.0)</f>
        <v>1465</v>
      </c>
      <c r="T161" s="34">
        <f t="shared" si="34"/>
        <v>597179.6128</v>
      </c>
      <c r="U161" s="35">
        <f t="shared" si="16"/>
        <v>563.22</v>
      </c>
      <c r="V161" s="36">
        <f t="shared" si="38"/>
        <v>25.60090909</v>
      </c>
      <c r="W161" s="37">
        <f t="shared" si="35"/>
        <v>0.7567824833</v>
      </c>
      <c r="X161" s="31">
        <f t="shared" si="36"/>
        <v>542878.3542</v>
      </c>
      <c r="Y161" s="31"/>
    </row>
    <row r="162" ht="15.75" customHeight="1">
      <c r="A162" s="12">
        <v>45809.0</v>
      </c>
      <c r="B162" s="77">
        <v>5253775.0</v>
      </c>
      <c r="C162" s="77" t="s">
        <v>39</v>
      </c>
      <c r="D162" s="29">
        <v>0.21</v>
      </c>
      <c r="E162" s="17">
        <v>671.0</v>
      </c>
      <c r="F162" s="17"/>
      <c r="G162" s="17"/>
      <c r="H162" s="17">
        <v>671.0</v>
      </c>
      <c r="I162" s="28" t="s">
        <v>32</v>
      </c>
      <c r="J162" s="30">
        <v>217.7284</v>
      </c>
      <c r="K162" s="30">
        <v>217.7284</v>
      </c>
      <c r="L162" s="30">
        <v>217.7284</v>
      </c>
      <c r="M162" s="15">
        <v>145.6</v>
      </c>
      <c r="N162" s="17">
        <f t="shared" si="25"/>
        <v>816.6</v>
      </c>
      <c r="O162" s="31">
        <f t="shared" si="32"/>
        <v>146095.7564</v>
      </c>
      <c r="P162" s="20">
        <v>1280.0</v>
      </c>
      <c r="Q162" s="33">
        <f t="shared" si="33"/>
        <v>24.7666055</v>
      </c>
      <c r="R162" s="32">
        <f t="shared" si="14"/>
        <v>31701.25504</v>
      </c>
      <c r="S162" s="20">
        <f>IFERROR(__xludf.DUMMYFUNCTION("INDEX(IMPORTHTML(""https://www.bna.com.ar/Personas"", ""table"", 1), 2, 3)"),1465.0)</f>
        <v>1465</v>
      </c>
      <c r="T162" s="34">
        <f t="shared" si="34"/>
        <v>43902.52324</v>
      </c>
      <c r="U162" s="35">
        <f t="shared" si="16"/>
        <v>29.12</v>
      </c>
      <c r="V162" s="36">
        <f t="shared" si="38"/>
        <v>1.323636364</v>
      </c>
      <c r="W162" s="37">
        <f t="shared" si="35"/>
        <v>0.1783002694</v>
      </c>
      <c r="X162" s="31">
        <f t="shared" si="36"/>
        <v>177797.0114</v>
      </c>
      <c r="Y162" s="31"/>
    </row>
    <row r="163" ht="15.75" customHeight="1">
      <c r="A163" s="12">
        <v>45809.0</v>
      </c>
      <c r="B163" s="28">
        <v>5211887.0</v>
      </c>
      <c r="C163" s="28" t="s">
        <v>38</v>
      </c>
      <c r="D163" s="29">
        <v>0.27</v>
      </c>
      <c r="E163" s="17">
        <v>314.0</v>
      </c>
      <c r="F163" s="17"/>
      <c r="G163" s="17"/>
      <c r="H163" s="17">
        <v>314.0</v>
      </c>
      <c r="I163" s="28" t="s">
        <v>25</v>
      </c>
      <c r="J163" s="30">
        <v>148.2484</v>
      </c>
      <c r="K163" s="30">
        <v>148.2484</v>
      </c>
      <c r="L163" s="30">
        <v>148.2484</v>
      </c>
      <c r="M163" s="15">
        <v>825.6</v>
      </c>
      <c r="N163" s="17">
        <f t="shared" si="25"/>
        <v>1139.6</v>
      </c>
      <c r="O163" s="31">
        <f t="shared" si="32"/>
        <v>46549.9976</v>
      </c>
      <c r="P163" s="20">
        <v>1280.0</v>
      </c>
      <c r="Q163" s="33">
        <f t="shared" si="33"/>
        <v>95.620218</v>
      </c>
      <c r="R163" s="32">
        <f t="shared" si="14"/>
        <v>122393.879</v>
      </c>
      <c r="S163" s="20">
        <f>IFERROR(__xludf.DUMMYFUNCTION("INDEX(IMPORTHTML(""https://www.bna.com.ar/Personas"", ""table"", 1), 2, 3)"),1465.0)</f>
        <v>1465</v>
      </c>
      <c r="T163" s="34">
        <f t="shared" si="34"/>
        <v>177906.1966</v>
      </c>
      <c r="U163" s="35">
        <f t="shared" si="16"/>
        <v>165.12</v>
      </c>
      <c r="V163" s="36">
        <f t="shared" si="38"/>
        <v>7.505454545</v>
      </c>
      <c r="W163" s="37">
        <f t="shared" si="35"/>
        <v>0.7244647245</v>
      </c>
      <c r="X163" s="31">
        <f t="shared" si="36"/>
        <v>168943.8766</v>
      </c>
      <c r="Y163" s="31"/>
    </row>
    <row r="164" ht="15.75" customHeight="1">
      <c r="A164" s="12">
        <v>45809.0</v>
      </c>
      <c r="B164" s="28">
        <v>5346222.0</v>
      </c>
      <c r="C164" s="28" t="s">
        <v>37</v>
      </c>
      <c r="D164" s="29">
        <v>0.27</v>
      </c>
      <c r="E164" s="17">
        <v>677.0</v>
      </c>
      <c r="F164" s="17">
        <v>3.0</v>
      </c>
      <c r="G164" s="17">
        <v>4.0</v>
      </c>
      <c r="H164" s="17">
        <v>670.0</v>
      </c>
      <c r="I164" s="28" t="s">
        <v>25</v>
      </c>
      <c r="J164" s="30">
        <v>148.2484</v>
      </c>
      <c r="K164" s="30">
        <v>148.2484</v>
      </c>
      <c r="L164" s="30">
        <v>148.2484</v>
      </c>
      <c r="M164" s="15">
        <v>3049.2</v>
      </c>
      <c r="N164" s="17">
        <f t="shared" si="25"/>
        <v>3726.2</v>
      </c>
      <c r="O164" s="31">
        <f t="shared" si="32"/>
        <v>100364.1668</v>
      </c>
      <c r="P164" s="20">
        <v>1280.0</v>
      </c>
      <c r="Q164" s="33">
        <f t="shared" si="33"/>
        <v>353.1554854</v>
      </c>
      <c r="R164" s="32">
        <f t="shared" si="14"/>
        <v>452039.0213</v>
      </c>
      <c r="S164" s="20">
        <f>IFERROR(__xludf.DUMMYFUNCTION("INDEX(IMPORTHTML(""https://www.bna.com.ar/Personas"", ""table"", 1), 2, 3)"),1465.0)</f>
        <v>1465</v>
      </c>
      <c r="T164" s="34">
        <f t="shared" si="34"/>
        <v>657063.4383</v>
      </c>
      <c r="U164" s="35">
        <f t="shared" si="16"/>
        <v>609.84</v>
      </c>
      <c r="V164" s="36">
        <f t="shared" si="38"/>
        <v>27.72</v>
      </c>
      <c r="W164" s="37">
        <f t="shared" si="35"/>
        <v>0.8183135634</v>
      </c>
      <c r="X164" s="31">
        <f t="shared" si="36"/>
        <v>552403.1881</v>
      </c>
      <c r="Y164" s="31"/>
    </row>
    <row r="165" ht="15.75" customHeight="1">
      <c r="A165" s="12">
        <v>45809.0</v>
      </c>
      <c r="B165" s="28">
        <v>3025373.0</v>
      </c>
      <c r="C165" s="28" t="s">
        <v>35</v>
      </c>
      <c r="D165" s="29">
        <v>0.27</v>
      </c>
      <c r="E165" s="17">
        <v>2657.0</v>
      </c>
      <c r="F165" s="17">
        <v>701.0</v>
      </c>
      <c r="G165" s="17">
        <v>632.0</v>
      </c>
      <c r="H165" s="17">
        <v>1324.0</v>
      </c>
      <c r="I165" s="28" t="s">
        <v>36</v>
      </c>
      <c r="J165" s="30">
        <v>232.879</v>
      </c>
      <c r="K165" s="30">
        <v>230.0681</v>
      </c>
      <c r="L165" s="30">
        <v>231.309</v>
      </c>
      <c r="M165" s="15">
        <v>803.4</v>
      </c>
      <c r="N165" s="17">
        <f t="shared" si="25"/>
        <v>3460.4</v>
      </c>
      <c r="O165" s="31">
        <f t="shared" si="32"/>
        <v>614904.3342</v>
      </c>
      <c r="P165" s="20">
        <v>1280.0</v>
      </c>
      <c r="Q165" s="33">
        <f t="shared" si="33"/>
        <v>145.1825395</v>
      </c>
      <c r="R165" s="32">
        <f t="shared" si="14"/>
        <v>185833.6506</v>
      </c>
      <c r="S165" s="20">
        <f>IFERROR(__xludf.DUMMYFUNCTION("INDEX(IMPORTHTML(""https://www.bna.com.ar/Personas"", ""table"", 1), 2, 3)"),1465.0)</f>
        <v>1465</v>
      </c>
      <c r="T165" s="34">
        <f t="shared" si="34"/>
        <v>270119.3739</v>
      </c>
      <c r="U165" s="35">
        <f t="shared" si="16"/>
        <v>160.68</v>
      </c>
      <c r="V165" s="36">
        <f t="shared" si="38"/>
        <v>7.303636364</v>
      </c>
      <c r="W165" s="37">
        <f t="shared" si="35"/>
        <v>0.2320779757</v>
      </c>
      <c r="X165" s="31">
        <f t="shared" si="36"/>
        <v>800737.9848</v>
      </c>
      <c r="Y165" s="31"/>
    </row>
    <row r="166" ht="15.75" customHeight="1">
      <c r="A166" s="78">
        <v>45809.0</v>
      </c>
      <c r="B166" s="79">
        <v>5251104.0</v>
      </c>
      <c r="C166" s="79" t="s">
        <v>52</v>
      </c>
      <c r="D166" s="80">
        <v>0.27</v>
      </c>
      <c r="E166" s="42">
        <v>22907.0</v>
      </c>
      <c r="F166" s="42">
        <v>4199.0</v>
      </c>
      <c r="G166" s="42">
        <v>4543.0</v>
      </c>
      <c r="H166" s="42">
        <v>14165.0</v>
      </c>
      <c r="I166" s="79" t="s">
        <v>51</v>
      </c>
      <c r="J166" s="81">
        <v>185.9218</v>
      </c>
      <c r="K166" s="81">
        <v>183.3928</v>
      </c>
      <c r="L166" s="81">
        <v>184.5092</v>
      </c>
      <c r="M166" s="44">
        <v>5601.5</v>
      </c>
      <c r="N166" s="42">
        <f t="shared" si="25"/>
        <v>28508.5</v>
      </c>
      <c r="O166" s="82">
        <f t="shared" si="32"/>
        <v>4227411.947</v>
      </c>
      <c r="P166" s="46">
        <v>1140.0</v>
      </c>
      <c r="Q166" s="83">
        <f t="shared" si="33"/>
        <v>906.6037577</v>
      </c>
      <c r="R166" s="84">
        <f t="shared" si="14"/>
        <v>1033528.284</v>
      </c>
      <c r="S166" s="46">
        <f>IFERROR(__xludf.DUMMYFUNCTION("INDEX(IMPORTHTML(""https://www.bna.com.ar/Personas"", ""table"", 1), 2, 3)"),1465.0)</f>
        <v>1465</v>
      </c>
      <c r="T166" s="85">
        <f t="shared" si="34"/>
        <v>1686781.621</v>
      </c>
      <c r="U166" s="86">
        <f t="shared" si="16"/>
        <v>1120.3</v>
      </c>
      <c r="V166" s="87">
        <f t="shared" si="38"/>
        <v>50.92272727</v>
      </c>
      <c r="W166" s="88">
        <f t="shared" si="35"/>
        <v>0.1964531507</v>
      </c>
      <c r="X166" s="82">
        <f t="shared" si="36"/>
        <v>5260940.23</v>
      </c>
      <c r="Y166" s="82"/>
    </row>
    <row r="167" ht="15.75" customHeight="1">
      <c r="A167" s="12">
        <v>45778.0</v>
      </c>
      <c r="B167" s="13">
        <v>4000202.0</v>
      </c>
      <c r="C167" s="14" t="s">
        <v>56</v>
      </c>
      <c r="D167" s="15">
        <v>0.27</v>
      </c>
      <c r="E167" s="17">
        <f>F167+G167+H167</f>
        <v>16870</v>
      </c>
      <c r="F167" s="56">
        <v>4060.0</v>
      </c>
      <c r="G167" s="56">
        <v>3570.0</v>
      </c>
      <c r="H167" s="56">
        <v>9240.0</v>
      </c>
      <c r="I167" s="14" t="s">
        <v>29</v>
      </c>
      <c r="J167" s="18">
        <v>145.3784</v>
      </c>
      <c r="K167" s="18">
        <v>142.6091</v>
      </c>
      <c r="L167" s="18">
        <v>143.8316</v>
      </c>
      <c r="M167" s="15">
        <v>2336.1</v>
      </c>
      <c r="N167" s="56">
        <f t="shared" si="25"/>
        <v>19206.1</v>
      </c>
      <c r="O167" s="19">
        <f t="shared" si="32"/>
        <v>2428354.775</v>
      </c>
      <c r="P167" s="20">
        <v>1200.0</v>
      </c>
      <c r="Q167" s="21">
        <f t="shared" si="33"/>
        <v>280.0041673</v>
      </c>
      <c r="R167" s="20">
        <f t="shared" si="14"/>
        <v>336005.0008</v>
      </c>
      <c r="S167" s="20">
        <f>IFERROR(__xludf.DUMMYFUNCTION("INDEX(IMPORTHTML(""https://www.bna.com.ar/Personas"", ""table"", 1), 2, 3)"),1465.0)</f>
        <v>1465</v>
      </c>
      <c r="T167" s="22">
        <f t="shared" si="34"/>
        <v>520961.7535</v>
      </c>
      <c r="U167" s="23">
        <f t="shared" si="16"/>
        <v>467.22</v>
      </c>
      <c r="V167" s="24">
        <f t="shared" si="38"/>
        <v>21.23727273</v>
      </c>
      <c r="W167" s="25">
        <f t="shared" si="35"/>
        <v>0.1215489401</v>
      </c>
      <c r="X167" s="19">
        <f t="shared" si="36"/>
        <v>2764359.776</v>
      </c>
      <c r="Y167" s="19"/>
    </row>
    <row r="168" ht="15.75" customHeight="1">
      <c r="A168" s="12">
        <v>45779.0</v>
      </c>
      <c r="B168" s="13">
        <v>5107017.0</v>
      </c>
      <c r="C168" s="14" t="s">
        <v>52</v>
      </c>
      <c r="D168" s="15">
        <v>0.27</v>
      </c>
      <c r="E168" s="17">
        <v>12421.0</v>
      </c>
      <c r="F168" s="17">
        <v>1142.0</v>
      </c>
      <c r="G168" s="17">
        <v>329.0</v>
      </c>
      <c r="H168" s="17">
        <v>10950.0</v>
      </c>
      <c r="I168" s="14" t="s">
        <v>68</v>
      </c>
      <c r="J168" s="18">
        <v>155.4228</v>
      </c>
      <c r="K168" s="18">
        <v>152.6535</v>
      </c>
      <c r="L168" s="18">
        <v>153.876</v>
      </c>
      <c r="M168" s="15">
        <v>7863.8</v>
      </c>
      <c r="N168" s="17">
        <f t="shared" si="25"/>
        <v>20284.8</v>
      </c>
      <c r="O168" s="19">
        <f t="shared" si="32"/>
        <v>1912658.039</v>
      </c>
      <c r="P168" s="20">
        <v>1200.0</v>
      </c>
      <c r="Q168" s="21">
        <f t="shared" si="33"/>
        <v>1008.375074</v>
      </c>
      <c r="R168" s="20">
        <f t="shared" si="14"/>
        <v>1210050.089</v>
      </c>
      <c r="S168" s="20">
        <f>IFERROR(__xludf.DUMMYFUNCTION("INDEX(IMPORTHTML(""https://www.bna.com.ar/Personas"", ""table"", 1), 2, 3)"),1465.0)</f>
        <v>1465</v>
      </c>
      <c r="T168" s="22">
        <f t="shared" si="34"/>
        <v>1876132.244</v>
      </c>
      <c r="U168" s="23">
        <f t="shared" si="16"/>
        <v>1572.76</v>
      </c>
      <c r="V168" s="24">
        <f t="shared" si="38"/>
        <v>71.48909091</v>
      </c>
      <c r="W168" s="25">
        <f t="shared" si="35"/>
        <v>0.3875002207</v>
      </c>
      <c r="X168" s="19">
        <f t="shared" si="36"/>
        <v>3122708.128</v>
      </c>
      <c r="Y168" s="19"/>
    </row>
    <row r="169" ht="15.75" customHeight="1">
      <c r="A169" s="12">
        <v>45780.0</v>
      </c>
      <c r="B169" s="13">
        <v>5076526.0</v>
      </c>
      <c r="C169" s="14" t="s">
        <v>61</v>
      </c>
      <c r="D169" s="15">
        <v>0.27</v>
      </c>
      <c r="E169" s="17">
        <v>4770.0</v>
      </c>
      <c r="F169" s="17">
        <v>390.0</v>
      </c>
      <c r="G169" s="17">
        <v>450.0</v>
      </c>
      <c r="H169" s="17">
        <v>3930.0</v>
      </c>
      <c r="I169" s="14" t="s">
        <v>29</v>
      </c>
      <c r="J169" s="18">
        <v>145.3784</v>
      </c>
      <c r="K169" s="18">
        <v>142.6091</v>
      </c>
      <c r="L169" s="18">
        <v>143.8316</v>
      </c>
      <c r="M169" s="15">
        <v>481.0</v>
      </c>
      <c r="N169" s="17">
        <f t="shared" si="25"/>
        <v>5251</v>
      </c>
      <c r="O169" s="19">
        <f t="shared" si="32"/>
        <v>686129.859</v>
      </c>
      <c r="P169" s="20">
        <v>1200.0</v>
      </c>
      <c r="Q169" s="21">
        <f t="shared" si="33"/>
        <v>57.65249967</v>
      </c>
      <c r="R169" s="20">
        <f t="shared" si="14"/>
        <v>69182.9996</v>
      </c>
      <c r="S169" s="20">
        <f>IFERROR(__xludf.DUMMYFUNCTION("INDEX(IMPORTHTML(""https://www.bna.com.ar/Personas"", ""table"", 1), 2, 3)"),1465.0)</f>
        <v>1465</v>
      </c>
      <c r="T169" s="22">
        <f t="shared" si="34"/>
        <v>107265.3583</v>
      </c>
      <c r="U169" s="23">
        <f t="shared" si="16"/>
        <v>96.2</v>
      </c>
      <c r="V169" s="24">
        <f t="shared" si="38"/>
        <v>4.372727273</v>
      </c>
      <c r="W169" s="25">
        <f t="shared" si="35"/>
        <v>0.09159515665</v>
      </c>
      <c r="X169" s="19">
        <f t="shared" si="36"/>
        <v>755312.8586</v>
      </c>
      <c r="Y169" s="19"/>
    </row>
    <row r="170" ht="15.75" customHeight="1">
      <c r="A170" s="12">
        <v>45779.0</v>
      </c>
      <c r="B170" s="13">
        <v>5213946.0</v>
      </c>
      <c r="C170" s="14" t="s">
        <v>50</v>
      </c>
      <c r="D170" s="15">
        <v>0.27</v>
      </c>
      <c r="E170" s="17">
        <v>7527.0</v>
      </c>
      <c r="F170" s="17">
        <v>1777.0</v>
      </c>
      <c r="G170" s="17">
        <v>871.0</v>
      </c>
      <c r="H170" s="17">
        <v>4879.0</v>
      </c>
      <c r="I170" s="14" t="s">
        <v>51</v>
      </c>
      <c r="J170" s="18">
        <v>185.5394</v>
      </c>
      <c r="K170" s="18">
        <v>183.0479</v>
      </c>
      <c r="L170" s="18">
        <v>184.1477</v>
      </c>
      <c r="M170" s="15">
        <v>837.7</v>
      </c>
      <c r="N170" s="17">
        <f t="shared" si="25"/>
        <v>8364.7</v>
      </c>
      <c r="O170" s="19">
        <f t="shared" si="32"/>
        <v>1387594.863</v>
      </c>
      <c r="P170" s="20">
        <v>1200.0</v>
      </c>
      <c r="Q170" s="21">
        <f t="shared" si="33"/>
        <v>128.5504402</v>
      </c>
      <c r="R170" s="20">
        <f t="shared" si="14"/>
        <v>154260.5283</v>
      </c>
      <c r="S170" s="20">
        <f>IFERROR(__xludf.DUMMYFUNCTION("INDEX(IMPORTHTML(""https://www.bna.com.ar/Personas"", ""table"", 1), 2, 3)"),1465.0)</f>
        <v>1465</v>
      </c>
      <c r="T170" s="22">
        <f t="shared" si="34"/>
        <v>239174.5216</v>
      </c>
      <c r="U170" s="23">
        <f t="shared" si="16"/>
        <v>167.54</v>
      </c>
      <c r="V170" s="24">
        <f t="shared" si="38"/>
        <v>7.615454545</v>
      </c>
      <c r="W170" s="25">
        <f t="shared" si="35"/>
        <v>0.1000486357</v>
      </c>
      <c r="X170" s="19">
        <f t="shared" si="36"/>
        <v>1541855.391</v>
      </c>
      <c r="Y170" s="19"/>
    </row>
    <row r="171" ht="15.75" customHeight="1">
      <c r="A171" s="12">
        <v>45778.0</v>
      </c>
      <c r="B171" s="66">
        <v>5346470.0</v>
      </c>
      <c r="C171" s="14" t="s">
        <v>62</v>
      </c>
      <c r="D171" s="15">
        <v>0.27</v>
      </c>
      <c r="E171" s="17">
        <v>5736.0</v>
      </c>
      <c r="F171" s="17">
        <v>1458.0</v>
      </c>
      <c r="G171" s="17">
        <v>1845.0</v>
      </c>
      <c r="H171" s="17">
        <v>2433.0</v>
      </c>
      <c r="I171" s="14" t="s">
        <v>29</v>
      </c>
      <c r="J171" s="18">
        <v>145.3784</v>
      </c>
      <c r="K171" s="18">
        <v>142.6091</v>
      </c>
      <c r="L171" s="18">
        <v>143.8316</v>
      </c>
      <c r="M171" s="15">
        <v>894.9</v>
      </c>
      <c r="N171" s="17">
        <f t="shared" si="25"/>
        <v>6630.9</v>
      </c>
      <c r="O171" s="19">
        <f t="shared" si="32"/>
        <v>825017.7795</v>
      </c>
      <c r="P171" s="20">
        <v>1200.0</v>
      </c>
      <c r="Q171" s="21">
        <f t="shared" si="33"/>
        <v>107.2624157</v>
      </c>
      <c r="R171" s="20">
        <f t="shared" si="14"/>
        <v>128714.8988</v>
      </c>
      <c r="S171" s="20">
        <f>IFERROR(__xludf.DUMMYFUNCTION("INDEX(IMPORTHTML(""https://www.bna.com.ar/Personas"", ""table"", 1), 2, 3)"),1465.0)</f>
        <v>1465</v>
      </c>
      <c r="T171" s="22">
        <f t="shared" si="34"/>
        <v>199567.0875</v>
      </c>
      <c r="U171" s="23">
        <f t="shared" si="16"/>
        <v>178.98</v>
      </c>
      <c r="V171" s="24">
        <f t="shared" si="38"/>
        <v>8.135454545</v>
      </c>
      <c r="W171" s="25">
        <f t="shared" si="35"/>
        <v>0.1349590947</v>
      </c>
      <c r="X171" s="19">
        <f t="shared" si="36"/>
        <v>953732.6783</v>
      </c>
      <c r="Y171" s="19"/>
    </row>
    <row r="172" ht="15.75" customHeight="1">
      <c r="A172" s="67">
        <v>45778.0</v>
      </c>
      <c r="B172" s="69">
        <v>5068576.0</v>
      </c>
      <c r="C172" s="69" t="s">
        <v>64</v>
      </c>
      <c r="D172" s="72">
        <v>0.27</v>
      </c>
      <c r="E172" s="17">
        <v>12510.0</v>
      </c>
      <c r="F172" s="17">
        <v>2615.0</v>
      </c>
      <c r="G172" s="17">
        <v>3156.0</v>
      </c>
      <c r="H172" s="17">
        <v>6739.0</v>
      </c>
      <c r="I172" s="69" t="s">
        <v>29</v>
      </c>
      <c r="J172" s="70">
        <v>145.3784</v>
      </c>
      <c r="K172" s="70">
        <v>142.6091</v>
      </c>
      <c r="L172" s="70">
        <v>143.8316</v>
      </c>
      <c r="M172" s="15">
        <v>2268.3</v>
      </c>
      <c r="N172" s="17">
        <f t="shared" si="25"/>
        <v>14778.3</v>
      </c>
      <c r="O172" s="70">
        <f t="shared" si="32"/>
        <v>1799519.988</v>
      </c>
      <c r="P172" s="70">
        <v>1200.0</v>
      </c>
      <c r="Q172" s="73">
        <f t="shared" si="33"/>
        <v>271.8776819</v>
      </c>
      <c r="R172" s="70">
        <f t="shared" si="14"/>
        <v>326253.2183</v>
      </c>
      <c r="S172" s="20">
        <f>IFERROR(__xludf.DUMMYFUNCTION("INDEX(IMPORTHTML(""https://www.bna.com.ar/Personas"", ""table"", 1), 2, 3)"),1465.0)</f>
        <v>1465</v>
      </c>
      <c r="T172" s="70">
        <f t="shared" si="34"/>
        <v>505842.0211</v>
      </c>
      <c r="U172" s="71">
        <f t="shared" si="16"/>
        <v>453.66</v>
      </c>
      <c r="V172" s="71">
        <f>U172/22</f>
        <v>20.62090909</v>
      </c>
      <c r="W172" s="74">
        <f t="shared" si="35"/>
        <v>0.1534750825</v>
      </c>
      <c r="X172" s="70">
        <f t="shared" si="36"/>
        <v>2125773.206</v>
      </c>
      <c r="Y172" s="70"/>
    </row>
    <row r="173" ht="15.75" customHeight="1">
      <c r="A173" s="12">
        <v>45778.0</v>
      </c>
      <c r="B173" s="69">
        <v>5019237.0</v>
      </c>
      <c r="C173" s="76" t="s">
        <v>46</v>
      </c>
      <c r="D173" s="15">
        <v>0.27</v>
      </c>
      <c r="E173" s="17">
        <v>2552.0</v>
      </c>
      <c r="F173" s="17">
        <v>512.0</v>
      </c>
      <c r="G173" s="17">
        <v>663.0</v>
      </c>
      <c r="H173" s="17">
        <v>1368.0</v>
      </c>
      <c r="I173" s="14" t="s">
        <v>29</v>
      </c>
      <c r="J173" s="89">
        <v>145.3784</v>
      </c>
      <c r="K173" s="89">
        <v>142.6091</v>
      </c>
      <c r="L173" s="18">
        <v>146.15</v>
      </c>
      <c r="M173" s="15">
        <v>553.3</v>
      </c>
      <c r="N173" s="17">
        <f t="shared" si="25"/>
        <v>3105.3</v>
      </c>
      <c r="O173" s="19">
        <f t="shared" si="32"/>
        <v>368916.7741</v>
      </c>
      <c r="P173" s="20">
        <v>1200.0</v>
      </c>
      <c r="Q173" s="21">
        <f t="shared" si="33"/>
        <v>67.38732917</v>
      </c>
      <c r="R173" s="20">
        <f t="shared" si="14"/>
        <v>80864.795</v>
      </c>
      <c r="S173" s="20">
        <f>IFERROR(__xludf.DUMMYFUNCTION("INDEX(IMPORTHTML(""https://www.bna.com.ar/Personas"", ""table"", 1), 2, 3)"),1465.0)</f>
        <v>1465</v>
      </c>
      <c r="T173" s="22">
        <f t="shared" si="34"/>
        <v>125377.4953</v>
      </c>
      <c r="U173" s="23">
        <f t="shared" si="16"/>
        <v>110.66</v>
      </c>
      <c r="V173" s="24">
        <f t="shared" ref="V173:V305" si="39">U173/22</f>
        <v>5.03</v>
      </c>
      <c r="W173" s="25">
        <f t="shared" si="35"/>
        <v>0.1797868133</v>
      </c>
      <c r="X173" s="19">
        <f t="shared" si="36"/>
        <v>449781.5691</v>
      </c>
      <c r="Y173" s="19"/>
    </row>
    <row r="174" ht="15.75" customHeight="1">
      <c r="A174" s="12">
        <v>45778.0</v>
      </c>
      <c r="B174" s="14">
        <v>5238577.0</v>
      </c>
      <c r="C174" s="14" t="s">
        <v>44</v>
      </c>
      <c r="D174" s="15">
        <v>0.27</v>
      </c>
      <c r="E174" s="17">
        <v>1569.0</v>
      </c>
      <c r="F174" s="17"/>
      <c r="G174" s="17"/>
      <c r="H174" s="17">
        <v>1569.0</v>
      </c>
      <c r="I174" s="14" t="s">
        <v>25</v>
      </c>
      <c r="J174" s="18">
        <v>145.8875</v>
      </c>
      <c r="K174" s="18">
        <v>145.89</v>
      </c>
      <c r="L174" s="18">
        <v>145.89</v>
      </c>
      <c r="M174" s="15">
        <v>8.6</v>
      </c>
      <c r="N174" s="17">
        <f t="shared" si="25"/>
        <v>1577.6</v>
      </c>
      <c r="O174" s="19">
        <f t="shared" si="32"/>
        <v>228901.41</v>
      </c>
      <c r="P174" s="20">
        <v>1200.0</v>
      </c>
      <c r="Q174" s="21">
        <f t="shared" si="33"/>
        <v>1.045545</v>
      </c>
      <c r="R174" s="20">
        <f t="shared" si="14"/>
        <v>1254.654</v>
      </c>
      <c r="S174" s="20">
        <f>IFERROR(__xludf.DUMMYFUNCTION("INDEX(IMPORTHTML(""https://www.bna.com.ar/Personas"", ""table"", 1), 2, 3)"),1465.0)</f>
        <v>1465</v>
      </c>
      <c r="T174" s="22">
        <f t="shared" si="34"/>
        <v>1945.28875</v>
      </c>
      <c r="U174" s="23">
        <f t="shared" si="16"/>
        <v>1.72</v>
      </c>
      <c r="V174" s="24">
        <f t="shared" si="39"/>
        <v>0.07818181818</v>
      </c>
      <c r="W174" s="25">
        <f t="shared" si="35"/>
        <v>0.005451318458</v>
      </c>
      <c r="X174" s="19">
        <f t="shared" si="36"/>
        <v>230156.064</v>
      </c>
      <c r="Y174" s="19"/>
    </row>
    <row r="175" ht="15.75" customHeight="1">
      <c r="A175" s="26">
        <v>45778.0</v>
      </c>
      <c r="B175" s="77">
        <v>5253773.0</v>
      </c>
      <c r="C175" s="77" t="s">
        <v>43</v>
      </c>
      <c r="D175" s="29">
        <v>0.21</v>
      </c>
      <c r="E175" s="17">
        <f t="shared" ref="E175:E184" si="40">F175+G175+H175</f>
        <v>632</v>
      </c>
      <c r="F175" s="17">
        <v>200.0</v>
      </c>
      <c r="G175" s="17">
        <v>84.0</v>
      </c>
      <c r="H175" s="17">
        <v>348.0</v>
      </c>
      <c r="I175" s="28" t="s">
        <v>32</v>
      </c>
      <c r="J175" s="30">
        <v>214.955</v>
      </c>
      <c r="K175" s="30">
        <v>214.96</v>
      </c>
      <c r="L175" s="30">
        <v>214.96</v>
      </c>
      <c r="M175" s="15">
        <v>176.3</v>
      </c>
      <c r="N175" s="17">
        <f t="shared" si="25"/>
        <v>808.3</v>
      </c>
      <c r="O175" s="31">
        <f t="shared" si="32"/>
        <v>135853.72</v>
      </c>
      <c r="P175" s="20">
        <v>1200.0</v>
      </c>
      <c r="Q175" s="33">
        <f t="shared" si="33"/>
        <v>31.58120667</v>
      </c>
      <c r="R175" s="32">
        <f t="shared" si="14"/>
        <v>37897.448</v>
      </c>
      <c r="S175" s="20">
        <f>IFERROR(__xludf.DUMMYFUNCTION("INDEX(IMPORTHTML(""https://www.bna.com.ar/Personas"", ""table"", 1), 2, 3)"),1465.0)</f>
        <v>1465</v>
      </c>
      <c r="T175" s="34">
        <f t="shared" si="34"/>
        <v>55982.426</v>
      </c>
      <c r="U175" s="35">
        <f t="shared" si="16"/>
        <v>35.26</v>
      </c>
      <c r="V175" s="36">
        <f t="shared" si="39"/>
        <v>1.602727273</v>
      </c>
      <c r="W175" s="37">
        <f t="shared" si="35"/>
        <v>0.2181133424</v>
      </c>
      <c r="X175" s="31">
        <f t="shared" si="36"/>
        <v>173751.168</v>
      </c>
      <c r="Y175" s="31"/>
    </row>
    <row r="176" ht="15.75" customHeight="1">
      <c r="A176" s="26">
        <v>45778.0</v>
      </c>
      <c r="B176" s="28">
        <v>5320074.0</v>
      </c>
      <c r="C176" s="28" t="s">
        <v>65</v>
      </c>
      <c r="D176" s="29">
        <v>0.27</v>
      </c>
      <c r="E176" s="17">
        <f t="shared" si="40"/>
        <v>17995</v>
      </c>
      <c r="F176" s="17">
        <v>4080.0</v>
      </c>
      <c r="G176" s="17">
        <v>4277.0</v>
      </c>
      <c r="H176" s="17">
        <v>9638.0</v>
      </c>
      <c r="I176" s="28" t="s">
        <v>29</v>
      </c>
      <c r="J176" s="30">
        <v>145.3784</v>
      </c>
      <c r="K176" s="30">
        <v>142.6091</v>
      </c>
      <c r="L176" s="30">
        <v>143.8316</v>
      </c>
      <c r="M176" s="15">
        <v>1726.4</v>
      </c>
      <c r="N176" s="17">
        <f t="shared" si="25"/>
        <v>19721.4</v>
      </c>
      <c r="O176" s="31">
        <f t="shared" si="32"/>
        <v>2589331.954</v>
      </c>
      <c r="P176" s="20">
        <v>1200.0</v>
      </c>
      <c r="Q176" s="33">
        <f t="shared" si="33"/>
        <v>206.9257285</v>
      </c>
      <c r="R176" s="32">
        <f t="shared" si="14"/>
        <v>248310.8742</v>
      </c>
      <c r="S176" s="20">
        <f>IFERROR(__xludf.DUMMYFUNCTION("INDEX(IMPORTHTML(""https://www.bna.com.ar/Personas"", ""table"", 1), 2, 3)"),1465.0)</f>
        <v>1465</v>
      </c>
      <c r="T176" s="34">
        <f t="shared" si="34"/>
        <v>384995.6642</v>
      </c>
      <c r="U176" s="35">
        <f t="shared" si="16"/>
        <v>345.28</v>
      </c>
      <c r="V176" s="36">
        <f t="shared" si="39"/>
        <v>15.69454545</v>
      </c>
      <c r="W176" s="37">
        <f t="shared" si="35"/>
        <v>0.08750603558</v>
      </c>
      <c r="X176" s="31">
        <f t="shared" si="36"/>
        <v>2837642.828</v>
      </c>
      <c r="Y176" s="31"/>
    </row>
    <row r="177" ht="15.75" customHeight="1">
      <c r="A177" s="26">
        <v>45778.0</v>
      </c>
      <c r="B177" s="77">
        <v>5352763.0</v>
      </c>
      <c r="C177" s="77" t="s">
        <v>66</v>
      </c>
      <c r="D177" s="29">
        <v>0.27</v>
      </c>
      <c r="E177" s="17">
        <f t="shared" si="40"/>
        <v>1686</v>
      </c>
      <c r="F177" s="17">
        <v>429.0</v>
      </c>
      <c r="G177" s="17">
        <v>342.0</v>
      </c>
      <c r="H177" s="17">
        <v>915.0</v>
      </c>
      <c r="I177" s="28" t="s">
        <v>25</v>
      </c>
      <c r="J177" s="30">
        <v>145.8875</v>
      </c>
      <c r="K177" s="30">
        <v>145.89</v>
      </c>
      <c r="L177" s="30">
        <v>145.89</v>
      </c>
      <c r="M177" s="15">
        <v>365.8</v>
      </c>
      <c r="N177" s="17">
        <f t="shared" si="25"/>
        <v>2051.8</v>
      </c>
      <c r="O177" s="31">
        <f t="shared" si="32"/>
        <v>245969.4675</v>
      </c>
      <c r="P177" s="20">
        <v>1200.0</v>
      </c>
      <c r="Q177" s="33">
        <f t="shared" si="33"/>
        <v>44.472135</v>
      </c>
      <c r="R177" s="32">
        <f t="shared" si="14"/>
        <v>53366.562</v>
      </c>
      <c r="S177" s="20">
        <f>IFERROR(__xludf.DUMMYFUNCTION("INDEX(IMPORTHTML(""https://www.bna.com.ar/Personas"", ""table"", 1), 2, 3)"),1465.0)</f>
        <v>1465</v>
      </c>
      <c r="T177" s="34">
        <f t="shared" si="34"/>
        <v>82742.63077</v>
      </c>
      <c r="U177" s="35">
        <f t="shared" si="16"/>
        <v>73.16</v>
      </c>
      <c r="V177" s="36">
        <f t="shared" si="39"/>
        <v>3.325454545</v>
      </c>
      <c r="W177" s="37">
        <f t="shared" si="35"/>
        <v>0.1782831224</v>
      </c>
      <c r="X177" s="31">
        <f t="shared" si="36"/>
        <v>299336.0295</v>
      </c>
      <c r="Y177" s="31"/>
    </row>
    <row r="178" ht="15.75" customHeight="1">
      <c r="A178" s="26">
        <v>45778.0</v>
      </c>
      <c r="B178" s="77">
        <v>3092029.0</v>
      </c>
      <c r="C178" s="77" t="s">
        <v>42</v>
      </c>
      <c r="D178" s="29">
        <v>0.27</v>
      </c>
      <c r="E178" s="17">
        <f t="shared" si="40"/>
        <v>5550</v>
      </c>
      <c r="F178" s="17">
        <v>1950.0</v>
      </c>
      <c r="G178" s="17">
        <v>1290.0</v>
      </c>
      <c r="H178" s="17">
        <v>2310.0</v>
      </c>
      <c r="I178" s="28" t="s">
        <v>29</v>
      </c>
      <c r="J178" s="30">
        <v>145.3784</v>
      </c>
      <c r="K178" s="30">
        <v>142.6091</v>
      </c>
      <c r="L178" s="30">
        <v>143.8316</v>
      </c>
      <c r="M178" s="15">
        <v>2636.4</v>
      </c>
      <c r="N178" s="17">
        <f t="shared" si="25"/>
        <v>8186.4</v>
      </c>
      <c r="O178" s="31">
        <f t="shared" si="32"/>
        <v>799704.615</v>
      </c>
      <c r="P178" s="20">
        <v>1200.0</v>
      </c>
      <c r="Q178" s="33">
        <f t="shared" si="33"/>
        <v>315.9980252</v>
      </c>
      <c r="R178" s="32">
        <f t="shared" si="14"/>
        <v>379197.6302</v>
      </c>
      <c r="S178" s="20">
        <f>IFERROR(__xludf.DUMMYFUNCTION("INDEX(IMPORTHTML(""https://www.bna.com.ar/Personas"", ""table"", 1), 2, 3)"),1465.0)</f>
        <v>1465</v>
      </c>
      <c r="T178" s="34">
        <f t="shared" si="34"/>
        <v>587930.1258</v>
      </c>
      <c r="U178" s="35">
        <f t="shared" si="16"/>
        <v>527.28</v>
      </c>
      <c r="V178" s="36">
        <f t="shared" si="39"/>
        <v>23.96727273</v>
      </c>
      <c r="W178" s="37">
        <f t="shared" si="35"/>
        <v>0.3216531581</v>
      </c>
      <c r="X178" s="31">
        <f t="shared" si="36"/>
        <v>1178902.245</v>
      </c>
      <c r="Y178" s="31"/>
    </row>
    <row r="179" ht="15.75" customHeight="1">
      <c r="A179" s="26">
        <v>45778.0</v>
      </c>
      <c r="B179" s="77">
        <v>5076619.0</v>
      </c>
      <c r="C179" s="77" t="s">
        <v>41</v>
      </c>
      <c r="D179" s="29">
        <v>0.27</v>
      </c>
      <c r="E179" s="17">
        <f t="shared" si="40"/>
        <v>3853</v>
      </c>
      <c r="F179" s="17">
        <v>1231.0</v>
      </c>
      <c r="G179" s="17">
        <v>853.0</v>
      </c>
      <c r="H179" s="17">
        <v>1769.0</v>
      </c>
      <c r="I179" s="28" t="s">
        <v>29</v>
      </c>
      <c r="J179" s="30">
        <v>145.8875</v>
      </c>
      <c r="K179" s="30">
        <v>145.8875</v>
      </c>
      <c r="L179" s="30">
        <v>145.8875</v>
      </c>
      <c r="M179" s="15">
        <v>0.0</v>
      </c>
      <c r="N179" s="17">
        <f t="shared" si="25"/>
        <v>3853</v>
      </c>
      <c r="O179" s="31">
        <f t="shared" si="32"/>
        <v>562104.5375</v>
      </c>
      <c r="P179" s="20">
        <v>1200.0</v>
      </c>
      <c r="Q179" s="33">
        <f t="shared" si="33"/>
        <v>0</v>
      </c>
      <c r="R179" s="32">
        <f t="shared" si="14"/>
        <v>0</v>
      </c>
      <c r="S179" s="20">
        <f>IFERROR(__xludf.DUMMYFUNCTION("INDEX(IMPORTHTML(""https://www.bna.com.ar/Personas"", ""table"", 1), 2, 3)"),1465.0)</f>
        <v>1465</v>
      </c>
      <c r="T179" s="34">
        <f t="shared" si="34"/>
        <v>0</v>
      </c>
      <c r="U179" s="35">
        <f t="shared" si="16"/>
        <v>0</v>
      </c>
      <c r="V179" s="36">
        <f t="shared" si="39"/>
        <v>0</v>
      </c>
      <c r="W179" s="37">
        <f t="shared" si="35"/>
        <v>0</v>
      </c>
      <c r="X179" s="31">
        <f t="shared" si="36"/>
        <v>562104.5375</v>
      </c>
      <c r="Y179" s="31"/>
    </row>
    <row r="180" ht="15.75" customHeight="1">
      <c r="A180" s="26">
        <v>45778.0</v>
      </c>
      <c r="B180" s="28">
        <v>4000681.0</v>
      </c>
      <c r="C180" s="28" t="s">
        <v>40</v>
      </c>
      <c r="D180" s="29">
        <v>0.27</v>
      </c>
      <c r="E180" s="17">
        <f t="shared" si="40"/>
        <v>1288</v>
      </c>
      <c r="F180" s="17">
        <v>3.0</v>
      </c>
      <c r="G180" s="17">
        <v>3.0</v>
      </c>
      <c r="H180" s="17">
        <v>1282.0</v>
      </c>
      <c r="I180" s="28" t="s">
        <v>25</v>
      </c>
      <c r="J180" s="30">
        <v>145.8875</v>
      </c>
      <c r="K180" s="30">
        <v>145.89</v>
      </c>
      <c r="L180" s="30">
        <v>145.89</v>
      </c>
      <c r="M180" s="15">
        <v>3072.2</v>
      </c>
      <c r="N180" s="17">
        <f t="shared" si="25"/>
        <v>4360.2</v>
      </c>
      <c r="O180" s="31">
        <f t="shared" si="32"/>
        <v>187906.3125</v>
      </c>
      <c r="P180" s="20">
        <v>1200.0</v>
      </c>
      <c r="Q180" s="33">
        <f t="shared" si="33"/>
        <v>373.502715</v>
      </c>
      <c r="R180" s="32">
        <f t="shared" si="14"/>
        <v>448203.258</v>
      </c>
      <c r="S180" s="20">
        <f>IFERROR(__xludf.DUMMYFUNCTION("INDEX(IMPORTHTML(""https://www.bna.com.ar/Personas"", ""table"", 1), 2, 3)"),1465.0)</f>
        <v>1465</v>
      </c>
      <c r="T180" s="34">
        <f t="shared" si="34"/>
        <v>694920.4764</v>
      </c>
      <c r="U180" s="35">
        <f t="shared" si="16"/>
        <v>614.44</v>
      </c>
      <c r="V180" s="36">
        <f t="shared" si="39"/>
        <v>27.92909091</v>
      </c>
      <c r="W180" s="37">
        <f t="shared" si="35"/>
        <v>0.7046007147</v>
      </c>
      <c r="X180" s="31">
        <f t="shared" si="36"/>
        <v>636109.5705</v>
      </c>
      <c r="Y180" s="31"/>
    </row>
    <row r="181" ht="15.75" customHeight="1">
      <c r="A181" s="26">
        <v>45778.0</v>
      </c>
      <c r="B181" s="77">
        <v>5253775.0</v>
      </c>
      <c r="C181" s="77" t="s">
        <v>39</v>
      </c>
      <c r="D181" s="29">
        <v>0.21</v>
      </c>
      <c r="E181" s="17">
        <f t="shared" si="40"/>
        <v>444</v>
      </c>
      <c r="F181" s="17"/>
      <c r="G181" s="17"/>
      <c r="H181" s="17">
        <v>444.0</v>
      </c>
      <c r="I181" s="28" t="s">
        <v>32</v>
      </c>
      <c r="J181" s="30">
        <v>204.8126</v>
      </c>
      <c r="K181" s="30">
        <v>204.81</v>
      </c>
      <c r="L181" s="30">
        <v>204.81</v>
      </c>
      <c r="M181" s="15">
        <v>135.6</v>
      </c>
      <c r="N181" s="17">
        <f t="shared" si="25"/>
        <v>579.6</v>
      </c>
      <c r="O181" s="31">
        <f t="shared" si="32"/>
        <v>90935.64</v>
      </c>
      <c r="P181" s="20">
        <v>1200.0</v>
      </c>
      <c r="Q181" s="33">
        <f t="shared" si="33"/>
        <v>23.14353</v>
      </c>
      <c r="R181" s="32">
        <f t="shared" si="14"/>
        <v>27772.236</v>
      </c>
      <c r="S181" s="20">
        <f>IFERROR(__xludf.DUMMYFUNCTION("INDEX(IMPORTHTML(""https://www.bna.com.ar/Personas"", ""table"", 1), 2, 3)"),1465.0)</f>
        <v>1465</v>
      </c>
      <c r="T181" s="34">
        <f t="shared" si="34"/>
        <v>41025.37845</v>
      </c>
      <c r="U181" s="35">
        <f t="shared" si="16"/>
        <v>27.12</v>
      </c>
      <c r="V181" s="36">
        <f t="shared" si="39"/>
        <v>1.232727273</v>
      </c>
      <c r="W181" s="37">
        <f t="shared" si="35"/>
        <v>0.2339544513</v>
      </c>
      <c r="X181" s="31">
        <f t="shared" si="36"/>
        <v>118707.876</v>
      </c>
      <c r="Y181" s="31"/>
    </row>
    <row r="182" ht="15.75" customHeight="1">
      <c r="A182" s="26">
        <v>45778.0</v>
      </c>
      <c r="B182" s="28">
        <v>5211887.0</v>
      </c>
      <c r="C182" s="28" t="s">
        <v>38</v>
      </c>
      <c r="D182" s="29">
        <v>0.27</v>
      </c>
      <c r="E182" s="17">
        <f t="shared" si="40"/>
        <v>442</v>
      </c>
      <c r="F182" s="17"/>
      <c r="G182" s="17"/>
      <c r="H182" s="17">
        <v>442.0</v>
      </c>
      <c r="I182" s="28" t="s">
        <v>25</v>
      </c>
      <c r="J182" s="30">
        <v>145.8875</v>
      </c>
      <c r="K182" s="30">
        <v>145.89</v>
      </c>
      <c r="L182" s="30">
        <v>148.89</v>
      </c>
      <c r="M182" s="15">
        <v>1289.3</v>
      </c>
      <c r="N182" s="17">
        <f t="shared" si="25"/>
        <v>1731.3</v>
      </c>
      <c r="O182" s="31">
        <f t="shared" si="32"/>
        <v>65809.38</v>
      </c>
      <c r="P182" s="20">
        <v>1200.0</v>
      </c>
      <c r="Q182" s="33">
        <f t="shared" si="33"/>
        <v>159.9698975</v>
      </c>
      <c r="R182" s="32">
        <f t="shared" si="14"/>
        <v>191963.877</v>
      </c>
      <c r="S182" s="20">
        <f>IFERROR(__xludf.DUMMYFUNCTION("INDEX(IMPORTHTML(""https://www.bna.com.ar/Personas"", ""table"", 1), 2, 3)"),1465.0)</f>
        <v>1465</v>
      </c>
      <c r="T182" s="34">
        <f t="shared" si="34"/>
        <v>297631.9928</v>
      </c>
      <c r="U182" s="35">
        <f t="shared" si="16"/>
        <v>257.86</v>
      </c>
      <c r="V182" s="36">
        <f t="shared" si="39"/>
        <v>11.72090909</v>
      </c>
      <c r="W182" s="37">
        <f t="shared" si="35"/>
        <v>0.7447005141</v>
      </c>
      <c r="X182" s="31">
        <f t="shared" si="36"/>
        <v>257773.257</v>
      </c>
      <c r="Y182" s="31"/>
    </row>
    <row r="183" ht="15.75" customHeight="1">
      <c r="A183" s="26">
        <v>45778.0</v>
      </c>
      <c r="B183" s="28">
        <v>5346222.0</v>
      </c>
      <c r="C183" s="28" t="s">
        <v>37</v>
      </c>
      <c r="D183" s="29">
        <v>0.27</v>
      </c>
      <c r="E183" s="17">
        <f t="shared" si="40"/>
        <v>1118</v>
      </c>
      <c r="F183" s="17">
        <v>3.0</v>
      </c>
      <c r="G183" s="17">
        <v>3.0</v>
      </c>
      <c r="H183" s="17">
        <v>1112.0</v>
      </c>
      <c r="I183" s="28" t="s">
        <v>25</v>
      </c>
      <c r="J183" s="30">
        <v>145.8875</v>
      </c>
      <c r="K183" s="30">
        <v>145.89</v>
      </c>
      <c r="L183" s="30">
        <v>145.89</v>
      </c>
      <c r="M183" s="15">
        <v>3302.2</v>
      </c>
      <c r="N183" s="17">
        <f t="shared" si="25"/>
        <v>4420.2</v>
      </c>
      <c r="O183" s="31">
        <f t="shared" si="32"/>
        <v>163105.0125</v>
      </c>
      <c r="P183" s="20">
        <v>1200.0</v>
      </c>
      <c r="Q183" s="33">
        <f t="shared" si="33"/>
        <v>401.464965</v>
      </c>
      <c r="R183" s="32">
        <f t="shared" si="14"/>
        <v>481757.958</v>
      </c>
      <c r="S183" s="20">
        <f>IFERROR(__xludf.DUMMYFUNCTION("INDEX(IMPORTHTML(""https://www.bna.com.ar/Personas"", ""table"", 1), 2, 3)"),1465.0)</f>
        <v>1465</v>
      </c>
      <c r="T183" s="34">
        <f t="shared" si="34"/>
        <v>746945.6406</v>
      </c>
      <c r="U183" s="35">
        <f t="shared" si="16"/>
        <v>660.44</v>
      </c>
      <c r="V183" s="36">
        <f t="shared" si="39"/>
        <v>30.02</v>
      </c>
      <c r="W183" s="37">
        <f t="shared" si="35"/>
        <v>0.747070277</v>
      </c>
      <c r="X183" s="31">
        <f t="shared" si="36"/>
        <v>644862.9705</v>
      </c>
      <c r="Y183" s="31"/>
    </row>
    <row r="184" ht="15.75" customHeight="1">
      <c r="A184" s="26">
        <v>45778.0</v>
      </c>
      <c r="B184" s="28">
        <v>3025373.0</v>
      </c>
      <c r="C184" s="28" t="s">
        <v>35</v>
      </c>
      <c r="D184" s="29">
        <v>0.27</v>
      </c>
      <c r="E184" s="17">
        <f t="shared" si="40"/>
        <v>8922</v>
      </c>
      <c r="F184" s="17">
        <v>2387.0</v>
      </c>
      <c r="G184" s="17">
        <v>2789.0</v>
      </c>
      <c r="H184" s="17">
        <v>3746.0</v>
      </c>
      <c r="I184" s="28" t="s">
        <v>36</v>
      </c>
      <c r="J184" s="30">
        <v>229.0059</v>
      </c>
      <c r="K184" s="30">
        <v>226.2366</v>
      </c>
      <c r="L184" s="30">
        <v>227.4591</v>
      </c>
      <c r="M184" s="15">
        <v>2483.1</v>
      </c>
      <c r="N184" s="17">
        <f t="shared" si="25"/>
        <v>11405.1</v>
      </c>
      <c r="O184" s="31">
        <f t="shared" si="32"/>
        <v>2029672.749</v>
      </c>
      <c r="P184" s="20">
        <v>1200.0</v>
      </c>
      <c r="Q184" s="33">
        <f t="shared" si="33"/>
        <v>470.6697427</v>
      </c>
      <c r="R184" s="32">
        <f t="shared" si="14"/>
        <v>564803.6912</v>
      </c>
      <c r="S184" s="20">
        <f>IFERROR(__xludf.DUMMYFUNCTION("INDEX(IMPORTHTML(""https://www.bna.com.ar/Personas"", ""table"", 1), 2, 3)"),1465.0)</f>
        <v>1465</v>
      </c>
      <c r="T184" s="34">
        <f t="shared" si="34"/>
        <v>875704.5897</v>
      </c>
      <c r="U184" s="35">
        <f t="shared" si="16"/>
        <v>496.62</v>
      </c>
      <c r="V184" s="36">
        <f t="shared" si="39"/>
        <v>22.57363636</v>
      </c>
      <c r="W184" s="37">
        <f t="shared" si="35"/>
        <v>0.2176946695</v>
      </c>
      <c r="X184" s="31">
        <f t="shared" si="36"/>
        <v>2594476.441</v>
      </c>
      <c r="Y184" s="31"/>
    </row>
    <row r="185" ht="15.75" customHeight="1">
      <c r="A185" s="78">
        <v>45778.0</v>
      </c>
      <c r="B185" s="79">
        <v>5251104.0</v>
      </c>
      <c r="C185" s="79" t="s">
        <v>52</v>
      </c>
      <c r="D185" s="80">
        <v>0.27</v>
      </c>
      <c r="E185" s="42">
        <v>6466.0</v>
      </c>
      <c r="F185" s="42">
        <v>88.0</v>
      </c>
      <c r="G185" s="42">
        <v>101.0</v>
      </c>
      <c r="H185" s="42">
        <v>6277.0</v>
      </c>
      <c r="I185" s="79" t="s">
        <v>69</v>
      </c>
      <c r="J185" s="81">
        <v>185.5394</v>
      </c>
      <c r="K185" s="81">
        <v>183.0479</v>
      </c>
      <c r="L185" s="81">
        <v>184.1477</v>
      </c>
      <c r="M185" s="44">
        <v>7863.8</v>
      </c>
      <c r="N185" s="42">
        <f t="shared" si="25"/>
        <v>14329.8</v>
      </c>
      <c r="O185" s="82">
        <f t="shared" si="32"/>
        <v>1190710.418</v>
      </c>
      <c r="P185" s="46">
        <v>1140.0</v>
      </c>
      <c r="Q185" s="83">
        <f t="shared" si="33"/>
        <v>1270.263757</v>
      </c>
      <c r="R185" s="84">
        <f t="shared" si="14"/>
        <v>1448100.683</v>
      </c>
      <c r="S185" s="46">
        <f>IFERROR(__xludf.DUMMYFUNCTION("INDEX(IMPORTHTML(""https://www.bna.com.ar/Personas"", ""table"", 1), 2, 3)"),1465.0)</f>
        <v>1465</v>
      </c>
      <c r="T185" s="85">
        <f t="shared" si="34"/>
        <v>2363389.234</v>
      </c>
      <c r="U185" s="86">
        <f t="shared" si="16"/>
        <v>1572.76</v>
      </c>
      <c r="V185" s="87">
        <f t="shared" si="39"/>
        <v>71.48909091</v>
      </c>
      <c r="W185" s="88">
        <f t="shared" si="35"/>
        <v>0.5487701195</v>
      </c>
      <c r="X185" s="82">
        <f t="shared" si="36"/>
        <v>2638811.101</v>
      </c>
      <c r="Y185" s="82"/>
    </row>
    <row r="186" ht="15.75" customHeight="1">
      <c r="A186" s="90">
        <v>45748.0</v>
      </c>
      <c r="B186" s="13">
        <v>4000202.0</v>
      </c>
      <c r="C186" s="14" t="s">
        <v>56</v>
      </c>
      <c r="D186" s="15">
        <v>0.27</v>
      </c>
      <c r="E186" s="17">
        <f>F186+G186+H186</f>
        <v>16240</v>
      </c>
      <c r="F186" s="56">
        <v>4060.0</v>
      </c>
      <c r="G186" s="17">
        <v>3570.0</v>
      </c>
      <c r="H186" s="17">
        <v>8610.0</v>
      </c>
      <c r="I186" s="14" t="s">
        <v>29</v>
      </c>
      <c r="J186" s="18">
        <v>140.7177</v>
      </c>
      <c r="K186" s="18">
        <v>138.0092</v>
      </c>
      <c r="L186" s="18">
        <v>139.205</v>
      </c>
      <c r="M186" s="15">
        <v>2366.0</v>
      </c>
      <c r="N186" s="17">
        <f t="shared" si="25"/>
        <v>18606</v>
      </c>
      <c r="O186" s="19">
        <f t="shared" si="32"/>
        <v>2262561.756</v>
      </c>
      <c r="P186" s="20">
        <v>1140.0</v>
      </c>
      <c r="Q186" s="21">
        <f t="shared" si="33"/>
        <v>288.9114298</v>
      </c>
      <c r="R186" s="20">
        <f t="shared" si="14"/>
        <v>329359.03</v>
      </c>
      <c r="S186" s="20">
        <f>IFERROR(__xludf.DUMMYFUNCTION("INDEX(IMPORTHTML(""https://www.bna.com.ar/Personas"", ""table"", 1), 2, 3)"),1465.0)</f>
        <v>1465</v>
      </c>
      <c r="T186" s="22">
        <f t="shared" si="34"/>
        <v>537534.1608</v>
      </c>
      <c r="U186" s="23">
        <f t="shared" si="16"/>
        <v>473.2</v>
      </c>
      <c r="V186" s="24">
        <f t="shared" si="39"/>
        <v>21.50909091</v>
      </c>
      <c r="W186" s="25">
        <f t="shared" si="35"/>
        <v>0.1270714104</v>
      </c>
      <c r="X186" s="19">
        <f t="shared" si="36"/>
        <v>2591920.786</v>
      </c>
      <c r="Y186" s="19"/>
    </row>
    <row r="187" ht="15.75" customHeight="1">
      <c r="A187" s="90">
        <v>45749.0</v>
      </c>
      <c r="B187" s="66">
        <v>5346470.0</v>
      </c>
      <c r="C187" s="14" t="s">
        <v>62</v>
      </c>
      <c r="D187" s="15">
        <v>0.27</v>
      </c>
      <c r="E187" s="17">
        <v>4908.0</v>
      </c>
      <c r="F187" s="17">
        <v>1245.0</v>
      </c>
      <c r="G187" s="17">
        <v>1554.0</v>
      </c>
      <c r="H187" s="17">
        <v>2109.0</v>
      </c>
      <c r="I187" s="14" t="s">
        <v>29</v>
      </c>
      <c r="J187" s="18">
        <v>140.7177</v>
      </c>
      <c r="K187" s="18">
        <v>138.0092</v>
      </c>
      <c r="L187" s="18">
        <v>139.205</v>
      </c>
      <c r="M187" s="15">
        <v>339.0</v>
      </c>
      <c r="N187" s="17">
        <f t="shared" si="25"/>
        <v>5247</v>
      </c>
      <c r="O187" s="19">
        <f t="shared" si="32"/>
        <v>683243.1783</v>
      </c>
      <c r="P187" s="20">
        <v>1140.0</v>
      </c>
      <c r="Q187" s="21">
        <f t="shared" si="33"/>
        <v>41.39517105</v>
      </c>
      <c r="R187" s="20">
        <f t="shared" si="14"/>
        <v>47190.495</v>
      </c>
      <c r="S187" s="20">
        <f>IFERROR(__xludf.DUMMYFUNCTION("INDEX(IMPORTHTML(""https://www.bna.com.ar/Personas"", ""table"", 1), 2, 3)"),1465.0)</f>
        <v>1465</v>
      </c>
      <c r="T187" s="22">
        <f t="shared" si="34"/>
        <v>77017.7855</v>
      </c>
      <c r="U187" s="23">
        <f t="shared" si="16"/>
        <v>67.8</v>
      </c>
      <c r="V187" s="24">
        <f t="shared" si="39"/>
        <v>3.081818182</v>
      </c>
      <c r="W187" s="25">
        <f t="shared" si="35"/>
        <v>0.06460613294</v>
      </c>
      <c r="X187" s="19">
        <f t="shared" si="36"/>
        <v>730433.6733</v>
      </c>
      <c r="Y187" s="19"/>
    </row>
    <row r="188" ht="15.75" customHeight="1">
      <c r="A188" s="90">
        <v>45749.0</v>
      </c>
      <c r="B188" s="69">
        <v>5019237.0</v>
      </c>
      <c r="C188" s="76" t="s">
        <v>46</v>
      </c>
      <c r="D188" s="15">
        <v>0.27</v>
      </c>
      <c r="E188" s="17">
        <v>4879.0</v>
      </c>
      <c r="F188" s="17">
        <v>802.0</v>
      </c>
      <c r="G188" s="17">
        <v>736.0</v>
      </c>
      <c r="H188" s="17">
        <v>3341.0</v>
      </c>
      <c r="I188" s="14" t="s">
        <v>29</v>
      </c>
      <c r="J188" s="18">
        <v>140.7177</v>
      </c>
      <c r="K188" s="18">
        <v>138.0092</v>
      </c>
      <c r="L188" s="18">
        <v>139.205</v>
      </c>
      <c r="M188" s="15">
        <v>624.1</v>
      </c>
      <c r="N188" s="17">
        <f t="shared" si="25"/>
        <v>5503.1</v>
      </c>
      <c r="O188" s="19">
        <f t="shared" si="32"/>
        <v>679514.2716</v>
      </c>
      <c r="P188" s="20">
        <v>1140.0</v>
      </c>
      <c r="Q188" s="21">
        <f t="shared" si="33"/>
        <v>76.20863202</v>
      </c>
      <c r="R188" s="20">
        <f t="shared" si="14"/>
        <v>86877.8405</v>
      </c>
      <c r="S188" s="20">
        <f>IFERROR(__xludf.DUMMYFUNCTION("INDEX(IMPORTHTML(""https://www.bna.com.ar/Personas"", ""table"", 1), 2, 3)"),1465.0)</f>
        <v>1465</v>
      </c>
      <c r="T188" s="22">
        <f t="shared" si="34"/>
        <v>141789.9703</v>
      </c>
      <c r="U188" s="23">
        <f t="shared" si="16"/>
        <v>124.82</v>
      </c>
      <c r="V188" s="24">
        <f t="shared" si="39"/>
        <v>5.673636364</v>
      </c>
      <c r="W188" s="25">
        <f t="shared" si="35"/>
        <v>0.1133595181</v>
      </c>
      <c r="X188" s="19">
        <f t="shared" si="36"/>
        <v>766392.1121</v>
      </c>
      <c r="Y188" s="19"/>
    </row>
    <row r="189" ht="15.75" customHeight="1">
      <c r="A189" s="90">
        <v>45748.0</v>
      </c>
      <c r="B189" s="14">
        <v>5238577.0</v>
      </c>
      <c r="C189" s="14" t="s">
        <v>44</v>
      </c>
      <c r="D189" s="15">
        <v>0.27</v>
      </c>
      <c r="E189" s="17">
        <f t="shared" ref="E189:E199" si="41">F189+G189+H189</f>
        <v>4919</v>
      </c>
      <c r="F189" s="17"/>
      <c r="G189" s="17"/>
      <c r="H189" s="17">
        <v>4919.0</v>
      </c>
      <c r="I189" s="14" t="s">
        <v>25</v>
      </c>
      <c r="J189" s="18">
        <v>141.2146</v>
      </c>
      <c r="K189" s="18">
        <v>141.21</v>
      </c>
      <c r="L189" s="18">
        <v>141.21</v>
      </c>
      <c r="M189" s="15">
        <v>712.4</v>
      </c>
      <c r="N189" s="17">
        <f t="shared" si="25"/>
        <v>5631.4</v>
      </c>
      <c r="O189" s="19">
        <f t="shared" si="32"/>
        <v>694611.99</v>
      </c>
      <c r="P189" s="20">
        <v>1140.0</v>
      </c>
      <c r="Q189" s="21">
        <f t="shared" si="33"/>
        <v>88.24386316</v>
      </c>
      <c r="R189" s="20">
        <f t="shared" si="14"/>
        <v>100598.004</v>
      </c>
      <c r="S189" s="20">
        <f>IFERROR(__xludf.DUMMYFUNCTION("INDEX(IMPORTHTML(""https://www.bna.com.ar/Personas"", ""table"", 1), 2, 3)"),1465.0)</f>
        <v>1465</v>
      </c>
      <c r="T189" s="22">
        <f t="shared" si="34"/>
        <v>164182.1196</v>
      </c>
      <c r="U189" s="23">
        <f t="shared" si="16"/>
        <v>142.48</v>
      </c>
      <c r="V189" s="24">
        <f t="shared" si="39"/>
        <v>6.476363636</v>
      </c>
      <c r="W189" s="25">
        <f t="shared" si="35"/>
        <v>0.1265049544</v>
      </c>
      <c r="X189" s="19">
        <f t="shared" si="36"/>
        <v>795209.994</v>
      </c>
      <c r="Y189" s="19"/>
    </row>
    <row r="190" ht="15.75" customHeight="1">
      <c r="A190" s="91">
        <v>45748.0</v>
      </c>
      <c r="B190" s="77">
        <v>5253773.0</v>
      </c>
      <c r="C190" s="77" t="s">
        <v>43</v>
      </c>
      <c r="D190" s="29">
        <v>0.21</v>
      </c>
      <c r="E190" s="17">
        <f t="shared" si="41"/>
        <v>611</v>
      </c>
      <c r="F190" s="17">
        <v>214.0</v>
      </c>
      <c r="G190" s="17">
        <v>109.0</v>
      </c>
      <c r="H190" s="17">
        <v>288.0</v>
      </c>
      <c r="I190" s="28" t="s">
        <v>32</v>
      </c>
      <c r="J190" s="30">
        <v>219.4496</v>
      </c>
      <c r="K190" s="30">
        <v>219.45</v>
      </c>
      <c r="L190" s="30">
        <v>219.45</v>
      </c>
      <c r="M190" s="15">
        <v>227.7</v>
      </c>
      <c r="N190" s="17">
        <f t="shared" si="25"/>
        <v>838.7</v>
      </c>
      <c r="O190" s="31">
        <f t="shared" si="32"/>
        <v>134083.8644</v>
      </c>
      <c r="P190" s="20">
        <v>1140.0</v>
      </c>
      <c r="Q190" s="33">
        <f t="shared" si="33"/>
        <v>43.83225</v>
      </c>
      <c r="R190" s="32">
        <f t="shared" si="14"/>
        <v>49968.765</v>
      </c>
      <c r="S190" s="20">
        <f>IFERROR(__xludf.DUMMYFUNCTION("INDEX(IMPORTHTML(""https://www.bna.com.ar/Personas"", ""table"", 1), 2, 3)"),1465.0)</f>
        <v>1465</v>
      </c>
      <c r="T190" s="34">
        <f t="shared" si="34"/>
        <v>77699.23796</v>
      </c>
      <c r="U190" s="35">
        <f t="shared" si="16"/>
        <v>45.54</v>
      </c>
      <c r="V190" s="36">
        <f t="shared" si="39"/>
        <v>2.07</v>
      </c>
      <c r="W190" s="37">
        <f t="shared" si="35"/>
        <v>0.2714917204</v>
      </c>
      <c r="X190" s="31">
        <f t="shared" si="36"/>
        <v>184052.6294</v>
      </c>
      <c r="Y190" s="31"/>
    </row>
    <row r="191" ht="15.75" customHeight="1">
      <c r="A191" s="91">
        <v>45748.0</v>
      </c>
      <c r="B191" s="28">
        <v>5320074.0</v>
      </c>
      <c r="C191" s="28" t="s">
        <v>65</v>
      </c>
      <c r="D191" s="29">
        <v>0.27</v>
      </c>
      <c r="E191" s="17">
        <f t="shared" si="41"/>
        <v>18432</v>
      </c>
      <c r="F191" s="17">
        <v>4028.0</v>
      </c>
      <c r="G191" s="17">
        <v>4348.0</v>
      </c>
      <c r="H191" s="17">
        <v>10056.0</v>
      </c>
      <c r="I191" s="28" t="s">
        <v>29</v>
      </c>
      <c r="J191" s="30">
        <v>140.7177</v>
      </c>
      <c r="K191" s="30">
        <v>138.0092</v>
      </c>
      <c r="L191" s="30">
        <v>139.205</v>
      </c>
      <c r="M191" s="15">
        <v>735.3</v>
      </c>
      <c r="N191" s="17">
        <f t="shared" si="25"/>
        <v>19167.3</v>
      </c>
      <c r="O191" s="31">
        <f t="shared" si="32"/>
        <v>2566720.377</v>
      </c>
      <c r="P191" s="20">
        <v>1140.0</v>
      </c>
      <c r="Q191" s="33">
        <f t="shared" si="33"/>
        <v>89.787225</v>
      </c>
      <c r="R191" s="32">
        <f t="shared" si="14"/>
        <v>102357.4365</v>
      </c>
      <c r="S191" s="20">
        <f>IFERROR(__xludf.DUMMYFUNCTION("INDEX(IMPORTHTML(""https://www.bna.com.ar/Personas"", ""table"", 1), 2, 3)"),1465.0)</f>
        <v>1465</v>
      </c>
      <c r="T191" s="34">
        <f t="shared" si="34"/>
        <v>167053.6215</v>
      </c>
      <c r="U191" s="35">
        <f t="shared" si="16"/>
        <v>147.06</v>
      </c>
      <c r="V191" s="36">
        <f t="shared" si="39"/>
        <v>6.684545455</v>
      </c>
      <c r="W191" s="37">
        <f t="shared" si="35"/>
        <v>0.03834936395</v>
      </c>
      <c r="X191" s="31">
        <f t="shared" si="36"/>
        <v>2669077.814</v>
      </c>
      <c r="Y191" s="31"/>
    </row>
    <row r="192" ht="15.75" customHeight="1">
      <c r="A192" s="91">
        <v>45748.0</v>
      </c>
      <c r="B192" s="77">
        <v>5352763.0</v>
      </c>
      <c r="C192" s="77" t="s">
        <v>66</v>
      </c>
      <c r="D192" s="29">
        <v>0.27</v>
      </c>
      <c r="E192" s="17">
        <f t="shared" si="41"/>
        <v>1478</v>
      </c>
      <c r="F192" s="17">
        <v>387.0</v>
      </c>
      <c r="G192" s="17">
        <v>293.0</v>
      </c>
      <c r="H192" s="17">
        <v>798.0</v>
      </c>
      <c r="I192" s="28" t="s">
        <v>25</v>
      </c>
      <c r="J192" s="30">
        <v>141.2146</v>
      </c>
      <c r="K192" s="30">
        <v>141.21</v>
      </c>
      <c r="L192" s="30">
        <v>141.21</v>
      </c>
      <c r="M192" s="15">
        <v>514.5</v>
      </c>
      <c r="N192" s="17">
        <f t="shared" si="25"/>
        <v>1992.5</v>
      </c>
      <c r="O192" s="31">
        <f t="shared" si="32"/>
        <v>208710.1602</v>
      </c>
      <c r="P192" s="20">
        <v>1140.0</v>
      </c>
      <c r="Q192" s="33">
        <f t="shared" si="33"/>
        <v>63.73030263</v>
      </c>
      <c r="R192" s="32">
        <f t="shared" si="14"/>
        <v>72652.545</v>
      </c>
      <c r="S192" s="20">
        <f>IFERROR(__xludf.DUMMYFUNCTION("INDEX(IMPORTHTML(""https://www.bna.com.ar/Personas"", ""table"", 1), 2, 3)"),1465.0)</f>
        <v>1465</v>
      </c>
      <c r="T192" s="34">
        <f t="shared" si="34"/>
        <v>118573.4146</v>
      </c>
      <c r="U192" s="35">
        <f t="shared" si="16"/>
        <v>102.9</v>
      </c>
      <c r="V192" s="36">
        <f t="shared" si="39"/>
        <v>4.677272727</v>
      </c>
      <c r="W192" s="37">
        <f t="shared" si="35"/>
        <v>0.2582166849</v>
      </c>
      <c r="X192" s="31">
        <f t="shared" si="36"/>
        <v>281362.7052</v>
      </c>
      <c r="Y192" s="31"/>
    </row>
    <row r="193" ht="15.75" customHeight="1">
      <c r="A193" s="91">
        <v>45748.0</v>
      </c>
      <c r="B193" s="77">
        <v>3092029.0</v>
      </c>
      <c r="C193" s="77" t="s">
        <v>42</v>
      </c>
      <c r="D193" s="29">
        <v>0.27</v>
      </c>
      <c r="E193" s="17">
        <f t="shared" si="41"/>
        <v>11340</v>
      </c>
      <c r="F193" s="17">
        <v>3360.0</v>
      </c>
      <c r="G193" s="17">
        <v>1800.0</v>
      </c>
      <c r="H193" s="17">
        <v>6180.0</v>
      </c>
      <c r="I193" s="28" t="s">
        <v>29</v>
      </c>
      <c r="J193" s="30">
        <v>140.7177</v>
      </c>
      <c r="K193" s="30">
        <v>138.0092</v>
      </c>
      <c r="L193" s="30">
        <v>139.205</v>
      </c>
      <c r="M193" s="15">
        <v>2270.5</v>
      </c>
      <c r="N193" s="17">
        <f t="shared" si="25"/>
        <v>13610.5</v>
      </c>
      <c r="O193" s="31">
        <f t="shared" si="32"/>
        <v>1581514.932</v>
      </c>
      <c r="P193" s="20">
        <v>1140.0</v>
      </c>
      <c r="Q193" s="33">
        <f t="shared" si="33"/>
        <v>277.2499583</v>
      </c>
      <c r="R193" s="32">
        <f t="shared" si="14"/>
        <v>316064.9525</v>
      </c>
      <c r="S193" s="20">
        <f>IFERROR(__xludf.DUMMYFUNCTION("INDEX(IMPORTHTML(""https://www.bna.com.ar/Personas"", ""table"", 1), 2, 3)"),1465.0)</f>
        <v>1465</v>
      </c>
      <c r="T193" s="34">
        <f t="shared" si="34"/>
        <v>515837.41</v>
      </c>
      <c r="U193" s="35">
        <f t="shared" si="16"/>
        <v>454.1</v>
      </c>
      <c r="V193" s="36">
        <f t="shared" si="39"/>
        <v>20.64090909</v>
      </c>
      <c r="W193" s="37">
        <f t="shared" si="35"/>
        <v>0.1665621327</v>
      </c>
      <c r="X193" s="31">
        <f t="shared" si="36"/>
        <v>1897579.885</v>
      </c>
      <c r="Y193" s="31"/>
    </row>
    <row r="194" ht="15.75" customHeight="1">
      <c r="A194" s="91">
        <v>45748.0</v>
      </c>
      <c r="B194" s="77">
        <v>5076619.0</v>
      </c>
      <c r="C194" s="77" t="s">
        <v>41</v>
      </c>
      <c r="D194" s="29">
        <v>0.27</v>
      </c>
      <c r="E194" s="17">
        <f t="shared" si="41"/>
        <v>4279</v>
      </c>
      <c r="F194" s="17">
        <v>1268.0</v>
      </c>
      <c r="G194" s="17">
        <v>926.0</v>
      </c>
      <c r="H194" s="17">
        <v>2085.0</v>
      </c>
      <c r="I194" s="28" t="s">
        <v>29</v>
      </c>
      <c r="J194" s="30">
        <v>140.7177</v>
      </c>
      <c r="K194" s="30">
        <v>138.0092</v>
      </c>
      <c r="L194" s="30">
        <v>139.205</v>
      </c>
      <c r="M194" s="15">
        <v>0.0</v>
      </c>
      <c r="N194" s="17">
        <f t="shared" si="25"/>
        <v>4279</v>
      </c>
      <c r="O194" s="31">
        <f t="shared" si="32"/>
        <v>596468.9878</v>
      </c>
      <c r="P194" s="20">
        <v>1140.0</v>
      </c>
      <c r="Q194" s="33">
        <f t="shared" si="33"/>
        <v>0</v>
      </c>
      <c r="R194" s="32">
        <f t="shared" si="14"/>
        <v>0</v>
      </c>
      <c r="S194" s="20">
        <f>IFERROR(__xludf.DUMMYFUNCTION("INDEX(IMPORTHTML(""https://www.bna.com.ar/Personas"", ""table"", 1), 2, 3)"),1465.0)</f>
        <v>1465</v>
      </c>
      <c r="T194" s="34">
        <f t="shared" si="34"/>
        <v>0</v>
      </c>
      <c r="U194" s="35">
        <f t="shared" si="16"/>
        <v>0</v>
      </c>
      <c r="V194" s="36">
        <f t="shared" si="39"/>
        <v>0</v>
      </c>
      <c r="W194" s="37">
        <f t="shared" si="35"/>
        <v>0</v>
      </c>
      <c r="X194" s="31">
        <f t="shared" si="36"/>
        <v>596468.9878</v>
      </c>
      <c r="Y194" s="31"/>
    </row>
    <row r="195" ht="15.75" customHeight="1">
      <c r="A195" s="91">
        <v>45748.0</v>
      </c>
      <c r="B195" s="28">
        <v>4000681.0</v>
      </c>
      <c r="C195" s="28" t="s">
        <v>40</v>
      </c>
      <c r="D195" s="29">
        <v>0.21</v>
      </c>
      <c r="E195" s="17">
        <f t="shared" si="41"/>
        <v>1730</v>
      </c>
      <c r="F195" s="17">
        <v>3.0</v>
      </c>
      <c r="G195" s="17">
        <v>4.0</v>
      </c>
      <c r="H195" s="17">
        <v>1723.0</v>
      </c>
      <c r="I195" s="28" t="s">
        <v>25</v>
      </c>
      <c r="J195" s="30">
        <v>141.2146</v>
      </c>
      <c r="K195" s="30">
        <v>141.2146</v>
      </c>
      <c r="L195" s="30">
        <v>141.21</v>
      </c>
      <c r="M195" s="15">
        <v>3143.2</v>
      </c>
      <c r="N195" s="17">
        <f t="shared" si="25"/>
        <v>4873.2</v>
      </c>
      <c r="O195" s="31">
        <f t="shared" si="32"/>
        <v>244293.3322</v>
      </c>
      <c r="P195" s="20">
        <v>1140.0</v>
      </c>
      <c r="Q195" s="33">
        <f t="shared" si="33"/>
        <v>389.3432211</v>
      </c>
      <c r="R195" s="32">
        <f t="shared" si="14"/>
        <v>443851.272</v>
      </c>
      <c r="S195" s="20">
        <f>IFERROR(__xludf.DUMMYFUNCTION("INDEX(IMPORTHTML(""https://www.bna.com.ar/Personas"", ""table"", 1), 2, 3)"),1465.0)</f>
        <v>1465</v>
      </c>
      <c r="T195" s="34">
        <f t="shared" si="34"/>
        <v>690169.2608</v>
      </c>
      <c r="U195" s="35">
        <f t="shared" si="16"/>
        <v>628.64</v>
      </c>
      <c r="V195" s="36">
        <f t="shared" si="39"/>
        <v>28.57454545</v>
      </c>
      <c r="W195" s="37">
        <f t="shared" si="35"/>
        <v>0.644997097</v>
      </c>
      <c r="X195" s="31">
        <f t="shared" si="36"/>
        <v>688144.6042</v>
      </c>
      <c r="Y195" s="31"/>
    </row>
    <row r="196" ht="15.75" customHeight="1">
      <c r="A196" s="91">
        <v>45748.0</v>
      </c>
      <c r="B196" s="77">
        <v>5253775.0</v>
      </c>
      <c r="C196" s="77" t="s">
        <v>39</v>
      </c>
      <c r="D196" s="29">
        <v>0.21</v>
      </c>
      <c r="E196" s="17">
        <f t="shared" si="41"/>
        <v>459</v>
      </c>
      <c r="F196" s="17"/>
      <c r="G196" s="17"/>
      <c r="H196" s="17">
        <v>459.0</v>
      </c>
      <c r="I196" s="28" t="s">
        <v>32</v>
      </c>
      <c r="J196" s="30">
        <v>198.78</v>
      </c>
      <c r="K196" s="30">
        <v>198.78</v>
      </c>
      <c r="L196" s="30">
        <v>198.78</v>
      </c>
      <c r="M196" s="15">
        <v>113.6</v>
      </c>
      <c r="N196" s="17">
        <f t="shared" si="25"/>
        <v>572.6</v>
      </c>
      <c r="O196" s="31">
        <f t="shared" si="32"/>
        <v>91240.02</v>
      </c>
      <c r="P196" s="20">
        <v>1140.0</v>
      </c>
      <c r="Q196" s="33">
        <f t="shared" si="33"/>
        <v>19.80825263</v>
      </c>
      <c r="R196" s="32">
        <f t="shared" si="14"/>
        <v>22581.408</v>
      </c>
      <c r="S196" s="20">
        <f>IFERROR(__xludf.DUMMYFUNCTION("INDEX(IMPORTHTML(""https://www.bna.com.ar/Personas"", ""table"", 1), 2, 3)"),1465.0)</f>
        <v>1465</v>
      </c>
      <c r="T196" s="34">
        <f t="shared" si="34"/>
        <v>35113.09903</v>
      </c>
      <c r="U196" s="35">
        <f t="shared" si="16"/>
        <v>22.72</v>
      </c>
      <c r="V196" s="36">
        <f t="shared" si="39"/>
        <v>1.032727273</v>
      </c>
      <c r="W196" s="37">
        <f t="shared" si="35"/>
        <v>0.1983932937</v>
      </c>
      <c r="X196" s="31">
        <f t="shared" si="36"/>
        <v>113821.428</v>
      </c>
      <c r="Y196" s="31"/>
    </row>
    <row r="197" ht="15.75" customHeight="1">
      <c r="A197" s="91">
        <v>45748.0</v>
      </c>
      <c r="B197" s="28">
        <v>5211887.0</v>
      </c>
      <c r="C197" s="28" t="s">
        <v>38</v>
      </c>
      <c r="D197" s="29">
        <v>0.21</v>
      </c>
      <c r="E197" s="17">
        <f t="shared" si="41"/>
        <v>1824</v>
      </c>
      <c r="F197" s="17"/>
      <c r="G197" s="17"/>
      <c r="H197" s="17">
        <v>1824.0</v>
      </c>
      <c r="I197" s="28" t="s">
        <v>25</v>
      </c>
      <c r="J197" s="30">
        <v>141.2146</v>
      </c>
      <c r="K197" s="30">
        <v>141.21</v>
      </c>
      <c r="L197" s="30">
        <v>141.21</v>
      </c>
      <c r="M197" s="15">
        <v>1279.1</v>
      </c>
      <c r="N197" s="17">
        <f t="shared" si="25"/>
        <v>3103.1</v>
      </c>
      <c r="O197" s="31">
        <f t="shared" si="32"/>
        <v>257567.04</v>
      </c>
      <c r="P197" s="20">
        <v>1140.0</v>
      </c>
      <c r="Q197" s="33">
        <f t="shared" si="33"/>
        <v>158.4400974</v>
      </c>
      <c r="R197" s="32">
        <f t="shared" si="14"/>
        <v>180621.711</v>
      </c>
      <c r="S197" s="20">
        <f>IFERROR(__xludf.DUMMYFUNCTION("INDEX(IMPORTHTML(""https://www.bna.com.ar/Personas"", ""table"", 1), 2, 3)"),1465.0)</f>
        <v>1465</v>
      </c>
      <c r="T197" s="34">
        <f t="shared" si="34"/>
        <v>280858.8386</v>
      </c>
      <c r="U197" s="35">
        <f t="shared" si="16"/>
        <v>255.82</v>
      </c>
      <c r="V197" s="36">
        <f t="shared" si="39"/>
        <v>11.62818182</v>
      </c>
      <c r="W197" s="37">
        <f t="shared" si="35"/>
        <v>0.4122007025</v>
      </c>
      <c r="X197" s="31">
        <f t="shared" si="36"/>
        <v>438188.751</v>
      </c>
      <c r="Y197" s="31"/>
    </row>
    <row r="198" ht="15.75" customHeight="1">
      <c r="A198" s="91">
        <v>45748.0</v>
      </c>
      <c r="B198" s="28">
        <v>5346222.0</v>
      </c>
      <c r="C198" s="28" t="s">
        <v>37</v>
      </c>
      <c r="D198" s="29">
        <v>0.21</v>
      </c>
      <c r="E198" s="17">
        <f t="shared" si="41"/>
        <v>1371</v>
      </c>
      <c r="F198" s="17">
        <v>16.0</v>
      </c>
      <c r="G198" s="17">
        <v>4.0</v>
      </c>
      <c r="H198" s="17">
        <v>1351.0</v>
      </c>
      <c r="I198" s="28" t="s">
        <v>25</v>
      </c>
      <c r="J198" s="30">
        <v>141.2146</v>
      </c>
      <c r="K198" s="30">
        <v>141.21</v>
      </c>
      <c r="L198" s="30">
        <v>141.21</v>
      </c>
      <c r="M198" s="15">
        <v>3368.5</v>
      </c>
      <c r="N198" s="17">
        <f t="shared" si="25"/>
        <v>4739.5</v>
      </c>
      <c r="O198" s="31">
        <f t="shared" si="32"/>
        <v>193598.9836</v>
      </c>
      <c r="P198" s="20">
        <v>1140.0</v>
      </c>
      <c r="Q198" s="33">
        <f t="shared" si="33"/>
        <v>417.2507763</v>
      </c>
      <c r="R198" s="32">
        <f t="shared" si="14"/>
        <v>475665.885</v>
      </c>
      <c r="S198" s="20">
        <f>IFERROR(__xludf.DUMMYFUNCTION("INDEX(IMPORTHTML(""https://www.bna.com.ar/Personas"", ""table"", 1), 2, 3)"),1465.0)</f>
        <v>1465</v>
      </c>
      <c r="T198" s="34">
        <f t="shared" si="34"/>
        <v>739639.5886</v>
      </c>
      <c r="U198" s="35">
        <f t="shared" si="16"/>
        <v>673.7</v>
      </c>
      <c r="V198" s="36">
        <f t="shared" si="39"/>
        <v>30.62272727</v>
      </c>
      <c r="W198" s="37">
        <f t="shared" si="35"/>
        <v>0.7107289017</v>
      </c>
      <c r="X198" s="31">
        <f t="shared" si="36"/>
        <v>669264.8686</v>
      </c>
      <c r="Y198" s="31"/>
    </row>
    <row r="199" ht="15.75" customHeight="1">
      <c r="A199" s="91">
        <v>45748.0</v>
      </c>
      <c r="B199" s="28">
        <v>3025373.0</v>
      </c>
      <c r="C199" s="28" t="s">
        <v>35</v>
      </c>
      <c r="D199" s="29">
        <v>0.27</v>
      </c>
      <c r="E199" s="17">
        <f t="shared" si="41"/>
        <v>6653</v>
      </c>
      <c r="F199" s="17">
        <v>1737.0</v>
      </c>
      <c r="G199" s="17">
        <v>1772.0</v>
      </c>
      <c r="H199" s="17">
        <v>3144.0</v>
      </c>
      <c r="I199" s="28" t="s">
        <v>36</v>
      </c>
      <c r="J199" s="30">
        <v>222.4156</v>
      </c>
      <c r="K199" s="30">
        <v>219.7071</v>
      </c>
      <c r="L199" s="30">
        <v>220.9029</v>
      </c>
      <c r="M199" s="15">
        <v>2100.6</v>
      </c>
      <c r="N199" s="17">
        <f t="shared" si="25"/>
        <v>8753.6</v>
      </c>
      <c r="O199" s="31">
        <f t="shared" si="32"/>
        <v>1470175.596</v>
      </c>
      <c r="P199" s="20">
        <v>1140.0</v>
      </c>
      <c r="Q199" s="33">
        <f t="shared" si="33"/>
        <v>407.0426594</v>
      </c>
      <c r="R199" s="32">
        <f t="shared" si="14"/>
        <v>464028.6317</v>
      </c>
      <c r="S199" s="20">
        <f>IFERROR(__xludf.DUMMYFUNCTION("INDEX(IMPORTHTML(""https://www.bna.com.ar/Personas"", ""table"", 1), 2, 3)"),1465.0)</f>
        <v>1465</v>
      </c>
      <c r="T199" s="34">
        <f t="shared" si="34"/>
        <v>757323.22</v>
      </c>
      <c r="U199" s="35">
        <f t="shared" si="16"/>
        <v>420.12</v>
      </c>
      <c r="V199" s="36">
        <f t="shared" si="39"/>
        <v>19.09636364</v>
      </c>
      <c r="W199" s="37">
        <f t="shared" si="35"/>
        <v>0.2399067405</v>
      </c>
      <c r="X199" s="31">
        <f t="shared" si="36"/>
        <v>1934204.228</v>
      </c>
      <c r="Y199" s="31"/>
    </row>
    <row r="200" ht="15.75" customHeight="1">
      <c r="A200" s="92">
        <v>45748.0</v>
      </c>
      <c r="B200" s="79">
        <v>5251104.0</v>
      </c>
      <c r="C200" s="79" t="s">
        <v>52</v>
      </c>
      <c r="D200" s="80">
        <v>0.27</v>
      </c>
      <c r="E200" s="42">
        <v>10645.0</v>
      </c>
      <c r="F200" s="42">
        <v>1564.0</v>
      </c>
      <c r="G200" s="42">
        <v>649.0</v>
      </c>
      <c r="H200" s="42">
        <v>8432.0</v>
      </c>
      <c r="I200" s="79" t="s">
        <v>69</v>
      </c>
      <c r="J200" s="81">
        <v>183.2876</v>
      </c>
      <c r="K200" s="81">
        <v>180.8508</v>
      </c>
      <c r="L200" s="81">
        <v>181.9266</v>
      </c>
      <c r="M200" s="44">
        <v>1638.5</v>
      </c>
      <c r="N200" s="42">
        <f t="shared" si="25"/>
        <v>12283.5</v>
      </c>
      <c r="O200" s="82">
        <f t="shared" si="32"/>
        <v>1938039.067</v>
      </c>
      <c r="P200" s="46">
        <v>1140.0</v>
      </c>
      <c r="Q200" s="83">
        <f t="shared" si="33"/>
        <v>261.4795913</v>
      </c>
      <c r="R200" s="84">
        <f t="shared" si="14"/>
        <v>298086.7341</v>
      </c>
      <c r="S200" s="46">
        <f>IFERROR(__xludf.DUMMYFUNCTION("INDEX(IMPORTHTML(""https://www.bna.com.ar/Personas"", ""table"", 1), 2, 3)"),1465.0)</f>
        <v>1465</v>
      </c>
      <c r="T200" s="85">
        <f t="shared" si="34"/>
        <v>486495.8536</v>
      </c>
      <c r="U200" s="86">
        <f t="shared" si="16"/>
        <v>327.7</v>
      </c>
      <c r="V200" s="87">
        <f t="shared" si="39"/>
        <v>14.89545455</v>
      </c>
      <c r="W200" s="88">
        <f t="shared" si="35"/>
        <v>0.1333049929</v>
      </c>
      <c r="X200" s="82">
        <f t="shared" si="36"/>
        <v>2236125.801</v>
      </c>
      <c r="Y200" s="82"/>
    </row>
    <row r="201" ht="15.75" customHeight="1">
      <c r="A201" s="93">
        <v>45717.0</v>
      </c>
      <c r="B201" s="94">
        <v>4000202.0</v>
      </c>
      <c r="C201" s="95" t="s">
        <v>56</v>
      </c>
      <c r="D201" s="96">
        <v>0.27</v>
      </c>
      <c r="E201" s="56">
        <v>18340.0</v>
      </c>
      <c r="F201" s="56">
        <v>4200.0</v>
      </c>
      <c r="G201" s="56">
        <v>3710.0</v>
      </c>
      <c r="H201" s="56">
        <v>10430.0</v>
      </c>
      <c r="I201" s="95" t="s">
        <v>29</v>
      </c>
      <c r="J201" s="97">
        <v>139.7195</v>
      </c>
      <c r="K201" s="97">
        <v>137.011</v>
      </c>
      <c r="L201" s="97">
        <v>138.2068</v>
      </c>
      <c r="M201" s="52">
        <v>1347.6</v>
      </c>
      <c r="N201" s="56">
        <f t="shared" si="25"/>
        <v>19687.6</v>
      </c>
      <c r="O201" s="98">
        <f t="shared" si="32"/>
        <v>2536629.634</v>
      </c>
      <c r="P201" s="99">
        <v>1095.75</v>
      </c>
      <c r="Q201" s="100">
        <f t="shared" si="33"/>
        <v>169.9726066</v>
      </c>
      <c r="R201" s="99">
        <f t="shared" si="14"/>
        <v>186247.4837</v>
      </c>
      <c r="S201" s="20">
        <f>IFERROR(__xludf.DUMMYFUNCTION("INDEX(IMPORTHTML(""https://www.bna.com.ar/Personas"", ""table"", 1), 2, 3)"),1465.0)</f>
        <v>1465</v>
      </c>
      <c r="T201" s="101">
        <f t="shared" si="34"/>
        <v>316242.5332</v>
      </c>
      <c r="U201" s="102">
        <f t="shared" si="16"/>
        <v>269.52</v>
      </c>
      <c r="V201" s="103">
        <f t="shared" si="39"/>
        <v>12.25090909</v>
      </c>
      <c r="W201" s="104">
        <f t="shared" si="35"/>
        <v>0.0684009875</v>
      </c>
      <c r="X201" s="98">
        <f t="shared" si="36"/>
        <v>2722877.118</v>
      </c>
      <c r="Y201" s="105"/>
    </row>
    <row r="202" ht="15.75" customHeight="1">
      <c r="A202" s="106">
        <v>45718.0</v>
      </c>
      <c r="B202" s="66">
        <v>5346470.0</v>
      </c>
      <c r="C202" s="107" t="s">
        <v>62</v>
      </c>
      <c r="D202" s="108">
        <v>0.27</v>
      </c>
      <c r="E202" s="17">
        <v>7482.0</v>
      </c>
      <c r="F202" s="17">
        <v>1497.0</v>
      </c>
      <c r="G202" s="17">
        <v>1992.0</v>
      </c>
      <c r="H202" s="17">
        <v>3993.0</v>
      </c>
      <c r="I202" s="107" t="s">
        <v>29</v>
      </c>
      <c r="J202" s="109">
        <v>139.7195</v>
      </c>
      <c r="K202" s="109">
        <v>137.011</v>
      </c>
      <c r="L202" s="109">
        <v>138.2068</v>
      </c>
      <c r="M202" s="15">
        <v>350.3</v>
      </c>
      <c r="N202" s="17">
        <f t="shared" si="25"/>
        <v>7832.3</v>
      </c>
      <c r="O202" s="105">
        <f t="shared" si="32"/>
        <v>1033945.756</v>
      </c>
      <c r="P202" s="89">
        <v>1095.75</v>
      </c>
      <c r="Q202" s="73">
        <f t="shared" si="33"/>
        <v>44.18329185</v>
      </c>
      <c r="R202" s="89">
        <f t="shared" si="14"/>
        <v>48413.84204</v>
      </c>
      <c r="S202" s="20">
        <f>IFERROR(__xludf.DUMMYFUNCTION("INDEX(IMPORTHTML(""https://www.bna.com.ar/Personas"", ""table"", 1), 2, 3)"),1465.0)</f>
        <v>1465</v>
      </c>
      <c r="T202" s="70">
        <f t="shared" si="34"/>
        <v>82205.22364</v>
      </c>
      <c r="U202" s="71">
        <f t="shared" si="16"/>
        <v>70.06</v>
      </c>
      <c r="V202" s="110">
        <f t="shared" si="39"/>
        <v>3.184545455</v>
      </c>
      <c r="W202" s="111">
        <f t="shared" si="35"/>
        <v>0.04472990504</v>
      </c>
      <c r="X202" s="105">
        <f t="shared" si="36"/>
        <v>1082359.598</v>
      </c>
      <c r="Y202" s="105"/>
    </row>
    <row r="203" ht="15.75" customHeight="1">
      <c r="A203" s="106">
        <v>45717.0</v>
      </c>
      <c r="B203" s="107">
        <v>5238577.0</v>
      </c>
      <c r="C203" s="107" t="s">
        <v>44</v>
      </c>
      <c r="D203" s="108">
        <v>0.27</v>
      </c>
      <c r="E203" s="17">
        <v>4158.0</v>
      </c>
      <c r="F203" s="17"/>
      <c r="G203" s="17"/>
      <c r="H203" s="17">
        <v>4158.0</v>
      </c>
      <c r="I203" s="107" t="s">
        <v>25</v>
      </c>
      <c r="J203" s="109">
        <v>140.1738</v>
      </c>
      <c r="K203" s="109">
        <v>140.1738</v>
      </c>
      <c r="L203" s="109">
        <v>140.1738</v>
      </c>
      <c r="M203" s="15">
        <v>604.5</v>
      </c>
      <c r="N203" s="17">
        <f t="shared" si="25"/>
        <v>4762.5</v>
      </c>
      <c r="O203" s="105">
        <f t="shared" si="32"/>
        <v>582842.6604</v>
      </c>
      <c r="P203" s="89">
        <v>1095.75</v>
      </c>
      <c r="Q203" s="73">
        <f t="shared" si="33"/>
        <v>77.33065216</v>
      </c>
      <c r="R203" s="89">
        <f t="shared" si="14"/>
        <v>84735.0621</v>
      </c>
      <c r="S203" s="20">
        <f>IFERROR(__xludf.DUMMYFUNCTION("INDEX(IMPORTHTML(""https://www.bna.com.ar/Personas"", ""table"", 1), 2, 3)"),1465.0)</f>
        <v>1465</v>
      </c>
      <c r="T203" s="70">
        <f t="shared" si="34"/>
        <v>143877.5449</v>
      </c>
      <c r="U203" s="71">
        <f t="shared" si="16"/>
        <v>120.9</v>
      </c>
      <c r="V203" s="110">
        <f t="shared" si="39"/>
        <v>5.495454545</v>
      </c>
      <c r="W203" s="111">
        <f t="shared" si="35"/>
        <v>0.1269291339</v>
      </c>
      <c r="X203" s="105">
        <f t="shared" si="36"/>
        <v>667577.7225</v>
      </c>
      <c r="Y203" s="105"/>
    </row>
    <row r="204" ht="15.75" customHeight="1">
      <c r="A204" s="106">
        <v>45717.0</v>
      </c>
      <c r="B204" s="112">
        <v>5253773.0</v>
      </c>
      <c r="C204" s="112" t="s">
        <v>43</v>
      </c>
      <c r="D204" s="108">
        <v>0.21</v>
      </c>
      <c r="E204" s="17">
        <v>730.0</v>
      </c>
      <c r="F204" s="17">
        <v>228.0</v>
      </c>
      <c r="G204" s="17">
        <v>98.0</v>
      </c>
      <c r="H204" s="17">
        <v>404.0</v>
      </c>
      <c r="I204" s="107" t="s">
        <v>32</v>
      </c>
      <c r="J204" s="109">
        <v>217.6991</v>
      </c>
      <c r="K204" s="109">
        <v>217.6991</v>
      </c>
      <c r="L204" s="109">
        <v>217.6991</v>
      </c>
      <c r="M204" s="15">
        <v>287.3</v>
      </c>
      <c r="N204" s="17">
        <f t="shared" si="25"/>
        <v>1017.3</v>
      </c>
      <c r="O204" s="105">
        <f t="shared" si="32"/>
        <v>158920.343</v>
      </c>
      <c r="P204" s="89">
        <v>1095.75</v>
      </c>
      <c r="Q204" s="73">
        <f t="shared" si="33"/>
        <v>57.0795815</v>
      </c>
      <c r="R204" s="89">
        <f t="shared" si="14"/>
        <v>62544.95143</v>
      </c>
      <c r="S204" s="20">
        <f>IFERROR(__xludf.DUMMYFUNCTION("INDEX(IMPORTHTML(""https://www.bna.com.ar/Personas"", ""table"", 1), 2, 3)"),1465.0)</f>
        <v>1465</v>
      </c>
      <c r="T204" s="70">
        <f t="shared" si="34"/>
        <v>101182.1201</v>
      </c>
      <c r="U204" s="71">
        <f t="shared" si="16"/>
        <v>57.46</v>
      </c>
      <c r="V204" s="110">
        <f t="shared" si="39"/>
        <v>2.611818182</v>
      </c>
      <c r="W204" s="111">
        <f t="shared" si="35"/>
        <v>0.2824142338</v>
      </c>
      <c r="X204" s="105">
        <f t="shared" si="36"/>
        <v>221465.2944</v>
      </c>
      <c r="Y204" s="105"/>
    </row>
    <row r="205" ht="15.75" customHeight="1">
      <c r="A205" s="106">
        <v>45717.0</v>
      </c>
      <c r="B205" s="112">
        <v>5352763.0</v>
      </c>
      <c r="C205" s="112" t="s">
        <v>66</v>
      </c>
      <c r="D205" s="108">
        <v>0.27</v>
      </c>
      <c r="E205" s="17">
        <v>1972.0</v>
      </c>
      <c r="F205" s="17">
        <v>492.0</v>
      </c>
      <c r="G205" s="17">
        <v>300.0</v>
      </c>
      <c r="H205" s="17">
        <v>1180.0</v>
      </c>
      <c r="I205" s="107" t="s">
        <v>25</v>
      </c>
      <c r="J205" s="109">
        <v>140.1738</v>
      </c>
      <c r="K205" s="109">
        <v>140.1738</v>
      </c>
      <c r="L205" s="109">
        <v>140.1738</v>
      </c>
      <c r="M205" s="15">
        <v>637.6</v>
      </c>
      <c r="N205" s="17">
        <f t="shared" si="25"/>
        <v>2609.6</v>
      </c>
      <c r="O205" s="105">
        <f t="shared" si="32"/>
        <v>276422.7336</v>
      </c>
      <c r="P205" s="89">
        <v>1095.75</v>
      </c>
      <c r="Q205" s="73">
        <f t="shared" si="33"/>
        <v>81.56496909</v>
      </c>
      <c r="R205" s="89">
        <f t="shared" si="14"/>
        <v>89374.81488</v>
      </c>
      <c r="S205" s="20">
        <f>IFERROR(__xludf.DUMMYFUNCTION("INDEX(IMPORTHTML(""https://www.bna.com.ar/Personas"", ""table"", 1), 2, 3)"),1465.0)</f>
        <v>1465</v>
      </c>
      <c r="T205" s="70">
        <f t="shared" si="34"/>
        <v>151755.7032</v>
      </c>
      <c r="U205" s="71">
        <f t="shared" si="16"/>
        <v>127.52</v>
      </c>
      <c r="V205" s="110">
        <f t="shared" si="39"/>
        <v>5.796363636</v>
      </c>
      <c r="W205" s="111">
        <f t="shared" si="35"/>
        <v>0.2443286327</v>
      </c>
      <c r="X205" s="105">
        <f t="shared" si="36"/>
        <v>365797.5485</v>
      </c>
      <c r="Y205" s="105"/>
    </row>
    <row r="206" ht="15.75" customHeight="1">
      <c r="A206" s="106">
        <v>45717.0</v>
      </c>
      <c r="B206" s="112">
        <v>3092029.0</v>
      </c>
      <c r="C206" s="112" t="s">
        <v>42</v>
      </c>
      <c r="D206" s="108">
        <v>0.27</v>
      </c>
      <c r="E206" s="17">
        <v>11760.0</v>
      </c>
      <c r="F206" s="17">
        <v>3480.0</v>
      </c>
      <c r="G206" s="17">
        <v>1890.0</v>
      </c>
      <c r="H206" s="17">
        <v>6390.0</v>
      </c>
      <c r="I206" s="107" t="s">
        <v>29</v>
      </c>
      <c r="J206" s="109">
        <v>139.7195</v>
      </c>
      <c r="K206" s="109">
        <v>137.011</v>
      </c>
      <c r="L206" s="109">
        <v>138.2068</v>
      </c>
      <c r="M206" s="15">
        <v>2924.4</v>
      </c>
      <c r="N206" s="17">
        <f t="shared" si="25"/>
        <v>14684.4</v>
      </c>
      <c r="O206" s="105">
        <f t="shared" si="32"/>
        <v>1628316.102</v>
      </c>
      <c r="P206" s="89">
        <v>1095.75</v>
      </c>
      <c r="Q206" s="73">
        <f t="shared" si="33"/>
        <v>368.8541783</v>
      </c>
      <c r="R206" s="89">
        <f t="shared" si="14"/>
        <v>404171.9659</v>
      </c>
      <c r="S206" s="20">
        <f>IFERROR(__xludf.DUMMYFUNCTION("INDEX(IMPORTHTML(""https://www.bna.com.ar/Personas"", ""table"", 1), 2, 3)"),1465.0)</f>
        <v>1465</v>
      </c>
      <c r="T206" s="70">
        <f t="shared" si="34"/>
        <v>686271.6415</v>
      </c>
      <c r="U206" s="71">
        <f t="shared" si="16"/>
        <v>584.88</v>
      </c>
      <c r="V206" s="110">
        <f t="shared" si="39"/>
        <v>26.58545455</v>
      </c>
      <c r="W206" s="111">
        <f t="shared" si="35"/>
        <v>0.1988557632</v>
      </c>
      <c r="X206" s="105">
        <f t="shared" si="36"/>
        <v>2032488.068</v>
      </c>
      <c r="Y206" s="105"/>
    </row>
    <row r="207" ht="15.75" customHeight="1">
      <c r="A207" s="106">
        <v>45717.0</v>
      </c>
      <c r="B207" s="112">
        <v>5076619.0</v>
      </c>
      <c r="C207" s="112" t="s">
        <v>41</v>
      </c>
      <c r="D207" s="108">
        <v>0.27</v>
      </c>
      <c r="E207" s="17">
        <v>3830.0</v>
      </c>
      <c r="F207" s="17">
        <v>1192.0</v>
      </c>
      <c r="G207" s="17">
        <v>896.0</v>
      </c>
      <c r="H207" s="17">
        <v>1742.0</v>
      </c>
      <c r="I207" s="107" t="s">
        <v>29</v>
      </c>
      <c r="J207" s="109">
        <v>139.7195</v>
      </c>
      <c r="K207" s="109">
        <v>137.011</v>
      </c>
      <c r="L207" s="109">
        <v>138.2068</v>
      </c>
      <c r="M207" s="15">
        <v>0.0</v>
      </c>
      <c r="N207" s="17">
        <f t="shared" si="25"/>
        <v>3830</v>
      </c>
      <c r="O207" s="105">
        <f t="shared" si="32"/>
        <v>530063.7456</v>
      </c>
      <c r="P207" s="89">
        <v>1095.75</v>
      </c>
      <c r="Q207" s="73">
        <f t="shared" si="33"/>
        <v>0</v>
      </c>
      <c r="R207" s="89">
        <f t="shared" si="14"/>
        <v>0</v>
      </c>
      <c r="S207" s="20">
        <f>IFERROR(__xludf.DUMMYFUNCTION("INDEX(IMPORTHTML(""https://www.bna.com.ar/Personas"", ""table"", 1), 2, 3)"),1465.0)</f>
        <v>1465</v>
      </c>
      <c r="T207" s="70">
        <f t="shared" si="34"/>
        <v>0</v>
      </c>
      <c r="U207" s="71">
        <f t="shared" si="16"/>
        <v>0</v>
      </c>
      <c r="V207" s="110">
        <f t="shared" si="39"/>
        <v>0</v>
      </c>
      <c r="W207" s="111">
        <f t="shared" si="35"/>
        <v>0</v>
      </c>
      <c r="X207" s="105">
        <f t="shared" si="36"/>
        <v>530063.7456</v>
      </c>
      <c r="Y207" s="105"/>
    </row>
    <row r="208" ht="15.75" customHeight="1">
      <c r="A208" s="106">
        <v>45717.0</v>
      </c>
      <c r="B208" s="107">
        <v>4000681.0</v>
      </c>
      <c r="C208" s="107" t="s">
        <v>40</v>
      </c>
      <c r="D208" s="108">
        <v>0.27</v>
      </c>
      <c r="E208" s="17">
        <v>3887.0</v>
      </c>
      <c r="F208" s="17">
        <v>55.0</v>
      </c>
      <c r="G208" s="17">
        <v>139.0</v>
      </c>
      <c r="H208" s="17">
        <v>3693.0</v>
      </c>
      <c r="I208" s="107" t="s">
        <v>25</v>
      </c>
      <c r="J208" s="109">
        <v>140.1738</v>
      </c>
      <c r="K208" s="109">
        <v>140.1738</v>
      </c>
      <c r="L208" s="109">
        <v>140.1738</v>
      </c>
      <c r="M208" s="15">
        <v>1667.0</v>
      </c>
      <c r="N208" s="17">
        <f t="shared" si="25"/>
        <v>5554</v>
      </c>
      <c r="O208" s="105">
        <f t="shared" si="32"/>
        <v>544855.5606</v>
      </c>
      <c r="P208" s="89">
        <v>1095.75</v>
      </c>
      <c r="Q208" s="73">
        <f t="shared" si="33"/>
        <v>213.2509465</v>
      </c>
      <c r="R208" s="89">
        <f t="shared" si="14"/>
        <v>233669.7246</v>
      </c>
      <c r="S208" s="20">
        <f>IFERROR(__xludf.DUMMYFUNCTION("INDEX(IMPORTHTML(""https://www.bna.com.ar/Personas"", ""table"", 1), 2, 3)"),1465.0)</f>
        <v>1465</v>
      </c>
      <c r="T208" s="70">
        <f t="shared" si="34"/>
        <v>396764.0485</v>
      </c>
      <c r="U208" s="71">
        <f t="shared" si="16"/>
        <v>333.4</v>
      </c>
      <c r="V208" s="110">
        <f t="shared" si="39"/>
        <v>15.15454545</v>
      </c>
      <c r="W208" s="111">
        <f t="shared" si="35"/>
        <v>0.3001440403</v>
      </c>
      <c r="X208" s="105">
        <f t="shared" si="36"/>
        <v>778525.2852</v>
      </c>
      <c r="Y208" s="105"/>
    </row>
    <row r="209" ht="15.75" customHeight="1">
      <c r="A209" s="106">
        <v>45717.0</v>
      </c>
      <c r="B209" s="112">
        <v>5253775.0</v>
      </c>
      <c r="C209" s="112" t="s">
        <v>39</v>
      </c>
      <c r="D209" s="108">
        <v>0.21</v>
      </c>
      <c r="E209" s="17">
        <v>503.0</v>
      </c>
      <c r="F209" s="17"/>
      <c r="G209" s="17"/>
      <c r="H209" s="17">
        <v>503.0</v>
      </c>
      <c r="I209" s="107" t="s">
        <v>32</v>
      </c>
      <c r="J209" s="109">
        <v>217.6991</v>
      </c>
      <c r="K209" s="109">
        <v>217.6991</v>
      </c>
      <c r="L209" s="109">
        <v>217.6991</v>
      </c>
      <c r="M209" s="15">
        <v>137.8</v>
      </c>
      <c r="N209" s="17">
        <f t="shared" si="25"/>
        <v>640.8</v>
      </c>
      <c r="O209" s="105">
        <f t="shared" si="32"/>
        <v>109502.6473</v>
      </c>
      <c r="P209" s="89">
        <v>1095.75</v>
      </c>
      <c r="Q209" s="73">
        <f t="shared" si="33"/>
        <v>27.37753683</v>
      </c>
      <c r="R209" s="89">
        <f t="shared" si="14"/>
        <v>29998.93598</v>
      </c>
      <c r="S209" s="20">
        <f>IFERROR(__xludf.DUMMYFUNCTION("INDEX(IMPORTHTML(""https://www.bna.com.ar/Personas"", ""table"", 1), 2, 3)"),1465.0)</f>
        <v>1465</v>
      </c>
      <c r="T209" s="70">
        <f t="shared" si="34"/>
        <v>48530.79066</v>
      </c>
      <c r="U209" s="71">
        <f t="shared" si="16"/>
        <v>27.56</v>
      </c>
      <c r="V209" s="110">
        <f t="shared" si="39"/>
        <v>1.252727273</v>
      </c>
      <c r="W209" s="111">
        <f t="shared" si="35"/>
        <v>0.2150436954</v>
      </c>
      <c r="X209" s="105">
        <f t="shared" si="36"/>
        <v>139501.5833</v>
      </c>
      <c r="Y209" s="105"/>
    </row>
    <row r="210" ht="15.75" customHeight="1">
      <c r="A210" s="106">
        <v>45717.0</v>
      </c>
      <c r="B210" s="107">
        <v>5211887.0</v>
      </c>
      <c r="C210" s="107" t="s">
        <v>38</v>
      </c>
      <c r="D210" s="108">
        <v>0.27</v>
      </c>
      <c r="E210" s="17">
        <v>2972.0</v>
      </c>
      <c r="F210" s="17"/>
      <c r="G210" s="17"/>
      <c r="H210" s="17">
        <v>2972.0</v>
      </c>
      <c r="I210" s="107" t="s">
        <v>25</v>
      </c>
      <c r="J210" s="109">
        <v>140.1738</v>
      </c>
      <c r="K210" s="109">
        <v>140.1738</v>
      </c>
      <c r="L210" s="109">
        <v>140.1738</v>
      </c>
      <c r="M210" s="15">
        <v>1348.9</v>
      </c>
      <c r="N210" s="17">
        <f t="shared" si="25"/>
        <v>4320.9</v>
      </c>
      <c r="O210" s="105">
        <f t="shared" si="32"/>
        <v>416596.5336</v>
      </c>
      <c r="P210" s="89">
        <v>1095.75</v>
      </c>
      <c r="Q210" s="73">
        <f t="shared" si="33"/>
        <v>172.5580094</v>
      </c>
      <c r="R210" s="89">
        <f t="shared" si="14"/>
        <v>189080.4388</v>
      </c>
      <c r="S210" s="20">
        <f>IFERROR(__xludf.DUMMYFUNCTION("INDEX(IMPORTHTML(""https://www.bna.com.ar/Personas"", ""table"", 1), 2, 3)"),1465.0)</f>
        <v>1465</v>
      </c>
      <c r="T210" s="70">
        <f t="shared" si="34"/>
        <v>321052.8044</v>
      </c>
      <c r="U210" s="71">
        <f t="shared" si="16"/>
        <v>269.78</v>
      </c>
      <c r="V210" s="110">
        <f t="shared" si="39"/>
        <v>12.26272727</v>
      </c>
      <c r="W210" s="111">
        <f t="shared" si="35"/>
        <v>0.3121803328</v>
      </c>
      <c r="X210" s="105">
        <f t="shared" si="36"/>
        <v>605676.9724</v>
      </c>
      <c r="Y210" s="105"/>
    </row>
    <row r="211" ht="15.75" customHeight="1">
      <c r="A211" s="106">
        <v>45717.0</v>
      </c>
      <c r="B211" s="107">
        <v>5346222.0</v>
      </c>
      <c r="C211" s="107" t="s">
        <v>37</v>
      </c>
      <c r="D211" s="108">
        <v>0.27</v>
      </c>
      <c r="E211" s="17">
        <v>1138.0</v>
      </c>
      <c r="F211" s="17">
        <v>2.0</v>
      </c>
      <c r="G211" s="17">
        <v>3.0</v>
      </c>
      <c r="H211" s="17">
        <v>1133.0</v>
      </c>
      <c r="I211" s="107" t="s">
        <v>25</v>
      </c>
      <c r="J211" s="109">
        <v>140.1738</v>
      </c>
      <c r="K211" s="109">
        <v>140.1738</v>
      </c>
      <c r="L211" s="109">
        <v>140.1738</v>
      </c>
      <c r="M211" s="15">
        <v>1177.6</v>
      </c>
      <c r="N211" s="17">
        <f t="shared" si="25"/>
        <v>2315.6</v>
      </c>
      <c r="O211" s="105">
        <f t="shared" si="32"/>
        <v>159517.7844</v>
      </c>
      <c r="P211" s="89">
        <v>1095.75</v>
      </c>
      <c r="Q211" s="73">
        <f t="shared" si="33"/>
        <v>150.6444598</v>
      </c>
      <c r="R211" s="89">
        <f t="shared" si="14"/>
        <v>165068.6669</v>
      </c>
      <c r="S211" s="20">
        <f>IFERROR(__xludf.DUMMYFUNCTION("INDEX(IMPORTHTML(""https://www.bna.com.ar/Personas"", ""table"", 1), 2, 3)"),1465.0)</f>
        <v>1465</v>
      </c>
      <c r="T211" s="70">
        <f t="shared" si="34"/>
        <v>280281.5498</v>
      </c>
      <c r="U211" s="71">
        <f t="shared" si="16"/>
        <v>235.52</v>
      </c>
      <c r="V211" s="110">
        <f t="shared" si="39"/>
        <v>10.70545455</v>
      </c>
      <c r="W211" s="111">
        <f t="shared" si="35"/>
        <v>0.5085506996</v>
      </c>
      <c r="X211" s="105">
        <f t="shared" si="36"/>
        <v>324586.4513</v>
      </c>
      <c r="Y211" s="105"/>
    </row>
    <row r="212" ht="15.75" customHeight="1">
      <c r="A212" s="113">
        <v>45717.0</v>
      </c>
      <c r="B212" s="114">
        <v>3025373.0</v>
      </c>
      <c r="C212" s="114" t="s">
        <v>35</v>
      </c>
      <c r="D212" s="115">
        <v>0.27</v>
      </c>
      <c r="E212" s="42">
        <v>7171.0</v>
      </c>
      <c r="F212" s="42">
        <v>1862.0</v>
      </c>
      <c r="G212" s="42">
        <v>2144.0</v>
      </c>
      <c r="H212" s="42">
        <v>3165.0</v>
      </c>
      <c r="I212" s="114" t="s">
        <v>36</v>
      </c>
      <c r="J212" s="116">
        <v>220.0869</v>
      </c>
      <c r="K212" s="116">
        <v>217.3784</v>
      </c>
      <c r="L212" s="116">
        <v>218.5741</v>
      </c>
      <c r="M212" s="44">
        <v>2174.7</v>
      </c>
      <c r="N212" s="42">
        <f t="shared" si="25"/>
        <v>9345.7</v>
      </c>
      <c r="O212" s="117">
        <f t="shared" si="32"/>
        <v>1567648.124</v>
      </c>
      <c r="P212" s="118">
        <v>1095.75</v>
      </c>
      <c r="Q212" s="119">
        <f t="shared" si="33"/>
        <v>433.7970297</v>
      </c>
      <c r="R212" s="118">
        <f t="shared" si="14"/>
        <v>475333.0953</v>
      </c>
      <c r="S212" s="46">
        <f>IFERROR(__xludf.DUMMYFUNCTION("INDEX(IMPORTHTML(""https://www.bna.com.ar/Personas"", ""table"", 1), 2, 3)"),1465.0)</f>
        <v>1465</v>
      </c>
      <c r="T212" s="120">
        <f t="shared" si="34"/>
        <v>807101.0636</v>
      </c>
      <c r="U212" s="121">
        <f t="shared" si="16"/>
        <v>434.94</v>
      </c>
      <c r="V212" s="122">
        <f t="shared" si="39"/>
        <v>19.77</v>
      </c>
      <c r="W212" s="123">
        <f t="shared" si="35"/>
        <v>0.2326664048</v>
      </c>
      <c r="X212" s="117">
        <f t="shared" si="36"/>
        <v>2042981.219</v>
      </c>
      <c r="Y212" s="117"/>
    </row>
    <row r="213" ht="15.75" customHeight="1">
      <c r="A213" s="93">
        <v>45713.0</v>
      </c>
      <c r="B213" s="95">
        <v>5238577.0</v>
      </c>
      <c r="C213" s="95" t="s">
        <v>44</v>
      </c>
      <c r="D213" s="96">
        <v>0.27</v>
      </c>
      <c r="E213" s="56">
        <v>2863.0</v>
      </c>
      <c r="F213" s="56"/>
      <c r="G213" s="56"/>
      <c r="H213" s="56">
        <v>2863.0</v>
      </c>
      <c r="I213" s="95" t="s">
        <v>25</v>
      </c>
      <c r="J213" s="97">
        <v>137.1997</v>
      </c>
      <c r="K213" s="97">
        <v>137.1997</v>
      </c>
      <c r="L213" s="97">
        <v>137.1997</v>
      </c>
      <c r="M213" s="52">
        <v>587.7</v>
      </c>
      <c r="N213" s="56">
        <f t="shared" si="25"/>
        <v>3450.7</v>
      </c>
      <c r="O213" s="98">
        <f t="shared" si="32"/>
        <v>392802.7411</v>
      </c>
      <c r="P213" s="99">
        <v>1086.0</v>
      </c>
      <c r="Q213" s="100">
        <f t="shared" si="33"/>
        <v>74.24701997</v>
      </c>
      <c r="R213" s="99">
        <f t="shared" si="14"/>
        <v>80632.26369</v>
      </c>
      <c r="S213" s="20">
        <f>IFERROR(__xludf.DUMMYFUNCTION("INDEX(IMPORTHTML(""https://www.bna.com.ar/Personas"", ""table"", 1), 2, 3)"),1465.0)</f>
        <v>1465</v>
      </c>
      <c r="T213" s="101">
        <f t="shared" si="34"/>
        <v>138140.293</v>
      </c>
      <c r="U213" s="102">
        <f t="shared" si="16"/>
        <v>117.54</v>
      </c>
      <c r="V213" s="103">
        <f t="shared" si="39"/>
        <v>5.342727273</v>
      </c>
      <c r="W213" s="104">
        <f t="shared" si="35"/>
        <v>0.1703132698</v>
      </c>
      <c r="X213" s="98">
        <f t="shared" si="36"/>
        <v>473435.0048</v>
      </c>
      <c r="Y213" s="105"/>
    </row>
    <row r="214" ht="15.75" customHeight="1">
      <c r="A214" s="106">
        <v>45713.0</v>
      </c>
      <c r="B214" s="112">
        <v>5253773.0</v>
      </c>
      <c r="C214" s="112" t="s">
        <v>43</v>
      </c>
      <c r="D214" s="108">
        <v>0.21</v>
      </c>
      <c r="E214" s="17">
        <v>611.0</v>
      </c>
      <c r="F214" s="17">
        <v>214.0</v>
      </c>
      <c r="G214" s="17">
        <v>109.0</v>
      </c>
      <c r="H214" s="17">
        <v>288.0</v>
      </c>
      <c r="I214" s="107" t="s">
        <v>32</v>
      </c>
      <c r="J214" s="109">
        <v>204.2284</v>
      </c>
      <c r="K214" s="109">
        <v>204.2284</v>
      </c>
      <c r="L214" s="109">
        <v>204.2284</v>
      </c>
      <c r="M214" s="15">
        <v>359.1</v>
      </c>
      <c r="N214" s="17">
        <f t="shared" si="25"/>
        <v>970.1</v>
      </c>
      <c r="O214" s="105">
        <f t="shared" si="32"/>
        <v>124783.5524</v>
      </c>
      <c r="P214" s="89">
        <v>1086.0</v>
      </c>
      <c r="Q214" s="73">
        <f t="shared" si="33"/>
        <v>67.53077204</v>
      </c>
      <c r="R214" s="89">
        <f t="shared" si="14"/>
        <v>73338.41844</v>
      </c>
      <c r="S214" s="20">
        <f>IFERROR(__xludf.DUMMYFUNCTION("INDEX(IMPORTHTML(""https://www.bna.com.ar/Personas"", ""table"", 1), 2, 3)"),1465.0)</f>
        <v>1465</v>
      </c>
      <c r="T214" s="70">
        <f t="shared" si="34"/>
        <v>119708.4231</v>
      </c>
      <c r="U214" s="71">
        <f t="shared" si="16"/>
        <v>71.82</v>
      </c>
      <c r="V214" s="110">
        <f t="shared" si="39"/>
        <v>3.264545455</v>
      </c>
      <c r="W214" s="111">
        <f t="shared" si="35"/>
        <v>0.3701680239</v>
      </c>
      <c r="X214" s="105">
        <f t="shared" si="36"/>
        <v>198121.9708</v>
      </c>
      <c r="Y214" s="105"/>
    </row>
    <row r="215" ht="15.75" customHeight="1">
      <c r="A215" s="106">
        <v>45714.0</v>
      </c>
      <c r="B215" s="66">
        <v>5346470.0</v>
      </c>
      <c r="C215" s="107" t="s">
        <v>62</v>
      </c>
      <c r="D215" s="108">
        <v>0.27</v>
      </c>
      <c r="E215" s="17">
        <v>10461.0</v>
      </c>
      <c r="F215" s="17">
        <v>2100.0</v>
      </c>
      <c r="G215" s="17">
        <v>1857.0</v>
      </c>
      <c r="H215" s="17">
        <v>6504.0</v>
      </c>
      <c r="I215" s="107" t="s">
        <v>29</v>
      </c>
      <c r="J215" s="109">
        <v>136.7573</v>
      </c>
      <c r="K215" s="109">
        <v>134.1149</v>
      </c>
      <c r="L215" s="109">
        <v>135.2813</v>
      </c>
      <c r="M215" s="15">
        <v>359.1</v>
      </c>
      <c r="N215" s="17">
        <f t="shared" si="25"/>
        <v>10820.1</v>
      </c>
      <c r="O215" s="105">
        <f t="shared" si="32"/>
        <v>1416111.275</v>
      </c>
      <c r="P215" s="89">
        <v>1086.0</v>
      </c>
      <c r="Q215" s="73">
        <f t="shared" si="33"/>
        <v>44.73251826</v>
      </c>
      <c r="R215" s="89">
        <f t="shared" si="14"/>
        <v>48579.51483</v>
      </c>
      <c r="S215" s="20">
        <f>IFERROR(__xludf.DUMMYFUNCTION("INDEX(IMPORTHTML(""https://www.bna.com.ar/Personas"", ""table"", 1), 2, 3)"),1465.0)</f>
        <v>1465</v>
      </c>
      <c r="T215" s="70">
        <f t="shared" si="34"/>
        <v>83227.08685</v>
      </c>
      <c r="U215" s="71">
        <f t="shared" si="16"/>
        <v>71.82</v>
      </c>
      <c r="V215" s="110">
        <f t="shared" si="39"/>
        <v>3.264545455</v>
      </c>
      <c r="W215" s="111">
        <f t="shared" si="35"/>
        <v>0.0331670788</v>
      </c>
      <c r="X215" s="105">
        <f t="shared" si="36"/>
        <v>1464690.789</v>
      </c>
      <c r="Y215" s="105"/>
    </row>
    <row r="216" ht="15.75" customHeight="1">
      <c r="A216" s="106">
        <v>45713.0</v>
      </c>
      <c r="B216" s="112">
        <v>5352763.0</v>
      </c>
      <c r="C216" s="112" t="s">
        <v>66</v>
      </c>
      <c r="D216" s="108">
        <v>0.27</v>
      </c>
      <c r="E216" s="17">
        <v>2711.0</v>
      </c>
      <c r="F216" s="17">
        <v>544.0</v>
      </c>
      <c r="G216" s="17">
        <v>309.0</v>
      </c>
      <c r="H216" s="17">
        <v>1858.0</v>
      </c>
      <c r="I216" s="107" t="s">
        <v>25</v>
      </c>
      <c r="J216" s="109">
        <v>137.1997</v>
      </c>
      <c r="K216" s="109">
        <v>137.1997</v>
      </c>
      <c r="L216" s="109">
        <v>137.1997</v>
      </c>
      <c r="M216" s="15">
        <v>783.1</v>
      </c>
      <c r="N216" s="17">
        <f t="shared" si="25"/>
        <v>3494.1</v>
      </c>
      <c r="O216" s="105">
        <f t="shared" si="32"/>
        <v>371948.3867</v>
      </c>
      <c r="P216" s="89">
        <v>1086.0</v>
      </c>
      <c r="Q216" s="73">
        <f t="shared" si="33"/>
        <v>98.93285918</v>
      </c>
      <c r="R216" s="89">
        <f t="shared" si="14"/>
        <v>107441.0851</v>
      </c>
      <c r="S216" s="20">
        <f>IFERROR(__xludf.DUMMYFUNCTION("INDEX(IMPORTHTML(""https://www.bna.com.ar/Personas"", ""table"", 1), 2, 3)"),1465.0)</f>
        <v>1465</v>
      </c>
      <c r="T216" s="70">
        <f t="shared" si="34"/>
        <v>184069.5311</v>
      </c>
      <c r="U216" s="71">
        <f t="shared" si="16"/>
        <v>156.62</v>
      </c>
      <c r="V216" s="110">
        <f t="shared" si="39"/>
        <v>7.119090909</v>
      </c>
      <c r="W216" s="111">
        <f t="shared" si="35"/>
        <v>0.2241206605</v>
      </c>
      <c r="X216" s="105">
        <f t="shared" si="36"/>
        <v>479389.4718</v>
      </c>
      <c r="Y216" s="105"/>
    </row>
    <row r="217" ht="15.75" customHeight="1">
      <c r="A217" s="106">
        <v>45713.0</v>
      </c>
      <c r="B217" s="112">
        <v>3092029.0</v>
      </c>
      <c r="C217" s="112" t="s">
        <v>42</v>
      </c>
      <c r="D217" s="108">
        <v>0.27</v>
      </c>
      <c r="E217" s="17">
        <v>14460.0</v>
      </c>
      <c r="F217" s="17">
        <v>4560.0</v>
      </c>
      <c r="G217" s="17">
        <v>2280.0</v>
      </c>
      <c r="H217" s="17">
        <v>7620.0</v>
      </c>
      <c r="I217" s="107" t="s">
        <v>29</v>
      </c>
      <c r="J217" s="109">
        <v>136.7573</v>
      </c>
      <c r="K217" s="109">
        <v>134.1149</v>
      </c>
      <c r="L217" s="109">
        <v>135.2813</v>
      </c>
      <c r="M217" s="15">
        <v>3742.6</v>
      </c>
      <c r="N217" s="17">
        <f t="shared" si="25"/>
        <v>18202.6</v>
      </c>
      <c r="O217" s="105">
        <f t="shared" si="32"/>
        <v>1960238.766</v>
      </c>
      <c r="P217" s="89">
        <v>1086.0</v>
      </c>
      <c r="Q217" s="73">
        <f t="shared" si="33"/>
        <v>466.2097545</v>
      </c>
      <c r="R217" s="89">
        <f t="shared" si="14"/>
        <v>506303.7934</v>
      </c>
      <c r="S217" s="20">
        <f>IFERROR(__xludf.DUMMYFUNCTION("INDEX(IMPORTHTML(""https://www.bna.com.ar/Personas"", ""table"", 1), 2, 3)"),1465.0)</f>
        <v>1465</v>
      </c>
      <c r="T217" s="70">
        <f t="shared" si="34"/>
        <v>867406.5587</v>
      </c>
      <c r="U217" s="71">
        <f t="shared" si="16"/>
        <v>748.52</v>
      </c>
      <c r="V217" s="110">
        <f t="shared" si="39"/>
        <v>34.02363636</v>
      </c>
      <c r="W217" s="111">
        <f t="shared" si="35"/>
        <v>0.2052686225</v>
      </c>
      <c r="X217" s="105">
        <f t="shared" si="36"/>
        <v>2466542.559</v>
      </c>
      <c r="Y217" s="105"/>
    </row>
    <row r="218" ht="15.75" customHeight="1">
      <c r="A218" s="106">
        <v>45713.0</v>
      </c>
      <c r="B218" s="112">
        <v>5076619.0</v>
      </c>
      <c r="C218" s="112" t="s">
        <v>41</v>
      </c>
      <c r="D218" s="108">
        <v>0.27</v>
      </c>
      <c r="E218" s="17">
        <v>3592.0</v>
      </c>
      <c r="F218" s="17">
        <v>1076.0</v>
      </c>
      <c r="G218" s="17">
        <v>891.0</v>
      </c>
      <c r="H218" s="17">
        <v>1625.0</v>
      </c>
      <c r="I218" s="107" t="s">
        <v>29</v>
      </c>
      <c r="J218" s="109">
        <v>136.7573</v>
      </c>
      <c r="K218" s="109">
        <v>134.1149</v>
      </c>
      <c r="L218" s="109">
        <v>135.2813</v>
      </c>
      <c r="M218" s="15">
        <v>0.0</v>
      </c>
      <c r="N218" s="17">
        <f t="shared" si="25"/>
        <v>3592</v>
      </c>
      <c r="O218" s="105">
        <f t="shared" si="32"/>
        <v>486479.3432</v>
      </c>
      <c r="P218" s="89">
        <v>1086.0</v>
      </c>
      <c r="Q218" s="73">
        <f t="shared" si="33"/>
        <v>0</v>
      </c>
      <c r="R218" s="89">
        <f t="shared" si="14"/>
        <v>0</v>
      </c>
      <c r="S218" s="20">
        <f>IFERROR(__xludf.DUMMYFUNCTION("INDEX(IMPORTHTML(""https://www.bna.com.ar/Personas"", ""table"", 1), 2, 3)"),1465.0)</f>
        <v>1465</v>
      </c>
      <c r="T218" s="70">
        <f t="shared" si="34"/>
        <v>0</v>
      </c>
      <c r="U218" s="71">
        <f t="shared" si="16"/>
        <v>0</v>
      </c>
      <c r="V218" s="110">
        <f t="shared" si="39"/>
        <v>0</v>
      </c>
      <c r="W218" s="111">
        <f t="shared" si="35"/>
        <v>0</v>
      </c>
      <c r="X218" s="105">
        <f t="shared" si="36"/>
        <v>486479.3432</v>
      </c>
      <c r="Y218" s="105"/>
    </row>
    <row r="219" ht="15.75" customHeight="1">
      <c r="A219" s="106">
        <v>45713.0</v>
      </c>
      <c r="B219" s="107">
        <v>4000681.0</v>
      </c>
      <c r="C219" s="107" t="s">
        <v>40</v>
      </c>
      <c r="D219" s="108">
        <v>0.27</v>
      </c>
      <c r="E219" s="17">
        <v>4262.0</v>
      </c>
      <c r="F219" s="17">
        <v>681.0</v>
      </c>
      <c r="G219" s="17">
        <v>741.0</v>
      </c>
      <c r="H219" s="17">
        <v>2840.0</v>
      </c>
      <c r="I219" s="107" t="s">
        <v>25</v>
      </c>
      <c r="J219" s="109">
        <v>137.1997</v>
      </c>
      <c r="K219" s="109">
        <v>137.1997</v>
      </c>
      <c r="L219" s="109">
        <v>137.1997</v>
      </c>
      <c r="M219" s="15">
        <v>1308.8</v>
      </c>
      <c r="N219" s="17">
        <f t="shared" si="25"/>
        <v>5570.8</v>
      </c>
      <c r="O219" s="105">
        <f t="shared" si="32"/>
        <v>584745.1214</v>
      </c>
      <c r="P219" s="89">
        <v>1086.0</v>
      </c>
      <c r="Q219" s="73">
        <f t="shared" si="33"/>
        <v>165.3471154</v>
      </c>
      <c r="R219" s="89">
        <f t="shared" si="14"/>
        <v>179566.9674</v>
      </c>
      <c r="S219" s="20">
        <f>IFERROR(__xludf.DUMMYFUNCTION("INDEX(IMPORTHTML(""https://www.bna.com.ar/Personas"", ""table"", 1), 2, 3)"),1465.0)</f>
        <v>1465</v>
      </c>
      <c r="T219" s="70">
        <f t="shared" si="34"/>
        <v>307636.5756</v>
      </c>
      <c r="U219" s="71">
        <f t="shared" si="16"/>
        <v>261.76</v>
      </c>
      <c r="V219" s="110">
        <f t="shared" si="39"/>
        <v>11.89818182</v>
      </c>
      <c r="W219" s="111">
        <f t="shared" si="35"/>
        <v>0.2349393265</v>
      </c>
      <c r="X219" s="105">
        <f t="shared" si="36"/>
        <v>764312.0888</v>
      </c>
      <c r="Y219" s="105"/>
    </row>
    <row r="220" ht="15.75" customHeight="1">
      <c r="A220" s="106">
        <v>45713.0</v>
      </c>
      <c r="B220" s="112">
        <v>5253775.0</v>
      </c>
      <c r="C220" s="112" t="s">
        <v>39</v>
      </c>
      <c r="D220" s="108">
        <v>0.21</v>
      </c>
      <c r="E220" s="17">
        <v>541.0</v>
      </c>
      <c r="F220" s="17"/>
      <c r="G220" s="17"/>
      <c r="H220" s="17">
        <v>541.0</v>
      </c>
      <c r="I220" s="107" t="s">
        <v>32</v>
      </c>
      <c r="J220" s="109">
        <v>204.2284</v>
      </c>
      <c r="K220" s="109">
        <v>204.2284</v>
      </c>
      <c r="L220" s="109">
        <v>204.2284</v>
      </c>
      <c r="M220" s="15">
        <v>146.4</v>
      </c>
      <c r="N220" s="17">
        <f t="shared" si="25"/>
        <v>687.4</v>
      </c>
      <c r="O220" s="105">
        <f t="shared" si="32"/>
        <v>110487.5644</v>
      </c>
      <c r="P220" s="89">
        <v>1086.0</v>
      </c>
      <c r="Q220" s="73">
        <f t="shared" si="33"/>
        <v>27.53134232</v>
      </c>
      <c r="R220" s="89">
        <f t="shared" si="14"/>
        <v>29899.03776</v>
      </c>
      <c r="S220" s="20">
        <f>IFERROR(__xludf.DUMMYFUNCTION("INDEX(IMPORTHTML(""https://www.bna.com.ar/Personas"", ""table"", 1), 2, 3)"),1465.0)</f>
        <v>1465</v>
      </c>
      <c r="T220" s="70">
        <f t="shared" si="34"/>
        <v>48803.43396</v>
      </c>
      <c r="U220" s="71">
        <f t="shared" si="16"/>
        <v>29.28</v>
      </c>
      <c r="V220" s="110">
        <f t="shared" si="39"/>
        <v>1.330909091</v>
      </c>
      <c r="W220" s="111">
        <f t="shared" si="35"/>
        <v>0.2129764329</v>
      </c>
      <c r="X220" s="105">
        <f t="shared" si="36"/>
        <v>140386.6022</v>
      </c>
      <c r="Y220" s="105"/>
    </row>
    <row r="221" ht="15.75" customHeight="1">
      <c r="A221" s="106">
        <v>45713.0</v>
      </c>
      <c r="B221" s="107">
        <v>5211887.0</v>
      </c>
      <c r="C221" s="107" t="s">
        <v>38</v>
      </c>
      <c r="D221" s="108">
        <v>0.27</v>
      </c>
      <c r="E221" s="17">
        <v>3289.0</v>
      </c>
      <c r="F221" s="17"/>
      <c r="G221" s="17"/>
      <c r="H221" s="17">
        <v>3289.0</v>
      </c>
      <c r="I221" s="107" t="s">
        <v>25</v>
      </c>
      <c r="J221" s="109">
        <v>137.1997</v>
      </c>
      <c r="K221" s="109">
        <v>137.1997</v>
      </c>
      <c r="L221" s="109">
        <v>137.1997</v>
      </c>
      <c r="M221" s="15">
        <v>1307.7</v>
      </c>
      <c r="N221" s="17">
        <f t="shared" si="25"/>
        <v>4596.7</v>
      </c>
      <c r="O221" s="105">
        <f t="shared" si="32"/>
        <v>451249.8133</v>
      </c>
      <c r="P221" s="89">
        <v>1086.0</v>
      </c>
      <c r="Q221" s="73">
        <f t="shared" si="33"/>
        <v>165.208147</v>
      </c>
      <c r="R221" s="89">
        <f t="shared" si="14"/>
        <v>179416.0477</v>
      </c>
      <c r="S221" s="20">
        <f>IFERROR(__xludf.DUMMYFUNCTION("INDEX(IMPORTHTML(""https://www.bna.com.ar/Personas"", ""table"", 1), 2, 3)"),1465.0)</f>
        <v>1465</v>
      </c>
      <c r="T221" s="70">
        <f t="shared" si="34"/>
        <v>307378.018</v>
      </c>
      <c r="U221" s="71">
        <f t="shared" si="16"/>
        <v>261.54</v>
      </c>
      <c r="V221" s="110">
        <f t="shared" si="39"/>
        <v>11.88818182</v>
      </c>
      <c r="W221" s="111">
        <f t="shared" si="35"/>
        <v>0.284486697</v>
      </c>
      <c r="X221" s="105">
        <f t="shared" si="36"/>
        <v>630665.861</v>
      </c>
      <c r="Y221" s="105"/>
    </row>
    <row r="222" ht="15.75" customHeight="1">
      <c r="A222" s="106">
        <v>45713.0</v>
      </c>
      <c r="B222" s="107">
        <v>5346222.0</v>
      </c>
      <c r="C222" s="107" t="s">
        <v>37</v>
      </c>
      <c r="D222" s="108">
        <v>0.27</v>
      </c>
      <c r="E222" s="17">
        <v>617.0</v>
      </c>
      <c r="F222" s="17">
        <v>2.0</v>
      </c>
      <c r="G222" s="17">
        <v>3.0</v>
      </c>
      <c r="H222" s="17">
        <v>612.0</v>
      </c>
      <c r="I222" s="107" t="s">
        <v>25</v>
      </c>
      <c r="J222" s="109">
        <v>137.1997</v>
      </c>
      <c r="K222" s="109">
        <v>137.1997</v>
      </c>
      <c r="L222" s="109">
        <v>137.1997</v>
      </c>
      <c r="M222" s="15">
        <v>892.9</v>
      </c>
      <c r="N222" s="17">
        <f t="shared" si="25"/>
        <v>1509.9</v>
      </c>
      <c r="O222" s="105">
        <f t="shared" si="32"/>
        <v>84652.2149</v>
      </c>
      <c r="P222" s="89">
        <v>1086.0</v>
      </c>
      <c r="Q222" s="73">
        <f t="shared" si="33"/>
        <v>112.8044311</v>
      </c>
      <c r="R222" s="89">
        <f t="shared" si="14"/>
        <v>122505.6121</v>
      </c>
      <c r="S222" s="20">
        <f>IFERROR(__xludf.DUMMYFUNCTION("INDEX(IMPORTHTML(""https://www.bna.com.ar/Personas"", ""table"", 1), 2, 3)"),1465.0)</f>
        <v>1465</v>
      </c>
      <c r="T222" s="70">
        <f t="shared" si="34"/>
        <v>209878.2842</v>
      </c>
      <c r="U222" s="71">
        <f t="shared" si="16"/>
        <v>178.58</v>
      </c>
      <c r="V222" s="110">
        <f t="shared" si="39"/>
        <v>8.117272727</v>
      </c>
      <c r="W222" s="111">
        <f t="shared" si="35"/>
        <v>0.5913636665</v>
      </c>
      <c r="X222" s="105">
        <f t="shared" si="36"/>
        <v>207157.827</v>
      </c>
      <c r="Y222" s="105"/>
    </row>
    <row r="223" ht="15.75" customHeight="1">
      <c r="A223" s="113">
        <v>45713.0</v>
      </c>
      <c r="B223" s="114">
        <v>3025373.0</v>
      </c>
      <c r="C223" s="114" t="s">
        <v>35</v>
      </c>
      <c r="D223" s="115">
        <v>0.27</v>
      </c>
      <c r="E223" s="42">
        <v>55837.0</v>
      </c>
      <c r="F223" s="42">
        <v>13802.0</v>
      </c>
      <c r="G223" s="42">
        <v>15610.0</v>
      </c>
      <c r="H223" s="42">
        <v>26425.0</v>
      </c>
      <c r="I223" s="114" t="s">
        <v>36</v>
      </c>
      <c r="J223" s="116">
        <v>215.1441</v>
      </c>
      <c r="K223" s="116">
        <v>212.5016</v>
      </c>
      <c r="L223" s="116">
        <v>213.668</v>
      </c>
      <c r="M223" s="44">
        <v>8267.6</v>
      </c>
      <c r="N223" s="42">
        <f t="shared" si="25"/>
        <v>64104.6</v>
      </c>
      <c r="O223" s="117">
        <f t="shared" si="32"/>
        <v>11932745.74</v>
      </c>
      <c r="P223" s="118">
        <v>1086.0</v>
      </c>
      <c r="Q223" s="119">
        <f t="shared" si="33"/>
        <v>1626.631268</v>
      </c>
      <c r="R223" s="118">
        <f t="shared" si="14"/>
        <v>1766521.557</v>
      </c>
      <c r="S223" s="46">
        <f>IFERROR(__xludf.DUMMYFUNCTION("INDEX(IMPORTHTML(""https://www.bna.com.ar/Personas"", ""table"", 1), 2, 3)"),1465.0)</f>
        <v>1465</v>
      </c>
      <c r="T223" s="120">
        <f t="shared" si="34"/>
        <v>3026428.805</v>
      </c>
      <c r="U223" s="121">
        <f t="shared" si="16"/>
        <v>1653.52</v>
      </c>
      <c r="V223" s="122">
        <f t="shared" si="39"/>
        <v>75.16</v>
      </c>
      <c r="W223" s="123">
        <f t="shared" si="35"/>
        <v>0.1289500758</v>
      </c>
      <c r="X223" s="117">
        <f t="shared" si="36"/>
        <v>13699267.3</v>
      </c>
      <c r="Y223" s="117"/>
    </row>
    <row r="224" ht="15.75" customHeight="1">
      <c r="A224" s="106">
        <v>45683.0</v>
      </c>
      <c r="B224" s="107">
        <v>5238577.0</v>
      </c>
      <c r="C224" s="107" t="s">
        <v>44</v>
      </c>
      <c r="D224" s="108">
        <v>0.27</v>
      </c>
      <c r="E224" s="17">
        <v>1805.0</v>
      </c>
      <c r="F224" s="17"/>
      <c r="G224" s="17"/>
      <c r="H224" s="17">
        <v>1805.0</v>
      </c>
      <c r="I224" s="107" t="s">
        <v>25</v>
      </c>
      <c r="J224" s="109">
        <v>142.9</v>
      </c>
      <c r="K224" s="109">
        <v>142.9</v>
      </c>
      <c r="L224" s="109">
        <v>142.9</v>
      </c>
      <c r="M224" s="15">
        <v>359.8</v>
      </c>
      <c r="N224" s="17">
        <f t="shared" si="25"/>
        <v>2164.8</v>
      </c>
      <c r="O224" s="105">
        <f t="shared" si="32"/>
        <v>257934.5</v>
      </c>
      <c r="P224" s="89">
        <v>1075.5</v>
      </c>
      <c r="Q224" s="73">
        <f t="shared" si="33"/>
        <v>47.8060623</v>
      </c>
      <c r="R224" s="89">
        <f t="shared" si="14"/>
        <v>51415.42</v>
      </c>
      <c r="S224" s="20">
        <f>IFERROR(__xludf.DUMMYFUNCTION("INDEX(IMPORTHTML(""https://www.bna.com.ar/Personas"", ""table"", 1), 2, 3)"),1465.0)</f>
        <v>1465</v>
      </c>
      <c r="T224" s="70">
        <f t="shared" si="34"/>
        <v>88945.56921</v>
      </c>
      <c r="U224" s="71">
        <f t="shared" si="16"/>
        <v>71.96</v>
      </c>
      <c r="V224" s="110">
        <f t="shared" si="39"/>
        <v>3.270909091</v>
      </c>
      <c r="W224" s="111">
        <f t="shared" si="35"/>
        <v>0.1662047302</v>
      </c>
      <c r="X224" s="105">
        <f t="shared" si="36"/>
        <v>309349.92</v>
      </c>
      <c r="Y224" s="105"/>
    </row>
    <row r="225" ht="15.75" customHeight="1">
      <c r="A225" s="106">
        <v>45682.0</v>
      </c>
      <c r="B225" s="112">
        <v>5253773.0</v>
      </c>
      <c r="C225" s="112" t="s">
        <v>43</v>
      </c>
      <c r="D225" s="108">
        <v>0.21</v>
      </c>
      <c r="E225" s="17">
        <v>393.0</v>
      </c>
      <c r="F225" s="17">
        <v>106.0</v>
      </c>
      <c r="G225" s="17">
        <v>94.0</v>
      </c>
      <c r="H225" s="17">
        <v>193.0</v>
      </c>
      <c r="I225" s="112" t="s">
        <v>32</v>
      </c>
      <c r="J225" s="109">
        <v>190.9258</v>
      </c>
      <c r="K225" s="109">
        <v>190.9258</v>
      </c>
      <c r="L225" s="109">
        <v>190.9258</v>
      </c>
      <c r="M225" s="15">
        <v>305.4</v>
      </c>
      <c r="N225" s="17">
        <f t="shared" si="25"/>
        <v>698.4</v>
      </c>
      <c r="O225" s="105">
        <f t="shared" si="32"/>
        <v>75033.8394</v>
      </c>
      <c r="P225" s="89">
        <v>1075.5</v>
      </c>
      <c r="Q225" s="73">
        <f t="shared" si="33"/>
        <v>54.21547124</v>
      </c>
      <c r="R225" s="89">
        <f t="shared" si="14"/>
        <v>58308.73932</v>
      </c>
      <c r="S225" s="20">
        <f>IFERROR(__xludf.DUMMYFUNCTION("INDEX(IMPORTHTML(""https://www.bna.com.ar/Personas"", ""table"", 1), 2, 3)"),1465.0)</f>
        <v>1465</v>
      </c>
      <c r="T225" s="70">
        <f t="shared" si="34"/>
        <v>96105.0551</v>
      </c>
      <c r="U225" s="71">
        <f t="shared" si="16"/>
        <v>61.08</v>
      </c>
      <c r="V225" s="110">
        <f t="shared" si="39"/>
        <v>2.776363636</v>
      </c>
      <c r="W225" s="111">
        <f t="shared" si="35"/>
        <v>0.4372852234</v>
      </c>
      <c r="X225" s="105">
        <f t="shared" si="36"/>
        <v>133342.5787</v>
      </c>
      <c r="Y225" s="105"/>
    </row>
    <row r="226" ht="15.75" customHeight="1">
      <c r="A226" s="106">
        <v>45683.0</v>
      </c>
      <c r="B226" s="66">
        <v>5346470.0</v>
      </c>
      <c r="C226" s="107" t="s">
        <v>62</v>
      </c>
      <c r="D226" s="108">
        <v>0.27</v>
      </c>
      <c r="E226" s="17">
        <v>4632.0</v>
      </c>
      <c r="F226" s="17">
        <v>1116.0</v>
      </c>
      <c r="G226" s="17">
        <v>2055.0</v>
      </c>
      <c r="H226" s="17">
        <v>1461.0</v>
      </c>
      <c r="I226" s="107" t="s">
        <v>29</v>
      </c>
      <c r="J226" s="109">
        <v>143.7049</v>
      </c>
      <c r="K226" s="109">
        <v>139.1776</v>
      </c>
      <c r="L226" s="109">
        <v>140.8279</v>
      </c>
      <c r="M226" s="15">
        <v>350.3</v>
      </c>
      <c r="N226" s="17">
        <f t="shared" si="25"/>
        <v>4982.3</v>
      </c>
      <c r="O226" s="105">
        <f t="shared" si="32"/>
        <v>652134.1983</v>
      </c>
      <c r="P226" s="89">
        <v>1075.5</v>
      </c>
      <c r="Q226" s="73">
        <f t="shared" si="33"/>
        <v>45.86891062</v>
      </c>
      <c r="R226" s="89">
        <f t="shared" si="14"/>
        <v>49332.01337</v>
      </c>
      <c r="S226" s="20">
        <f>IFERROR(__xludf.DUMMYFUNCTION("INDEX(IMPORTHTML(""https://www.bna.com.ar/Personas"", ""table"", 1), 2, 3)"),1465.0)</f>
        <v>1465</v>
      </c>
      <c r="T226" s="70">
        <f t="shared" si="34"/>
        <v>85341.40165</v>
      </c>
      <c r="U226" s="71">
        <f t="shared" si="16"/>
        <v>70.06</v>
      </c>
      <c r="V226" s="110">
        <f t="shared" si="39"/>
        <v>3.184545455</v>
      </c>
      <c r="W226" s="111">
        <f t="shared" si="35"/>
        <v>0.07032699872</v>
      </c>
      <c r="X226" s="105">
        <f t="shared" si="36"/>
        <v>701466.2117</v>
      </c>
      <c r="Y226" s="105"/>
    </row>
    <row r="227" ht="15.75" customHeight="1">
      <c r="A227" s="106">
        <v>45682.0</v>
      </c>
      <c r="B227" s="112">
        <v>5352763.0</v>
      </c>
      <c r="C227" s="112" t="s">
        <v>66</v>
      </c>
      <c r="D227" s="108">
        <v>0.27</v>
      </c>
      <c r="E227" s="17">
        <v>2503.0</v>
      </c>
      <c r="F227" s="17">
        <v>637.0</v>
      </c>
      <c r="G227" s="17">
        <v>334.0</v>
      </c>
      <c r="H227" s="17">
        <v>1532.0</v>
      </c>
      <c r="I227" s="107" t="s">
        <v>25</v>
      </c>
      <c r="J227" s="109">
        <v>142.9</v>
      </c>
      <c r="K227" s="109">
        <v>142.9</v>
      </c>
      <c r="L227" s="109">
        <v>142.9</v>
      </c>
      <c r="M227" s="15">
        <v>819.5</v>
      </c>
      <c r="N227" s="17">
        <f t="shared" si="25"/>
        <v>3322.5</v>
      </c>
      <c r="O227" s="105">
        <f t="shared" si="32"/>
        <v>357678.7</v>
      </c>
      <c r="P227" s="89">
        <v>1075.5</v>
      </c>
      <c r="Q227" s="73">
        <f t="shared" si="33"/>
        <v>108.8856811</v>
      </c>
      <c r="R227" s="89">
        <f t="shared" si="14"/>
        <v>117106.55</v>
      </c>
      <c r="S227" s="20">
        <f>IFERROR(__xludf.DUMMYFUNCTION("INDEX(IMPORTHTML(""https://www.bna.com.ar/Personas"", ""table"", 1), 2, 3)"),1465.0)</f>
        <v>1465</v>
      </c>
      <c r="T227" s="70">
        <f t="shared" si="34"/>
        <v>202587.2539</v>
      </c>
      <c r="U227" s="71">
        <f t="shared" si="16"/>
        <v>163.9</v>
      </c>
      <c r="V227" s="110">
        <f t="shared" si="39"/>
        <v>7.45</v>
      </c>
      <c r="W227" s="111">
        <f t="shared" si="35"/>
        <v>0.2466516178</v>
      </c>
      <c r="X227" s="105">
        <f t="shared" si="36"/>
        <v>474785.25</v>
      </c>
      <c r="Y227" s="105"/>
    </row>
    <row r="228" ht="15.75" customHeight="1">
      <c r="A228" s="106">
        <v>45682.0</v>
      </c>
      <c r="B228" s="112">
        <v>3092029.0</v>
      </c>
      <c r="C228" s="112" t="s">
        <v>42</v>
      </c>
      <c r="D228" s="108">
        <v>0.27</v>
      </c>
      <c r="E228" s="17">
        <v>14430.0</v>
      </c>
      <c r="F228" s="17">
        <v>4260.0</v>
      </c>
      <c r="G228" s="17">
        <v>2250.0</v>
      </c>
      <c r="H228" s="17">
        <v>7920.0</v>
      </c>
      <c r="I228" s="107" t="s">
        <v>29</v>
      </c>
      <c r="J228" s="109">
        <v>143.7049</v>
      </c>
      <c r="K228" s="109">
        <v>139.1776</v>
      </c>
      <c r="L228" s="109">
        <v>140.8279</v>
      </c>
      <c r="M228" s="15">
        <v>3429.1</v>
      </c>
      <c r="N228" s="17">
        <f t="shared" si="25"/>
        <v>17859.1</v>
      </c>
      <c r="O228" s="105">
        <f t="shared" si="32"/>
        <v>2040689.442</v>
      </c>
      <c r="P228" s="89">
        <v>1075.5</v>
      </c>
      <c r="Q228" s="73">
        <f t="shared" si="33"/>
        <v>449.0125076</v>
      </c>
      <c r="R228" s="89">
        <f t="shared" si="14"/>
        <v>482912.9519</v>
      </c>
      <c r="S228" s="20">
        <f>IFERROR(__xludf.DUMMYFUNCTION("INDEX(IMPORTHTML(""https://www.bna.com.ar/Personas"", ""table"", 1), 2, 3)"),1465.0)</f>
        <v>1465</v>
      </c>
      <c r="T228" s="70">
        <f t="shared" si="34"/>
        <v>835410.221</v>
      </c>
      <c r="U228" s="71">
        <f t="shared" si="16"/>
        <v>685.82</v>
      </c>
      <c r="V228" s="110">
        <f t="shared" si="39"/>
        <v>31.17363636</v>
      </c>
      <c r="W228" s="111">
        <f t="shared" si="35"/>
        <v>0.1913585726</v>
      </c>
      <c r="X228" s="109">
        <f t="shared" si="36"/>
        <v>2523602.394</v>
      </c>
      <c r="Y228" s="109"/>
    </row>
    <row r="229" ht="15.75" customHeight="1">
      <c r="A229" s="106">
        <v>45682.0</v>
      </c>
      <c r="B229" s="112">
        <v>5076619.0</v>
      </c>
      <c r="C229" s="112" t="s">
        <v>41</v>
      </c>
      <c r="D229" s="108">
        <v>0.27</v>
      </c>
      <c r="E229" s="17">
        <v>3625.0</v>
      </c>
      <c r="F229" s="17">
        <v>1187.0</v>
      </c>
      <c r="G229" s="17">
        <v>912.0</v>
      </c>
      <c r="H229" s="17">
        <v>1526.0</v>
      </c>
      <c r="I229" s="107" t="s">
        <v>29</v>
      </c>
      <c r="J229" s="109">
        <v>143.7049</v>
      </c>
      <c r="K229" s="109">
        <v>139.1776</v>
      </c>
      <c r="L229" s="109">
        <v>140.8279</v>
      </c>
      <c r="M229" s="15">
        <v>0.0</v>
      </c>
      <c r="N229" s="17">
        <f t="shared" si="25"/>
        <v>3625</v>
      </c>
      <c r="O229" s="105">
        <f t="shared" si="32"/>
        <v>512411.0629</v>
      </c>
      <c r="P229" s="89">
        <v>1075.5</v>
      </c>
      <c r="Q229" s="73">
        <f t="shared" si="33"/>
        <v>0</v>
      </c>
      <c r="R229" s="89">
        <f t="shared" si="14"/>
        <v>0</v>
      </c>
      <c r="S229" s="20">
        <f>IFERROR(__xludf.DUMMYFUNCTION("INDEX(IMPORTHTML(""https://www.bna.com.ar/Personas"", ""table"", 1), 2, 3)"),1465.0)</f>
        <v>1465</v>
      </c>
      <c r="T229" s="70">
        <f t="shared" si="34"/>
        <v>0</v>
      </c>
      <c r="U229" s="71">
        <f t="shared" si="16"/>
        <v>0</v>
      </c>
      <c r="V229" s="110">
        <f t="shared" si="39"/>
        <v>0</v>
      </c>
      <c r="W229" s="111">
        <f t="shared" si="35"/>
        <v>0</v>
      </c>
      <c r="X229" s="109">
        <f t="shared" si="36"/>
        <v>512411.0629</v>
      </c>
      <c r="Y229" s="109"/>
    </row>
    <row r="230" ht="15.75" customHeight="1">
      <c r="A230" s="106">
        <v>45682.0</v>
      </c>
      <c r="B230" s="107">
        <v>4000681.0</v>
      </c>
      <c r="C230" s="107" t="s">
        <v>40</v>
      </c>
      <c r="D230" s="108">
        <v>0.27</v>
      </c>
      <c r="E230" s="17">
        <v>1058.0</v>
      </c>
      <c r="F230" s="17">
        <v>77.0</v>
      </c>
      <c r="G230" s="17">
        <v>77.0</v>
      </c>
      <c r="H230" s="17">
        <v>904.0</v>
      </c>
      <c r="I230" s="107" t="s">
        <v>25</v>
      </c>
      <c r="J230" s="109">
        <v>142.9</v>
      </c>
      <c r="K230" s="109">
        <v>142.9</v>
      </c>
      <c r="L230" s="109">
        <v>142.9</v>
      </c>
      <c r="M230" s="15">
        <v>252.4</v>
      </c>
      <c r="N230" s="17">
        <f t="shared" si="25"/>
        <v>1310.4</v>
      </c>
      <c r="O230" s="105">
        <f t="shared" si="32"/>
        <v>151188.2</v>
      </c>
      <c r="P230" s="89">
        <v>1075.5</v>
      </c>
      <c r="Q230" s="73">
        <f t="shared" si="33"/>
        <v>33.53599256</v>
      </c>
      <c r="R230" s="89">
        <f t="shared" si="14"/>
        <v>36067.96</v>
      </c>
      <c r="S230" s="20">
        <f>IFERROR(__xludf.DUMMYFUNCTION("INDEX(IMPORTHTML(""https://www.bna.com.ar/Personas"", ""table"", 1), 2, 3)"),1465.0)</f>
        <v>1465</v>
      </c>
      <c r="T230" s="70">
        <f t="shared" si="34"/>
        <v>62395.39096</v>
      </c>
      <c r="U230" s="71">
        <f t="shared" si="16"/>
        <v>50.48</v>
      </c>
      <c r="V230" s="110">
        <f t="shared" si="39"/>
        <v>2.294545455</v>
      </c>
      <c r="W230" s="111">
        <f t="shared" si="35"/>
        <v>0.1926129426</v>
      </c>
      <c r="X230" s="105">
        <f t="shared" si="36"/>
        <v>187256.16</v>
      </c>
      <c r="Y230" s="105"/>
    </row>
    <row r="231" ht="15.75" customHeight="1">
      <c r="A231" s="106">
        <v>45682.0</v>
      </c>
      <c r="B231" s="112">
        <v>5253775.0</v>
      </c>
      <c r="C231" s="112" t="s">
        <v>39</v>
      </c>
      <c r="D231" s="108">
        <v>0.21</v>
      </c>
      <c r="E231" s="17">
        <v>319.0</v>
      </c>
      <c r="F231" s="17"/>
      <c r="G231" s="17"/>
      <c r="H231" s="17">
        <v>319.0</v>
      </c>
      <c r="I231" s="107" t="s">
        <v>32</v>
      </c>
      <c r="J231" s="109">
        <v>190.9258</v>
      </c>
      <c r="K231" s="109">
        <v>190.9258</v>
      </c>
      <c r="L231" s="109">
        <v>190.9258</v>
      </c>
      <c r="M231" s="15">
        <v>119.8</v>
      </c>
      <c r="N231" s="17">
        <f t="shared" si="25"/>
        <v>438.8</v>
      </c>
      <c r="O231" s="105">
        <f t="shared" si="32"/>
        <v>60905.3302</v>
      </c>
      <c r="P231" s="89">
        <v>1075.5</v>
      </c>
      <c r="Q231" s="73">
        <f t="shared" si="33"/>
        <v>21.26723463</v>
      </c>
      <c r="R231" s="89">
        <f t="shared" si="14"/>
        <v>22872.91084</v>
      </c>
      <c r="S231" s="20">
        <f>IFERROR(__xludf.DUMMYFUNCTION("INDEX(IMPORTHTML(""https://www.bna.com.ar/Personas"", ""table"", 1), 2, 3)"),1465.0)</f>
        <v>1465</v>
      </c>
      <c r="T231" s="70">
        <f t="shared" si="34"/>
        <v>37699.36346</v>
      </c>
      <c r="U231" s="71">
        <f t="shared" si="16"/>
        <v>23.96</v>
      </c>
      <c r="V231" s="110">
        <f t="shared" si="39"/>
        <v>1.089090909</v>
      </c>
      <c r="W231" s="111">
        <f t="shared" si="35"/>
        <v>0.27301732</v>
      </c>
      <c r="X231" s="105">
        <f t="shared" si="36"/>
        <v>83778.24104</v>
      </c>
      <c r="Y231" s="105"/>
    </row>
    <row r="232" ht="15.75" customHeight="1">
      <c r="A232" s="106">
        <v>45682.0</v>
      </c>
      <c r="B232" s="107">
        <v>5211887.0</v>
      </c>
      <c r="C232" s="107" t="s">
        <v>38</v>
      </c>
      <c r="D232" s="108">
        <v>0.27</v>
      </c>
      <c r="E232" s="17">
        <v>3085.0</v>
      </c>
      <c r="F232" s="17"/>
      <c r="G232" s="17"/>
      <c r="H232" s="17">
        <v>3085.0</v>
      </c>
      <c r="I232" s="107" t="s">
        <v>25</v>
      </c>
      <c r="J232" s="109">
        <v>142.9</v>
      </c>
      <c r="K232" s="109">
        <v>142.9</v>
      </c>
      <c r="L232" s="109">
        <v>142.9</v>
      </c>
      <c r="M232" s="15">
        <v>1215.4</v>
      </c>
      <c r="N232" s="17">
        <f t="shared" si="25"/>
        <v>4300.4</v>
      </c>
      <c r="O232" s="105">
        <f t="shared" si="32"/>
        <v>440846.5</v>
      </c>
      <c r="P232" s="89">
        <v>1075.5</v>
      </c>
      <c r="Q232" s="73">
        <f t="shared" si="33"/>
        <v>161.4882938</v>
      </c>
      <c r="R232" s="89">
        <f t="shared" si="14"/>
        <v>173680.66</v>
      </c>
      <c r="S232" s="20">
        <f>IFERROR(__xludf.DUMMYFUNCTION("INDEX(IMPORTHTML(""https://www.bna.com.ar/Personas"", ""table"", 1), 2, 3)"),1465.0)</f>
        <v>1465</v>
      </c>
      <c r="T232" s="70">
        <f t="shared" si="34"/>
        <v>300457.0451</v>
      </c>
      <c r="U232" s="71">
        <f t="shared" si="16"/>
        <v>243.08</v>
      </c>
      <c r="V232" s="110">
        <f t="shared" si="39"/>
        <v>11.04909091</v>
      </c>
      <c r="W232" s="111">
        <f t="shared" si="35"/>
        <v>0.2826248721</v>
      </c>
      <c r="X232" s="105">
        <f t="shared" si="36"/>
        <v>614527.16</v>
      </c>
      <c r="Y232" s="105"/>
    </row>
    <row r="233" ht="15.75" customHeight="1">
      <c r="A233" s="106">
        <v>45682.0</v>
      </c>
      <c r="B233" s="107">
        <v>5346222.0</v>
      </c>
      <c r="C233" s="107" t="s">
        <v>37</v>
      </c>
      <c r="D233" s="108">
        <v>0.27</v>
      </c>
      <c r="E233" s="17">
        <v>263.0</v>
      </c>
      <c r="F233" s="17">
        <v>2.0</v>
      </c>
      <c r="G233" s="17">
        <v>3.0</v>
      </c>
      <c r="H233" s="17">
        <v>258.0</v>
      </c>
      <c r="I233" s="107" t="s">
        <v>25</v>
      </c>
      <c r="J233" s="109">
        <v>142.3</v>
      </c>
      <c r="K233" s="109">
        <v>142.9</v>
      </c>
      <c r="L233" s="109">
        <v>142.9</v>
      </c>
      <c r="M233" s="15">
        <v>309.5</v>
      </c>
      <c r="N233" s="17">
        <f t="shared" si="25"/>
        <v>572.5</v>
      </c>
      <c r="O233" s="105">
        <f t="shared" si="32"/>
        <v>37581.5</v>
      </c>
      <c r="P233" s="89">
        <v>1075.5</v>
      </c>
      <c r="Q233" s="73">
        <f t="shared" si="33"/>
        <v>41.1227801</v>
      </c>
      <c r="R233" s="89">
        <f t="shared" si="14"/>
        <v>44227.55</v>
      </c>
      <c r="S233" s="20">
        <f>IFERROR(__xludf.DUMMYFUNCTION("INDEX(IMPORTHTML(""https://www.bna.com.ar/Personas"", ""table"", 1), 2, 3)"),1465.0)</f>
        <v>1465</v>
      </c>
      <c r="T233" s="70">
        <f t="shared" si="34"/>
        <v>76510.98852</v>
      </c>
      <c r="U233" s="71">
        <f t="shared" si="16"/>
        <v>61.9</v>
      </c>
      <c r="V233" s="110">
        <f t="shared" si="39"/>
        <v>2.813636364</v>
      </c>
      <c r="W233" s="111">
        <f t="shared" si="35"/>
        <v>0.5406192836</v>
      </c>
      <c r="X233" s="105">
        <f t="shared" si="36"/>
        <v>81809.05</v>
      </c>
      <c r="Y233" s="105"/>
    </row>
    <row r="234" ht="15.75" customHeight="1">
      <c r="A234" s="113">
        <v>45682.0</v>
      </c>
      <c r="B234" s="114">
        <v>3025373.0</v>
      </c>
      <c r="C234" s="114" t="s">
        <v>35</v>
      </c>
      <c r="D234" s="115">
        <v>0.27</v>
      </c>
      <c r="E234" s="42">
        <v>67620.0</v>
      </c>
      <c r="F234" s="42">
        <v>15796.0</v>
      </c>
      <c r="G234" s="42">
        <v>17873.0</v>
      </c>
      <c r="H234" s="42">
        <v>33951.0</v>
      </c>
      <c r="I234" s="114" t="s">
        <v>36</v>
      </c>
      <c r="J234" s="116">
        <v>211.0054</v>
      </c>
      <c r="K234" s="116">
        <v>206.4781</v>
      </c>
      <c r="L234" s="116">
        <v>208.1284</v>
      </c>
      <c r="M234" s="44">
        <v>6112.6</v>
      </c>
      <c r="N234" s="42">
        <f t="shared" si="25"/>
        <v>73732.6</v>
      </c>
      <c r="O234" s="117">
        <f t="shared" si="32"/>
        <v>14089591.69</v>
      </c>
      <c r="P234" s="118">
        <v>1075.5</v>
      </c>
      <c r="Q234" s="119">
        <f t="shared" si="33"/>
        <v>1182.896939</v>
      </c>
      <c r="R234" s="118">
        <f t="shared" si="14"/>
        <v>1272205.658</v>
      </c>
      <c r="S234" s="46">
        <f>IFERROR(__xludf.DUMMYFUNCTION("INDEX(IMPORTHTML(""https://www.bna.com.ar/Personas"", ""table"", 1), 2, 3)"),1465.0)</f>
        <v>1465</v>
      </c>
      <c r="T234" s="120">
        <f t="shared" si="34"/>
        <v>2200838.9</v>
      </c>
      <c r="U234" s="121">
        <f t="shared" si="16"/>
        <v>1222.52</v>
      </c>
      <c r="V234" s="122">
        <f t="shared" si="39"/>
        <v>55.56909091</v>
      </c>
      <c r="W234" s="123">
        <f t="shared" si="35"/>
        <v>0.08281619847</v>
      </c>
      <c r="X234" s="117">
        <f t="shared" si="36"/>
        <v>15361797.35</v>
      </c>
      <c r="Y234" s="117"/>
    </row>
    <row r="235" ht="15.75" customHeight="1">
      <c r="A235" s="106">
        <v>45627.0</v>
      </c>
      <c r="B235" s="112">
        <v>5253773.0</v>
      </c>
      <c r="C235" s="112" t="s">
        <v>43</v>
      </c>
      <c r="D235" s="108">
        <v>0.21</v>
      </c>
      <c r="E235" s="17">
        <v>695.0</v>
      </c>
      <c r="F235" s="56">
        <v>255.0</v>
      </c>
      <c r="G235" s="17">
        <v>114.0</v>
      </c>
      <c r="H235" s="17">
        <v>326.0</v>
      </c>
      <c r="I235" s="112" t="s">
        <v>32</v>
      </c>
      <c r="J235" s="109">
        <v>198.9647</v>
      </c>
      <c r="K235" s="109">
        <v>198.9647</v>
      </c>
      <c r="L235" s="109">
        <v>198.9647</v>
      </c>
      <c r="M235" s="15">
        <v>336.5</v>
      </c>
      <c r="N235" s="17">
        <f t="shared" si="25"/>
        <v>1031.5</v>
      </c>
      <c r="O235" s="105">
        <f t="shared" si="32"/>
        <v>138280.4665</v>
      </c>
      <c r="P235" s="89">
        <v>1055.0</v>
      </c>
      <c r="Q235" s="73">
        <f t="shared" si="33"/>
        <v>63.46125265</v>
      </c>
      <c r="R235" s="89">
        <f t="shared" si="14"/>
        <v>66951.62155</v>
      </c>
      <c r="S235" s="20">
        <f>IFERROR(__xludf.DUMMYFUNCTION("INDEX(IMPORTHTML(""https://www.bna.com.ar/Personas"", ""table"", 1), 2, 3)"),1465.0)</f>
        <v>1465</v>
      </c>
      <c r="T235" s="70">
        <f t="shared" si="34"/>
        <v>112494.5895</v>
      </c>
      <c r="U235" s="71">
        <f t="shared" si="16"/>
        <v>67.3</v>
      </c>
      <c r="V235" s="110">
        <f t="shared" si="39"/>
        <v>3.059090909</v>
      </c>
      <c r="W235" s="111">
        <f t="shared" si="35"/>
        <v>0.3262239457</v>
      </c>
      <c r="X235" s="105">
        <f t="shared" si="36"/>
        <v>205232.0881</v>
      </c>
      <c r="Y235" s="105"/>
    </row>
    <row r="236" ht="15.75" customHeight="1">
      <c r="A236" s="106">
        <v>45628.0</v>
      </c>
      <c r="B236" s="66">
        <v>5346470.0</v>
      </c>
      <c r="C236" s="107" t="s">
        <v>62</v>
      </c>
      <c r="D236" s="108">
        <v>0.27</v>
      </c>
      <c r="E236" s="17">
        <v>4743.0</v>
      </c>
      <c r="F236" s="17">
        <v>1218.0</v>
      </c>
      <c r="G236" s="17">
        <v>1956.0</v>
      </c>
      <c r="H236" s="17">
        <v>1569.0</v>
      </c>
      <c r="I236" s="107" t="s">
        <v>29</v>
      </c>
      <c r="J236" s="109">
        <v>142.1224</v>
      </c>
      <c r="K236" s="109">
        <v>137.5951</v>
      </c>
      <c r="L236" s="109">
        <v>139.2454</v>
      </c>
      <c r="M236" s="15">
        <v>350.3</v>
      </c>
      <c r="N236" s="17">
        <f t="shared" si="25"/>
        <v>5093.3</v>
      </c>
      <c r="O236" s="105">
        <f t="shared" si="32"/>
        <v>660717.1314</v>
      </c>
      <c r="P236" s="89">
        <v>1055.0</v>
      </c>
      <c r="Q236" s="73">
        <f t="shared" si="33"/>
        <v>46.23475225</v>
      </c>
      <c r="R236" s="89">
        <f t="shared" si="14"/>
        <v>48777.66362</v>
      </c>
      <c r="S236" s="20">
        <f>IFERROR(__xludf.DUMMYFUNCTION("INDEX(IMPORTHTML(""https://www.bna.com.ar/Personas"", ""table"", 1), 2, 3)"),1465.0)</f>
        <v>1465</v>
      </c>
      <c r="T236" s="70">
        <f t="shared" si="34"/>
        <v>86022.06829</v>
      </c>
      <c r="U236" s="71">
        <f t="shared" si="16"/>
        <v>70.06</v>
      </c>
      <c r="V236" s="110">
        <f t="shared" si="39"/>
        <v>3.184545455</v>
      </c>
      <c r="W236" s="111">
        <f t="shared" si="35"/>
        <v>0.06874985407</v>
      </c>
      <c r="X236" s="105">
        <f t="shared" si="36"/>
        <v>709494.795</v>
      </c>
      <c r="Y236" s="105"/>
    </row>
    <row r="237" ht="15.75" customHeight="1">
      <c r="A237" s="106">
        <v>45627.0</v>
      </c>
      <c r="B237" s="112">
        <v>5352763.0</v>
      </c>
      <c r="C237" s="112" t="s">
        <v>66</v>
      </c>
      <c r="D237" s="108">
        <v>0.27</v>
      </c>
      <c r="E237" s="17">
        <v>2172.0</v>
      </c>
      <c r="F237" s="17">
        <v>585.0</v>
      </c>
      <c r="G237" s="17">
        <v>279.0</v>
      </c>
      <c r="H237" s="17">
        <v>1308.0</v>
      </c>
      <c r="I237" s="107" t="s">
        <v>25</v>
      </c>
      <c r="J237" s="109">
        <v>141.2503</v>
      </c>
      <c r="K237" s="109">
        <v>141.2503</v>
      </c>
      <c r="L237" s="109">
        <v>141.2503</v>
      </c>
      <c r="M237" s="15">
        <v>847.0</v>
      </c>
      <c r="N237" s="17">
        <f t="shared" si="25"/>
        <v>3019</v>
      </c>
      <c r="O237" s="105">
        <f t="shared" si="32"/>
        <v>306795.6516</v>
      </c>
      <c r="P237" s="89">
        <v>1055.0</v>
      </c>
      <c r="Q237" s="73">
        <f t="shared" si="33"/>
        <v>113.4018996</v>
      </c>
      <c r="R237" s="89">
        <f t="shared" si="14"/>
        <v>119639.0041</v>
      </c>
      <c r="S237" s="20">
        <f>IFERROR(__xludf.DUMMYFUNCTION("INDEX(IMPORTHTML(""https://www.bna.com.ar/Personas"", ""table"", 1), 2, 3)"),1465.0)</f>
        <v>1465</v>
      </c>
      <c r="T237" s="70">
        <f t="shared" si="34"/>
        <v>210989.9043</v>
      </c>
      <c r="U237" s="71">
        <f t="shared" si="16"/>
        <v>169.4</v>
      </c>
      <c r="V237" s="110">
        <f t="shared" si="39"/>
        <v>7.7</v>
      </c>
      <c r="W237" s="111">
        <f t="shared" si="35"/>
        <v>0.2805564757</v>
      </c>
      <c r="X237" s="105">
        <f t="shared" si="36"/>
        <v>426434.6557</v>
      </c>
      <c r="Y237" s="105"/>
    </row>
    <row r="238" ht="15.75" customHeight="1">
      <c r="A238" s="106">
        <v>45627.0</v>
      </c>
      <c r="B238" s="112">
        <v>3092029.0</v>
      </c>
      <c r="C238" s="112" t="s">
        <v>42</v>
      </c>
      <c r="D238" s="108">
        <v>0.27</v>
      </c>
      <c r="E238" s="17">
        <v>12930.0</v>
      </c>
      <c r="F238" s="17">
        <v>3870.0</v>
      </c>
      <c r="G238" s="17">
        <v>1950.0</v>
      </c>
      <c r="H238" s="17">
        <v>7110.0</v>
      </c>
      <c r="I238" s="107" t="s">
        <v>29</v>
      </c>
      <c r="J238" s="109">
        <v>142.1224</v>
      </c>
      <c r="K238" s="109">
        <v>137.5951</v>
      </c>
      <c r="L238" s="109">
        <v>139.2454</v>
      </c>
      <c r="M238" s="15">
        <v>3375.7</v>
      </c>
      <c r="N238" s="17">
        <f t="shared" si="25"/>
        <v>16305.7</v>
      </c>
      <c r="O238" s="105">
        <f t="shared" si="32"/>
        <v>1808358.927</v>
      </c>
      <c r="P238" s="89">
        <v>1055.0</v>
      </c>
      <c r="Q238" s="73">
        <f t="shared" si="33"/>
        <v>445.5456842</v>
      </c>
      <c r="R238" s="89">
        <f t="shared" si="14"/>
        <v>470050.6968</v>
      </c>
      <c r="S238" s="20">
        <f>IFERROR(__xludf.DUMMYFUNCTION("INDEX(IMPORTHTML(""https://www.bna.com.ar/Personas"", ""table"", 1), 2, 3)"),1465.0)</f>
        <v>1465</v>
      </c>
      <c r="T238" s="70">
        <f t="shared" si="34"/>
        <v>828960.0226</v>
      </c>
      <c r="U238" s="71">
        <f t="shared" si="16"/>
        <v>675.14</v>
      </c>
      <c r="V238" s="110">
        <f t="shared" si="39"/>
        <v>30.68818182</v>
      </c>
      <c r="W238" s="111">
        <f t="shared" si="35"/>
        <v>0.206306492</v>
      </c>
      <c r="X238" s="109">
        <f t="shared" si="36"/>
        <v>2278409.624</v>
      </c>
      <c r="Y238" s="109"/>
    </row>
    <row r="239" ht="15.75" customHeight="1">
      <c r="A239" s="106">
        <v>45627.0</v>
      </c>
      <c r="B239" s="112">
        <v>5076619.0</v>
      </c>
      <c r="C239" s="112" t="s">
        <v>41</v>
      </c>
      <c r="D239" s="108">
        <v>0.27</v>
      </c>
      <c r="E239" s="17">
        <v>4086.0</v>
      </c>
      <c r="F239" s="17">
        <v>1257.0</v>
      </c>
      <c r="G239" s="17">
        <v>925.0</v>
      </c>
      <c r="H239" s="17">
        <v>1904.0</v>
      </c>
      <c r="I239" s="107" t="s">
        <v>29</v>
      </c>
      <c r="J239" s="109">
        <v>142.1224</v>
      </c>
      <c r="K239" s="109">
        <v>137.5951</v>
      </c>
      <c r="L239" s="109">
        <v>139.2454</v>
      </c>
      <c r="M239" s="15">
        <v>0.0</v>
      </c>
      <c r="N239" s="17">
        <f t="shared" si="25"/>
        <v>4086</v>
      </c>
      <c r="O239" s="105">
        <f t="shared" si="32"/>
        <v>571046.5659</v>
      </c>
      <c r="P239" s="89">
        <v>1055.0</v>
      </c>
      <c r="Q239" s="73">
        <f t="shared" si="33"/>
        <v>0</v>
      </c>
      <c r="R239" s="89">
        <f t="shared" si="14"/>
        <v>0</v>
      </c>
      <c r="S239" s="20">
        <f>IFERROR(__xludf.DUMMYFUNCTION("INDEX(IMPORTHTML(""https://www.bna.com.ar/Personas"", ""table"", 1), 2, 3)"),1465.0)</f>
        <v>1465</v>
      </c>
      <c r="T239" s="70">
        <f t="shared" si="34"/>
        <v>0</v>
      </c>
      <c r="U239" s="71">
        <f t="shared" si="16"/>
        <v>0</v>
      </c>
      <c r="V239" s="110">
        <f t="shared" si="39"/>
        <v>0</v>
      </c>
      <c r="W239" s="111">
        <f t="shared" si="35"/>
        <v>0</v>
      </c>
      <c r="X239" s="109">
        <f t="shared" si="36"/>
        <v>571046.5659</v>
      </c>
      <c r="Y239" s="109"/>
    </row>
    <row r="240" ht="15.75" customHeight="1">
      <c r="A240" s="106">
        <v>45627.0</v>
      </c>
      <c r="B240" s="107">
        <v>4000681.0</v>
      </c>
      <c r="C240" s="107" t="s">
        <v>40</v>
      </c>
      <c r="D240" s="108">
        <v>0.27</v>
      </c>
      <c r="E240" s="17">
        <v>3428.0</v>
      </c>
      <c r="F240" s="17">
        <v>468.0</v>
      </c>
      <c r="G240" s="17">
        <v>188.0</v>
      </c>
      <c r="H240" s="17">
        <v>2772.0</v>
      </c>
      <c r="I240" s="107" t="s">
        <v>25</v>
      </c>
      <c r="J240" s="109">
        <v>141.2503</v>
      </c>
      <c r="K240" s="109">
        <v>141.2503</v>
      </c>
      <c r="L240" s="109">
        <v>141.2503</v>
      </c>
      <c r="M240" s="15">
        <v>2518.6</v>
      </c>
      <c r="N240" s="17">
        <f t="shared" si="25"/>
        <v>5946.6</v>
      </c>
      <c r="O240" s="105">
        <f t="shared" si="32"/>
        <v>484206.0284</v>
      </c>
      <c r="P240" s="89">
        <v>1055.0</v>
      </c>
      <c r="Q240" s="73">
        <f t="shared" si="33"/>
        <v>337.2066404</v>
      </c>
      <c r="R240" s="89">
        <f t="shared" si="14"/>
        <v>355753.0056</v>
      </c>
      <c r="S240" s="20">
        <f>IFERROR(__xludf.DUMMYFUNCTION("INDEX(IMPORTHTML(""https://www.bna.com.ar/Personas"", ""table"", 1), 2, 3)"),1465.0)</f>
        <v>1465</v>
      </c>
      <c r="T240" s="70">
        <f t="shared" si="34"/>
        <v>627389.8147</v>
      </c>
      <c r="U240" s="71">
        <f t="shared" si="16"/>
        <v>503.72</v>
      </c>
      <c r="V240" s="110">
        <f t="shared" si="39"/>
        <v>22.89636364</v>
      </c>
      <c r="W240" s="111">
        <f t="shared" si="35"/>
        <v>0.4235361383</v>
      </c>
      <c r="X240" s="105">
        <f t="shared" si="36"/>
        <v>839959.034</v>
      </c>
      <c r="Y240" s="105"/>
    </row>
    <row r="241" ht="15.75" customHeight="1">
      <c r="A241" s="106">
        <v>45627.0</v>
      </c>
      <c r="B241" s="112">
        <v>5253775.0</v>
      </c>
      <c r="C241" s="112" t="s">
        <v>39</v>
      </c>
      <c r="D241" s="108">
        <v>0.21</v>
      </c>
      <c r="E241" s="17">
        <v>440.0</v>
      </c>
      <c r="F241" s="17"/>
      <c r="G241" s="17"/>
      <c r="H241" s="17">
        <v>440.0</v>
      </c>
      <c r="I241" s="107" t="s">
        <v>32</v>
      </c>
      <c r="J241" s="109">
        <v>198.9647</v>
      </c>
      <c r="K241" s="109">
        <v>198.9647</v>
      </c>
      <c r="L241" s="109">
        <v>198.9647</v>
      </c>
      <c r="M241" s="15">
        <v>149.8</v>
      </c>
      <c r="N241" s="17">
        <f t="shared" si="25"/>
        <v>589.8</v>
      </c>
      <c r="O241" s="105">
        <f t="shared" si="32"/>
        <v>87544.468</v>
      </c>
      <c r="P241" s="89">
        <v>1055.0</v>
      </c>
      <c r="Q241" s="73">
        <f t="shared" si="33"/>
        <v>28.25110148</v>
      </c>
      <c r="R241" s="89">
        <f t="shared" si="14"/>
        <v>29804.91206</v>
      </c>
      <c r="S241" s="20">
        <f>IFERROR(__xludf.DUMMYFUNCTION("INDEX(IMPORTHTML(""https://www.bna.com.ar/Personas"", ""table"", 1), 2, 3)"),1465.0)</f>
        <v>1465</v>
      </c>
      <c r="T241" s="70">
        <f t="shared" si="34"/>
        <v>50079.31504</v>
      </c>
      <c r="U241" s="71">
        <f t="shared" si="16"/>
        <v>29.96</v>
      </c>
      <c r="V241" s="110">
        <f t="shared" si="39"/>
        <v>1.361818182</v>
      </c>
      <c r="W241" s="111">
        <f t="shared" si="35"/>
        <v>0.2539844015</v>
      </c>
      <c r="X241" s="105">
        <f t="shared" si="36"/>
        <v>117349.3801</v>
      </c>
      <c r="Y241" s="105"/>
    </row>
    <row r="242" ht="15.75" customHeight="1">
      <c r="A242" s="106">
        <v>45627.0</v>
      </c>
      <c r="B242" s="107">
        <v>5211887.0</v>
      </c>
      <c r="C242" s="107" t="s">
        <v>38</v>
      </c>
      <c r="D242" s="108">
        <v>0.27</v>
      </c>
      <c r="E242" s="17">
        <v>3312.0</v>
      </c>
      <c r="F242" s="17"/>
      <c r="G242" s="17"/>
      <c r="H242" s="17">
        <v>3312.0</v>
      </c>
      <c r="I242" s="107" t="s">
        <v>25</v>
      </c>
      <c r="J242" s="109">
        <v>141.2503</v>
      </c>
      <c r="K242" s="109">
        <v>141.2503</v>
      </c>
      <c r="L242" s="109">
        <v>141.2503</v>
      </c>
      <c r="M242" s="15">
        <v>1343.2</v>
      </c>
      <c r="N242" s="17">
        <f t="shared" si="25"/>
        <v>4655.2</v>
      </c>
      <c r="O242" s="105">
        <f t="shared" si="32"/>
        <v>467820.9936</v>
      </c>
      <c r="P242" s="89">
        <v>1055.0</v>
      </c>
      <c r="Q242" s="73">
        <f t="shared" si="33"/>
        <v>179.8364009</v>
      </c>
      <c r="R242" s="89">
        <f t="shared" si="14"/>
        <v>189727.403</v>
      </c>
      <c r="S242" s="20">
        <f>IFERROR(__xludf.DUMMYFUNCTION("INDEX(IMPORTHTML(""https://www.bna.com.ar/Personas"", ""table"", 1), 2, 3)"),1465.0)</f>
        <v>1465</v>
      </c>
      <c r="T242" s="70">
        <f t="shared" si="34"/>
        <v>334594.6157</v>
      </c>
      <c r="U242" s="71">
        <f t="shared" si="16"/>
        <v>268.64</v>
      </c>
      <c r="V242" s="110">
        <f t="shared" si="39"/>
        <v>12.21090909</v>
      </c>
      <c r="W242" s="111">
        <f t="shared" si="35"/>
        <v>0.2885375494</v>
      </c>
      <c r="X242" s="105">
        <f t="shared" si="36"/>
        <v>657548.3966</v>
      </c>
      <c r="Y242" s="105"/>
    </row>
    <row r="243" ht="15.75" customHeight="1">
      <c r="A243" s="113">
        <v>45627.0</v>
      </c>
      <c r="B243" s="114">
        <v>5346222.0</v>
      </c>
      <c r="C243" s="114" t="s">
        <v>37</v>
      </c>
      <c r="D243" s="115">
        <v>0.27</v>
      </c>
      <c r="E243" s="42">
        <v>3166.0</v>
      </c>
      <c r="F243" s="17">
        <v>572.0</v>
      </c>
      <c r="G243" s="42">
        <v>303.0</v>
      </c>
      <c r="H243" s="42">
        <v>2291.0</v>
      </c>
      <c r="I243" s="114" t="s">
        <v>25</v>
      </c>
      <c r="J243" s="116">
        <v>141.2503</v>
      </c>
      <c r="K243" s="116">
        <v>141.2503</v>
      </c>
      <c r="L243" s="116">
        <v>141.2503</v>
      </c>
      <c r="M243" s="44">
        <v>3096.4</v>
      </c>
      <c r="N243" s="42">
        <f t="shared" si="25"/>
        <v>6262.4</v>
      </c>
      <c r="O243" s="117">
        <f t="shared" si="32"/>
        <v>447198.4498</v>
      </c>
      <c r="P243" s="118">
        <v>1055.0</v>
      </c>
      <c r="Q243" s="119">
        <f t="shared" si="33"/>
        <v>414.5662833</v>
      </c>
      <c r="R243" s="118">
        <f t="shared" si="14"/>
        <v>437367.4289</v>
      </c>
      <c r="S243" s="20">
        <f>IFERROR(__xludf.DUMMYFUNCTION("INDEX(IMPORTHTML(""https://www.bna.com.ar/Personas"", ""table"", 1), 2, 3)"),1465.0)</f>
        <v>1465</v>
      </c>
      <c r="T243" s="120">
        <f t="shared" si="34"/>
        <v>771321.2985</v>
      </c>
      <c r="U243" s="121">
        <f t="shared" si="16"/>
        <v>619.28</v>
      </c>
      <c r="V243" s="122">
        <f t="shared" si="39"/>
        <v>28.14909091</v>
      </c>
      <c r="W243" s="123">
        <f t="shared" si="35"/>
        <v>0.494443025</v>
      </c>
      <c r="X243" s="117">
        <f t="shared" si="36"/>
        <v>884565.8787</v>
      </c>
      <c r="Y243" s="105"/>
    </row>
    <row r="244" ht="15.75" customHeight="1">
      <c r="A244" s="106">
        <v>45597.0</v>
      </c>
      <c r="B244" s="112">
        <v>5253773.0</v>
      </c>
      <c r="C244" s="112" t="s">
        <v>43</v>
      </c>
      <c r="D244" s="108">
        <v>0.21</v>
      </c>
      <c r="E244" s="17">
        <v>699.0</v>
      </c>
      <c r="F244" s="56">
        <v>275.0</v>
      </c>
      <c r="G244" s="17">
        <v>98.0</v>
      </c>
      <c r="H244" s="17">
        <v>326.0</v>
      </c>
      <c r="I244" s="112" t="s">
        <v>32</v>
      </c>
      <c r="J244" s="109">
        <v>195.6098</v>
      </c>
      <c r="K244" s="109">
        <v>195.6098</v>
      </c>
      <c r="L244" s="109">
        <v>195.6098</v>
      </c>
      <c r="M244" s="15">
        <v>309.3</v>
      </c>
      <c r="N244" s="17">
        <f t="shared" si="25"/>
        <v>1008.3</v>
      </c>
      <c r="O244" s="105">
        <f t="shared" si="32"/>
        <v>136731.2502</v>
      </c>
      <c r="P244" s="89">
        <v>1032.5</v>
      </c>
      <c r="Q244" s="73">
        <f t="shared" si="33"/>
        <v>58.59768633</v>
      </c>
      <c r="R244" s="89">
        <f t="shared" si="14"/>
        <v>60502.11114</v>
      </c>
      <c r="S244" s="20">
        <f>IFERROR(__xludf.DUMMYFUNCTION("INDEX(IMPORTHTML(""https://www.bna.com.ar/Personas"", ""table"", 1), 2, 3)"),1465.0)</f>
        <v>1465</v>
      </c>
      <c r="T244" s="70">
        <f t="shared" si="34"/>
        <v>103873.1887</v>
      </c>
      <c r="U244" s="71">
        <f t="shared" si="16"/>
        <v>61.86</v>
      </c>
      <c r="V244" s="110">
        <f t="shared" si="39"/>
        <v>2.811818182</v>
      </c>
      <c r="W244" s="111">
        <f t="shared" si="35"/>
        <v>0.3067539423</v>
      </c>
      <c r="X244" s="105">
        <f t="shared" si="36"/>
        <v>197233.3613</v>
      </c>
      <c r="Y244" s="105"/>
    </row>
    <row r="245" ht="15.75" customHeight="1">
      <c r="A245" s="106">
        <v>45598.0</v>
      </c>
      <c r="B245" s="66">
        <v>5346470.0</v>
      </c>
      <c r="C245" s="14" t="s">
        <v>62</v>
      </c>
      <c r="D245" s="108">
        <v>0.27</v>
      </c>
      <c r="E245" s="17">
        <v>3666.0</v>
      </c>
      <c r="F245" s="17">
        <v>1056.0</v>
      </c>
      <c r="G245" s="17">
        <v>1584.0</v>
      </c>
      <c r="H245" s="17">
        <v>1026.0</v>
      </c>
      <c r="I245" s="107" t="s">
        <v>29</v>
      </c>
      <c r="J245" s="109">
        <v>140.6689</v>
      </c>
      <c r="K245" s="109">
        <v>136.1415</v>
      </c>
      <c r="L245" s="109">
        <v>137.7918</v>
      </c>
      <c r="M245" s="15">
        <v>339.0</v>
      </c>
      <c r="N245" s="17">
        <f t="shared" si="25"/>
        <v>4005</v>
      </c>
      <c r="O245" s="105">
        <f t="shared" si="32"/>
        <v>505568.8812</v>
      </c>
      <c r="P245" s="89">
        <v>1032.5</v>
      </c>
      <c r="Q245" s="73">
        <f t="shared" si="33"/>
        <v>45.24108494</v>
      </c>
      <c r="R245" s="89">
        <f t="shared" si="14"/>
        <v>46711.4202</v>
      </c>
      <c r="S245" s="20">
        <f>IFERROR(__xludf.DUMMYFUNCTION("INDEX(IMPORTHTML(""https://www.bna.com.ar/Personas"", ""table"", 1), 2, 3)"),1465.0)</f>
        <v>1465</v>
      </c>
      <c r="T245" s="70">
        <f t="shared" si="34"/>
        <v>84173.30058</v>
      </c>
      <c r="U245" s="71">
        <f t="shared" si="16"/>
        <v>67.8</v>
      </c>
      <c r="V245" s="110">
        <f t="shared" si="39"/>
        <v>3.081818182</v>
      </c>
      <c r="W245" s="111">
        <f t="shared" si="35"/>
        <v>0.08457918937</v>
      </c>
      <c r="X245" s="105">
        <f t="shared" si="36"/>
        <v>552280.3014</v>
      </c>
      <c r="Y245" s="105"/>
    </row>
    <row r="246" ht="15.75" customHeight="1">
      <c r="A246" s="106">
        <v>45597.0</v>
      </c>
      <c r="B246" s="112">
        <v>5352763.0</v>
      </c>
      <c r="C246" s="112" t="s">
        <v>66</v>
      </c>
      <c r="D246" s="108">
        <v>0.27</v>
      </c>
      <c r="E246" s="17">
        <v>1804.0</v>
      </c>
      <c r="F246" s="17">
        <v>460.0</v>
      </c>
      <c r="G246" s="17">
        <v>267.0</v>
      </c>
      <c r="H246" s="17">
        <v>1077.0</v>
      </c>
      <c r="I246" s="107" t="s">
        <v>25</v>
      </c>
      <c r="J246" s="109">
        <v>139.734</v>
      </c>
      <c r="K246" s="109">
        <v>139.734</v>
      </c>
      <c r="L246" s="109">
        <v>139.734</v>
      </c>
      <c r="M246" s="15">
        <v>644.9</v>
      </c>
      <c r="N246" s="17">
        <f t="shared" si="25"/>
        <v>2448.9</v>
      </c>
      <c r="O246" s="105">
        <f t="shared" si="32"/>
        <v>252080.136</v>
      </c>
      <c r="P246" s="89">
        <v>1035.0</v>
      </c>
      <c r="Q246" s="73">
        <f t="shared" si="33"/>
        <v>87.06710783</v>
      </c>
      <c r="R246" s="89">
        <f t="shared" si="14"/>
        <v>90114.4566</v>
      </c>
      <c r="S246" s="20">
        <f>IFERROR(__xludf.DUMMYFUNCTION("INDEX(IMPORTHTML(""https://www.bna.com.ar/Personas"", ""table"", 1), 2, 3)"),1465.0)</f>
        <v>1465</v>
      </c>
      <c r="T246" s="70">
        <f t="shared" si="34"/>
        <v>161992.7075</v>
      </c>
      <c r="U246" s="71">
        <f t="shared" si="16"/>
        <v>128.98</v>
      </c>
      <c r="V246" s="110">
        <f t="shared" si="39"/>
        <v>5.862727273</v>
      </c>
      <c r="W246" s="111">
        <f t="shared" si="35"/>
        <v>0.2633427253</v>
      </c>
      <c r="X246" s="105">
        <f t="shared" si="36"/>
        <v>342194.5926</v>
      </c>
      <c r="Y246" s="105"/>
    </row>
    <row r="247" ht="15.75" customHeight="1">
      <c r="A247" s="106">
        <v>45597.0</v>
      </c>
      <c r="B247" s="112">
        <v>3092029.0</v>
      </c>
      <c r="C247" s="112" t="s">
        <v>42</v>
      </c>
      <c r="D247" s="108">
        <v>0.27</v>
      </c>
      <c r="E247" s="17">
        <v>13170.0</v>
      </c>
      <c r="F247" s="17">
        <v>3870.0</v>
      </c>
      <c r="G247" s="17">
        <v>2130.0</v>
      </c>
      <c r="H247" s="17">
        <v>7170.0</v>
      </c>
      <c r="I247" s="107" t="s">
        <v>29</v>
      </c>
      <c r="J247" s="109">
        <v>140.6689</v>
      </c>
      <c r="K247" s="109">
        <v>136.1415</v>
      </c>
      <c r="L247" s="109">
        <v>137.7918</v>
      </c>
      <c r="M247" s="15">
        <v>3236.9</v>
      </c>
      <c r="N247" s="17">
        <f t="shared" si="25"/>
        <v>16406.9</v>
      </c>
      <c r="O247" s="105">
        <f t="shared" si="32"/>
        <v>1822337.244</v>
      </c>
      <c r="P247" s="89">
        <v>1036.0</v>
      </c>
      <c r="Q247" s="73">
        <f t="shared" si="33"/>
        <v>430.5195728</v>
      </c>
      <c r="R247" s="89">
        <f t="shared" si="14"/>
        <v>446018.2774</v>
      </c>
      <c r="S247" s="20">
        <f>IFERROR(__xludf.DUMMYFUNCTION("INDEX(IMPORTHTML(""https://www.bna.com.ar/Personas"", ""table"", 1), 2, 3)"),1465.0)</f>
        <v>1465</v>
      </c>
      <c r="T247" s="70">
        <f t="shared" si="34"/>
        <v>801003.1912</v>
      </c>
      <c r="U247" s="71">
        <f t="shared" si="16"/>
        <v>647.38</v>
      </c>
      <c r="V247" s="110">
        <f t="shared" si="39"/>
        <v>29.42636364</v>
      </c>
      <c r="W247" s="111">
        <f t="shared" si="35"/>
        <v>0.1966262666</v>
      </c>
      <c r="X247" s="109">
        <f t="shared" si="36"/>
        <v>2268355.521</v>
      </c>
      <c r="Y247" s="109"/>
    </row>
    <row r="248" ht="15.75" customHeight="1">
      <c r="A248" s="106">
        <v>45597.0</v>
      </c>
      <c r="B248" s="112">
        <v>5076619.0</v>
      </c>
      <c r="C248" s="112" t="s">
        <v>41</v>
      </c>
      <c r="D248" s="108">
        <v>0.27</v>
      </c>
      <c r="E248" s="17">
        <v>3998.0</v>
      </c>
      <c r="F248" s="17">
        <v>1318.0</v>
      </c>
      <c r="G248" s="17">
        <v>904.0</v>
      </c>
      <c r="H248" s="17">
        <v>1776.0</v>
      </c>
      <c r="I248" s="107" t="s">
        <v>29</v>
      </c>
      <c r="J248" s="109">
        <v>140.6689</v>
      </c>
      <c r="K248" s="109">
        <v>136.1415</v>
      </c>
      <c r="L248" s="109">
        <v>137.7918</v>
      </c>
      <c r="M248" s="15">
        <f>731.3*1.25</f>
        <v>914.125</v>
      </c>
      <c r="N248" s="17">
        <f t="shared" si="25"/>
        <v>4912.125</v>
      </c>
      <c r="O248" s="105">
        <f t="shared" si="32"/>
        <v>553191.763</v>
      </c>
      <c r="P248" s="89">
        <v>1032.5</v>
      </c>
      <c r="Q248" s="73">
        <f t="shared" si="33"/>
        <v>121.9941203</v>
      </c>
      <c r="R248" s="89">
        <f t="shared" si="14"/>
        <v>125958.9292</v>
      </c>
      <c r="S248" s="20">
        <f>IFERROR(__xludf.DUMMYFUNCTION("INDEX(IMPORTHTML(""https://www.bna.com.ar/Personas"", ""table"", 1), 2, 3)"),1465.0)</f>
        <v>1465</v>
      </c>
      <c r="T248" s="70">
        <f t="shared" si="34"/>
        <v>226976.1605</v>
      </c>
      <c r="U248" s="71">
        <f t="shared" si="16"/>
        <v>182.825</v>
      </c>
      <c r="V248" s="110">
        <f t="shared" si="39"/>
        <v>8.310227273</v>
      </c>
      <c r="W248" s="111">
        <f t="shared" si="35"/>
        <v>0.1854653623</v>
      </c>
      <c r="X248" s="109">
        <f t="shared" si="36"/>
        <v>679150.6922</v>
      </c>
      <c r="Y248" s="109"/>
    </row>
    <row r="249" ht="15.75" customHeight="1">
      <c r="A249" s="106">
        <v>45597.0</v>
      </c>
      <c r="B249" s="107">
        <v>4000681.0</v>
      </c>
      <c r="C249" s="124" t="s">
        <v>40</v>
      </c>
      <c r="D249" s="108">
        <v>0.27</v>
      </c>
      <c r="E249" s="17">
        <v>8059.0</v>
      </c>
      <c r="F249" s="17">
        <v>2011.0</v>
      </c>
      <c r="G249" s="17">
        <v>2375.0</v>
      </c>
      <c r="H249" s="17">
        <v>3673.0</v>
      </c>
      <c r="I249" s="107" t="s">
        <v>25</v>
      </c>
      <c r="J249" s="109">
        <v>139.734</v>
      </c>
      <c r="K249" s="109">
        <v>139.734</v>
      </c>
      <c r="L249" s="109">
        <v>139.734</v>
      </c>
      <c r="M249" s="15">
        <v>2833.4</v>
      </c>
      <c r="N249" s="17">
        <f t="shared" si="25"/>
        <v>10892.4</v>
      </c>
      <c r="O249" s="105">
        <f t="shared" si="32"/>
        <v>1126116.306</v>
      </c>
      <c r="P249" s="89">
        <v>1035.0</v>
      </c>
      <c r="Q249" s="73">
        <f t="shared" si="33"/>
        <v>382.5336383</v>
      </c>
      <c r="R249" s="89">
        <f t="shared" si="14"/>
        <v>395922.3156</v>
      </c>
      <c r="S249" s="20">
        <f>IFERROR(__xludf.DUMMYFUNCTION("INDEX(IMPORTHTML(""https://www.bna.com.ar/Personas"", ""table"", 1), 2, 3)"),1465.0)</f>
        <v>1465</v>
      </c>
      <c r="T249" s="70">
        <f t="shared" si="34"/>
        <v>711722.9607</v>
      </c>
      <c r="U249" s="71">
        <f t="shared" si="16"/>
        <v>566.68</v>
      </c>
      <c r="V249" s="110">
        <f t="shared" si="39"/>
        <v>25.75818182</v>
      </c>
      <c r="W249" s="111">
        <f t="shared" si="35"/>
        <v>0.2601263266</v>
      </c>
      <c r="X249" s="105">
        <f t="shared" si="36"/>
        <v>1522038.622</v>
      </c>
      <c r="Y249" s="105"/>
    </row>
    <row r="250" ht="15.75" customHeight="1">
      <c r="A250" s="106">
        <v>45597.0</v>
      </c>
      <c r="B250" s="112">
        <v>5253775.0</v>
      </c>
      <c r="C250" s="112" t="s">
        <v>39</v>
      </c>
      <c r="D250" s="108">
        <v>0.21</v>
      </c>
      <c r="E250" s="17">
        <v>568.0</v>
      </c>
      <c r="F250" s="17"/>
      <c r="G250" s="17"/>
      <c r="H250" s="17">
        <v>568.0</v>
      </c>
      <c r="I250" s="107" t="s">
        <v>32</v>
      </c>
      <c r="J250" s="109">
        <v>195.6098</v>
      </c>
      <c r="K250" s="109">
        <v>195.6098</v>
      </c>
      <c r="L250" s="109">
        <v>195.6098</v>
      </c>
      <c r="M250" s="15">
        <v>154.6</v>
      </c>
      <c r="N250" s="17">
        <f t="shared" si="25"/>
        <v>722.6</v>
      </c>
      <c r="O250" s="105">
        <f t="shared" si="32"/>
        <v>111106.3664</v>
      </c>
      <c r="P250" s="89">
        <v>1035.0</v>
      </c>
      <c r="Q250" s="73">
        <f t="shared" si="33"/>
        <v>29.21862327</v>
      </c>
      <c r="R250" s="89">
        <f t="shared" si="14"/>
        <v>30241.27508</v>
      </c>
      <c r="S250" s="20">
        <f>IFERROR(__xludf.DUMMYFUNCTION("INDEX(IMPORTHTML(""https://www.bna.com.ar/Personas"", ""table"", 1), 2, 3)"),1465.0)</f>
        <v>1465</v>
      </c>
      <c r="T250" s="70">
        <f t="shared" si="34"/>
        <v>51794.39253</v>
      </c>
      <c r="U250" s="71">
        <f t="shared" si="16"/>
        <v>30.92</v>
      </c>
      <c r="V250" s="110">
        <f t="shared" si="39"/>
        <v>1.405454545</v>
      </c>
      <c r="W250" s="111">
        <f t="shared" si="35"/>
        <v>0.2139496263</v>
      </c>
      <c r="X250" s="105">
        <f t="shared" si="36"/>
        <v>141347.6415</v>
      </c>
      <c r="Y250" s="105"/>
    </row>
    <row r="251" ht="15.75" customHeight="1">
      <c r="A251" s="106">
        <v>45597.0</v>
      </c>
      <c r="B251" s="107">
        <v>5211887.0</v>
      </c>
      <c r="C251" s="124" t="s">
        <v>38</v>
      </c>
      <c r="D251" s="108">
        <v>0.27</v>
      </c>
      <c r="E251" s="17">
        <v>3413.0</v>
      </c>
      <c r="F251" s="17"/>
      <c r="G251" s="17"/>
      <c r="H251" s="17">
        <v>3413.0</v>
      </c>
      <c r="I251" s="107" t="s">
        <v>25</v>
      </c>
      <c r="J251" s="109">
        <v>139.734</v>
      </c>
      <c r="K251" s="109">
        <v>139.734</v>
      </c>
      <c r="L251" s="109">
        <v>139.734</v>
      </c>
      <c r="M251" s="15">
        <v>1389.3</v>
      </c>
      <c r="N251" s="17">
        <f t="shared" si="25"/>
        <v>4802.3</v>
      </c>
      <c r="O251" s="105">
        <f t="shared" si="32"/>
        <v>476912.142</v>
      </c>
      <c r="P251" s="89">
        <v>1035.0</v>
      </c>
      <c r="Q251" s="73">
        <f t="shared" si="33"/>
        <v>187.5675809</v>
      </c>
      <c r="R251" s="89">
        <f t="shared" si="14"/>
        <v>194132.4462</v>
      </c>
      <c r="S251" s="20">
        <f>IFERROR(__xludf.DUMMYFUNCTION("INDEX(IMPORTHTML(""https://www.bna.com.ar/Personas"", ""table"", 1), 2, 3)"),1465.0)</f>
        <v>1465</v>
      </c>
      <c r="T251" s="70">
        <f t="shared" si="34"/>
        <v>348978.8626</v>
      </c>
      <c r="U251" s="71">
        <f t="shared" si="16"/>
        <v>277.86</v>
      </c>
      <c r="V251" s="110">
        <f t="shared" si="39"/>
        <v>12.63</v>
      </c>
      <c r="W251" s="111">
        <f t="shared" si="35"/>
        <v>0.2892988776</v>
      </c>
      <c r="X251" s="105">
        <f t="shared" si="36"/>
        <v>671044.5882</v>
      </c>
      <c r="Y251" s="105"/>
    </row>
    <row r="252" ht="15.75" customHeight="1">
      <c r="A252" s="113">
        <v>45597.0</v>
      </c>
      <c r="B252" s="114">
        <v>5346222.0</v>
      </c>
      <c r="C252" s="125" t="s">
        <v>37</v>
      </c>
      <c r="D252" s="115">
        <v>0.27</v>
      </c>
      <c r="E252" s="42">
        <v>6927.0</v>
      </c>
      <c r="F252" s="17">
        <v>1735.0</v>
      </c>
      <c r="G252" s="42">
        <v>2063.0</v>
      </c>
      <c r="H252" s="42">
        <v>3129.0</v>
      </c>
      <c r="I252" s="114" t="s">
        <v>25</v>
      </c>
      <c r="J252" s="116">
        <v>139.734</v>
      </c>
      <c r="K252" s="116">
        <v>139.734</v>
      </c>
      <c r="L252" s="116">
        <v>139.734</v>
      </c>
      <c r="M252" s="44">
        <v>2838.0</v>
      </c>
      <c r="N252" s="42">
        <f t="shared" si="25"/>
        <v>9765</v>
      </c>
      <c r="O252" s="117">
        <f t="shared" si="32"/>
        <v>967937.418</v>
      </c>
      <c r="P252" s="118">
        <v>1035.0</v>
      </c>
      <c r="Q252" s="119">
        <f t="shared" si="33"/>
        <v>383.1546783</v>
      </c>
      <c r="R252" s="118">
        <f t="shared" si="14"/>
        <v>396565.092</v>
      </c>
      <c r="S252" s="20">
        <f>IFERROR(__xludf.DUMMYFUNCTION("INDEX(IMPORTHTML(""https://www.bna.com.ar/Personas"", ""table"", 1), 2, 3)"),1465.0)</f>
        <v>1465</v>
      </c>
      <c r="T252" s="120">
        <f t="shared" si="34"/>
        <v>712878.4366</v>
      </c>
      <c r="U252" s="121">
        <f t="shared" si="16"/>
        <v>567.6</v>
      </c>
      <c r="V252" s="122">
        <f t="shared" si="39"/>
        <v>25.8</v>
      </c>
      <c r="W252" s="123">
        <f t="shared" si="35"/>
        <v>0.2906298003</v>
      </c>
      <c r="X252" s="117">
        <f t="shared" si="36"/>
        <v>1364502.51</v>
      </c>
      <c r="Y252" s="105"/>
    </row>
    <row r="253" ht="15.75" customHeight="1">
      <c r="A253" s="106">
        <v>45589.0</v>
      </c>
      <c r="B253" s="112">
        <v>5253773.0</v>
      </c>
      <c r="C253" s="112" t="s">
        <v>43</v>
      </c>
      <c r="D253" s="108">
        <v>0.21</v>
      </c>
      <c r="E253" s="17">
        <v>616.0</v>
      </c>
      <c r="F253" s="56">
        <v>251.0</v>
      </c>
      <c r="G253" s="17">
        <v>98.0</v>
      </c>
      <c r="H253" s="17">
        <v>267.0</v>
      </c>
      <c r="I253" s="112" t="s">
        <v>32</v>
      </c>
      <c r="J253" s="109">
        <v>191.5508</v>
      </c>
      <c r="K253" s="109">
        <f t="shared" ref="K253:L253" si="42">J253</f>
        <v>191.5508</v>
      </c>
      <c r="L253" s="109">
        <f t="shared" si="42"/>
        <v>191.5508</v>
      </c>
      <c r="M253" s="15">
        <v>327.1</v>
      </c>
      <c r="N253" s="17">
        <f t="shared" si="25"/>
        <v>943.1</v>
      </c>
      <c r="O253" s="105">
        <f t="shared" si="32"/>
        <v>117995.2928</v>
      </c>
      <c r="P253" s="89">
        <v>1013.0</v>
      </c>
      <c r="Q253" s="73">
        <f t="shared" si="33"/>
        <v>61.85218823</v>
      </c>
      <c r="R253" s="89">
        <f t="shared" si="14"/>
        <v>62656.26668</v>
      </c>
      <c r="S253" s="20">
        <f>IFERROR(__xludf.DUMMYFUNCTION("INDEX(IMPORTHTML(""https://www.bna.com.ar/Personas"", ""table"", 1), 2, 3)"),1465.0)</f>
        <v>1465</v>
      </c>
      <c r="T253" s="70">
        <f t="shared" si="34"/>
        <v>109642.2815</v>
      </c>
      <c r="U253" s="71">
        <f t="shared" si="16"/>
        <v>65.42</v>
      </c>
      <c r="V253" s="110">
        <f t="shared" si="39"/>
        <v>2.973636364</v>
      </c>
      <c r="W253" s="111">
        <f t="shared" si="35"/>
        <v>0.3468349062</v>
      </c>
      <c r="X253" s="105">
        <f t="shared" si="36"/>
        <v>180651.5595</v>
      </c>
      <c r="Y253" s="105"/>
    </row>
    <row r="254" ht="15.75" customHeight="1">
      <c r="A254" s="106">
        <v>45590.0</v>
      </c>
      <c r="B254" s="66">
        <v>5346470.0</v>
      </c>
      <c r="C254" s="14" t="s">
        <v>62</v>
      </c>
      <c r="D254" s="108">
        <v>0.27</v>
      </c>
      <c r="E254" s="17">
        <v>3165.0</v>
      </c>
      <c r="F254" s="17">
        <v>912.0</v>
      </c>
      <c r="G254" s="17">
        <v>1431.0</v>
      </c>
      <c r="H254" s="17">
        <v>822.0</v>
      </c>
      <c r="I254" s="107" t="s">
        <v>29</v>
      </c>
      <c r="J254" s="109">
        <v>138.7755</v>
      </c>
      <c r="K254" s="109">
        <v>134.2603</v>
      </c>
      <c r="L254" s="109">
        <v>135.9062</v>
      </c>
      <c r="M254" s="15">
        <v>121.8</v>
      </c>
      <c r="N254" s="17">
        <f t="shared" si="25"/>
        <v>3286.8</v>
      </c>
      <c r="O254" s="105">
        <f t="shared" si="32"/>
        <v>430404.6417</v>
      </c>
      <c r="P254" s="89">
        <v>1013.0</v>
      </c>
      <c r="Q254" s="73">
        <f t="shared" si="33"/>
        <v>16.3409429</v>
      </c>
      <c r="R254" s="89">
        <f t="shared" si="14"/>
        <v>16553.37516</v>
      </c>
      <c r="S254" s="20">
        <f>IFERROR(__xludf.DUMMYFUNCTION("INDEX(IMPORTHTML(""https://www.bna.com.ar/Personas"", ""table"", 1), 2, 3)"),1465.0)</f>
        <v>1465</v>
      </c>
      <c r="T254" s="70">
        <f t="shared" si="34"/>
        <v>30403.14132</v>
      </c>
      <c r="U254" s="71">
        <f t="shared" si="16"/>
        <v>24.36</v>
      </c>
      <c r="V254" s="110">
        <f t="shared" si="39"/>
        <v>1.107272727</v>
      </c>
      <c r="W254" s="111">
        <f t="shared" si="35"/>
        <v>0.03703563766</v>
      </c>
      <c r="X254" s="105">
        <f t="shared" si="36"/>
        <v>446958.0169</v>
      </c>
      <c r="Y254" s="105"/>
    </row>
    <row r="255" ht="15.75" customHeight="1">
      <c r="A255" s="106">
        <v>45589.0</v>
      </c>
      <c r="B255" s="112">
        <v>5352763.0</v>
      </c>
      <c r="C255" s="112" t="s">
        <v>66</v>
      </c>
      <c r="D255" s="108">
        <v>0.27</v>
      </c>
      <c r="E255" s="17">
        <v>2214.0</v>
      </c>
      <c r="F255" s="17">
        <v>570.0</v>
      </c>
      <c r="G255" s="17">
        <v>257.0</v>
      </c>
      <c r="H255" s="17">
        <v>1387.0</v>
      </c>
      <c r="I255" s="112" t="s">
        <v>25</v>
      </c>
      <c r="J255" s="109">
        <v>137.7794</v>
      </c>
      <c r="K255" s="109">
        <v>137.7794</v>
      </c>
      <c r="L255" s="109">
        <v>137.7794</v>
      </c>
      <c r="M255" s="15">
        <v>550.7</v>
      </c>
      <c r="N255" s="17">
        <f t="shared" si="25"/>
        <v>2764.7</v>
      </c>
      <c r="O255" s="105">
        <f t="shared" si="32"/>
        <v>305043.5916</v>
      </c>
      <c r="P255" s="89">
        <v>1016.5</v>
      </c>
      <c r="Q255" s="73">
        <f t="shared" si="33"/>
        <v>74.64349787</v>
      </c>
      <c r="R255" s="89">
        <f t="shared" si="14"/>
        <v>75875.11558</v>
      </c>
      <c r="S255" s="20">
        <f>IFERROR(__xludf.DUMMYFUNCTION("INDEX(IMPORTHTML(""https://www.bna.com.ar/Personas"", ""table"", 1), 2, 3)"),1465.0)</f>
        <v>1465</v>
      </c>
      <c r="T255" s="70">
        <f t="shared" si="34"/>
        <v>138877.96</v>
      </c>
      <c r="U255" s="71">
        <f t="shared" si="16"/>
        <v>110.14</v>
      </c>
      <c r="V255" s="110">
        <f t="shared" si="39"/>
        <v>5.006363636</v>
      </c>
      <c r="W255" s="111">
        <f t="shared" si="35"/>
        <v>0.1991897855</v>
      </c>
      <c r="X255" s="105">
        <f t="shared" si="36"/>
        <v>380918.7072</v>
      </c>
      <c r="Y255" s="105"/>
    </row>
    <row r="256" ht="15.75" customHeight="1">
      <c r="A256" s="106">
        <v>45589.0</v>
      </c>
      <c r="B256" s="112">
        <v>5010595.0</v>
      </c>
      <c r="C256" s="112" t="s">
        <v>70</v>
      </c>
      <c r="D256" s="108">
        <v>0.27</v>
      </c>
      <c r="E256" s="17">
        <v>1847.0</v>
      </c>
      <c r="F256" s="17">
        <v>209.0</v>
      </c>
      <c r="G256" s="17">
        <v>244.0</v>
      </c>
      <c r="H256" s="17">
        <v>1394.0</v>
      </c>
      <c r="I256" s="112" t="s">
        <v>25</v>
      </c>
      <c r="J256" s="109">
        <v>137.7794</v>
      </c>
      <c r="K256" s="109">
        <v>137.7794</v>
      </c>
      <c r="L256" s="109">
        <v>137.7794</v>
      </c>
      <c r="M256" s="15">
        <v>578.0</v>
      </c>
      <c r="N256" s="17">
        <f t="shared" si="25"/>
        <v>2425</v>
      </c>
      <c r="O256" s="105">
        <f t="shared" si="32"/>
        <v>254478.5518</v>
      </c>
      <c r="P256" s="89">
        <v>1016.5</v>
      </c>
      <c r="Q256" s="73">
        <f t="shared" si="33"/>
        <v>78.34382017</v>
      </c>
      <c r="R256" s="89">
        <f t="shared" si="14"/>
        <v>79636.4932</v>
      </c>
      <c r="S256" s="20">
        <f>IFERROR(__xludf.DUMMYFUNCTION("INDEX(IMPORTHTML(""https://www.bna.com.ar/Personas"", ""table"", 1), 2, 3)"),1465.0)</f>
        <v>1465</v>
      </c>
      <c r="T256" s="70">
        <f t="shared" si="34"/>
        <v>145762.5946</v>
      </c>
      <c r="U256" s="71">
        <f t="shared" si="16"/>
        <v>115.6</v>
      </c>
      <c r="V256" s="110">
        <f t="shared" si="39"/>
        <v>5.254545455</v>
      </c>
      <c r="W256" s="111">
        <f t="shared" si="35"/>
        <v>0.2383505155</v>
      </c>
      <c r="X256" s="105">
        <f t="shared" si="36"/>
        <v>334115.045</v>
      </c>
      <c r="Y256" s="105"/>
    </row>
    <row r="257" ht="15.75" customHeight="1">
      <c r="A257" s="106">
        <v>45589.0</v>
      </c>
      <c r="B257" s="112">
        <v>5076619.0</v>
      </c>
      <c r="C257" s="112" t="s">
        <v>41</v>
      </c>
      <c r="D257" s="108">
        <v>0.27</v>
      </c>
      <c r="E257" s="17">
        <v>3846.0</v>
      </c>
      <c r="F257" s="17">
        <v>1300.0</v>
      </c>
      <c r="G257" s="17">
        <v>914.0</v>
      </c>
      <c r="H257" s="17">
        <v>1632.0</v>
      </c>
      <c r="I257" s="112" t="s">
        <v>29</v>
      </c>
      <c r="J257" s="109">
        <v>138.7755</v>
      </c>
      <c r="K257" s="109">
        <v>134.2603</v>
      </c>
      <c r="L257" s="109">
        <v>135.9062</v>
      </c>
      <c r="M257" s="15">
        <v>986.5</v>
      </c>
      <c r="N257" s="17">
        <f t="shared" si="25"/>
        <v>4832.5</v>
      </c>
      <c r="O257" s="105">
        <f t="shared" si="32"/>
        <v>524920.9826</v>
      </c>
      <c r="P257" s="89">
        <v>1016.5</v>
      </c>
      <c r="Q257" s="73">
        <f t="shared" si="33"/>
        <v>131.8951956</v>
      </c>
      <c r="R257" s="89">
        <f t="shared" si="14"/>
        <v>134071.4663</v>
      </c>
      <c r="S257" s="20">
        <f>IFERROR(__xludf.DUMMYFUNCTION("INDEX(IMPORTHTML(""https://www.bna.com.ar/Personas"", ""table"", 1), 2, 3)"),1465.0)</f>
        <v>1465</v>
      </c>
      <c r="T257" s="70">
        <f t="shared" si="34"/>
        <v>245397.6061</v>
      </c>
      <c r="U257" s="71">
        <f t="shared" si="16"/>
        <v>197.3</v>
      </c>
      <c r="V257" s="110">
        <f t="shared" si="39"/>
        <v>8.968181818</v>
      </c>
      <c r="W257" s="111">
        <f t="shared" si="35"/>
        <v>0.2034491693</v>
      </c>
      <c r="X257" s="109">
        <f t="shared" si="36"/>
        <v>658992.4489</v>
      </c>
      <c r="Y257" s="109"/>
    </row>
    <row r="258" ht="15.75" customHeight="1">
      <c r="A258" s="106">
        <v>45589.0</v>
      </c>
      <c r="B258" s="124">
        <v>4000681.0</v>
      </c>
      <c r="C258" s="124" t="s">
        <v>40</v>
      </c>
      <c r="D258" s="108">
        <v>0.27</v>
      </c>
      <c r="E258" s="17">
        <v>9397.0</v>
      </c>
      <c r="F258" s="17">
        <v>2556.0</v>
      </c>
      <c r="G258" s="17">
        <v>2968.0</v>
      </c>
      <c r="H258" s="17">
        <v>3873.0</v>
      </c>
      <c r="I258" s="112" t="s">
        <v>25</v>
      </c>
      <c r="J258" s="109">
        <v>137.7794</v>
      </c>
      <c r="K258" s="109">
        <v>137.7794</v>
      </c>
      <c r="L258" s="109">
        <v>137.7794</v>
      </c>
      <c r="M258" s="15">
        <v>3114.8</v>
      </c>
      <c r="N258" s="17">
        <f t="shared" si="25"/>
        <v>12511.8</v>
      </c>
      <c r="O258" s="105">
        <f t="shared" si="32"/>
        <v>1294713.022</v>
      </c>
      <c r="P258" s="89">
        <v>1016.5</v>
      </c>
      <c r="Q258" s="73">
        <f t="shared" si="33"/>
        <v>422.1891541</v>
      </c>
      <c r="R258" s="89">
        <f t="shared" si="14"/>
        <v>429155.2751</v>
      </c>
      <c r="S258" s="20">
        <f>IFERROR(__xludf.DUMMYFUNCTION("INDEX(IMPORTHTML(""https://www.bna.com.ar/Personas"", ""table"", 1), 2, 3)"),1465.0)</f>
        <v>1465</v>
      </c>
      <c r="T258" s="70">
        <f t="shared" si="34"/>
        <v>785504.0306</v>
      </c>
      <c r="U258" s="71">
        <f t="shared" si="16"/>
        <v>622.96</v>
      </c>
      <c r="V258" s="110">
        <f t="shared" si="39"/>
        <v>28.31636364</v>
      </c>
      <c r="W258" s="111">
        <f t="shared" si="35"/>
        <v>0.2489489922</v>
      </c>
      <c r="X258" s="105">
        <f t="shared" si="36"/>
        <v>1723868.297</v>
      </c>
      <c r="Y258" s="105"/>
    </row>
    <row r="259" ht="15.75" customHeight="1">
      <c r="A259" s="106">
        <v>45589.0</v>
      </c>
      <c r="B259" s="112">
        <v>5253775.0</v>
      </c>
      <c r="C259" s="112" t="s">
        <v>39</v>
      </c>
      <c r="D259" s="108">
        <v>0.21</v>
      </c>
      <c r="E259" s="17">
        <v>572.0</v>
      </c>
      <c r="F259" s="17"/>
      <c r="G259" s="17"/>
      <c r="H259" s="17">
        <v>572.0</v>
      </c>
      <c r="I259" s="112" t="s">
        <v>32</v>
      </c>
      <c r="J259" s="109">
        <v>191.5508</v>
      </c>
      <c r="K259" s="109">
        <v>191.5508</v>
      </c>
      <c r="L259" s="109">
        <v>191.5508</v>
      </c>
      <c r="M259" s="15">
        <v>150.8</v>
      </c>
      <c r="N259" s="17">
        <f t="shared" si="25"/>
        <v>722.8</v>
      </c>
      <c r="O259" s="105">
        <f t="shared" si="32"/>
        <v>109567.0576</v>
      </c>
      <c r="P259" s="89">
        <v>1015.5</v>
      </c>
      <c r="Q259" s="73">
        <f t="shared" si="33"/>
        <v>28.4449637</v>
      </c>
      <c r="R259" s="89">
        <f t="shared" si="14"/>
        <v>28885.86064</v>
      </c>
      <c r="S259" s="20">
        <f>IFERROR(__xludf.DUMMYFUNCTION("INDEX(IMPORTHTML(""https://www.bna.com.ar/Personas"", ""table"", 1), 2, 3)"),1465.0)</f>
        <v>1465</v>
      </c>
      <c r="T259" s="70">
        <f t="shared" si="34"/>
        <v>50422.96491</v>
      </c>
      <c r="U259" s="71">
        <f t="shared" si="16"/>
        <v>30.16</v>
      </c>
      <c r="V259" s="110">
        <f t="shared" si="39"/>
        <v>1.370909091</v>
      </c>
      <c r="W259" s="111">
        <f t="shared" si="35"/>
        <v>0.2086330935</v>
      </c>
      <c r="X259" s="105">
        <f t="shared" si="36"/>
        <v>138452.9182</v>
      </c>
      <c r="Y259" s="105"/>
    </row>
    <row r="260" ht="15.75" customHeight="1">
      <c r="A260" s="106">
        <v>45589.0</v>
      </c>
      <c r="B260" s="124">
        <v>5211887.0</v>
      </c>
      <c r="C260" s="124" t="s">
        <v>38</v>
      </c>
      <c r="D260" s="108">
        <v>0.27</v>
      </c>
      <c r="E260" s="17">
        <v>3204.0</v>
      </c>
      <c r="F260" s="17"/>
      <c r="G260" s="17"/>
      <c r="H260" s="17">
        <v>3204.0</v>
      </c>
      <c r="I260" s="112" t="s">
        <v>25</v>
      </c>
      <c r="J260" s="109">
        <v>137.7794</v>
      </c>
      <c r="K260" s="109">
        <v>137.7794</v>
      </c>
      <c r="L260" s="109">
        <v>137.7794</v>
      </c>
      <c r="M260" s="15">
        <v>1519.4</v>
      </c>
      <c r="N260" s="17">
        <f t="shared" si="25"/>
        <v>4723.4</v>
      </c>
      <c r="O260" s="105">
        <f t="shared" si="32"/>
        <v>441445.1976</v>
      </c>
      <c r="P260" s="89">
        <v>1016.5</v>
      </c>
      <c r="Q260" s="73">
        <f t="shared" si="33"/>
        <v>205.9439453</v>
      </c>
      <c r="R260" s="89">
        <f t="shared" si="14"/>
        <v>209342.0204</v>
      </c>
      <c r="S260" s="20">
        <f>IFERROR(__xludf.DUMMYFUNCTION("INDEX(IMPORTHTML(""https://www.bna.com.ar/Personas"", ""table"", 1), 2, 3)"),1465.0)</f>
        <v>1465</v>
      </c>
      <c r="T260" s="70">
        <f t="shared" si="34"/>
        <v>383169.0074</v>
      </c>
      <c r="U260" s="71">
        <f t="shared" si="16"/>
        <v>303.88</v>
      </c>
      <c r="V260" s="110">
        <f t="shared" si="39"/>
        <v>13.81272727</v>
      </c>
      <c r="W260" s="111">
        <f t="shared" si="35"/>
        <v>0.3216750646</v>
      </c>
      <c r="X260" s="105">
        <f t="shared" si="36"/>
        <v>650787.218</v>
      </c>
      <c r="Y260" s="105"/>
    </row>
    <row r="261" ht="15.75" customHeight="1">
      <c r="A261" s="113">
        <v>45589.0</v>
      </c>
      <c r="B261" s="125">
        <v>5346222.0</v>
      </c>
      <c r="C261" s="125" t="s">
        <v>37</v>
      </c>
      <c r="D261" s="115">
        <v>0.27</v>
      </c>
      <c r="E261" s="42">
        <v>6256.0</v>
      </c>
      <c r="F261" s="17">
        <v>1623.0</v>
      </c>
      <c r="G261" s="42">
        <v>1801.0</v>
      </c>
      <c r="H261" s="42">
        <v>2832.0</v>
      </c>
      <c r="I261" s="126" t="s">
        <v>25</v>
      </c>
      <c r="J261" s="116">
        <v>137.7794</v>
      </c>
      <c r="K261" s="116">
        <v>137.7794</v>
      </c>
      <c r="L261" s="116">
        <v>137.7794</v>
      </c>
      <c r="M261" s="44">
        <v>2790.7</v>
      </c>
      <c r="N261" s="42">
        <f t="shared" si="25"/>
        <v>9046.7</v>
      </c>
      <c r="O261" s="117">
        <f t="shared" si="32"/>
        <v>861947.9264</v>
      </c>
      <c r="P261" s="118">
        <v>1016.5</v>
      </c>
      <c r="Q261" s="119">
        <f t="shared" si="33"/>
        <v>378.2596867</v>
      </c>
      <c r="R261" s="118">
        <f t="shared" si="14"/>
        <v>384500.9716</v>
      </c>
      <c r="S261" s="20">
        <f>IFERROR(__xludf.DUMMYFUNCTION("INDEX(IMPORTHTML(""https://www.bna.com.ar/Personas"", ""table"", 1), 2, 3)"),1465.0)</f>
        <v>1465</v>
      </c>
      <c r="T261" s="120">
        <f t="shared" si="34"/>
        <v>703771.0602</v>
      </c>
      <c r="U261" s="121">
        <f t="shared" si="16"/>
        <v>558.14</v>
      </c>
      <c r="V261" s="122">
        <f t="shared" si="39"/>
        <v>25.37</v>
      </c>
      <c r="W261" s="123">
        <f t="shared" si="35"/>
        <v>0.3084771243</v>
      </c>
      <c r="X261" s="117">
        <f t="shared" si="36"/>
        <v>1246448.898</v>
      </c>
      <c r="Y261" s="105"/>
    </row>
    <row r="262" ht="15.75" customHeight="1">
      <c r="A262" s="106">
        <v>45565.0</v>
      </c>
      <c r="B262" s="112">
        <v>5253773.0</v>
      </c>
      <c r="C262" s="112" t="s">
        <v>43</v>
      </c>
      <c r="D262" s="108">
        <v>0.21</v>
      </c>
      <c r="E262" s="17">
        <v>544.0</v>
      </c>
      <c r="F262" s="56">
        <v>222.0</v>
      </c>
      <c r="G262" s="17">
        <v>109.0</v>
      </c>
      <c r="H262" s="17">
        <v>213.0</v>
      </c>
      <c r="I262" s="112" t="s">
        <v>32</v>
      </c>
      <c r="J262" s="109">
        <v>185.7798</v>
      </c>
      <c r="K262" s="109">
        <v>185.7798</v>
      </c>
      <c r="L262" s="109">
        <v>185.7798</v>
      </c>
      <c r="M262" s="15">
        <v>263.7</v>
      </c>
      <c r="N262" s="17">
        <f t="shared" si="25"/>
        <v>807.7</v>
      </c>
      <c r="O262" s="105">
        <f t="shared" si="32"/>
        <v>101064.2112</v>
      </c>
      <c r="P262" s="70">
        <v>992.5</v>
      </c>
      <c r="Q262" s="73">
        <f t="shared" si="33"/>
        <v>49.36033578</v>
      </c>
      <c r="R262" s="89">
        <f t="shared" si="14"/>
        <v>48990.13326</v>
      </c>
      <c r="S262" s="20">
        <f>IFERROR(__xludf.DUMMYFUNCTION("INDEX(IMPORTHTML(""https://www.bna.com.ar/Personas"", ""table"", 1), 2, 3)"),1465.0)</f>
        <v>1465</v>
      </c>
      <c r="T262" s="70">
        <f t="shared" si="34"/>
        <v>87498.59922</v>
      </c>
      <c r="U262" s="71">
        <f t="shared" si="16"/>
        <v>52.74</v>
      </c>
      <c r="V262" s="110">
        <f t="shared" si="39"/>
        <v>2.397272727</v>
      </c>
      <c r="W262" s="111">
        <f t="shared" si="35"/>
        <v>0.3264826049</v>
      </c>
      <c r="X262" s="105">
        <f t="shared" si="36"/>
        <v>150054.3445</v>
      </c>
      <c r="Y262" s="105"/>
    </row>
    <row r="263" ht="15.75" customHeight="1">
      <c r="A263" s="106">
        <v>45564.0</v>
      </c>
      <c r="B263" s="112">
        <v>5352763.0</v>
      </c>
      <c r="C263" s="112" t="s">
        <v>66</v>
      </c>
      <c r="D263" s="108">
        <v>0.27</v>
      </c>
      <c r="E263" s="17">
        <v>1689.0</v>
      </c>
      <c r="F263" s="17">
        <v>575.0</v>
      </c>
      <c r="G263" s="17">
        <v>342.0</v>
      </c>
      <c r="H263" s="17">
        <v>772.0</v>
      </c>
      <c r="I263" s="112" t="s">
        <v>25</v>
      </c>
      <c r="J263" s="109">
        <v>133.9704</v>
      </c>
      <c r="K263" s="109">
        <v>133.9704</v>
      </c>
      <c r="L263" s="109">
        <v>133.9704</v>
      </c>
      <c r="M263" s="15">
        <v>734.7</v>
      </c>
      <c r="N263" s="17">
        <f t="shared" si="25"/>
        <v>2423.7</v>
      </c>
      <c r="O263" s="105">
        <f t="shared" si="32"/>
        <v>226276.0056</v>
      </c>
      <c r="P263" s="70">
        <v>992.5</v>
      </c>
      <c r="Q263" s="73">
        <f t="shared" si="33"/>
        <v>99.17184169</v>
      </c>
      <c r="R263" s="89">
        <f t="shared" si="14"/>
        <v>98428.05288</v>
      </c>
      <c r="S263" s="20">
        <f>IFERROR(__xludf.DUMMYFUNCTION("INDEX(IMPORTHTML(""https://www.bna.com.ar/Personas"", ""table"", 1), 2, 3)"),1465.0)</f>
        <v>1465</v>
      </c>
      <c r="T263" s="70">
        <f t="shared" si="34"/>
        <v>184514.1701</v>
      </c>
      <c r="U263" s="71">
        <f t="shared" si="16"/>
        <v>146.94</v>
      </c>
      <c r="V263" s="110">
        <f t="shared" si="39"/>
        <v>6.679090909</v>
      </c>
      <c r="W263" s="111">
        <f t="shared" si="35"/>
        <v>0.3031315757</v>
      </c>
      <c r="X263" s="105">
        <f t="shared" si="36"/>
        <v>324704.0585</v>
      </c>
      <c r="Y263" s="105"/>
    </row>
    <row r="264" ht="15.75" customHeight="1">
      <c r="A264" s="106">
        <v>45563.0</v>
      </c>
      <c r="B264" s="112">
        <v>5010595.0</v>
      </c>
      <c r="C264" s="112" t="s">
        <v>70</v>
      </c>
      <c r="D264" s="108">
        <v>0.27</v>
      </c>
      <c r="E264" s="17">
        <v>1682.0</v>
      </c>
      <c r="F264" s="17">
        <v>193.0</v>
      </c>
      <c r="G264" s="17">
        <v>243.0</v>
      </c>
      <c r="H264" s="17">
        <v>1246.0</v>
      </c>
      <c r="I264" s="112" t="s">
        <v>25</v>
      </c>
      <c r="J264" s="109">
        <v>133.9704</v>
      </c>
      <c r="K264" s="109">
        <v>133.9704</v>
      </c>
      <c r="L264" s="109">
        <v>133.9704</v>
      </c>
      <c r="M264" s="15">
        <v>544.0</v>
      </c>
      <c r="N264" s="17">
        <f t="shared" si="25"/>
        <v>2226</v>
      </c>
      <c r="O264" s="105">
        <f t="shared" si="32"/>
        <v>225338.2128</v>
      </c>
      <c r="P264" s="70">
        <v>993.0</v>
      </c>
      <c r="Q264" s="73">
        <f t="shared" si="33"/>
        <v>73.39365317</v>
      </c>
      <c r="R264" s="89">
        <f t="shared" si="14"/>
        <v>72879.8976</v>
      </c>
      <c r="S264" s="20">
        <f>IFERROR(__xludf.DUMMYFUNCTION("INDEX(IMPORTHTML(""https://www.bna.com.ar/Personas"", ""table"", 1), 2, 3)"),1465.0)</f>
        <v>1465</v>
      </c>
      <c r="T264" s="70">
        <f t="shared" si="34"/>
        <v>136552.5614</v>
      </c>
      <c r="U264" s="71">
        <f t="shared" si="16"/>
        <v>108.8</v>
      </c>
      <c r="V264" s="110">
        <f t="shared" si="39"/>
        <v>4.945454545</v>
      </c>
      <c r="W264" s="111">
        <f t="shared" si="35"/>
        <v>0.2443845463</v>
      </c>
      <c r="X264" s="105">
        <f t="shared" si="36"/>
        <v>298218.1104</v>
      </c>
      <c r="Y264" s="105"/>
    </row>
    <row r="265" ht="15.75" customHeight="1">
      <c r="A265" s="106">
        <v>45562.0</v>
      </c>
      <c r="B265" s="112">
        <v>5224707.0</v>
      </c>
      <c r="C265" s="112" t="s">
        <v>71</v>
      </c>
      <c r="D265" s="108">
        <v>0.27</v>
      </c>
      <c r="E265" s="17">
        <v>15600.0</v>
      </c>
      <c r="F265" s="17">
        <v>640.0</v>
      </c>
      <c r="G265" s="17">
        <v>2760.0</v>
      </c>
      <c r="H265" s="17">
        <v>12200.0</v>
      </c>
      <c r="I265" s="112" t="s">
        <v>29</v>
      </c>
      <c r="J265" s="109">
        <v>134.9603</v>
      </c>
      <c r="K265" s="109">
        <v>130.5635</v>
      </c>
      <c r="L265" s="109">
        <v>132.1654</v>
      </c>
      <c r="M265" s="15">
        <v>0.0</v>
      </c>
      <c r="N265" s="17">
        <f t="shared" si="25"/>
        <v>15600</v>
      </c>
      <c r="O265" s="105">
        <f t="shared" si="32"/>
        <v>2059147.732</v>
      </c>
      <c r="P265" s="70">
        <v>993.0</v>
      </c>
      <c r="Q265" s="73">
        <f t="shared" si="33"/>
        <v>0</v>
      </c>
      <c r="R265" s="89">
        <f t="shared" si="14"/>
        <v>0</v>
      </c>
      <c r="S265" s="20">
        <f>IFERROR(__xludf.DUMMYFUNCTION("INDEX(IMPORTHTML(""https://www.bna.com.ar/Personas"", ""table"", 1), 2, 3)"),1465.0)</f>
        <v>1465</v>
      </c>
      <c r="T265" s="70">
        <f t="shared" si="34"/>
        <v>0</v>
      </c>
      <c r="U265" s="71">
        <f t="shared" si="16"/>
        <v>0</v>
      </c>
      <c r="V265" s="110">
        <f t="shared" si="39"/>
        <v>0</v>
      </c>
      <c r="W265" s="111">
        <f t="shared" si="35"/>
        <v>0</v>
      </c>
      <c r="X265" s="109">
        <f t="shared" si="36"/>
        <v>2059147.732</v>
      </c>
      <c r="Y265" s="109"/>
    </row>
    <row r="266" ht="15.75" customHeight="1">
      <c r="A266" s="106">
        <v>45562.0</v>
      </c>
      <c r="B266" s="112">
        <v>5076619.0</v>
      </c>
      <c r="C266" s="112" t="s">
        <v>41</v>
      </c>
      <c r="D266" s="108">
        <v>0.27</v>
      </c>
      <c r="E266" s="17">
        <v>3591.0</v>
      </c>
      <c r="F266" s="17">
        <v>1225.0</v>
      </c>
      <c r="G266" s="17">
        <v>856.0</v>
      </c>
      <c r="H266" s="17">
        <v>1510.0</v>
      </c>
      <c r="I266" s="112" t="s">
        <v>29</v>
      </c>
      <c r="J266" s="109">
        <v>134.9603</v>
      </c>
      <c r="K266" s="109">
        <v>130.5635</v>
      </c>
      <c r="L266" s="109">
        <v>132.1654</v>
      </c>
      <c r="M266" s="15">
        <v>1049.5</v>
      </c>
      <c r="N266" s="17">
        <f t="shared" si="25"/>
        <v>4640.5</v>
      </c>
      <c r="O266" s="105">
        <f t="shared" si="32"/>
        <v>476658.4775</v>
      </c>
      <c r="P266" s="70">
        <v>993.0</v>
      </c>
      <c r="Q266" s="73">
        <f t="shared" si="33"/>
        <v>139.685385</v>
      </c>
      <c r="R266" s="89">
        <f t="shared" si="14"/>
        <v>138707.5873</v>
      </c>
      <c r="S266" s="20">
        <f>IFERROR(__xludf.DUMMYFUNCTION("INDEX(IMPORTHTML(""https://www.bna.com.ar/Personas"", ""table"", 1), 2, 3)"),1465.0)</f>
        <v>1465</v>
      </c>
      <c r="T266" s="70">
        <f t="shared" si="34"/>
        <v>259891.6431</v>
      </c>
      <c r="U266" s="71">
        <f t="shared" si="16"/>
        <v>209.9</v>
      </c>
      <c r="V266" s="110">
        <f t="shared" si="39"/>
        <v>9.540909091</v>
      </c>
      <c r="W266" s="111">
        <f t="shared" si="35"/>
        <v>0.2254066242</v>
      </c>
      <c r="X266" s="109">
        <f t="shared" si="36"/>
        <v>615366.0648</v>
      </c>
      <c r="Y266" s="109"/>
    </row>
    <row r="267" ht="15.75" customHeight="1">
      <c r="A267" s="106">
        <v>45561.0</v>
      </c>
      <c r="B267" s="124">
        <v>4000681.0</v>
      </c>
      <c r="C267" s="124" t="s">
        <v>40</v>
      </c>
      <c r="D267" s="108">
        <v>0.27</v>
      </c>
      <c r="E267" s="17">
        <v>3618.0</v>
      </c>
      <c r="F267" s="17">
        <v>241.0</v>
      </c>
      <c r="G267" s="17">
        <v>5.0</v>
      </c>
      <c r="H267" s="17">
        <v>3372.0</v>
      </c>
      <c r="I267" s="112" t="s">
        <v>25</v>
      </c>
      <c r="J267" s="109">
        <v>133.9704</v>
      </c>
      <c r="K267" s="109">
        <v>133.9704</v>
      </c>
      <c r="L267" s="109">
        <v>133.9704</v>
      </c>
      <c r="M267" s="15">
        <v>599.6</v>
      </c>
      <c r="N267" s="17">
        <f t="shared" si="25"/>
        <v>4217.6</v>
      </c>
      <c r="O267" s="105">
        <f t="shared" si="32"/>
        <v>484704.9072</v>
      </c>
      <c r="P267" s="70">
        <v>993.0</v>
      </c>
      <c r="Q267" s="73">
        <f t="shared" si="33"/>
        <v>80.89491625</v>
      </c>
      <c r="R267" s="89">
        <f t="shared" si="14"/>
        <v>80328.65184</v>
      </c>
      <c r="S267" s="20">
        <f>IFERROR(__xludf.DUMMYFUNCTION("INDEX(IMPORTHTML(""https://www.bna.com.ar/Personas"", ""table"", 1), 2, 3)"),1465.0)</f>
        <v>1465</v>
      </c>
      <c r="T267" s="70">
        <f t="shared" si="34"/>
        <v>150509.0364</v>
      </c>
      <c r="U267" s="71">
        <f t="shared" si="16"/>
        <v>119.92</v>
      </c>
      <c r="V267" s="110">
        <f t="shared" si="39"/>
        <v>5.450909091</v>
      </c>
      <c r="W267" s="111">
        <f t="shared" si="35"/>
        <v>0.1421661608</v>
      </c>
      <c r="X267" s="105">
        <f t="shared" si="36"/>
        <v>565033.559</v>
      </c>
      <c r="Y267" s="105"/>
    </row>
    <row r="268" ht="15.75" customHeight="1">
      <c r="A268" s="106">
        <v>45561.0</v>
      </c>
      <c r="B268" s="112">
        <v>5253775.0</v>
      </c>
      <c r="C268" s="112" t="s">
        <v>39</v>
      </c>
      <c r="D268" s="108">
        <v>0.21</v>
      </c>
      <c r="E268" s="17">
        <v>492.0</v>
      </c>
      <c r="F268" s="17"/>
      <c r="G268" s="17"/>
      <c r="H268" s="17">
        <v>492.0</v>
      </c>
      <c r="I268" s="112" t="s">
        <v>32</v>
      </c>
      <c r="J268" s="109">
        <v>175.9624</v>
      </c>
      <c r="K268" s="109">
        <v>175.9624</v>
      </c>
      <c r="L268" s="109">
        <v>175.9624</v>
      </c>
      <c r="M268" s="15">
        <v>166.8</v>
      </c>
      <c r="N268" s="17">
        <f t="shared" si="25"/>
        <v>658.8</v>
      </c>
      <c r="O268" s="105">
        <f t="shared" si="32"/>
        <v>86573.5008</v>
      </c>
      <c r="P268" s="70">
        <v>992.5</v>
      </c>
      <c r="Q268" s="73">
        <f t="shared" si="33"/>
        <v>29.57232073</v>
      </c>
      <c r="R268" s="89">
        <f t="shared" si="14"/>
        <v>29350.52832</v>
      </c>
      <c r="S268" s="20">
        <f>IFERROR(__xludf.DUMMYFUNCTION("INDEX(IMPORTHTML(""https://www.bna.com.ar/Personas"", ""table"", 1), 2, 3)"),1465.0)</f>
        <v>1465</v>
      </c>
      <c r="T268" s="70">
        <f t="shared" si="34"/>
        <v>52421.37433</v>
      </c>
      <c r="U268" s="71">
        <f t="shared" si="16"/>
        <v>33.36</v>
      </c>
      <c r="V268" s="110">
        <f t="shared" si="39"/>
        <v>1.516363636</v>
      </c>
      <c r="W268" s="111">
        <f t="shared" si="35"/>
        <v>0.2531876138</v>
      </c>
      <c r="X268" s="105">
        <f t="shared" si="36"/>
        <v>115924.0291</v>
      </c>
      <c r="Y268" s="105"/>
    </row>
    <row r="269" ht="15.75" customHeight="1">
      <c r="A269" s="106">
        <v>45560.0</v>
      </c>
      <c r="B269" s="124">
        <v>5211887.0</v>
      </c>
      <c r="C269" s="124" t="s">
        <v>38</v>
      </c>
      <c r="D269" s="108">
        <v>0.27</v>
      </c>
      <c r="E269" s="17">
        <v>645.0</v>
      </c>
      <c r="F269" s="17"/>
      <c r="G269" s="17"/>
      <c r="H269" s="17">
        <v>645.0</v>
      </c>
      <c r="I269" s="112" t="s">
        <v>25</v>
      </c>
      <c r="J269" s="109">
        <v>133.9704</v>
      </c>
      <c r="K269" s="109">
        <v>133.9704</v>
      </c>
      <c r="L269" s="109">
        <v>133.9704</v>
      </c>
      <c r="M269" s="15">
        <v>1556.3</v>
      </c>
      <c r="N269" s="17">
        <f t="shared" si="25"/>
        <v>2201.3</v>
      </c>
      <c r="O269" s="105">
        <f t="shared" si="32"/>
        <v>86410.908</v>
      </c>
      <c r="P269" s="70">
        <v>992.5</v>
      </c>
      <c r="Q269" s="73">
        <f t="shared" si="33"/>
        <v>210.0736862</v>
      </c>
      <c r="R269" s="89">
        <f t="shared" si="14"/>
        <v>208498.1335</v>
      </c>
      <c r="S269" s="20">
        <f>IFERROR(__xludf.DUMMYFUNCTION("INDEX(IMPORTHTML(""https://www.bna.com.ar/Personas"", ""table"", 1), 2, 3)"),1465.0)</f>
        <v>1465</v>
      </c>
      <c r="T269" s="70">
        <f t="shared" si="34"/>
        <v>390852.5968</v>
      </c>
      <c r="U269" s="71">
        <f t="shared" si="16"/>
        <v>311.26</v>
      </c>
      <c r="V269" s="110">
        <f t="shared" si="39"/>
        <v>14.14818182</v>
      </c>
      <c r="W269" s="111">
        <f t="shared" si="35"/>
        <v>0.7069913233</v>
      </c>
      <c r="X269" s="105">
        <f t="shared" si="36"/>
        <v>294909.0415</v>
      </c>
      <c r="Y269" s="105"/>
    </row>
    <row r="270" ht="15.75" customHeight="1">
      <c r="A270" s="113">
        <v>45559.0</v>
      </c>
      <c r="B270" s="125">
        <v>5346222.0</v>
      </c>
      <c r="C270" s="125" t="s">
        <v>37</v>
      </c>
      <c r="D270" s="115">
        <v>0.27</v>
      </c>
      <c r="E270" s="42">
        <v>1489.0</v>
      </c>
      <c r="F270" s="17">
        <v>123.0</v>
      </c>
      <c r="G270" s="42">
        <v>2.0</v>
      </c>
      <c r="H270" s="42">
        <v>1364.0</v>
      </c>
      <c r="I270" s="126" t="s">
        <v>25</v>
      </c>
      <c r="J270" s="116">
        <v>133.9704</v>
      </c>
      <c r="K270" s="116">
        <v>133.9704</v>
      </c>
      <c r="L270" s="116">
        <v>133.9704</v>
      </c>
      <c r="M270" s="44">
        <v>2732.7</v>
      </c>
      <c r="N270" s="42">
        <f t="shared" si="25"/>
        <v>4221.7</v>
      </c>
      <c r="O270" s="117">
        <f t="shared" si="32"/>
        <v>199481.9256</v>
      </c>
      <c r="P270" s="118">
        <v>992.5</v>
      </c>
      <c r="Q270" s="119">
        <f t="shared" si="33"/>
        <v>368.8674177</v>
      </c>
      <c r="R270" s="118">
        <f t="shared" si="14"/>
        <v>366100.9121</v>
      </c>
      <c r="S270" s="20">
        <f>IFERROR(__xludf.DUMMYFUNCTION("INDEX(IMPORTHTML(""https://www.bna.com.ar/Personas"", ""table"", 1), 2, 3)"),1465.0)</f>
        <v>1465</v>
      </c>
      <c r="T270" s="120">
        <f t="shared" si="34"/>
        <v>686296.274</v>
      </c>
      <c r="U270" s="121">
        <f t="shared" si="16"/>
        <v>546.54</v>
      </c>
      <c r="V270" s="122">
        <f t="shared" si="39"/>
        <v>24.84272727</v>
      </c>
      <c r="W270" s="123">
        <f t="shared" si="35"/>
        <v>0.6472984817</v>
      </c>
      <c r="X270" s="117">
        <f t="shared" si="36"/>
        <v>565582.8377</v>
      </c>
      <c r="Y270" s="105"/>
    </row>
    <row r="271" ht="15.75" customHeight="1">
      <c r="A271" s="106">
        <v>45528.0</v>
      </c>
      <c r="B271" s="124">
        <v>5211887.0</v>
      </c>
      <c r="C271" s="124" t="s">
        <v>38</v>
      </c>
      <c r="D271" s="108">
        <v>0.27</v>
      </c>
      <c r="E271" s="17">
        <v>1946.0</v>
      </c>
      <c r="F271" s="56"/>
      <c r="G271" s="17"/>
      <c r="H271" s="17">
        <v>1946.0</v>
      </c>
      <c r="I271" s="107" t="s">
        <v>25</v>
      </c>
      <c r="J271" s="109">
        <v>127.2071</v>
      </c>
      <c r="K271" s="109">
        <v>127.2071</v>
      </c>
      <c r="L271" s="109">
        <v>127.2071</v>
      </c>
      <c r="M271" s="15">
        <v>1017.3</v>
      </c>
      <c r="N271" s="17">
        <f t="shared" si="25"/>
        <v>2963.3</v>
      </c>
      <c r="O271" s="105">
        <f t="shared" si="32"/>
        <v>247545.0166</v>
      </c>
      <c r="P271" s="89">
        <v>974.0</v>
      </c>
      <c r="Q271" s="73">
        <f t="shared" si="33"/>
        <v>132.8622</v>
      </c>
      <c r="R271" s="89">
        <f t="shared" si="14"/>
        <v>129407.7828</v>
      </c>
      <c r="S271" s="20">
        <f>IFERROR(__xludf.DUMMYFUNCTION("INDEX(IMPORTHTML(""https://www.bna.com.ar/Personas"", ""table"", 1), 2, 3)"),1465.0)</f>
        <v>1465</v>
      </c>
      <c r="T271" s="70">
        <f t="shared" si="34"/>
        <v>247196.7663</v>
      </c>
      <c r="U271" s="71">
        <f t="shared" si="16"/>
        <v>203.46</v>
      </c>
      <c r="V271" s="110">
        <f t="shared" si="39"/>
        <v>9.248181818</v>
      </c>
      <c r="W271" s="111">
        <f t="shared" si="35"/>
        <v>0.3432996997</v>
      </c>
      <c r="X271" s="105">
        <f t="shared" si="36"/>
        <v>376952.7994</v>
      </c>
      <c r="Y271" s="105"/>
    </row>
    <row r="272" ht="15.75" customHeight="1">
      <c r="A272" s="106">
        <v>45528.0</v>
      </c>
      <c r="B272" s="112">
        <v>5224707.0</v>
      </c>
      <c r="C272" s="112" t="s">
        <v>71</v>
      </c>
      <c r="D272" s="108">
        <v>0.27</v>
      </c>
      <c r="E272" s="17">
        <v>9520.0</v>
      </c>
      <c r="F272" s="17">
        <v>400.0</v>
      </c>
      <c r="G272" s="17">
        <v>360.0</v>
      </c>
      <c r="H272" s="17">
        <v>8760.0</v>
      </c>
      <c r="I272" s="107" t="s">
        <v>29</v>
      </c>
      <c r="J272" s="109">
        <v>128.1806</v>
      </c>
      <c r="K272" s="109">
        <v>123.9926</v>
      </c>
      <c r="L272" s="109">
        <v>125.5118</v>
      </c>
      <c r="M272" s="15">
        <v>0.0</v>
      </c>
      <c r="N272" s="17">
        <f t="shared" si="25"/>
        <v>9520</v>
      </c>
      <c r="O272" s="105">
        <f t="shared" si="32"/>
        <v>1195392.944</v>
      </c>
      <c r="P272" s="89">
        <v>976.5</v>
      </c>
      <c r="Q272" s="73">
        <f t="shared" si="33"/>
        <v>0</v>
      </c>
      <c r="R272" s="89">
        <f t="shared" si="14"/>
        <v>0</v>
      </c>
      <c r="S272" s="20">
        <f>IFERROR(__xludf.DUMMYFUNCTION("INDEX(IMPORTHTML(""https://www.bna.com.ar/Personas"", ""table"", 1), 2, 3)"),1465.0)</f>
        <v>1465</v>
      </c>
      <c r="T272" s="70">
        <f t="shared" si="34"/>
        <v>0</v>
      </c>
      <c r="U272" s="71">
        <f t="shared" si="16"/>
        <v>0</v>
      </c>
      <c r="V272" s="110">
        <f t="shared" si="39"/>
        <v>0</v>
      </c>
      <c r="W272" s="111">
        <f t="shared" si="35"/>
        <v>0</v>
      </c>
      <c r="X272" s="109">
        <f t="shared" si="36"/>
        <v>1195392.944</v>
      </c>
      <c r="Y272" s="109"/>
    </row>
    <row r="273" ht="15.75" customHeight="1">
      <c r="A273" s="106">
        <v>45528.0</v>
      </c>
      <c r="B273" s="112">
        <v>5352763.0</v>
      </c>
      <c r="C273" s="112" t="s">
        <v>66</v>
      </c>
      <c r="D273" s="108">
        <v>0.27</v>
      </c>
      <c r="E273" s="17">
        <v>2021.0</v>
      </c>
      <c r="F273" s="17">
        <v>496.0</v>
      </c>
      <c r="G273" s="17">
        <v>378.0</v>
      </c>
      <c r="H273" s="17">
        <v>1147.0</v>
      </c>
      <c r="I273" s="107" t="s">
        <v>25</v>
      </c>
      <c r="J273" s="109">
        <v>127.2071</v>
      </c>
      <c r="K273" s="109">
        <v>127.2071</v>
      </c>
      <c r="L273" s="109">
        <v>127.2071</v>
      </c>
      <c r="M273" s="15">
        <v>585.5</v>
      </c>
      <c r="N273" s="17">
        <f t="shared" si="25"/>
        <v>2606.5</v>
      </c>
      <c r="O273" s="105">
        <f t="shared" si="32"/>
        <v>257085.5491</v>
      </c>
      <c r="P273" s="89">
        <v>976.5</v>
      </c>
      <c r="Q273" s="73">
        <f t="shared" si="33"/>
        <v>76.27215264</v>
      </c>
      <c r="R273" s="89">
        <f t="shared" si="14"/>
        <v>74479.75705</v>
      </c>
      <c r="S273" s="20">
        <f>IFERROR(__xludf.DUMMYFUNCTION("INDEX(IMPORTHTML(""https://www.bna.com.ar/Personas"", ""table"", 1), 2, 3)"),1465.0)</f>
        <v>1465</v>
      </c>
      <c r="T273" s="70">
        <f t="shared" si="34"/>
        <v>141908.1536</v>
      </c>
      <c r="U273" s="71">
        <f t="shared" si="16"/>
        <v>117.1</v>
      </c>
      <c r="V273" s="110">
        <f t="shared" si="39"/>
        <v>5.322727273</v>
      </c>
      <c r="W273" s="111">
        <f t="shared" si="35"/>
        <v>0.2246307309</v>
      </c>
      <c r="X273" s="105">
        <f t="shared" si="36"/>
        <v>331565.3062</v>
      </c>
      <c r="Y273" s="105"/>
    </row>
    <row r="274" ht="15.75" customHeight="1">
      <c r="A274" s="106">
        <v>45528.0</v>
      </c>
      <c r="B274" s="112">
        <v>5253773.0</v>
      </c>
      <c r="C274" s="112" t="s">
        <v>43</v>
      </c>
      <c r="D274" s="108">
        <v>0.21</v>
      </c>
      <c r="E274" s="17">
        <v>646.0</v>
      </c>
      <c r="F274" s="17">
        <v>242.0</v>
      </c>
      <c r="G274" s="17">
        <v>131.0</v>
      </c>
      <c r="H274" s="17">
        <v>273.0</v>
      </c>
      <c r="I274" s="107" t="s">
        <v>32</v>
      </c>
      <c r="J274" s="109">
        <v>175.6135</v>
      </c>
      <c r="K274" s="109">
        <v>175.6135</v>
      </c>
      <c r="L274" s="109">
        <v>175.6135</v>
      </c>
      <c r="M274" s="15">
        <v>202.4</v>
      </c>
      <c r="N274" s="17">
        <f t="shared" si="25"/>
        <v>848.4</v>
      </c>
      <c r="O274" s="105">
        <f t="shared" si="32"/>
        <v>113446.321</v>
      </c>
      <c r="P274" s="89">
        <v>973.5</v>
      </c>
      <c r="Q274" s="73">
        <f t="shared" si="33"/>
        <v>36.51173333</v>
      </c>
      <c r="R274" s="89">
        <f t="shared" si="14"/>
        <v>35544.1724</v>
      </c>
      <c r="S274" s="20">
        <f>IFERROR(__xludf.DUMMYFUNCTION("INDEX(IMPORTHTML(""https://www.bna.com.ar/Personas"", ""table"", 1), 2, 3)"),1465.0)</f>
        <v>1465</v>
      </c>
      <c r="T274" s="70">
        <f t="shared" si="34"/>
        <v>64722.52409</v>
      </c>
      <c r="U274" s="71">
        <f t="shared" si="16"/>
        <v>40.48</v>
      </c>
      <c r="V274" s="110">
        <f t="shared" si="39"/>
        <v>1.84</v>
      </c>
      <c r="W274" s="111">
        <f t="shared" si="35"/>
        <v>0.2385667138</v>
      </c>
      <c r="X274" s="105">
        <f t="shared" si="36"/>
        <v>148990.4934</v>
      </c>
      <c r="Y274" s="105"/>
    </row>
    <row r="275" ht="15.75" customHeight="1">
      <c r="A275" s="106">
        <v>45528.0</v>
      </c>
      <c r="B275" s="112">
        <v>5253775.0</v>
      </c>
      <c r="C275" s="112" t="s">
        <v>39</v>
      </c>
      <c r="D275" s="108">
        <v>0.21</v>
      </c>
      <c r="E275" s="17">
        <v>614.0</v>
      </c>
      <c r="F275" s="17"/>
      <c r="G275" s="17"/>
      <c r="H275" s="17">
        <v>614.0</v>
      </c>
      <c r="I275" s="107" t="s">
        <v>32</v>
      </c>
      <c r="J275" s="109">
        <v>175.6135</v>
      </c>
      <c r="K275" s="109">
        <v>175.6135</v>
      </c>
      <c r="L275" s="109">
        <v>175.6135</v>
      </c>
      <c r="M275" s="15">
        <v>164.8</v>
      </c>
      <c r="N275" s="17">
        <f t="shared" si="25"/>
        <v>778.8</v>
      </c>
      <c r="O275" s="105">
        <f t="shared" si="32"/>
        <v>107826.689</v>
      </c>
      <c r="P275" s="89">
        <v>973.5</v>
      </c>
      <c r="Q275" s="73">
        <f t="shared" si="33"/>
        <v>29.72892121</v>
      </c>
      <c r="R275" s="89">
        <f t="shared" si="14"/>
        <v>28941.1048</v>
      </c>
      <c r="S275" s="20">
        <f>IFERROR(__xludf.DUMMYFUNCTION("INDEX(IMPORTHTML(""https://www.bna.com.ar/Personas"", ""table"", 1), 2, 3)"),1465.0)</f>
        <v>1465</v>
      </c>
      <c r="T275" s="70">
        <f t="shared" si="34"/>
        <v>52698.97219</v>
      </c>
      <c r="U275" s="71">
        <f t="shared" si="16"/>
        <v>32.96</v>
      </c>
      <c r="V275" s="110">
        <f t="shared" si="39"/>
        <v>1.498181818</v>
      </c>
      <c r="W275" s="111">
        <f t="shared" si="35"/>
        <v>0.2116076014</v>
      </c>
      <c r="X275" s="105">
        <f t="shared" si="36"/>
        <v>136767.7938</v>
      </c>
      <c r="Y275" s="105"/>
    </row>
    <row r="276" ht="15.75" customHeight="1">
      <c r="A276" s="106">
        <v>45528.0</v>
      </c>
      <c r="B276" s="112">
        <v>5076619.0</v>
      </c>
      <c r="C276" s="112" t="s">
        <v>41</v>
      </c>
      <c r="D276" s="108">
        <v>0.27</v>
      </c>
      <c r="E276" s="17">
        <v>3595.0</v>
      </c>
      <c r="F276" s="17">
        <v>1311.0</v>
      </c>
      <c r="G276" s="17">
        <v>836.0</v>
      </c>
      <c r="H276" s="17">
        <v>1448.0</v>
      </c>
      <c r="I276" s="112" t="s">
        <v>29</v>
      </c>
      <c r="J276" s="109">
        <v>128.1806</v>
      </c>
      <c r="K276" s="109">
        <v>123.9926</v>
      </c>
      <c r="L276" s="109">
        <v>125.5118</v>
      </c>
      <c r="M276" s="15">
        <v>1020.8</v>
      </c>
      <c r="N276" s="17">
        <f t="shared" si="25"/>
        <v>4615.8</v>
      </c>
      <c r="O276" s="105">
        <f t="shared" si="32"/>
        <v>453443.6666</v>
      </c>
      <c r="P276" s="70">
        <v>974.0</v>
      </c>
      <c r="Q276" s="73">
        <f t="shared" si="33"/>
        <v>131.5425518</v>
      </c>
      <c r="R276" s="89">
        <f t="shared" si="14"/>
        <v>128122.4454</v>
      </c>
      <c r="S276" s="20">
        <f>IFERROR(__xludf.DUMMYFUNCTION("INDEX(IMPORTHTML(""https://www.bna.com.ar/Personas"", ""table"", 1), 2, 3)"),1465.0)</f>
        <v>1465</v>
      </c>
      <c r="T276" s="70">
        <f t="shared" si="34"/>
        <v>244741.4947</v>
      </c>
      <c r="U276" s="71">
        <f t="shared" si="16"/>
        <v>204.16</v>
      </c>
      <c r="V276" s="110">
        <f t="shared" si="39"/>
        <v>9.28</v>
      </c>
      <c r="W276" s="111">
        <f t="shared" si="35"/>
        <v>0.2203058995</v>
      </c>
      <c r="X276" s="109">
        <f t="shared" si="36"/>
        <v>581566.112</v>
      </c>
      <c r="Y276" s="109"/>
    </row>
    <row r="277" ht="15.75" customHeight="1">
      <c r="A277" s="106">
        <v>45528.0</v>
      </c>
      <c r="B277" s="112">
        <v>5010595.0</v>
      </c>
      <c r="C277" s="112" t="s">
        <v>70</v>
      </c>
      <c r="D277" s="108">
        <v>0.27</v>
      </c>
      <c r="E277" s="17">
        <v>1748.0</v>
      </c>
      <c r="F277" s="17">
        <v>191.0</v>
      </c>
      <c r="G277" s="17">
        <v>238.0</v>
      </c>
      <c r="H277" s="17">
        <v>1319.0</v>
      </c>
      <c r="I277" s="107" t="s">
        <v>25</v>
      </c>
      <c r="J277" s="109">
        <v>127.2071</v>
      </c>
      <c r="K277" s="109">
        <v>127.2071</v>
      </c>
      <c r="L277" s="109">
        <v>127.2071</v>
      </c>
      <c r="M277" s="15">
        <v>464.0</v>
      </c>
      <c r="N277" s="17">
        <f t="shared" si="25"/>
        <v>2212</v>
      </c>
      <c r="O277" s="105">
        <f t="shared" si="32"/>
        <v>222358.0108</v>
      </c>
      <c r="P277" s="70">
        <v>974.0</v>
      </c>
      <c r="Q277" s="73">
        <f t="shared" si="33"/>
        <v>60.59968624</v>
      </c>
      <c r="R277" s="89">
        <f t="shared" si="14"/>
        <v>59024.0944</v>
      </c>
      <c r="S277" s="20">
        <f>IFERROR(__xludf.DUMMYFUNCTION("INDEX(IMPORTHTML(""https://www.bna.com.ar/Personas"", ""table"", 1), 2, 3)"),1465.0)</f>
        <v>1465</v>
      </c>
      <c r="T277" s="70">
        <f t="shared" si="34"/>
        <v>112748.7462</v>
      </c>
      <c r="U277" s="71">
        <f t="shared" si="16"/>
        <v>92.8</v>
      </c>
      <c r="V277" s="110">
        <f t="shared" si="39"/>
        <v>4.218181818</v>
      </c>
      <c r="W277" s="111">
        <f t="shared" si="35"/>
        <v>0.2097649186</v>
      </c>
      <c r="X277" s="105">
        <f t="shared" si="36"/>
        <v>281382.1052</v>
      </c>
      <c r="Y277" s="105"/>
    </row>
    <row r="278" ht="15.75" customHeight="1">
      <c r="A278" s="106">
        <v>45497.0</v>
      </c>
      <c r="B278" s="112">
        <v>5224707.0</v>
      </c>
      <c r="C278" s="112" t="s">
        <v>71</v>
      </c>
      <c r="D278" s="108">
        <v>0.27</v>
      </c>
      <c r="E278" s="17">
        <v>6840.0</v>
      </c>
      <c r="F278" s="56">
        <v>440.0</v>
      </c>
      <c r="G278" s="17">
        <v>440.0</v>
      </c>
      <c r="H278" s="17">
        <v>5960.0</v>
      </c>
      <c r="I278" s="107" t="s">
        <v>29</v>
      </c>
      <c r="J278" s="109">
        <v>116.8213</v>
      </c>
      <c r="K278" s="109">
        <v>112.8103</v>
      </c>
      <c r="L278" s="109">
        <v>114.2721</v>
      </c>
      <c r="M278" s="15">
        <v>0.0</v>
      </c>
      <c r="N278" s="17">
        <f t="shared" si="25"/>
        <v>6840</v>
      </c>
      <c r="O278" s="105">
        <f t="shared" si="32"/>
        <v>782099.62</v>
      </c>
      <c r="P278" s="89">
        <v>954.0</v>
      </c>
      <c r="Q278" s="73">
        <f t="shared" si="33"/>
        <v>0</v>
      </c>
      <c r="R278" s="89">
        <f t="shared" si="14"/>
        <v>0</v>
      </c>
      <c r="S278" s="20">
        <f>IFERROR(__xludf.DUMMYFUNCTION("INDEX(IMPORTHTML(""https://www.bna.com.ar/Personas"", ""table"", 1), 2, 3)"),1465.0)</f>
        <v>1465</v>
      </c>
      <c r="T278" s="70">
        <f t="shared" si="34"/>
        <v>0</v>
      </c>
      <c r="U278" s="71">
        <f t="shared" si="16"/>
        <v>0</v>
      </c>
      <c r="V278" s="110">
        <f t="shared" si="39"/>
        <v>0</v>
      </c>
      <c r="W278" s="111">
        <f t="shared" si="35"/>
        <v>0</v>
      </c>
      <c r="X278" s="109">
        <f t="shared" si="36"/>
        <v>782099.62</v>
      </c>
      <c r="Y278" s="109"/>
    </row>
    <row r="279" ht="15.75" customHeight="1">
      <c r="A279" s="106">
        <v>45497.0</v>
      </c>
      <c r="B279" s="112">
        <v>5352763.0</v>
      </c>
      <c r="C279" s="112" t="s">
        <v>66</v>
      </c>
      <c r="D279" s="108">
        <v>0.27</v>
      </c>
      <c r="E279" s="17">
        <v>2315.0</v>
      </c>
      <c r="F279" s="17">
        <v>511.0</v>
      </c>
      <c r="G279" s="17">
        <v>364.0</v>
      </c>
      <c r="H279" s="17">
        <v>1440.0</v>
      </c>
      <c r="I279" s="107" t="s">
        <v>25</v>
      </c>
      <c r="J279" s="109">
        <v>115.7579</v>
      </c>
      <c r="K279" s="109">
        <v>115.7579</v>
      </c>
      <c r="L279" s="109">
        <v>115.7579</v>
      </c>
      <c r="M279" s="15">
        <v>594.7</v>
      </c>
      <c r="N279" s="17">
        <f t="shared" si="25"/>
        <v>2909.7</v>
      </c>
      <c r="O279" s="105">
        <f t="shared" si="32"/>
        <v>267979.5385</v>
      </c>
      <c r="P279" s="70">
        <v>954.5</v>
      </c>
      <c r="Q279" s="73">
        <f t="shared" si="33"/>
        <v>72.12281103</v>
      </c>
      <c r="R279" s="89">
        <f t="shared" si="14"/>
        <v>68841.22313</v>
      </c>
      <c r="S279" s="20">
        <f>IFERROR(__xludf.DUMMYFUNCTION("INDEX(IMPORTHTML(""https://www.bna.com.ar/Personas"", ""table"", 1), 2, 3)"),1465.0)</f>
        <v>1465</v>
      </c>
      <c r="T279" s="70">
        <f t="shared" si="34"/>
        <v>134188.0961</v>
      </c>
      <c r="U279" s="71">
        <f t="shared" si="16"/>
        <v>118.94</v>
      </c>
      <c r="V279" s="110">
        <f t="shared" si="39"/>
        <v>5.406363636</v>
      </c>
      <c r="W279" s="111">
        <f t="shared" si="35"/>
        <v>0.2043853318</v>
      </c>
      <c r="X279" s="105">
        <f t="shared" si="36"/>
        <v>336820.7616</v>
      </c>
      <c r="Y279" s="105"/>
    </row>
    <row r="280" ht="15.75" customHeight="1">
      <c r="A280" s="106">
        <v>45497.0</v>
      </c>
      <c r="B280" s="112">
        <v>5253773.0</v>
      </c>
      <c r="C280" s="112" t="s">
        <v>43</v>
      </c>
      <c r="D280" s="108">
        <v>0.21</v>
      </c>
      <c r="E280" s="17">
        <v>590.0</v>
      </c>
      <c r="F280" s="17">
        <v>217.0</v>
      </c>
      <c r="G280" s="17">
        <v>130.0</v>
      </c>
      <c r="H280" s="17">
        <v>243.0</v>
      </c>
      <c r="I280" s="107" t="s">
        <v>32</v>
      </c>
      <c r="J280" s="109">
        <v>158.1521</v>
      </c>
      <c r="K280" s="109">
        <v>158.1521</v>
      </c>
      <c r="L280" s="109">
        <v>158.1521</v>
      </c>
      <c r="M280" s="15">
        <v>167.1</v>
      </c>
      <c r="N280" s="17">
        <f t="shared" si="25"/>
        <v>757.1</v>
      </c>
      <c r="O280" s="105">
        <f t="shared" si="32"/>
        <v>93309.739</v>
      </c>
      <c r="P280" s="70">
        <v>954.0</v>
      </c>
      <c r="Q280" s="73">
        <f t="shared" si="33"/>
        <v>27.70148418</v>
      </c>
      <c r="R280" s="89">
        <f t="shared" si="14"/>
        <v>26427.21591</v>
      </c>
      <c r="S280" s="20">
        <f>IFERROR(__xludf.DUMMYFUNCTION("INDEX(IMPORTHTML(""https://www.bna.com.ar/Personas"", ""table"", 1), 2, 3)"),1465.0)</f>
        <v>1465</v>
      </c>
      <c r="T280" s="70">
        <f t="shared" si="34"/>
        <v>49105.03594</v>
      </c>
      <c r="U280" s="71">
        <f t="shared" si="16"/>
        <v>33.42</v>
      </c>
      <c r="V280" s="110">
        <f t="shared" si="39"/>
        <v>1.519090909</v>
      </c>
      <c r="W280" s="111">
        <f t="shared" si="35"/>
        <v>0.2207106063</v>
      </c>
      <c r="X280" s="105">
        <f t="shared" si="36"/>
        <v>119736.9549</v>
      </c>
      <c r="Y280" s="105"/>
    </row>
    <row r="281" ht="15.75" customHeight="1">
      <c r="A281" s="106">
        <v>45497.0</v>
      </c>
      <c r="B281" s="112">
        <v>5253775.0</v>
      </c>
      <c r="C281" s="112" t="s">
        <v>39</v>
      </c>
      <c r="D281" s="108">
        <v>0.21</v>
      </c>
      <c r="E281" s="17">
        <v>464.0</v>
      </c>
      <c r="F281" s="17"/>
      <c r="G281" s="17"/>
      <c r="H281" s="17">
        <v>464.0</v>
      </c>
      <c r="I281" s="107" t="s">
        <v>32</v>
      </c>
      <c r="J281" s="109">
        <v>150.4112</v>
      </c>
      <c r="K281" s="109">
        <v>150.4112</v>
      </c>
      <c r="L281" s="109">
        <v>150.4112</v>
      </c>
      <c r="M281" s="15">
        <v>144.0</v>
      </c>
      <c r="N281" s="17">
        <f t="shared" si="25"/>
        <v>608</v>
      </c>
      <c r="O281" s="105">
        <f t="shared" si="32"/>
        <v>69790.7968</v>
      </c>
      <c r="P281" s="70">
        <v>953.5</v>
      </c>
      <c r="Q281" s="73">
        <f t="shared" si="33"/>
        <v>22.71548275</v>
      </c>
      <c r="R281" s="89">
        <f t="shared" si="14"/>
        <v>21659.2128</v>
      </c>
      <c r="S281" s="20">
        <f>IFERROR(__xludf.DUMMYFUNCTION("INDEX(IMPORTHTML(""https://www.bna.com.ar/Personas"", ""table"", 1), 2, 3)"),1465.0)</f>
        <v>1465</v>
      </c>
      <c r="T281" s="70">
        <f t="shared" si="34"/>
        <v>40266.60049</v>
      </c>
      <c r="U281" s="71">
        <f t="shared" si="16"/>
        <v>28.8</v>
      </c>
      <c r="V281" s="110">
        <f t="shared" si="39"/>
        <v>1.309090909</v>
      </c>
      <c r="W281" s="111">
        <f t="shared" si="35"/>
        <v>0.2368421053</v>
      </c>
      <c r="X281" s="105">
        <f t="shared" si="36"/>
        <v>91450.0096</v>
      </c>
      <c r="Y281" s="105"/>
    </row>
    <row r="282" ht="15.75" customHeight="1">
      <c r="A282" s="106">
        <v>45497.0</v>
      </c>
      <c r="B282" s="112">
        <v>5076619.0</v>
      </c>
      <c r="C282" s="112" t="s">
        <v>41</v>
      </c>
      <c r="D282" s="108">
        <v>0.27</v>
      </c>
      <c r="E282" s="17">
        <v>4598.0</v>
      </c>
      <c r="F282" s="17">
        <v>1657.0</v>
      </c>
      <c r="G282" s="17">
        <v>963.0</v>
      </c>
      <c r="H282" s="17">
        <v>1978.0</v>
      </c>
      <c r="I282" s="112" t="s">
        <v>29</v>
      </c>
      <c r="J282" s="109">
        <v>116.8213</v>
      </c>
      <c r="K282" s="109">
        <v>112.8103</v>
      </c>
      <c r="L282" s="109">
        <v>114.2721</v>
      </c>
      <c r="M282" s="15">
        <v>1001.6</v>
      </c>
      <c r="N282" s="17">
        <f t="shared" si="25"/>
        <v>5599.6</v>
      </c>
      <c r="O282" s="105">
        <f t="shared" si="32"/>
        <v>528239.4268</v>
      </c>
      <c r="P282" s="70">
        <v>954.0</v>
      </c>
      <c r="Q282" s="73">
        <f t="shared" si="33"/>
        <v>119.9737268</v>
      </c>
      <c r="R282" s="89">
        <f t="shared" si="14"/>
        <v>114454.9354</v>
      </c>
      <c r="S282" s="20">
        <f>IFERROR(__xludf.DUMMYFUNCTION("INDEX(IMPORTHTML(""https://www.bna.com.ar/Personas"", ""table"", 1), 2, 3)"),1465.0)</f>
        <v>1465</v>
      </c>
      <c r="T282" s="70">
        <f t="shared" si="34"/>
        <v>223217.1174</v>
      </c>
      <c r="U282" s="71">
        <f t="shared" si="16"/>
        <v>200.32</v>
      </c>
      <c r="V282" s="110">
        <f t="shared" si="39"/>
        <v>9.105454545</v>
      </c>
      <c r="W282" s="111">
        <f t="shared" si="35"/>
        <v>0.1780861045</v>
      </c>
      <c r="X282" s="109">
        <f t="shared" si="36"/>
        <v>642694.3622</v>
      </c>
      <c r="Y282" s="109"/>
    </row>
    <row r="283" ht="15.75" customHeight="1">
      <c r="A283" s="106">
        <v>45497.0</v>
      </c>
      <c r="B283" s="112">
        <v>5010595.0</v>
      </c>
      <c r="C283" s="112" t="s">
        <v>70</v>
      </c>
      <c r="D283" s="108">
        <v>0.27</v>
      </c>
      <c r="E283" s="17">
        <v>1505.0</v>
      </c>
      <c r="F283" s="17">
        <v>174.0</v>
      </c>
      <c r="G283" s="17">
        <v>216.0</v>
      </c>
      <c r="H283" s="17">
        <v>1115.0</v>
      </c>
      <c r="I283" s="107" t="s">
        <v>25</v>
      </c>
      <c r="J283" s="109">
        <v>115.7579</v>
      </c>
      <c r="K283" s="109">
        <v>115.7579</v>
      </c>
      <c r="L283" s="109">
        <v>115.7579</v>
      </c>
      <c r="M283" s="15">
        <v>550.0</v>
      </c>
      <c r="N283" s="17">
        <f t="shared" si="25"/>
        <v>2055</v>
      </c>
      <c r="O283" s="105">
        <f t="shared" si="32"/>
        <v>174215.6395</v>
      </c>
      <c r="P283" s="70">
        <v>954.5</v>
      </c>
      <c r="Q283" s="73">
        <f t="shared" si="33"/>
        <v>66.7017758</v>
      </c>
      <c r="R283" s="89">
        <f t="shared" si="14"/>
        <v>63666.845</v>
      </c>
      <c r="S283" s="20">
        <f>IFERROR(__xludf.DUMMYFUNCTION("INDEX(IMPORTHTML(""https://www.bna.com.ar/Personas"", ""table"", 1), 2, 3)"),1465.0)</f>
        <v>1465</v>
      </c>
      <c r="T283" s="70">
        <f t="shared" si="34"/>
        <v>124101.989</v>
      </c>
      <c r="U283" s="71">
        <f t="shared" si="16"/>
        <v>110</v>
      </c>
      <c r="V283" s="110">
        <f t="shared" si="39"/>
        <v>5</v>
      </c>
      <c r="W283" s="111">
        <f t="shared" si="35"/>
        <v>0.2676399027</v>
      </c>
      <c r="X283" s="105">
        <f t="shared" si="36"/>
        <v>237882.4845</v>
      </c>
      <c r="Y283" s="105"/>
    </row>
    <row r="284" ht="15.75" customHeight="1">
      <c r="A284" s="127">
        <v>45444.0</v>
      </c>
      <c r="B284" s="112">
        <v>5352763.0</v>
      </c>
      <c r="C284" s="112" t="s">
        <v>66</v>
      </c>
      <c r="D284" s="108">
        <v>0.27</v>
      </c>
      <c r="E284" s="17">
        <v>1928.0</v>
      </c>
      <c r="F284" s="56">
        <v>456.0</v>
      </c>
      <c r="G284" s="17">
        <v>353.0</v>
      </c>
      <c r="H284" s="17">
        <v>1119.0</v>
      </c>
      <c r="I284" s="112" t="s">
        <v>25</v>
      </c>
      <c r="J284" s="105">
        <v>111.2306</v>
      </c>
      <c r="K284" s="105">
        <v>111.2306</v>
      </c>
      <c r="L284" s="105">
        <v>111.2306</v>
      </c>
      <c r="M284" s="15">
        <v>509.7</v>
      </c>
      <c r="N284" s="17">
        <f t="shared" si="25"/>
        <v>2437.7</v>
      </c>
      <c r="O284" s="105">
        <f t="shared" si="32"/>
        <v>214452.5968</v>
      </c>
      <c r="P284" s="70">
        <v>934.0</v>
      </c>
      <c r="Q284" s="73">
        <f t="shared" si="33"/>
        <v>60.70046769</v>
      </c>
      <c r="R284" s="89">
        <f t="shared" si="14"/>
        <v>56694.23682</v>
      </c>
      <c r="S284" s="20">
        <f>IFERROR(__xludf.DUMMYFUNCTION("INDEX(IMPORTHTML(""https://www.bna.com.ar/Personas"", ""table"", 1), 2, 3)"),1465.0)</f>
        <v>1465</v>
      </c>
      <c r="T284" s="70">
        <f t="shared" si="34"/>
        <v>112936.2552</v>
      </c>
      <c r="U284" s="71">
        <f t="shared" si="16"/>
        <v>101.94</v>
      </c>
      <c r="V284" s="110">
        <f t="shared" si="39"/>
        <v>4.633636364</v>
      </c>
      <c r="W284" s="111">
        <f t="shared" si="35"/>
        <v>0.2090905362</v>
      </c>
      <c r="X284" s="105">
        <f t="shared" si="36"/>
        <v>271146.8336</v>
      </c>
      <c r="Y284" s="105"/>
    </row>
    <row r="285" ht="15.75" customHeight="1">
      <c r="A285" s="127">
        <v>45444.0</v>
      </c>
      <c r="B285" s="112">
        <v>5253773.0</v>
      </c>
      <c r="C285" s="112" t="s">
        <v>43</v>
      </c>
      <c r="D285" s="108">
        <v>0.21</v>
      </c>
      <c r="E285" s="17">
        <v>543.0</v>
      </c>
      <c r="F285" s="17">
        <v>205.0</v>
      </c>
      <c r="G285" s="17">
        <v>122.0</v>
      </c>
      <c r="H285" s="17">
        <v>216.0</v>
      </c>
      <c r="I285" s="112" t="s">
        <v>32</v>
      </c>
      <c r="J285" s="105">
        <v>148.1356</v>
      </c>
      <c r="K285" s="105">
        <v>148.1356</v>
      </c>
      <c r="L285" s="105">
        <v>148.1356</v>
      </c>
      <c r="M285" s="15">
        <v>188.0</v>
      </c>
      <c r="N285" s="17">
        <f t="shared" si="25"/>
        <v>731</v>
      </c>
      <c r="O285" s="105">
        <f t="shared" si="32"/>
        <v>80437.6308</v>
      </c>
      <c r="P285" s="70">
        <v>934.0</v>
      </c>
      <c r="Q285" s="73">
        <f t="shared" ref="Q285:Q289" si="43">M285*L285/P285</f>
        <v>29.81744411</v>
      </c>
      <c r="R285" s="89">
        <f t="shared" si="14"/>
        <v>27849.4928</v>
      </c>
      <c r="S285" s="20">
        <f>IFERROR(__xludf.DUMMYFUNCTION("INDEX(IMPORTHTML(""https://www.bna.com.ar/Personas"", ""table"", 1), 2, 3)"),1465.0)</f>
        <v>1465</v>
      </c>
      <c r="T285" s="70">
        <f t="shared" si="34"/>
        <v>52855.8923</v>
      </c>
      <c r="U285" s="71">
        <f t="shared" si="16"/>
        <v>37.6</v>
      </c>
      <c r="V285" s="110">
        <f t="shared" si="39"/>
        <v>1.709090909</v>
      </c>
      <c r="W285" s="111">
        <f t="shared" si="35"/>
        <v>0.2571819425</v>
      </c>
      <c r="X285" s="105">
        <f t="shared" si="36"/>
        <v>108287.1236</v>
      </c>
      <c r="Y285" s="105"/>
    </row>
    <row r="286" ht="15.75" customHeight="1">
      <c r="A286" s="127">
        <v>45444.0</v>
      </c>
      <c r="B286" s="112">
        <v>5253775.0</v>
      </c>
      <c r="C286" s="112" t="s">
        <v>39</v>
      </c>
      <c r="D286" s="108">
        <v>0.21</v>
      </c>
      <c r="E286" s="17">
        <v>616.0</v>
      </c>
      <c r="F286" s="17"/>
      <c r="G286" s="17"/>
      <c r="H286" s="17">
        <v>616.0</v>
      </c>
      <c r="I286" s="112" t="s">
        <v>32</v>
      </c>
      <c r="J286" s="105">
        <v>148.1356</v>
      </c>
      <c r="K286" s="105">
        <v>148.1356</v>
      </c>
      <c r="L286" s="105">
        <v>148.1356</v>
      </c>
      <c r="M286" s="15">
        <v>163.4</v>
      </c>
      <c r="N286" s="17">
        <f t="shared" si="25"/>
        <v>779.4</v>
      </c>
      <c r="O286" s="105">
        <f t="shared" si="32"/>
        <v>91251.5296</v>
      </c>
      <c r="P286" s="70">
        <v>934.0</v>
      </c>
      <c r="Q286" s="73">
        <f t="shared" si="43"/>
        <v>25.91579983</v>
      </c>
      <c r="R286" s="89">
        <f t="shared" si="14"/>
        <v>24205.35704</v>
      </c>
      <c r="S286" s="20">
        <f>IFERROR(__xludf.DUMMYFUNCTION("INDEX(IMPORTHTML(""https://www.bna.com.ar/Personas"", ""table"", 1), 2, 3)"),1465.0)</f>
        <v>1465</v>
      </c>
      <c r="T286" s="70">
        <f t="shared" si="34"/>
        <v>45939.64257</v>
      </c>
      <c r="U286" s="71">
        <f t="shared" si="16"/>
        <v>32.68</v>
      </c>
      <c r="V286" s="110">
        <f t="shared" si="39"/>
        <v>1.485454545</v>
      </c>
      <c r="W286" s="111">
        <f t="shared" si="35"/>
        <v>0.2096484475</v>
      </c>
      <c r="X286" s="105">
        <f t="shared" si="36"/>
        <v>115456.8866</v>
      </c>
      <c r="Y286" s="105"/>
    </row>
    <row r="287" ht="15.75" customHeight="1">
      <c r="A287" s="127">
        <v>45444.0</v>
      </c>
      <c r="B287" s="112">
        <v>5076619.0</v>
      </c>
      <c r="C287" s="112" t="s">
        <v>41</v>
      </c>
      <c r="D287" s="108">
        <v>0.27</v>
      </c>
      <c r="E287" s="17">
        <v>3539.0</v>
      </c>
      <c r="F287" s="17">
        <v>1186.0</v>
      </c>
      <c r="G287" s="17">
        <v>774.0</v>
      </c>
      <c r="H287" s="17">
        <v>1579.0</v>
      </c>
      <c r="I287" s="112" t="s">
        <v>29</v>
      </c>
      <c r="J287" s="105">
        <v>112.4809</v>
      </c>
      <c r="K287" s="105">
        <v>118.4699</v>
      </c>
      <c r="L287" s="105">
        <v>109.9317</v>
      </c>
      <c r="M287" s="15">
        <v>847.2</v>
      </c>
      <c r="N287" s="17">
        <f t="shared" si="25"/>
        <v>4386.2</v>
      </c>
      <c r="O287" s="105">
        <f t="shared" si="32"/>
        <v>398680.2043</v>
      </c>
      <c r="P287" s="70">
        <v>934.0</v>
      </c>
      <c r="Q287" s="73">
        <f t="shared" si="43"/>
        <v>99.71534929</v>
      </c>
      <c r="R287" s="89">
        <f t="shared" si="14"/>
        <v>93134.13624</v>
      </c>
      <c r="S287" s="20">
        <f>IFERROR(__xludf.DUMMYFUNCTION("INDEX(IMPORTHTML(""https://www.bna.com.ar/Personas"", ""table"", 1), 2, 3)"),1465.0)</f>
        <v>1465</v>
      </c>
      <c r="T287" s="70">
        <f t="shared" si="34"/>
        <v>185525.3931</v>
      </c>
      <c r="U287" s="71">
        <f t="shared" si="16"/>
        <v>169.44</v>
      </c>
      <c r="V287" s="110">
        <f t="shared" si="39"/>
        <v>7.701818182</v>
      </c>
      <c r="W287" s="111">
        <f t="shared" si="35"/>
        <v>0.1893684843</v>
      </c>
      <c r="X287" s="105">
        <f t="shared" si="36"/>
        <v>491814.3405</v>
      </c>
      <c r="Y287" s="105"/>
    </row>
    <row r="288" ht="15.75" customHeight="1">
      <c r="A288" s="127">
        <v>45444.0</v>
      </c>
      <c r="B288" s="112">
        <v>5010595.0</v>
      </c>
      <c r="C288" s="112" t="s">
        <v>70</v>
      </c>
      <c r="D288" s="108">
        <v>0.27</v>
      </c>
      <c r="E288" s="17">
        <v>1605.0</v>
      </c>
      <c r="F288" s="17">
        <v>259.0</v>
      </c>
      <c r="G288" s="17">
        <v>321.0</v>
      </c>
      <c r="H288" s="17">
        <v>1025.0</v>
      </c>
      <c r="I288" s="112" t="s">
        <v>25</v>
      </c>
      <c r="J288" s="105">
        <v>111.2306</v>
      </c>
      <c r="K288" s="105">
        <v>111.2306</v>
      </c>
      <c r="L288" s="105">
        <v>111.2306</v>
      </c>
      <c r="M288" s="15">
        <v>545.0</v>
      </c>
      <c r="N288" s="17">
        <f t="shared" si="25"/>
        <v>2150</v>
      </c>
      <c r="O288" s="105">
        <f t="shared" si="32"/>
        <v>178525.113</v>
      </c>
      <c r="P288" s="70">
        <v>934.0</v>
      </c>
      <c r="Q288" s="73">
        <f t="shared" si="43"/>
        <v>64.9043651</v>
      </c>
      <c r="R288" s="89">
        <f t="shared" si="14"/>
        <v>60620.677</v>
      </c>
      <c r="S288" s="20">
        <f>IFERROR(__xludf.DUMMYFUNCTION("INDEX(IMPORTHTML(""https://www.bna.com.ar/Personas"", ""table"", 1), 2, 3)"),1465.0)</f>
        <v>1465</v>
      </c>
      <c r="T288" s="70">
        <f t="shared" si="34"/>
        <v>120757.8165</v>
      </c>
      <c r="U288" s="71">
        <f t="shared" si="16"/>
        <v>109</v>
      </c>
      <c r="V288" s="110">
        <f t="shared" si="39"/>
        <v>4.954545455</v>
      </c>
      <c r="W288" s="111">
        <f t="shared" si="35"/>
        <v>0.2534883721</v>
      </c>
      <c r="X288" s="105">
        <f t="shared" si="36"/>
        <v>239145.79</v>
      </c>
      <c r="Y288" s="105"/>
    </row>
    <row r="289" ht="15.75" customHeight="1">
      <c r="A289" s="127">
        <v>45444.0</v>
      </c>
      <c r="B289" s="112">
        <v>5224707.0</v>
      </c>
      <c r="C289" s="112" t="s">
        <v>71</v>
      </c>
      <c r="D289" s="108">
        <v>0.27</v>
      </c>
      <c r="E289" s="17">
        <v>5280.0</v>
      </c>
      <c r="F289" s="17">
        <v>320.0</v>
      </c>
      <c r="G289" s="17">
        <v>320.0</v>
      </c>
      <c r="H289" s="17">
        <v>4640.0</v>
      </c>
      <c r="I289" s="112" t="s">
        <v>29</v>
      </c>
      <c r="J289" s="105">
        <v>112.4809</v>
      </c>
      <c r="K289" s="105">
        <v>118.4699</v>
      </c>
      <c r="L289" s="105">
        <v>109.9317</v>
      </c>
      <c r="M289" s="15">
        <v>0.0</v>
      </c>
      <c r="N289" s="17">
        <f t="shared" si="25"/>
        <v>5280</v>
      </c>
      <c r="O289" s="105">
        <f t="shared" si="32"/>
        <v>583987.344</v>
      </c>
      <c r="P289" s="70">
        <v>934.0</v>
      </c>
      <c r="Q289" s="73">
        <f t="shared" si="43"/>
        <v>0</v>
      </c>
      <c r="R289" s="89">
        <f t="shared" si="14"/>
        <v>0</v>
      </c>
      <c r="S289" s="20">
        <f>IFERROR(__xludf.DUMMYFUNCTION("INDEX(IMPORTHTML(""https://www.bna.com.ar/Personas"", ""table"", 1), 2, 3)"),1465.0)</f>
        <v>1465</v>
      </c>
      <c r="T289" s="70">
        <f t="shared" si="34"/>
        <v>0</v>
      </c>
      <c r="U289" s="71">
        <f t="shared" si="16"/>
        <v>0</v>
      </c>
      <c r="V289" s="110">
        <f t="shared" si="39"/>
        <v>0</v>
      </c>
      <c r="W289" s="111">
        <f t="shared" si="35"/>
        <v>0</v>
      </c>
      <c r="X289" s="105">
        <f t="shared" si="36"/>
        <v>583987.344</v>
      </c>
      <c r="Y289" s="105"/>
    </row>
    <row r="290" ht="15.75" customHeight="1">
      <c r="A290" s="127">
        <v>45417.0</v>
      </c>
      <c r="B290" s="112">
        <v>5352763.0</v>
      </c>
      <c r="C290" s="112" t="s">
        <v>66</v>
      </c>
      <c r="D290" s="108">
        <v>0.27</v>
      </c>
      <c r="E290" s="17">
        <f t="shared" ref="E290:E291" si="44">SUM(F290:H290)</f>
        <v>2669</v>
      </c>
      <c r="F290" s="56">
        <v>575.0</v>
      </c>
      <c r="G290" s="17">
        <v>372.0</v>
      </c>
      <c r="H290" s="17">
        <v>1722.0</v>
      </c>
      <c r="I290" s="112" t="s">
        <v>25</v>
      </c>
      <c r="J290" s="105">
        <v>87.0149</v>
      </c>
      <c r="K290" s="105">
        <v>87.0149</v>
      </c>
      <c r="L290" s="105">
        <v>87.0149</v>
      </c>
      <c r="M290" s="15">
        <v>429.7</v>
      </c>
      <c r="N290" s="17">
        <f t="shared" si="25"/>
        <v>3098.7</v>
      </c>
      <c r="O290" s="105">
        <f t="shared" si="32"/>
        <v>232242.7681</v>
      </c>
      <c r="P290" s="70">
        <v>918.0</v>
      </c>
      <c r="Q290" s="73">
        <f t="shared" ref="Q290:Q305" si="45">(M290*L290)/P290</f>
        <v>40.73017705</v>
      </c>
      <c r="R290" s="89">
        <f t="shared" si="14"/>
        <v>37390.30253</v>
      </c>
      <c r="S290" s="20">
        <f>IFERROR(__xludf.DUMMYFUNCTION("INDEX(IMPORTHTML(""https://www.bna.com.ar/Personas"", ""table"", 1), 2, 3)"),1465.0)</f>
        <v>1465</v>
      </c>
      <c r="T290" s="70">
        <f t="shared" si="34"/>
        <v>75780.53091</v>
      </c>
      <c r="U290" s="71">
        <f t="shared" si="16"/>
        <v>85.94</v>
      </c>
      <c r="V290" s="110">
        <f t="shared" si="39"/>
        <v>3.906363636</v>
      </c>
      <c r="W290" s="111">
        <f t="shared" si="35"/>
        <v>0.1386710556</v>
      </c>
      <c r="X290" s="105">
        <f t="shared" si="36"/>
        <v>269633.0706</v>
      </c>
      <c r="Y290" s="105"/>
    </row>
    <row r="291" ht="15.75" customHeight="1">
      <c r="A291" s="127">
        <v>45417.0</v>
      </c>
      <c r="B291" s="112">
        <v>5253773.0</v>
      </c>
      <c r="C291" s="112" t="s">
        <v>43</v>
      </c>
      <c r="D291" s="108">
        <v>0.21</v>
      </c>
      <c r="E291" s="17">
        <f t="shared" si="44"/>
        <v>787</v>
      </c>
      <c r="F291" s="17">
        <v>283.0</v>
      </c>
      <c r="G291" s="17">
        <v>139.0</v>
      </c>
      <c r="H291" s="17">
        <v>365.0</v>
      </c>
      <c r="I291" s="112" t="s">
        <v>32</v>
      </c>
      <c r="J291" s="105">
        <v>137.19</v>
      </c>
      <c r="K291" s="105">
        <v>137.19</v>
      </c>
      <c r="L291" s="105">
        <v>137.19</v>
      </c>
      <c r="M291" s="15">
        <v>167.7</v>
      </c>
      <c r="N291" s="17">
        <f t="shared" si="25"/>
        <v>954.7</v>
      </c>
      <c r="O291" s="105">
        <f t="shared" si="32"/>
        <v>107968.53</v>
      </c>
      <c r="P291" s="70">
        <v>918.0</v>
      </c>
      <c r="Q291" s="73">
        <f t="shared" si="45"/>
        <v>25.06183333</v>
      </c>
      <c r="R291" s="89">
        <f t="shared" si="14"/>
        <v>23006.763</v>
      </c>
      <c r="S291" s="20">
        <f>IFERROR(__xludf.DUMMYFUNCTION("INDEX(IMPORTHTML(""https://www.bna.com.ar/Personas"", ""table"", 1), 2, 3)"),1465.0)</f>
        <v>1465</v>
      </c>
      <c r="T291" s="70">
        <f t="shared" si="34"/>
        <v>44425.85886</v>
      </c>
      <c r="U291" s="71">
        <f t="shared" si="16"/>
        <v>33.54</v>
      </c>
      <c r="V291" s="110">
        <f t="shared" si="39"/>
        <v>1.524545455</v>
      </c>
      <c r="W291" s="111">
        <f t="shared" si="35"/>
        <v>0.1756572745</v>
      </c>
      <c r="X291" s="105">
        <f t="shared" si="36"/>
        <v>130975.293</v>
      </c>
      <c r="Y291" s="105"/>
    </row>
    <row r="292" ht="15.75" customHeight="1">
      <c r="A292" s="127">
        <v>45417.0</v>
      </c>
      <c r="B292" s="112">
        <v>5253775.0</v>
      </c>
      <c r="C292" s="112" t="s">
        <v>39</v>
      </c>
      <c r="D292" s="108">
        <v>0.21</v>
      </c>
      <c r="E292" s="17">
        <v>484.0</v>
      </c>
      <c r="F292" s="17"/>
      <c r="G292" s="17"/>
      <c r="H292" s="17">
        <v>484.0</v>
      </c>
      <c r="I292" s="112" t="s">
        <v>32</v>
      </c>
      <c r="J292" s="105">
        <v>126.8716</v>
      </c>
      <c r="K292" s="105">
        <v>126.8716</v>
      </c>
      <c r="L292" s="105">
        <v>126.8716</v>
      </c>
      <c r="M292" s="15">
        <v>134.7</v>
      </c>
      <c r="N292" s="17">
        <f t="shared" si="25"/>
        <v>618.7</v>
      </c>
      <c r="O292" s="105">
        <f t="shared" si="32"/>
        <v>61405.8544</v>
      </c>
      <c r="P292" s="70">
        <v>918.0</v>
      </c>
      <c r="Q292" s="73">
        <f t="shared" si="45"/>
        <v>18.61612693</v>
      </c>
      <c r="R292" s="89">
        <f t="shared" si="14"/>
        <v>17089.60452</v>
      </c>
      <c r="S292" s="20">
        <f>IFERROR(__xludf.DUMMYFUNCTION("INDEX(IMPORTHTML(""https://www.bna.com.ar/Personas"", ""table"", 1), 2, 3)"),1465.0)</f>
        <v>1465</v>
      </c>
      <c r="T292" s="70">
        <f t="shared" si="34"/>
        <v>32999.8774</v>
      </c>
      <c r="U292" s="71">
        <f t="shared" si="16"/>
        <v>26.94</v>
      </c>
      <c r="V292" s="110">
        <f t="shared" si="39"/>
        <v>1.224545455</v>
      </c>
      <c r="W292" s="111">
        <f t="shared" si="35"/>
        <v>0.2177145628</v>
      </c>
      <c r="X292" s="105">
        <f t="shared" si="36"/>
        <v>78495.45892</v>
      </c>
      <c r="Y292" s="105"/>
    </row>
    <row r="293" ht="15.75" customHeight="1">
      <c r="A293" s="127">
        <v>45417.0</v>
      </c>
      <c r="B293" s="112">
        <v>5010595.0</v>
      </c>
      <c r="C293" s="112" t="s">
        <v>70</v>
      </c>
      <c r="D293" s="108">
        <v>0.27</v>
      </c>
      <c r="E293" s="17">
        <f t="shared" ref="E293:E294" si="46">SUM(F293:H293)</f>
        <v>1793</v>
      </c>
      <c r="F293" s="17">
        <v>243.0</v>
      </c>
      <c r="G293" s="17">
        <v>297.0</v>
      </c>
      <c r="H293" s="17">
        <v>1253.0</v>
      </c>
      <c r="I293" s="112" t="s">
        <v>25</v>
      </c>
      <c r="J293" s="105">
        <v>87.015</v>
      </c>
      <c r="K293" s="105">
        <v>87.015</v>
      </c>
      <c r="L293" s="105">
        <v>87.015</v>
      </c>
      <c r="M293" s="15">
        <v>472.0</v>
      </c>
      <c r="N293" s="17">
        <f t="shared" si="25"/>
        <v>2265</v>
      </c>
      <c r="O293" s="105">
        <f t="shared" si="32"/>
        <v>156017.895</v>
      </c>
      <c r="P293" s="70">
        <v>918.0</v>
      </c>
      <c r="Q293" s="73">
        <f t="shared" si="45"/>
        <v>44.73973856</v>
      </c>
      <c r="R293" s="89">
        <f t="shared" si="14"/>
        <v>41071.08</v>
      </c>
      <c r="S293" s="20">
        <f>IFERROR(__xludf.DUMMYFUNCTION("INDEX(IMPORTHTML(""https://www.bna.com.ar/Personas"", ""table"", 1), 2, 3)"),1465.0)</f>
        <v>1465</v>
      </c>
      <c r="T293" s="70">
        <f t="shared" si="34"/>
        <v>83240.52058</v>
      </c>
      <c r="U293" s="71">
        <f t="shared" si="16"/>
        <v>94.4</v>
      </c>
      <c r="V293" s="110">
        <f t="shared" si="39"/>
        <v>4.290909091</v>
      </c>
      <c r="W293" s="111">
        <f t="shared" si="35"/>
        <v>0.208388521</v>
      </c>
      <c r="X293" s="105">
        <f t="shared" si="36"/>
        <v>197088.975</v>
      </c>
      <c r="Y293" s="105"/>
    </row>
    <row r="294" ht="15.75" customHeight="1">
      <c r="A294" s="128">
        <v>45415.0</v>
      </c>
      <c r="B294" s="126">
        <v>5224707.0</v>
      </c>
      <c r="C294" s="126" t="s">
        <v>71</v>
      </c>
      <c r="D294" s="115">
        <v>0.27</v>
      </c>
      <c r="E294" s="17">
        <f t="shared" si="46"/>
        <v>8120</v>
      </c>
      <c r="F294" s="17">
        <v>480.0</v>
      </c>
      <c r="G294" s="42">
        <v>600.0</v>
      </c>
      <c r="H294" s="42">
        <v>7040.0</v>
      </c>
      <c r="I294" s="126" t="s">
        <v>29</v>
      </c>
      <c r="J294" s="117">
        <v>87.755</v>
      </c>
      <c r="K294" s="117">
        <v>84.639</v>
      </c>
      <c r="L294" s="117">
        <v>85.775</v>
      </c>
      <c r="M294" s="15">
        <v>0.0</v>
      </c>
      <c r="N294" s="42">
        <f t="shared" si="25"/>
        <v>8120</v>
      </c>
      <c r="O294" s="117">
        <f t="shared" si="32"/>
        <v>696761.8</v>
      </c>
      <c r="P294" s="120">
        <v>918.0</v>
      </c>
      <c r="Q294" s="119">
        <f t="shared" si="45"/>
        <v>0</v>
      </c>
      <c r="R294" s="118">
        <f t="shared" si="14"/>
        <v>0</v>
      </c>
      <c r="S294" s="20">
        <f>IFERROR(__xludf.DUMMYFUNCTION("INDEX(IMPORTHTML(""https://www.bna.com.ar/Personas"", ""table"", 1), 2, 3)"),1465.0)</f>
        <v>1465</v>
      </c>
      <c r="T294" s="120">
        <f t="shared" si="34"/>
        <v>0</v>
      </c>
      <c r="U294" s="121">
        <f t="shared" si="16"/>
        <v>0</v>
      </c>
      <c r="V294" s="122">
        <f t="shared" si="39"/>
        <v>0</v>
      </c>
      <c r="W294" s="123">
        <f t="shared" si="35"/>
        <v>0</v>
      </c>
      <c r="X294" s="117">
        <f t="shared" si="36"/>
        <v>696761.8</v>
      </c>
      <c r="Y294" s="105"/>
    </row>
    <row r="295" ht="15.75" customHeight="1">
      <c r="A295" s="127">
        <v>45383.0</v>
      </c>
      <c r="B295" s="112">
        <v>5352763.0</v>
      </c>
      <c r="C295" s="112" t="s">
        <v>66</v>
      </c>
      <c r="D295" s="108">
        <v>0.27</v>
      </c>
      <c r="E295" s="56">
        <v>1762.0</v>
      </c>
      <c r="F295" s="56">
        <v>454.0</v>
      </c>
      <c r="G295" s="17">
        <v>382.0</v>
      </c>
      <c r="H295" s="17">
        <v>926.0</v>
      </c>
      <c r="I295" s="112" t="s">
        <v>29</v>
      </c>
      <c r="J295" s="105">
        <v>87.755</v>
      </c>
      <c r="K295" s="105">
        <v>87.755</v>
      </c>
      <c r="L295" s="105">
        <v>87.755</v>
      </c>
      <c r="M295" s="52">
        <v>466.6</v>
      </c>
      <c r="N295" s="17">
        <f t="shared" si="25"/>
        <v>2228.6</v>
      </c>
      <c r="O295" s="105">
        <f t="shared" si="32"/>
        <v>154624.31</v>
      </c>
      <c r="P295" s="70">
        <v>899.0</v>
      </c>
      <c r="Q295" s="73">
        <f t="shared" si="45"/>
        <v>45.54669967</v>
      </c>
      <c r="R295" s="89">
        <f t="shared" si="14"/>
        <v>40946.483</v>
      </c>
      <c r="S295" s="20">
        <f>IFERROR(__xludf.DUMMYFUNCTION("INDEX(IMPORTHTML(""https://www.bna.com.ar/Personas"", ""table"", 1), 2, 3)"),1465.0)</f>
        <v>1465</v>
      </c>
      <c r="T295" s="70">
        <f t="shared" si="34"/>
        <v>84741.91206</v>
      </c>
      <c r="U295" s="71">
        <f t="shared" si="16"/>
        <v>93.32</v>
      </c>
      <c r="V295" s="110">
        <f t="shared" si="39"/>
        <v>4.241818182</v>
      </c>
      <c r="W295" s="111">
        <f t="shared" si="35"/>
        <v>0.2093691107</v>
      </c>
      <c r="X295" s="105">
        <f t="shared" si="36"/>
        <v>195570.793</v>
      </c>
      <c r="Y295" s="105"/>
    </row>
    <row r="296" ht="15.75" customHeight="1">
      <c r="A296" s="128">
        <v>45383.0</v>
      </c>
      <c r="B296" s="126">
        <v>5253773.0</v>
      </c>
      <c r="C296" s="126" t="s">
        <v>43</v>
      </c>
      <c r="D296" s="115">
        <v>0.21</v>
      </c>
      <c r="E296" s="42">
        <v>692.0</v>
      </c>
      <c r="F296" s="42">
        <v>249.0</v>
      </c>
      <c r="G296" s="17">
        <v>108.0</v>
      </c>
      <c r="H296" s="17">
        <v>335.0</v>
      </c>
      <c r="I296" s="126" t="s">
        <v>72</v>
      </c>
      <c r="J296" s="117">
        <v>132.9634</v>
      </c>
      <c r="K296" s="117">
        <v>132.9634</v>
      </c>
      <c r="L296" s="117">
        <v>132.9634</v>
      </c>
      <c r="M296" s="44">
        <v>240.4</v>
      </c>
      <c r="N296" s="17">
        <f t="shared" si="25"/>
        <v>932.4</v>
      </c>
      <c r="O296" s="117">
        <f>E296*L296</f>
        <v>92010.6728</v>
      </c>
      <c r="P296" s="120">
        <v>899.0</v>
      </c>
      <c r="Q296" s="119">
        <f t="shared" si="45"/>
        <v>35.55550763</v>
      </c>
      <c r="R296" s="118">
        <f t="shared" si="14"/>
        <v>31964.40136</v>
      </c>
      <c r="S296" s="20">
        <f>IFERROR(__xludf.DUMMYFUNCTION("INDEX(IMPORTHTML(""https://www.bna.com.ar/Personas"", ""table"", 1), 2, 3)"),1465.0)</f>
        <v>1465</v>
      </c>
      <c r="T296" s="120">
        <f t="shared" si="34"/>
        <v>63027.4706</v>
      </c>
      <c r="U296" s="121">
        <f t="shared" si="16"/>
        <v>48.08</v>
      </c>
      <c r="V296" s="122">
        <f t="shared" si="39"/>
        <v>2.185454545</v>
      </c>
      <c r="W296" s="123">
        <f t="shared" si="35"/>
        <v>0.2578292578</v>
      </c>
      <c r="X296" s="117">
        <f t="shared" si="36"/>
        <v>123975.0742</v>
      </c>
      <c r="Y296" s="105"/>
    </row>
    <row r="297" ht="15.75" customHeight="1">
      <c r="A297" s="127">
        <v>45352.0</v>
      </c>
      <c r="B297" s="112">
        <v>5352763.0</v>
      </c>
      <c r="C297" s="112" t="s">
        <v>66</v>
      </c>
      <c r="D297" s="108">
        <v>0.27</v>
      </c>
      <c r="E297" s="17">
        <v>2799.0</v>
      </c>
      <c r="F297" s="17">
        <v>728.0</v>
      </c>
      <c r="G297" s="56">
        <v>395.0</v>
      </c>
      <c r="H297" s="56">
        <v>1676.0</v>
      </c>
      <c r="I297" s="112" t="s">
        <v>29</v>
      </c>
      <c r="J297" s="105">
        <v>85.7757</v>
      </c>
      <c r="K297" s="105">
        <v>85.7757</v>
      </c>
      <c r="L297" s="105">
        <v>85.7757</v>
      </c>
      <c r="M297" s="15">
        <v>657.6</v>
      </c>
      <c r="N297" s="56">
        <f t="shared" si="25"/>
        <v>3456.6</v>
      </c>
      <c r="O297" s="105">
        <f t="shared" ref="O297:O305" si="47">J297*F297+G297*K297+H297*L297</f>
        <v>240086.1843</v>
      </c>
      <c r="P297" s="70">
        <v>881.5</v>
      </c>
      <c r="Q297" s="73">
        <f t="shared" si="45"/>
        <v>63.98876951</v>
      </c>
      <c r="R297" s="89">
        <f t="shared" si="14"/>
        <v>56406.10032</v>
      </c>
      <c r="S297" s="20">
        <f>IFERROR(__xludf.DUMMYFUNCTION("INDEX(IMPORTHTML(""https://www.bna.com.ar/Personas"", ""table"", 1), 2, 3)"),1465.0)</f>
        <v>1465</v>
      </c>
      <c r="T297" s="70">
        <f t="shared" si="34"/>
        <v>119054.3051</v>
      </c>
      <c r="U297" s="71">
        <f t="shared" si="16"/>
        <v>131.52</v>
      </c>
      <c r="V297" s="110">
        <f t="shared" si="39"/>
        <v>5.978181818</v>
      </c>
      <c r="W297" s="111">
        <f t="shared" si="35"/>
        <v>0.1902447492</v>
      </c>
      <c r="X297" s="105">
        <f t="shared" si="36"/>
        <v>296492.2846</v>
      </c>
      <c r="Y297" s="105"/>
    </row>
    <row r="298" ht="15.75" customHeight="1">
      <c r="A298" s="128">
        <v>45352.0</v>
      </c>
      <c r="B298" s="126">
        <v>5253773.0</v>
      </c>
      <c r="C298" s="126" t="s">
        <v>43</v>
      </c>
      <c r="D298" s="115">
        <v>0.21</v>
      </c>
      <c r="E298" s="42">
        <f>SUM(F298:H298)</f>
        <v>896</v>
      </c>
      <c r="F298" s="42">
        <v>313.0</v>
      </c>
      <c r="G298" s="42">
        <v>154.0</v>
      </c>
      <c r="H298" s="42">
        <v>429.0</v>
      </c>
      <c r="I298" s="126" t="s">
        <v>72</v>
      </c>
      <c r="J298" s="117">
        <v>137.1907</v>
      </c>
      <c r="K298" s="117">
        <v>137.1907</v>
      </c>
      <c r="L298" s="117">
        <v>137.1907</v>
      </c>
      <c r="M298" s="44">
        <v>361.8</v>
      </c>
      <c r="N298" s="42">
        <f t="shared" si="25"/>
        <v>1257.8</v>
      </c>
      <c r="O298" s="117">
        <f t="shared" si="47"/>
        <v>122922.8672</v>
      </c>
      <c r="P298" s="120">
        <v>881.5</v>
      </c>
      <c r="Q298" s="119">
        <f t="shared" si="45"/>
        <v>56.3081058</v>
      </c>
      <c r="R298" s="118">
        <f t="shared" si="14"/>
        <v>49635.59526</v>
      </c>
      <c r="S298" s="20">
        <f>IFERROR(__xludf.DUMMYFUNCTION("INDEX(IMPORTHTML(""https://www.bna.com.ar/Personas"", ""table"", 1), 2, 3)"),1465.0)</f>
        <v>1465</v>
      </c>
      <c r="T298" s="120">
        <f t="shared" si="34"/>
        <v>99814.56374</v>
      </c>
      <c r="U298" s="121">
        <f t="shared" si="16"/>
        <v>72.36</v>
      </c>
      <c r="V298" s="122">
        <f t="shared" si="39"/>
        <v>3.289090909</v>
      </c>
      <c r="W298" s="123">
        <f t="shared" si="35"/>
        <v>0.2876450946</v>
      </c>
      <c r="X298" s="117">
        <f t="shared" si="36"/>
        <v>172558.4625</v>
      </c>
      <c r="Y298" s="105"/>
    </row>
    <row r="299" ht="15.75" customHeight="1">
      <c r="A299" s="127">
        <v>45323.0</v>
      </c>
      <c r="B299" s="112">
        <v>5352763.0</v>
      </c>
      <c r="C299" s="112" t="s">
        <v>66</v>
      </c>
      <c r="D299" s="108">
        <v>0.27</v>
      </c>
      <c r="E299" s="17">
        <v>2749.0</v>
      </c>
      <c r="F299" s="17">
        <v>615.0</v>
      </c>
      <c r="G299" s="17">
        <v>353.0</v>
      </c>
      <c r="H299" s="17">
        <v>1781.0</v>
      </c>
      <c r="I299" s="112" t="s">
        <v>29</v>
      </c>
      <c r="J299" s="105">
        <v>85.7757</v>
      </c>
      <c r="K299" s="105">
        <v>85.7757</v>
      </c>
      <c r="L299" s="105">
        <v>85.7757</v>
      </c>
      <c r="M299" s="15">
        <v>600.5</v>
      </c>
      <c r="N299" s="17">
        <f t="shared" si="25"/>
        <v>3349.5</v>
      </c>
      <c r="O299" s="105">
        <f t="shared" si="47"/>
        <v>235797.3993</v>
      </c>
      <c r="P299" s="70">
        <v>863.0</v>
      </c>
      <c r="Q299" s="73">
        <f t="shared" si="45"/>
        <v>59.68517711</v>
      </c>
      <c r="R299" s="89">
        <f t="shared" si="14"/>
        <v>51508.30785</v>
      </c>
      <c r="S299" s="20">
        <f>IFERROR(__xludf.DUMMYFUNCTION("INDEX(IMPORTHTML(""https://www.bna.com.ar/Personas"", ""table"", 1), 2, 3)"),1465.0)</f>
        <v>1465</v>
      </c>
      <c r="T299" s="70">
        <f t="shared" si="34"/>
        <v>111047.2563</v>
      </c>
      <c r="U299" s="71">
        <f t="shared" si="16"/>
        <v>120.1</v>
      </c>
      <c r="V299" s="110">
        <f t="shared" si="39"/>
        <v>5.459090909</v>
      </c>
      <c r="W299" s="111">
        <f t="shared" si="35"/>
        <v>0.1792804896</v>
      </c>
      <c r="X299" s="105">
        <f t="shared" si="36"/>
        <v>287305.7072</v>
      </c>
      <c r="Y299" s="105"/>
    </row>
    <row r="300" ht="15.75" customHeight="1">
      <c r="A300" s="128">
        <v>45323.0</v>
      </c>
      <c r="B300" s="126">
        <v>5253773.0</v>
      </c>
      <c r="C300" s="126" t="s">
        <v>43</v>
      </c>
      <c r="D300" s="115">
        <v>0.21</v>
      </c>
      <c r="E300" s="17">
        <v>505.0</v>
      </c>
      <c r="F300" s="17">
        <v>182.0</v>
      </c>
      <c r="G300" s="42">
        <v>106.0</v>
      </c>
      <c r="H300" s="42">
        <v>217.0</v>
      </c>
      <c r="I300" s="126" t="s">
        <v>72</v>
      </c>
      <c r="J300" s="117">
        <v>132.9634</v>
      </c>
      <c r="K300" s="117">
        <v>132.9634</v>
      </c>
      <c r="L300" s="117">
        <v>132.9634</v>
      </c>
      <c r="M300" s="44">
        <v>237.7</v>
      </c>
      <c r="N300" s="42">
        <f t="shared" si="25"/>
        <v>742.7</v>
      </c>
      <c r="O300" s="117">
        <f t="shared" si="47"/>
        <v>67146.517</v>
      </c>
      <c r="P300" s="120">
        <v>863.0</v>
      </c>
      <c r="Q300" s="119">
        <f t="shared" si="45"/>
        <v>36.62271168</v>
      </c>
      <c r="R300" s="118">
        <f t="shared" si="14"/>
        <v>31605.40018</v>
      </c>
      <c r="S300" s="20">
        <f>IFERROR(__xludf.DUMMYFUNCTION("INDEX(IMPORTHTML(""https://www.bna.com.ar/Personas"", ""table"", 1), 2, 3)"),1465.0)</f>
        <v>1465</v>
      </c>
      <c r="T300" s="120">
        <f t="shared" si="34"/>
        <v>64919.24986</v>
      </c>
      <c r="U300" s="121">
        <f t="shared" si="16"/>
        <v>47.54</v>
      </c>
      <c r="V300" s="122">
        <f t="shared" si="39"/>
        <v>2.160909091</v>
      </c>
      <c r="W300" s="123">
        <f t="shared" si="35"/>
        <v>0.3200484718</v>
      </c>
      <c r="X300" s="117">
        <f t="shared" si="36"/>
        <v>98751.91718</v>
      </c>
      <c r="Y300" s="105"/>
    </row>
    <row r="301" ht="15.75" customHeight="1">
      <c r="A301" s="127">
        <v>45292.0</v>
      </c>
      <c r="B301" s="112">
        <v>5352763.0</v>
      </c>
      <c r="C301" s="112" t="s">
        <v>66</v>
      </c>
      <c r="D301" s="108">
        <v>0.27</v>
      </c>
      <c r="E301" s="56">
        <v>2830.0</v>
      </c>
      <c r="F301" s="56">
        <v>759.0</v>
      </c>
      <c r="G301" s="17">
        <v>422.0</v>
      </c>
      <c r="H301" s="17">
        <v>1649.0</v>
      </c>
      <c r="I301" s="112" t="s">
        <v>29</v>
      </c>
      <c r="J301" s="105">
        <v>33.6851</v>
      </c>
      <c r="K301" s="105">
        <v>33.6851</v>
      </c>
      <c r="L301" s="105">
        <v>33.6851</v>
      </c>
      <c r="M301" s="15">
        <v>873.7</v>
      </c>
      <c r="N301" s="17">
        <f t="shared" si="25"/>
        <v>3703.7</v>
      </c>
      <c r="O301" s="105">
        <f t="shared" si="47"/>
        <v>95328.833</v>
      </c>
      <c r="P301" s="70">
        <v>848.0</v>
      </c>
      <c r="Q301" s="73">
        <f t="shared" si="45"/>
        <v>34.70598098</v>
      </c>
      <c r="R301" s="89">
        <f t="shared" si="14"/>
        <v>29430.67187</v>
      </c>
      <c r="S301" s="20">
        <f>IFERROR(__xludf.DUMMYFUNCTION("INDEX(IMPORTHTML(""https://www.bna.com.ar/Personas"", ""table"", 1), 2, 3)"),1465.0)</f>
        <v>1465</v>
      </c>
      <c r="T301" s="70">
        <f t="shared" si="34"/>
        <v>64572.21291</v>
      </c>
      <c r="U301" s="71">
        <f t="shared" si="16"/>
        <v>174.74</v>
      </c>
      <c r="V301" s="110">
        <f t="shared" si="39"/>
        <v>7.942727273</v>
      </c>
      <c r="W301" s="111">
        <f t="shared" si="35"/>
        <v>0.2358992359</v>
      </c>
      <c r="X301" s="105">
        <f t="shared" si="36"/>
        <v>124759.5049</v>
      </c>
      <c r="Y301" s="105"/>
    </row>
    <row r="302" ht="15.75" customHeight="1">
      <c r="A302" s="128">
        <v>45292.0</v>
      </c>
      <c r="B302" s="126">
        <v>5253773.0</v>
      </c>
      <c r="C302" s="126" t="s">
        <v>43</v>
      </c>
      <c r="D302" s="115">
        <v>0.21</v>
      </c>
      <c r="E302" s="42">
        <v>448.0</v>
      </c>
      <c r="F302" s="42">
        <v>141.0</v>
      </c>
      <c r="G302" s="42">
        <v>97.0</v>
      </c>
      <c r="H302" s="42">
        <v>210.0</v>
      </c>
      <c r="I302" s="126" t="s">
        <v>72</v>
      </c>
      <c r="J302" s="117">
        <v>54.3484</v>
      </c>
      <c r="K302" s="117">
        <v>54.3484</v>
      </c>
      <c r="L302" s="117">
        <v>54.3484</v>
      </c>
      <c r="M302" s="44">
        <v>237.6</v>
      </c>
      <c r="N302" s="42">
        <f t="shared" si="25"/>
        <v>685.6</v>
      </c>
      <c r="O302" s="117">
        <f t="shared" si="47"/>
        <v>24348.0832</v>
      </c>
      <c r="P302" s="120">
        <v>848.0</v>
      </c>
      <c r="Q302" s="119">
        <f t="shared" si="45"/>
        <v>15.22780642</v>
      </c>
      <c r="R302" s="118">
        <f t="shared" si="14"/>
        <v>12913.17984</v>
      </c>
      <c r="S302" s="20">
        <f>IFERROR(__xludf.DUMMYFUNCTION("INDEX(IMPORTHTML(""https://www.bna.com.ar/Personas"", ""table"", 1), 2, 3)"),1465.0)</f>
        <v>1465</v>
      </c>
      <c r="T302" s="120">
        <f t="shared" si="34"/>
        <v>26993.57104</v>
      </c>
      <c r="U302" s="121">
        <f t="shared" si="16"/>
        <v>47.52</v>
      </c>
      <c r="V302" s="122">
        <f t="shared" si="39"/>
        <v>2.16</v>
      </c>
      <c r="W302" s="123">
        <f t="shared" si="35"/>
        <v>0.3465577596</v>
      </c>
      <c r="X302" s="117">
        <f t="shared" si="36"/>
        <v>37261.26304</v>
      </c>
      <c r="Y302" s="105"/>
    </row>
    <row r="303" ht="15.75" customHeight="1">
      <c r="A303" s="128">
        <v>45261.0</v>
      </c>
      <c r="B303" s="126">
        <v>5253773.0</v>
      </c>
      <c r="C303" s="126" t="s">
        <v>43</v>
      </c>
      <c r="D303" s="115">
        <v>0.21</v>
      </c>
      <c r="E303" s="42">
        <v>966.0</v>
      </c>
      <c r="F303" s="56">
        <v>265.0</v>
      </c>
      <c r="G303" s="42">
        <v>157.0</v>
      </c>
      <c r="H303" s="42">
        <v>544.0</v>
      </c>
      <c r="I303" s="126" t="s">
        <v>72</v>
      </c>
      <c r="J303" s="117">
        <v>59.3017</v>
      </c>
      <c r="K303" s="117">
        <v>59.3017</v>
      </c>
      <c r="L303" s="117">
        <v>59.3017</v>
      </c>
      <c r="M303" s="44">
        <v>203.6</v>
      </c>
      <c r="N303" s="42">
        <f t="shared" si="25"/>
        <v>1169.6</v>
      </c>
      <c r="O303" s="117">
        <f t="shared" si="47"/>
        <v>57285.4422</v>
      </c>
      <c r="P303" s="120">
        <v>831.0</v>
      </c>
      <c r="Q303" s="119">
        <f t="shared" si="45"/>
        <v>14.52927331</v>
      </c>
      <c r="R303" s="118">
        <f t="shared" si="14"/>
        <v>12073.82612</v>
      </c>
      <c r="S303" s="20">
        <f>IFERROR(__xludf.DUMMYFUNCTION("INDEX(IMPORTHTML(""https://www.bna.com.ar/Personas"", ""table"", 1), 2, 3)"),1465.0)</f>
        <v>1465</v>
      </c>
      <c r="T303" s="120">
        <f t="shared" si="34"/>
        <v>25755.31633</v>
      </c>
      <c r="U303" s="121">
        <f t="shared" si="16"/>
        <v>40.72</v>
      </c>
      <c r="V303" s="122">
        <f t="shared" si="39"/>
        <v>1.850909091</v>
      </c>
      <c r="W303" s="123">
        <f t="shared" si="35"/>
        <v>0.1740766074</v>
      </c>
      <c r="X303" s="117">
        <f t="shared" si="36"/>
        <v>69359.26832</v>
      </c>
      <c r="Y303" s="105"/>
    </row>
    <row r="304" ht="15.75" customHeight="1">
      <c r="A304" s="128">
        <v>45231.0</v>
      </c>
      <c r="B304" s="126">
        <v>5253773.0</v>
      </c>
      <c r="C304" s="126" t="s">
        <v>43</v>
      </c>
      <c r="D304" s="115">
        <v>0.21</v>
      </c>
      <c r="E304" s="42">
        <v>876.0</v>
      </c>
      <c r="F304" s="56">
        <v>304.0</v>
      </c>
      <c r="G304" s="42">
        <v>146.0</v>
      </c>
      <c r="H304" s="42">
        <v>426.0</v>
      </c>
      <c r="I304" s="126" t="s">
        <v>72</v>
      </c>
      <c r="J304" s="117">
        <v>53.4671</v>
      </c>
      <c r="K304" s="117">
        <v>53.4671</v>
      </c>
      <c r="L304" s="117">
        <v>53.4671</v>
      </c>
      <c r="M304" s="44">
        <f>366.2-118.7</f>
        <v>247.5</v>
      </c>
      <c r="N304" s="42">
        <f t="shared" si="25"/>
        <v>1123.5</v>
      </c>
      <c r="O304" s="117">
        <f t="shared" si="47"/>
        <v>46837.1796</v>
      </c>
      <c r="P304" s="120">
        <v>378.0</v>
      </c>
      <c r="Q304" s="119">
        <f t="shared" si="45"/>
        <v>35.00822024</v>
      </c>
      <c r="R304" s="118">
        <f t="shared" si="14"/>
        <v>13233.10725</v>
      </c>
      <c r="S304" s="20">
        <f>IFERROR(__xludf.DUMMYFUNCTION("INDEX(IMPORTHTML(""https://www.bna.com.ar/Personas"", ""table"", 1), 2, 3)"),1465.0)</f>
        <v>1465</v>
      </c>
      <c r="T304" s="120">
        <f t="shared" si="34"/>
        <v>62057.32161</v>
      </c>
      <c r="U304" s="121">
        <f t="shared" si="16"/>
        <v>49.5</v>
      </c>
      <c r="V304" s="122">
        <f t="shared" si="39"/>
        <v>2.25</v>
      </c>
      <c r="W304" s="123">
        <f t="shared" si="35"/>
        <v>0.220293725</v>
      </c>
      <c r="X304" s="117">
        <f t="shared" si="36"/>
        <v>60070.28685</v>
      </c>
      <c r="Y304" s="105"/>
    </row>
    <row r="305" ht="15.75" customHeight="1">
      <c r="A305" s="128">
        <v>45200.0</v>
      </c>
      <c r="B305" s="126">
        <v>5253773.0</v>
      </c>
      <c r="C305" s="126" t="s">
        <v>43</v>
      </c>
      <c r="D305" s="115">
        <v>0.21</v>
      </c>
      <c r="E305" s="42">
        <v>623.0</v>
      </c>
      <c r="F305" s="129">
        <v>253.0</v>
      </c>
      <c r="G305" s="42">
        <v>109.0</v>
      </c>
      <c r="H305" s="42">
        <v>261.0</v>
      </c>
      <c r="I305" s="126" t="s">
        <v>72</v>
      </c>
      <c r="J305" s="117">
        <v>47.1833</v>
      </c>
      <c r="K305" s="117">
        <v>47.1833</v>
      </c>
      <c r="L305" s="117">
        <v>47.1833</v>
      </c>
      <c r="M305" s="44">
        <f>511.4-232.2</f>
        <v>279.2</v>
      </c>
      <c r="N305" s="42">
        <f t="shared" si="25"/>
        <v>902.2</v>
      </c>
      <c r="O305" s="117">
        <f t="shared" si="47"/>
        <v>29395.1959</v>
      </c>
      <c r="P305" s="120">
        <v>365.5</v>
      </c>
      <c r="Q305" s="119">
        <f t="shared" si="45"/>
        <v>36.04261932</v>
      </c>
      <c r="R305" s="118">
        <f t="shared" si="14"/>
        <v>13173.57736</v>
      </c>
      <c r="S305" s="20">
        <f>IFERROR(__xludf.DUMMYFUNCTION("INDEX(IMPORTHTML(""https://www.bna.com.ar/Personas"", ""table"", 1), 2, 3)"),1465.0)</f>
        <v>1465</v>
      </c>
      <c r="T305" s="120">
        <f t="shared" si="34"/>
        <v>63890.94913</v>
      </c>
      <c r="U305" s="121">
        <f t="shared" si="16"/>
        <v>55.84</v>
      </c>
      <c r="V305" s="122">
        <f t="shared" si="39"/>
        <v>2.538181818</v>
      </c>
      <c r="W305" s="123">
        <f t="shared" si="35"/>
        <v>0.3094657504</v>
      </c>
      <c r="X305" s="117">
        <f t="shared" si="36"/>
        <v>42568.77326</v>
      </c>
      <c r="Y305" s="105"/>
    </row>
    <row r="306" ht="15.75" customHeight="1">
      <c r="A306" s="106"/>
      <c r="B306" s="112"/>
      <c r="C306" s="107"/>
      <c r="D306" s="108"/>
      <c r="E306" s="17"/>
      <c r="F306" s="17"/>
      <c r="G306" s="17"/>
      <c r="H306" s="17"/>
      <c r="I306" s="107"/>
      <c r="J306" s="109"/>
      <c r="K306" s="109"/>
      <c r="L306" s="109"/>
      <c r="M306" s="15"/>
      <c r="N306" s="17"/>
      <c r="O306" s="105"/>
      <c r="P306" s="70"/>
      <c r="Q306" s="73"/>
      <c r="R306" s="89"/>
      <c r="S306" s="20"/>
      <c r="T306" s="70"/>
      <c r="U306" s="71"/>
      <c r="V306" s="110"/>
      <c r="W306" s="111"/>
      <c r="X306" s="105"/>
      <c r="Y306" s="105"/>
    </row>
    <row r="307" ht="15.75" customHeight="1">
      <c r="A307" s="106"/>
      <c r="B307" s="112"/>
      <c r="C307" s="107"/>
      <c r="D307" s="108"/>
      <c r="E307" s="17"/>
      <c r="F307" s="17"/>
      <c r="G307" s="17"/>
      <c r="H307" s="17"/>
      <c r="I307" s="107"/>
      <c r="J307" s="109"/>
      <c r="K307" s="109"/>
      <c r="L307" s="109"/>
      <c r="M307" s="15"/>
      <c r="N307" s="17"/>
      <c r="O307" s="105"/>
      <c r="P307" s="70"/>
      <c r="Q307" s="73"/>
      <c r="R307" s="89"/>
      <c r="S307" s="20"/>
      <c r="T307" s="70"/>
      <c r="U307" s="71"/>
      <c r="V307" s="110"/>
      <c r="W307" s="111"/>
      <c r="X307" s="105"/>
      <c r="Y307" s="105"/>
    </row>
    <row r="308" ht="15.75" customHeight="1">
      <c r="A308" s="75"/>
      <c r="B308" s="130"/>
      <c r="C308" s="130"/>
      <c r="D308" s="131"/>
      <c r="E308" s="132"/>
      <c r="F308" s="132"/>
      <c r="G308" s="132"/>
      <c r="H308" s="132"/>
      <c r="I308" s="133"/>
      <c r="J308" s="70"/>
      <c r="K308" s="70"/>
      <c r="L308" s="70"/>
      <c r="M308" s="131"/>
      <c r="N308" s="134"/>
      <c r="O308" s="70"/>
      <c r="P308" s="135"/>
      <c r="Q308" s="136"/>
      <c r="R308" s="135"/>
      <c r="S308" s="135"/>
      <c r="T308" s="135"/>
      <c r="U308" s="137"/>
      <c r="V308" s="137"/>
      <c r="W308" s="138"/>
      <c r="X308" s="135"/>
      <c r="Y308" s="70"/>
    </row>
    <row r="309" ht="15.75" customHeight="1">
      <c r="A309" s="75"/>
      <c r="B309" s="130"/>
      <c r="C309" s="130"/>
      <c r="D309" s="131"/>
      <c r="E309" s="132"/>
      <c r="F309" s="132"/>
      <c r="G309" s="132"/>
      <c r="H309" s="132"/>
      <c r="I309" s="133"/>
      <c r="J309" s="70"/>
      <c r="K309" s="70"/>
      <c r="L309" s="70"/>
      <c r="M309" s="131"/>
      <c r="N309" s="134"/>
      <c r="O309" s="70"/>
      <c r="P309" s="135"/>
      <c r="Q309" s="136"/>
      <c r="R309" s="135"/>
      <c r="S309" s="135"/>
      <c r="T309" s="135"/>
      <c r="U309" s="137"/>
      <c r="V309" s="137"/>
      <c r="W309" s="138"/>
      <c r="X309" s="135"/>
      <c r="Y309" s="70"/>
    </row>
    <row r="310" ht="15.75" customHeight="1">
      <c r="A310" s="127"/>
      <c r="B310" s="139"/>
      <c r="C310" s="139"/>
      <c r="D310" s="140"/>
      <c r="E310" s="17"/>
      <c r="F310" s="141"/>
      <c r="G310" s="141"/>
      <c r="H310" s="141"/>
      <c r="I310" s="112"/>
      <c r="J310" s="105"/>
      <c r="K310" s="105"/>
      <c r="L310" s="105"/>
      <c r="M310" s="140"/>
      <c r="N310" s="139"/>
      <c r="O310" s="139"/>
      <c r="P310" s="70"/>
      <c r="Q310" s="73"/>
      <c r="R310" s="139"/>
      <c r="S310" s="139"/>
      <c r="T310" s="139"/>
      <c r="U310" s="110"/>
      <c r="V310" s="110"/>
      <c r="W310" s="111"/>
      <c r="X310" s="105"/>
      <c r="Y310" s="105"/>
    </row>
    <row r="311" ht="15.75" customHeight="1">
      <c r="A311" s="127"/>
      <c r="B311" s="139"/>
      <c r="C311" s="139"/>
      <c r="D311" s="140"/>
      <c r="E311" s="17"/>
      <c r="F311" s="141"/>
      <c r="G311" s="141"/>
      <c r="H311" s="141"/>
      <c r="I311" s="112"/>
      <c r="J311" s="105"/>
      <c r="K311" s="105"/>
      <c r="L311" s="105"/>
      <c r="M311" s="140"/>
      <c r="N311" s="139"/>
      <c r="O311" s="139"/>
      <c r="P311" s="70"/>
      <c r="Q311" s="73"/>
      <c r="R311" s="139"/>
      <c r="S311" s="139"/>
      <c r="T311" s="139"/>
      <c r="U311" s="110"/>
      <c r="V311" s="110"/>
      <c r="W311" s="111"/>
      <c r="X311" s="105"/>
      <c r="Y311" s="105"/>
    </row>
    <row r="312" ht="15.75" customHeight="1">
      <c r="A312" s="127"/>
      <c r="B312" s="139"/>
      <c r="C312" s="139"/>
      <c r="D312" s="140"/>
      <c r="E312" s="17"/>
      <c r="F312" s="141"/>
      <c r="G312" s="141"/>
      <c r="H312" s="141"/>
      <c r="I312" s="112"/>
      <c r="J312" s="105"/>
      <c r="K312" s="105"/>
      <c r="L312" s="105"/>
      <c r="M312" s="140"/>
      <c r="N312" s="139"/>
      <c r="O312" s="139"/>
      <c r="P312" s="70"/>
      <c r="Q312" s="73"/>
      <c r="R312" s="139"/>
      <c r="S312" s="139"/>
      <c r="T312" s="139"/>
      <c r="U312" s="110"/>
      <c r="V312" s="110"/>
      <c r="W312" s="111"/>
      <c r="X312" s="105"/>
      <c r="Y312" s="105"/>
    </row>
    <row r="313" ht="15.75" customHeight="1">
      <c r="A313" s="127"/>
      <c r="B313" s="139"/>
      <c r="C313" s="139"/>
      <c r="D313" s="140"/>
      <c r="E313" s="17"/>
      <c r="F313" s="141"/>
      <c r="G313" s="141"/>
      <c r="H313" s="141"/>
      <c r="I313" s="112"/>
      <c r="J313" s="105"/>
      <c r="K313" s="105"/>
      <c r="L313" s="105"/>
      <c r="M313" s="140"/>
      <c r="N313" s="139"/>
      <c r="O313" s="139"/>
      <c r="P313" s="70"/>
      <c r="Q313" s="73"/>
      <c r="R313" s="139"/>
      <c r="S313" s="139"/>
      <c r="T313" s="139"/>
      <c r="U313" s="110"/>
      <c r="V313" s="110"/>
      <c r="W313" s="111"/>
      <c r="X313" s="105"/>
      <c r="Y313" s="105"/>
    </row>
    <row r="314" ht="15.75" customHeight="1">
      <c r="A314" s="127"/>
      <c r="B314" s="139"/>
      <c r="C314" s="139"/>
      <c r="D314" s="140"/>
      <c r="E314" s="17"/>
      <c r="F314" s="141"/>
      <c r="G314" s="141"/>
      <c r="H314" s="141"/>
      <c r="I314" s="112"/>
      <c r="J314" s="105"/>
      <c r="K314" s="105"/>
      <c r="L314" s="105"/>
      <c r="M314" s="140"/>
      <c r="N314" s="139"/>
      <c r="O314" s="139"/>
      <c r="P314" s="70"/>
      <c r="Q314" s="73"/>
      <c r="R314" s="139"/>
      <c r="S314" s="139"/>
      <c r="T314" s="139"/>
      <c r="U314" s="110"/>
      <c r="V314" s="110"/>
      <c r="W314" s="111"/>
      <c r="X314" s="105"/>
      <c r="Y314" s="105"/>
    </row>
    <row r="315" ht="15.75" customHeight="1">
      <c r="A315" s="127"/>
      <c r="B315" s="139"/>
      <c r="C315" s="139"/>
      <c r="D315" s="140"/>
      <c r="E315" s="17"/>
      <c r="F315" s="141"/>
      <c r="G315" s="141"/>
      <c r="H315" s="141"/>
      <c r="I315" s="112"/>
      <c r="J315" s="105"/>
      <c r="K315" s="105"/>
      <c r="L315" s="105"/>
      <c r="M315" s="140"/>
      <c r="N315" s="139"/>
      <c r="O315" s="139"/>
      <c r="P315" s="133"/>
      <c r="Q315" s="73"/>
      <c r="R315" s="139"/>
      <c r="S315" s="139"/>
      <c r="T315" s="139"/>
      <c r="U315" s="110"/>
      <c r="V315" s="110"/>
      <c r="W315" s="111"/>
      <c r="X315" s="105"/>
      <c r="Y315" s="105"/>
    </row>
    <row r="316" ht="15.75" customHeight="1">
      <c r="A316" s="127"/>
      <c r="B316" s="139"/>
      <c r="C316" s="139"/>
      <c r="D316" s="140"/>
      <c r="E316" s="17"/>
      <c r="F316" s="141"/>
      <c r="G316" s="141"/>
      <c r="H316" s="141"/>
      <c r="I316" s="112"/>
      <c r="J316" s="105"/>
      <c r="K316" s="105"/>
      <c r="L316" s="105"/>
      <c r="M316" s="140"/>
      <c r="N316" s="139"/>
      <c r="O316" s="139"/>
      <c r="P316" s="133"/>
      <c r="Q316" s="73"/>
      <c r="R316" s="139"/>
      <c r="S316" s="139"/>
      <c r="T316" s="139"/>
      <c r="U316" s="110"/>
      <c r="V316" s="110"/>
      <c r="W316" s="111"/>
      <c r="X316" s="105"/>
      <c r="Y316" s="105"/>
    </row>
    <row r="317" ht="15.75" customHeight="1">
      <c r="A317" s="127"/>
      <c r="B317" s="139"/>
      <c r="C317" s="139"/>
      <c r="D317" s="140"/>
      <c r="E317" s="17"/>
      <c r="F317" s="141"/>
      <c r="G317" s="141"/>
      <c r="H317" s="141"/>
      <c r="I317" s="112"/>
      <c r="J317" s="105"/>
      <c r="K317" s="105"/>
      <c r="L317" s="105"/>
      <c r="M317" s="140"/>
      <c r="N317" s="139"/>
      <c r="O317" s="139"/>
      <c r="P317" s="133"/>
      <c r="Q317" s="73"/>
      <c r="R317" s="139"/>
      <c r="S317" s="139"/>
      <c r="T317" s="139"/>
      <c r="U317" s="110"/>
      <c r="V317" s="110"/>
      <c r="W317" s="111"/>
      <c r="X317" s="105"/>
      <c r="Y317" s="105"/>
    </row>
    <row r="318" ht="15.75" customHeight="1">
      <c r="A318" s="127"/>
      <c r="B318" s="139"/>
      <c r="C318" s="139"/>
      <c r="D318" s="140"/>
      <c r="E318" s="17"/>
      <c r="F318" s="141"/>
      <c r="G318" s="141"/>
      <c r="H318" s="141"/>
      <c r="I318" s="112"/>
      <c r="J318" s="105"/>
      <c r="K318" s="105"/>
      <c r="L318" s="105"/>
      <c r="M318" s="140"/>
      <c r="N318" s="139"/>
      <c r="O318" s="139"/>
      <c r="P318" s="133"/>
      <c r="Q318" s="73"/>
      <c r="R318" s="139"/>
      <c r="S318" s="139"/>
      <c r="T318" s="139"/>
      <c r="U318" s="110"/>
      <c r="V318" s="110"/>
      <c r="W318" s="111"/>
      <c r="X318" s="105"/>
      <c r="Y318" s="105"/>
    </row>
    <row r="319" ht="15.75" customHeight="1">
      <c r="A319" s="127"/>
      <c r="B319" s="139"/>
      <c r="C319" s="139"/>
      <c r="D319" s="140"/>
      <c r="E319" s="17"/>
      <c r="F319" s="141"/>
      <c r="G319" s="141"/>
      <c r="H319" s="141"/>
      <c r="I319" s="112"/>
      <c r="J319" s="105"/>
      <c r="K319" s="105"/>
      <c r="L319" s="105"/>
      <c r="M319" s="140"/>
      <c r="N319" s="139"/>
      <c r="O319" s="139"/>
      <c r="P319" s="133"/>
      <c r="Q319" s="73"/>
      <c r="R319" s="139"/>
      <c r="S319" s="139"/>
      <c r="T319" s="139"/>
      <c r="U319" s="110"/>
      <c r="V319" s="110"/>
      <c r="W319" s="111"/>
      <c r="X319" s="105"/>
      <c r="Y319" s="105"/>
    </row>
    <row r="320" ht="15.75" customHeight="1">
      <c r="A320" s="127"/>
      <c r="B320" s="139"/>
      <c r="C320" s="139"/>
      <c r="D320" s="140"/>
      <c r="E320" s="17"/>
      <c r="F320" s="141"/>
      <c r="G320" s="141"/>
      <c r="H320" s="141"/>
      <c r="I320" s="112"/>
      <c r="J320" s="105"/>
      <c r="K320" s="105"/>
      <c r="L320" s="105"/>
      <c r="M320" s="140"/>
      <c r="N320" s="139"/>
      <c r="O320" s="139"/>
      <c r="P320" s="133"/>
      <c r="Q320" s="73"/>
      <c r="R320" s="139"/>
      <c r="S320" s="139"/>
      <c r="T320" s="139"/>
      <c r="U320" s="110"/>
      <c r="V320" s="110"/>
      <c r="W320" s="111"/>
      <c r="X320" s="105"/>
      <c r="Y320" s="105"/>
    </row>
    <row r="321" ht="15.75" customHeight="1">
      <c r="A321" s="127"/>
      <c r="B321" s="139"/>
      <c r="C321" s="139"/>
      <c r="D321" s="140"/>
      <c r="E321" s="17"/>
      <c r="F321" s="141"/>
      <c r="G321" s="141"/>
      <c r="H321" s="141"/>
      <c r="I321" s="112"/>
      <c r="J321" s="105"/>
      <c r="K321" s="105"/>
      <c r="L321" s="105"/>
      <c r="M321" s="140"/>
      <c r="N321" s="139"/>
      <c r="O321" s="139"/>
      <c r="P321" s="133"/>
      <c r="Q321" s="73"/>
      <c r="R321" s="139"/>
      <c r="S321" s="139"/>
      <c r="T321" s="139"/>
      <c r="U321" s="110"/>
      <c r="V321" s="110"/>
      <c r="W321" s="111"/>
      <c r="X321" s="105"/>
      <c r="Y321" s="105"/>
    </row>
    <row r="322" ht="15.75" customHeight="1">
      <c r="A322" s="127"/>
      <c r="B322" s="139"/>
      <c r="C322" s="139"/>
      <c r="D322" s="140"/>
      <c r="E322" s="17"/>
      <c r="F322" s="141"/>
      <c r="G322" s="141"/>
      <c r="H322" s="141"/>
      <c r="I322" s="112"/>
      <c r="J322" s="105"/>
      <c r="K322" s="105"/>
      <c r="L322" s="105"/>
      <c r="M322" s="140"/>
      <c r="N322" s="139"/>
      <c r="O322" s="139"/>
      <c r="P322" s="133"/>
      <c r="Q322" s="73"/>
      <c r="R322" s="139"/>
      <c r="S322" s="139"/>
      <c r="T322" s="139"/>
      <c r="U322" s="110"/>
      <c r="V322" s="110"/>
      <c r="W322" s="111"/>
      <c r="X322" s="105"/>
      <c r="Y322" s="105"/>
    </row>
    <row r="323" ht="15.75" customHeight="1">
      <c r="A323" s="127"/>
      <c r="B323" s="139"/>
      <c r="C323" s="139"/>
      <c r="D323" s="140"/>
      <c r="E323" s="17"/>
      <c r="F323" s="141"/>
      <c r="G323" s="141"/>
      <c r="H323" s="141"/>
      <c r="I323" s="112"/>
      <c r="J323" s="105"/>
      <c r="K323" s="105"/>
      <c r="L323" s="105"/>
      <c r="M323" s="140"/>
      <c r="N323" s="139"/>
      <c r="O323" s="139"/>
      <c r="P323" s="133"/>
      <c r="Q323" s="73"/>
      <c r="R323" s="139"/>
      <c r="S323" s="139"/>
      <c r="T323" s="139"/>
      <c r="U323" s="110"/>
      <c r="V323" s="110"/>
      <c r="W323" s="111"/>
      <c r="X323" s="105"/>
      <c r="Y323" s="105"/>
    </row>
    <row r="324" ht="15.75" customHeight="1">
      <c r="A324" s="127"/>
      <c r="B324" s="139"/>
      <c r="C324" s="139"/>
      <c r="D324" s="140"/>
      <c r="E324" s="17"/>
      <c r="F324" s="141"/>
      <c r="G324" s="141"/>
      <c r="H324" s="141"/>
      <c r="I324" s="112"/>
      <c r="J324" s="105"/>
      <c r="K324" s="105"/>
      <c r="L324" s="105"/>
      <c r="M324" s="140"/>
      <c r="N324" s="139"/>
      <c r="O324" s="139"/>
      <c r="P324" s="133"/>
      <c r="Q324" s="73"/>
      <c r="R324" s="139"/>
      <c r="S324" s="139"/>
      <c r="T324" s="139"/>
      <c r="U324" s="110"/>
      <c r="V324" s="110"/>
      <c r="W324" s="111"/>
      <c r="X324" s="105"/>
      <c r="Y324" s="105"/>
    </row>
    <row r="325" ht="15.75" customHeight="1">
      <c r="A325" s="127"/>
      <c r="B325" s="139"/>
      <c r="C325" s="139"/>
      <c r="D325" s="140"/>
      <c r="E325" s="17"/>
      <c r="F325" s="141"/>
      <c r="G325" s="141"/>
      <c r="H325" s="141"/>
      <c r="I325" s="112"/>
      <c r="J325" s="105"/>
      <c r="K325" s="105"/>
      <c r="L325" s="105"/>
      <c r="M325" s="140"/>
      <c r="N325" s="139"/>
      <c r="O325" s="139"/>
      <c r="P325" s="133"/>
      <c r="Q325" s="73"/>
      <c r="R325" s="139"/>
      <c r="S325" s="139"/>
      <c r="T325" s="139"/>
      <c r="U325" s="110"/>
      <c r="V325" s="110"/>
      <c r="W325" s="111"/>
      <c r="X325" s="105"/>
      <c r="Y325" s="105"/>
    </row>
    <row r="326" ht="15.75" customHeight="1">
      <c r="A326" s="127"/>
      <c r="B326" s="139"/>
      <c r="C326" s="139"/>
      <c r="D326" s="140"/>
      <c r="E326" s="17"/>
      <c r="F326" s="141"/>
      <c r="G326" s="141"/>
      <c r="H326" s="141"/>
      <c r="I326" s="112"/>
      <c r="J326" s="105"/>
      <c r="K326" s="105"/>
      <c r="L326" s="105"/>
      <c r="M326" s="140"/>
      <c r="N326" s="139"/>
      <c r="O326" s="139"/>
      <c r="P326" s="133"/>
      <c r="Q326" s="73"/>
      <c r="R326" s="139"/>
      <c r="S326" s="139"/>
      <c r="T326" s="139"/>
      <c r="U326" s="110"/>
      <c r="V326" s="110"/>
      <c r="W326" s="111"/>
      <c r="X326" s="105"/>
      <c r="Y326" s="105"/>
    </row>
    <row r="327" ht="15.75" customHeight="1">
      <c r="A327" s="127"/>
      <c r="B327" s="139"/>
      <c r="C327" s="139"/>
      <c r="D327" s="140"/>
      <c r="E327" s="141"/>
      <c r="F327" s="141"/>
      <c r="G327" s="141"/>
      <c r="H327" s="141"/>
      <c r="I327" s="112"/>
      <c r="J327" s="105"/>
      <c r="K327" s="105"/>
      <c r="L327" s="105"/>
      <c r="M327" s="140"/>
      <c r="N327" s="139"/>
      <c r="O327" s="139"/>
      <c r="P327" s="133"/>
      <c r="Q327" s="73"/>
      <c r="R327" s="139"/>
      <c r="S327" s="139"/>
      <c r="T327" s="139"/>
      <c r="U327" s="110"/>
      <c r="V327" s="110"/>
      <c r="W327" s="111"/>
      <c r="X327" s="105"/>
      <c r="Y327" s="105"/>
    </row>
    <row r="328" ht="15.75" customHeight="1">
      <c r="A328" s="127"/>
      <c r="B328" s="139"/>
      <c r="C328" s="139"/>
      <c r="D328" s="140"/>
      <c r="E328" s="141"/>
      <c r="F328" s="141"/>
      <c r="G328" s="141"/>
      <c r="H328" s="141"/>
      <c r="I328" s="112"/>
      <c r="J328" s="105"/>
      <c r="K328" s="105"/>
      <c r="L328" s="105"/>
      <c r="M328" s="140"/>
      <c r="N328" s="139"/>
      <c r="O328" s="139"/>
      <c r="P328" s="133"/>
      <c r="Q328" s="73"/>
      <c r="R328" s="139"/>
      <c r="S328" s="139"/>
      <c r="T328" s="139"/>
      <c r="U328" s="110"/>
      <c r="V328" s="110"/>
      <c r="W328" s="111"/>
      <c r="X328" s="105"/>
      <c r="Y328" s="105"/>
    </row>
    <row r="329" ht="15.75" customHeight="1">
      <c r="A329" s="127"/>
      <c r="B329" s="139"/>
      <c r="C329" s="139"/>
      <c r="D329" s="140"/>
      <c r="E329" s="141"/>
      <c r="F329" s="141"/>
      <c r="G329" s="141"/>
      <c r="H329" s="141"/>
      <c r="I329" s="112"/>
      <c r="J329" s="105"/>
      <c r="K329" s="105"/>
      <c r="L329" s="105"/>
      <c r="M329" s="140"/>
      <c r="N329" s="139"/>
      <c r="O329" s="139"/>
      <c r="P329" s="133"/>
      <c r="Q329" s="73"/>
      <c r="R329" s="139"/>
      <c r="S329" s="139"/>
      <c r="T329" s="139"/>
      <c r="U329" s="110"/>
      <c r="V329" s="110"/>
      <c r="W329" s="111"/>
      <c r="X329" s="105"/>
      <c r="Y329" s="105"/>
    </row>
    <row r="330" ht="15.75" customHeight="1">
      <c r="A330" s="127"/>
      <c r="B330" s="139"/>
      <c r="C330" s="139"/>
      <c r="D330" s="140"/>
      <c r="E330" s="141"/>
      <c r="F330" s="141"/>
      <c r="G330" s="141"/>
      <c r="H330" s="141"/>
      <c r="I330" s="112"/>
      <c r="J330" s="105"/>
      <c r="K330" s="105"/>
      <c r="L330" s="105"/>
      <c r="M330" s="140"/>
      <c r="N330" s="139"/>
      <c r="O330" s="139"/>
      <c r="P330" s="133"/>
      <c r="Q330" s="73"/>
      <c r="R330" s="139"/>
      <c r="S330" s="139"/>
      <c r="T330" s="139"/>
      <c r="U330" s="110"/>
      <c r="V330" s="110"/>
      <c r="W330" s="111"/>
      <c r="X330" s="105"/>
      <c r="Y330" s="105"/>
    </row>
    <row r="331" ht="15.75" customHeight="1">
      <c r="A331" s="127"/>
      <c r="B331" s="139"/>
      <c r="C331" s="139"/>
      <c r="D331" s="140"/>
      <c r="E331" s="141"/>
      <c r="F331" s="141"/>
      <c r="G331" s="141"/>
      <c r="H331" s="141"/>
      <c r="I331" s="112"/>
      <c r="J331" s="105"/>
      <c r="K331" s="105"/>
      <c r="L331" s="105"/>
      <c r="M331" s="140"/>
      <c r="N331" s="139"/>
      <c r="O331" s="139"/>
      <c r="P331" s="133"/>
      <c r="Q331" s="73"/>
      <c r="R331" s="139"/>
      <c r="S331" s="139"/>
      <c r="T331" s="139"/>
      <c r="U331" s="110"/>
      <c r="V331" s="110"/>
      <c r="W331" s="111"/>
      <c r="X331" s="105"/>
      <c r="Y331" s="105"/>
    </row>
    <row r="332" ht="15.75" customHeight="1">
      <c r="A332" s="127"/>
      <c r="B332" s="139"/>
      <c r="C332" s="139"/>
      <c r="D332" s="140"/>
      <c r="E332" s="141"/>
      <c r="F332" s="141"/>
      <c r="G332" s="141"/>
      <c r="H332" s="141"/>
      <c r="I332" s="112"/>
      <c r="J332" s="105"/>
      <c r="K332" s="105"/>
      <c r="L332" s="105"/>
      <c r="M332" s="140"/>
      <c r="N332" s="139"/>
      <c r="O332" s="139"/>
      <c r="P332" s="133"/>
      <c r="Q332" s="73"/>
      <c r="R332" s="139"/>
      <c r="S332" s="139"/>
      <c r="T332" s="139"/>
      <c r="U332" s="110"/>
      <c r="V332" s="110"/>
      <c r="W332" s="111"/>
      <c r="X332" s="105"/>
      <c r="Y332" s="105"/>
    </row>
    <row r="333" ht="15.75" customHeight="1">
      <c r="A333" s="127"/>
      <c r="B333" s="139"/>
      <c r="C333" s="139"/>
      <c r="D333" s="140"/>
      <c r="E333" s="141"/>
      <c r="F333" s="141"/>
      <c r="G333" s="141"/>
      <c r="H333" s="141"/>
      <c r="I333" s="112"/>
      <c r="J333" s="105"/>
      <c r="K333" s="105"/>
      <c r="L333" s="105"/>
      <c r="M333" s="140"/>
      <c r="N333" s="139"/>
      <c r="O333" s="139"/>
      <c r="P333" s="133"/>
      <c r="Q333" s="73"/>
      <c r="R333" s="139"/>
      <c r="S333" s="139"/>
      <c r="T333" s="139"/>
      <c r="U333" s="110"/>
      <c r="V333" s="110"/>
      <c r="W333" s="111"/>
      <c r="X333" s="105"/>
      <c r="Y333" s="105"/>
    </row>
    <row r="334" ht="15.75" customHeight="1">
      <c r="A334" s="127"/>
      <c r="B334" s="139"/>
      <c r="C334" s="139"/>
      <c r="D334" s="140"/>
      <c r="E334" s="141"/>
      <c r="F334" s="141"/>
      <c r="G334" s="141"/>
      <c r="H334" s="141"/>
      <c r="I334" s="112"/>
      <c r="J334" s="105"/>
      <c r="K334" s="105"/>
      <c r="L334" s="105"/>
      <c r="M334" s="140"/>
      <c r="N334" s="139"/>
      <c r="O334" s="139"/>
      <c r="P334" s="133"/>
      <c r="Q334" s="73"/>
      <c r="R334" s="139"/>
      <c r="S334" s="139"/>
      <c r="T334" s="139"/>
      <c r="U334" s="110"/>
      <c r="V334" s="110"/>
      <c r="W334" s="111"/>
      <c r="X334" s="105"/>
      <c r="Y334" s="105"/>
    </row>
    <row r="335" ht="15.75" customHeight="1">
      <c r="A335" s="127"/>
      <c r="B335" s="139"/>
      <c r="C335" s="139"/>
      <c r="D335" s="140"/>
      <c r="E335" s="141"/>
      <c r="F335" s="141"/>
      <c r="G335" s="141"/>
      <c r="H335" s="141"/>
      <c r="I335" s="112"/>
      <c r="J335" s="105"/>
      <c r="K335" s="105"/>
      <c r="L335" s="105"/>
      <c r="M335" s="140"/>
      <c r="N335" s="139"/>
      <c r="O335" s="139"/>
      <c r="P335" s="133"/>
      <c r="Q335" s="73"/>
      <c r="R335" s="139"/>
      <c r="S335" s="139"/>
      <c r="T335" s="139"/>
      <c r="U335" s="110"/>
      <c r="V335" s="110"/>
      <c r="W335" s="111"/>
      <c r="X335" s="105"/>
      <c r="Y335" s="105"/>
    </row>
    <row r="336" ht="15.75" customHeight="1">
      <c r="A336" s="127"/>
      <c r="B336" s="139"/>
      <c r="C336" s="139"/>
      <c r="D336" s="140"/>
      <c r="E336" s="141"/>
      <c r="F336" s="141"/>
      <c r="G336" s="141"/>
      <c r="H336" s="141"/>
      <c r="I336" s="112"/>
      <c r="J336" s="105"/>
      <c r="K336" s="105"/>
      <c r="L336" s="105"/>
      <c r="M336" s="140"/>
      <c r="N336" s="139"/>
      <c r="O336" s="139"/>
      <c r="P336" s="133"/>
      <c r="Q336" s="73"/>
      <c r="R336" s="139"/>
      <c r="S336" s="139"/>
      <c r="T336" s="139"/>
      <c r="U336" s="110"/>
      <c r="V336" s="110"/>
      <c r="W336" s="111"/>
      <c r="X336" s="105"/>
      <c r="Y336" s="105"/>
    </row>
    <row r="337" ht="15.75" customHeight="1">
      <c r="A337" s="127"/>
      <c r="B337" s="139"/>
      <c r="C337" s="139"/>
      <c r="D337" s="140"/>
      <c r="E337" s="141"/>
      <c r="F337" s="141"/>
      <c r="G337" s="141"/>
      <c r="H337" s="141"/>
      <c r="I337" s="112"/>
      <c r="J337" s="105"/>
      <c r="K337" s="105"/>
      <c r="L337" s="105"/>
      <c r="M337" s="140"/>
      <c r="N337" s="139"/>
      <c r="O337" s="139"/>
      <c r="P337" s="133"/>
      <c r="Q337" s="73"/>
      <c r="R337" s="139"/>
      <c r="S337" s="139"/>
      <c r="T337" s="139"/>
      <c r="U337" s="110"/>
      <c r="V337" s="110"/>
      <c r="W337" s="111"/>
      <c r="X337" s="105"/>
      <c r="Y337" s="105"/>
    </row>
    <row r="338" ht="15.75" customHeight="1">
      <c r="A338" s="127"/>
      <c r="B338" s="139"/>
      <c r="C338" s="139"/>
      <c r="D338" s="140"/>
      <c r="E338" s="142"/>
      <c r="F338" s="141"/>
      <c r="G338" s="141"/>
      <c r="H338" s="141"/>
      <c r="I338" s="112"/>
      <c r="J338" s="105"/>
      <c r="K338" s="105"/>
      <c r="L338" s="105"/>
      <c r="M338" s="140"/>
      <c r="N338" s="139"/>
      <c r="O338" s="139"/>
      <c r="P338" s="133"/>
      <c r="Q338" s="73"/>
      <c r="R338" s="139"/>
      <c r="S338" s="139"/>
      <c r="T338" s="139"/>
      <c r="U338" s="110"/>
      <c r="V338" s="110"/>
      <c r="W338" s="111"/>
      <c r="X338" s="105"/>
      <c r="Y338" s="105"/>
    </row>
    <row r="339" ht="15.75" customHeight="1">
      <c r="A339" s="127"/>
      <c r="B339" s="139"/>
      <c r="C339" s="139"/>
      <c r="D339" s="140"/>
      <c r="E339" s="142"/>
      <c r="F339" s="141"/>
      <c r="G339" s="141"/>
      <c r="H339" s="141"/>
      <c r="I339" s="112"/>
      <c r="J339" s="105"/>
      <c r="K339" s="105"/>
      <c r="L339" s="105"/>
      <c r="M339" s="140"/>
      <c r="N339" s="139"/>
      <c r="O339" s="139"/>
      <c r="P339" s="133"/>
      <c r="Q339" s="73"/>
      <c r="R339" s="139"/>
      <c r="S339" s="139"/>
      <c r="T339" s="139"/>
      <c r="U339" s="110"/>
      <c r="V339" s="110"/>
      <c r="W339" s="111"/>
      <c r="X339" s="105"/>
      <c r="Y339" s="105"/>
    </row>
    <row r="340" ht="15.75" customHeight="1">
      <c r="A340" s="127"/>
      <c r="B340" s="139"/>
      <c r="C340" s="139"/>
      <c r="D340" s="140"/>
      <c r="E340" s="142"/>
      <c r="F340" s="141"/>
      <c r="G340" s="141"/>
      <c r="H340" s="141"/>
      <c r="I340" s="112"/>
      <c r="J340" s="105"/>
      <c r="K340" s="105"/>
      <c r="L340" s="105"/>
      <c r="M340" s="140"/>
      <c r="N340" s="139"/>
      <c r="O340" s="139"/>
      <c r="P340" s="133"/>
      <c r="Q340" s="73"/>
      <c r="R340" s="139"/>
      <c r="S340" s="139"/>
      <c r="T340" s="139"/>
      <c r="U340" s="110"/>
      <c r="V340" s="110"/>
      <c r="W340" s="111"/>
      <c r="X340" s="105"/>
      <c r="Y340" s="105"/>
    </row>
    <row r="341" ht="15.75" customHeight="1">
      <c r="A341" s="127"/>
      <c r="B341" s="139"/>
      <c r="C341" s="139"/>
      <c r="D341" s="140"/>
      <c r="E341" s="142"/>
      <c r="F341" s="141"/>
      <c r="G341" s="141"/>
      <c r="H341" s="141"/>
      <c r="I341" s="112"/>
      <c r="J341" s="105"/>
      <c r="K341" s="105"/>
      <c r="L341" s="105"/>
      <c r="M341" s="140"/>
      <c r="N341" s="139"/>
      <c r="O341" s="139"/>
      <c r="P341" s="133"/>
      <c r="Q341" s="73"/>
      <c r="R341" s="139"/>
      <c r="S341" s="139"/>
      <c r="T341" s="139"/>
      <c r="U341" s="110"/>
      <c r="V341" s="110"/>
      <c r="W341" s="111"/>
      <c r="X341" s="105"/>
      <c r="Y341" s="105"/>
    </row>
    <row r="342" ht="15.75" customHeight="1">
      <c r="A342" s="127"/>
      <c r="B342" s="139"/>
      <c r="C342" s="139"/>
      <c r="D342" s="140"/>
      <c r="E342" s="142"/>
      <c r="F342" s="141"/>
      <c r="G342" s="141"/>
      <c r="H342" s="141"/>
      <c r="I342" s="112"/>
      <c r="J342" s="105"/>
      <c r="K342" s="105"/>
      <c r="L342" s="105"/>
      <c r="M342" s="140"/>
      <c r="N342" s="139"/>
      <c r="O342" s="139"/>
      <c r="P342" s="133"/>
      <c r="Q342" s="73"/>
      <c r="R342" s="139"/>
      <c r="S342" s="139"/>
      <c r="T342" s="139"/>
      <c r="U342" s="110"/>
      <c r="V342" s="110"/>
      <c r="W342" s="111"/>
      <c r="X342" s="105"/>
      <c r="Y342" s="105"/>
    </row>
    <row r="343" ht="15.75" customHeight="1">
      <c r="A343" s="127"/>
      <c r="B343" s="139"/>
      <c r="C343" s="139"/>
      <c r="D343" s="140"/>
      <c r="E343" s="142"/>
      <c r="F343" s="141"/>
      <c r="G343" s="141"/>
      <c r="H343" s="141"/>
      <c r="I343" s="112"/>
      <c r="J343" s="105"/>
      <c r="K343" s="105"/>
      <c r="L343" s="105"/>
      <c r="M343" s="140"/>
      <c r="N343" s="139"/>
      <c r="O343" s="139"/>
      <c r="P343" s="133"/>
      <c r="Q343" s="73"/>
      <c r="R343" s="139"/>
      <c r="S343" s="139"/>
      <c r="T343" s="139"/>
      <c r="U343" s="110"/>
      <c r="V343" s="110"/>
      <c r="W343" s="111"/>
      <c r="X343" s="105"/>
      <c r="Y343" s="105"/>
    </row>
    <row r="344" ht="15.75" customHeight="1">
      <c r="A344" s="127"/>
      <c r="B344" s="139"/>
      <c r="C344" s="139"/>
      <c r="D344" s="140"/>
      <c r="E344" s="142"/>
      <c r="F344" s="141"/>
      <c r="G344" s="141"/>
      <c r="H344" s="141"/>
      <c r="I344" s="112"/>
      <c r="J344" s="105"/>
      <c r="K344" s="105"/>
      <c r="L344" s="105"/>
      <c r="M344" s="140"/>
      <c r="N344" s="139"/>
      <c r="O344" s="139"/>
      <c r="P344" s="133"/>
      <c r="Q344" s="73"/>
      <c r="R344" s="139"/>
      <c r="S344" s="139"/>
      <c r="T344" s="139"/>
      <c r="U344" s="110"/>
      <c r="V344" s="110"/>
      <c r="W344" s="111"/>
      <c r="X344" s="105"/>
      <c r="Y344" s="105"/>
    </row>
    <row r="345" ht="15.75" customHeight="1">
      <c r="A345" s="127"/>
      <c r="B345" s="139"/>
      <c r="C345" s="139"/>
      <c r="D345" s="140"/>
      <c r="E345" s="141"/>
      <c r="F345" s="141"/>
      <c r="G345" s="141"/>
      <c r="H345" s="141"/>
      <c r="I345" s="112"/>
      <c r="J345" s="105"/>
      <c r="K345" s="105"/>
      <c r="L345" s="105"/>
      <c r="M345" s="140"/>
      <c r="N345" s="139"/>
      <c r="O345" s="139"/>
      <c r="P345" s="133"/>
      <c r="Q345" s="73"/>
      <c r="R345" s="139"/>
      <c r="S345" s="139"/>
      <c r="T345" s="139"/>
      <c r="U345" s="110"/>
      <c r="V345" s="110"/>
      <c r="W345" s="111"/>
      <c r="X345" s="105"/>
      <c r="Y345" s="105"/>
    </row>
    <row r="346" ht="15.75" customHeight="1">
      <c r="A346" s="127"/>
      <c r="B346" s="139"/>
      <c r="C346" s="139"/>
      <c r="D346" s="140"/>
      <c r="E346" s="141"/>
      <c r="F346" s="141"/>
      <c r="G346" s="141"/>
      <c r="H346" s="141"/>
      <c r="I346" s="112"/>
      <c r="J346" s="105"/>
      <c r="K346" s="105"/>
      <c r="L346" s="105"/>
      <c r="M346" s="140"/>
      <c r="N346" s="139"/>
      <c r="O346" s="139"/>
      <c r="P346" s="133"/>
      <c r="Q346" s="73"/>
      <c r="R346" s="139"/>
      <c r="S346" s="139"/>
      <c r="T346" s="139"/>
      <c r="U346" s="110"/>
      <c r="V346" s="110"/>
      <c r="W346" s="111"/>
      <c r="X346" s="105"/>
      <c r="Y346" s="105"/>
    </row>
    <row r="347" ht="15.75" customHeight="1">
      <c r="A347" s="127"/>
      <c r="B347" s="139"/>
      <c r="C347" s="139"/>
      <c r="D347" s="140"/>
      <c r="E347" s="141"/>
      <c r="F347" s="141"/>
      <c r="G347" s="141"/>
      <c r="H347" s="141"/>
      <c r="I347" s="112"/>
      <c r="J347" s="105"/>
      <c r="K347" s="105"/>
      <c r="L347" s="105"/>
      <c r="M347" s="140"/>
      <c r="N347" s="139"/>
      <c r="O347" s="139"/>
      <c r="P347" s="133"/>
      <c r="Q347" s="73"/>
      <c r="R347" s="139"/>
      <c r="S347" s="139"/>
      <c r="T347" s="139"/>
      <c r="U347" s="110"/>
      <c r="V347" s="110"/>
      <c r="W347" s="111"/>
      <c r="X347" s="105"/>
      <c r="Y347" s="105"/>
    </row>
    <row r="348" ht="15.75" customHeight="1">
      <c r="A348" s="127"/>
      <c r="B348" s="139"/>
      <c r="C348" s="139"/>
      <c r="D348" s="140"/>
      <c r="E348" s="141"/>
      <c r="F348" s="141"/>
      <c r="G348" s="141"/>
      <c r="H348" s="141"/>
      <c r="I348" s="112"/>
      <c r="J348" s="105"/>
      <c r="K348" s="105"/>
      <c r="L348" s="105"/>
      <c r="M348" s="140"/>
      <c r="N348" s="139"/>
      <c r="O348" s="139"/>
      <c r="P348" s="133"/>
      <c r="Q348" s="73"/>
      <c r="R348" s="139"/>
      <c r="S348" s="139"/>
      <c r="T348" s="139"/>
      <c r="U348" s="110"/>
      <c r="V348" s="110"/>
      <c r="W348" s="111"/>
      <c r="X348" s="105"/>
      <c r="Y348" s="105"/>
    </row>
    <row r="349" ht="15.75" customHeight="1">
      <c r="A349" s="127"/>
      <c r="B349" s="139"/>
      <c r="C349" s="139"/>
      <c r="D349" s="140"/>
      <c r="E349" s="141"/>
      <c r="F349" s="141"/>
      <c r="G349" s="141"/>
      <c r="H349" s="141"/>
      <c r="I349" s="112"/>
      <c r="J349" s="105"/>
      <c r="K349" s="105"/>
      <c r="L349" s="105"/>
      <c r="M349" s="140"/>
      <c r="N349" s="139"/>
      <c r="O349" s="139"/>
      <c r="P349" s="133"/>
      <c r="Q349" s="73"/>
      <c r="R349" s="139"/>
      <c r="S349" s="139"/>
      <c r="T349" s="139"/>
      <c r="U349" s="110"/>
      <c r="V349" s="110"/>
      <c r="W349" s="111"/>
      <c r="X349" s="105"/>
      <c r="Y349" s="105"/>
    </row>
    <row r="350" ht="15.75" customHeight="1">
      <c r="A350" s="127"/>
      <c r="B350" s="139"/>
      <c r="C350" s="139"/>
      <c r="D350" s="140"/>
      <c r="E350" s="141"/>
      <c r="F350" s="141"/>
      <c r="G350" s="141"/>
      <c r="H350" s="141"/>
      <c r="I350" s="112"/>
      <c r="J350" s="105"/>
      <c r="K350" s="105"/>
      <c r="L350" s="105"/>
      <c r="M350" s="140"/>
      <c r="N350" s="139"/>
      <c r="O350" s="139"/>
      <c r="P350" s="133"/>
      <c r="Q350" s="73"/>
      <c r="R350" s="139"/>
      <c r="S350" s="139"/>
      <c r="T350" s="139"/>
      <c r="U350" s="110"/>
      <c r="V350" s="110"/>
      <c r="W350" s="111"/>
      <c r="X350" s="105"/>
      <c r="Y350" s="105"/>
    </row>
    <row r="351" ht="15.75" customHeight="1">
      <c r="A351" s="127"/>
      <c r="B351" s="139"/>
      <c r="C351" s="139"/>
      <c r="D351" s="140"/>
      <c r="E351" s="141"/>
      <c r="F351" s="143"/>
      <c r="G351" s="141"/>
      <c r="H351" s="141"/>
      <c r="I351" s="112"/>
      <c r="J351" s="105"/>
      <c r="K351" s="105"/>
      <c r="L351" s="105"/>
      <c r="M351" s="140"/>
      <c r="N351" s="139"/>
      <c r="O351" s="139"/>
      <c r="P351" s="133"/>
      <c r="Q351" s="73"/>
      <c r="R351" s="139"/>
      <c r="S351" s="139"/>
      <c r="T351" s="139"/>
      <c r="U351" s="110"/>
      <c r="V351" s="110"/>
      <c r="W351" s="111"/>
      <c r="X351" s="105"/>
      <c r="Y351" s="105"/>
    </row>
    <row r="352" ht="15.75" customHeight="1">
      <c r="A352" s="127"/>
      <c r="B352" s="139"/>
      <c r="C352" s="139"/>
      <c r="D352" s="140"/>
      <c r="E352" s="141"/>
      <c r="F352" s="141"/>
      <c r="G352" s="141"/>
      <c r="H352" s="141"/>
      <c r="I352" s="112"/>
      <c r="J352" s="105"/>
      <c r="K352" s="105"/>
      <c r="L352" s="105"/>
      <c r="M352" s="140"/>
      <c r="N352" s="139"/>
      <c r="O352" s="139"/>
      <c r="P352" s="133"/>
      <c r="Q352" s="73"/>
      <c r="R352" s="139"/>
      <c r="S352" s="139"/>
      <c r="T352" s="139"/>
      <c r="U352" s="110"/>
      <c r="V352" s="110"/>
      <c r="W352" s="111"/>
      <c r="X352" s="105"/>
      <c r="Y352" s="105"/>
    </row>
    <row r="353" ht="15.75" customHeight="1">
      <c r="A353" s="127"/>
      <c r="B353" s="139"/>
      <c r="C353" s="139"/>
      <c r="D353" s="140"/>
      <c r="E353" s="141"/>
      <c r="F353" s="141"/>
      <c r="G353" s="141"/>
      <c r="H353" s="141"/>
      <c r="I353" s="112"/>
      <c r="J353" s="105"/>
      <c r="K353" s="105"/>
      <c r="L353" s="105"/>
      <c r="M353" s="140"/>
      <c r="N353" s="139"/>
      <c r="O353" s="139"/>
      <c r="P353" s="133"/>
      <c r="Q353" s="73"/>
      <c r="R353" s="139"/>
      <c r="S353" s="139"/>
      <c r="T353" s="139"/>
      <c r="U353" s="110"/>
      <c r="V353" s="110"/>
      <c r="W353" s="111"/>
      <c r="X353" s="105"/>
      <c r="Y353" s="105"/>
    </row>
    <row r="354" ht="15.75" customHeight="1">
      <c r="A354" s="127"/>
      <c r="B354" s="139"/>
      <c r="C354" s="139"/>
      <c r="D354" s="140"/>
      <c r="E354" s="141"/>
      <c r="F354" s="141"/>
      <c r="G354" s="141"/>
      <c r="H354" s="141"/>
      <c r="I354" s="112"/>
      <c r="J354" s="105"/>
      <c r="K354" s="105"/>
      <c r="L354" s="105"/>
      <c r="M354" s="140"/>
      <c r="N354" s="139"/>
      <c r="O354" s="139"/>
      <c r="P354" s="133"/>
      <c r="Q354" s="73"/>
      <c r="R354" s="139"/>
      <c r="S354" s="139"/>
      <c r="T354" s="139"/>
      <c r="U354" s="110"/>
      <c r="V354" s="110"/>
      <c r="W354" s="111"/>
      <c r="X354" s="105"/>
      <c r="Y354" s="105"/>
    </row>
    <row r="355" ht="15.75" customHeight="1">
      <c r="A355" s="127"/>
      <c r="B355" s="139"/>
      <c r="C355" s="139"/>
      <c r="D355" s="140"/>
      <c r="E355" s="141"/>
      <c r="F355" s="141"/>
      <c r="G355" s="141"/>
      <c r="H355" s="141"/>
      <c r="I355" s="112"/>
      <c r="J355" s="105"/>
      <c r="K355" s="105"/>
      <c r="L355" s="105"/>
      <c r="M355" s="140"/>
      <c r="N355" s="139"/>
      <c r="O355" s="139"/>
      <c r="P355" s="133"/>
      <c r="Q355" s="73"/>
      <c r="R355" s="139"/>
      <c r="S355" s="139"/>
      <c r="T355" s="139"/>
      <c r="U355" s="110"/>
      <c r="V355" s="110"/>
      <c r="W355" s="111"/>
      <c r="X355" s="105"/>
      <c r="Y355" s="105"/>
    </row>
    <row r="356" ht="15.75" customHeight="1">
      <c r="A356" s="127"/>
      <c r="B356" s="139"/>
      <c r="C356" s="139"/>
      <c r="D356" s="140"/>
      <c r="E356" s="141"/>
      <c r="F356" s="141"/>
      <c r="G356" s="141"/>
      <c r="H356" s="141"/>
      <c r="I356" s="112"/>
      <c r="J356" s="105"/>
      <c r="K356" s="105"/>
      <c r="L356" s="105"/>
      <c r="M356" s="140"/>
      <c r="N356" s="139"/>
      <c r="O356" s="139"/>
      <c r="P356" s="133"/>
      <c r="Q356" s="73"/>
      <c r="R356" s="139"/>
      <c r="S356" s="139"/>
      <c r="T356" s="139"/>
      <c r="U356" s="110"/>
      <c r="V356" s="110"/>
      <c r="W356" s="111"/>
      <c r="X356" s="105"/>
      <c r="Y356" s="105"/>
    </row>
    <row r="357" ht="15.75" customHeight="1">
      <c r="A357" s="127"/>
      <c r="B357" s="139"/>
      <c r="C357" s="139"/>
      <c r="D357" s="140"/>
      <c r="E357" s="141"/>
      <c r="F357" s="141"/>
      <c r="G357" s="141"/>
      <c r="H357" s="141"/>
      <c r="I357" s="112"/>
      <c r="J357" s="105"/>
      <c r="K357" s="105"/>
      <c r="L357" s="105"/>
      <c r="M357" s="140"/>
      <c r="N357" s="139"/>
      <c r="O357" s="139"/>
      <c r="P357" s="133"/>
      <c r="Q357" s="73"/>
      <c r="R357" s="139"/>
      <c r="S357" s="139"/>
      <c r="T357" s="139"/>
      <c r="U357" s="110"/>
      <c r="V357" s="110"/>
      <c r="W357" s="111"/>
      <c r="X357" s="105"/>
      <c r="Y357" s="105"/>
    </row>
    <row r="358" ht="15.75" customHeight="1">
      <c r="A358" s="127"/>
      <c r="B358" s="139"/>
      <c r="C358" s="139"/>
      <c r="D358" s="140"/>
      <c r="E358" s="141"/>
      <c r="F358" s="141"/>
      <c r="G358" s="141"/>
      <c r="H358" s="141"/>
      <c r="I358" s="112"/>
      <c r="J358" s="105"/>
      <c r="K358" s="105"/>
      <c r="L358" s="105"/>
      <c r="M358" s="140"/>
      <c r="N358" s="139"/>
      <c r="O358" s="139"/>
      <c r="P358" s="133"/>
      <c r="Q358" s="73"/>
      <c r="R358" s="139"/>
      <c r="S358" s="139"/>
      <c r="T358" s="139"/>
      <c r="U358" s="110"/>
      <c r="V358" s="110"/>
      <c r="W358" s="111"/>
      <c r="X358" s="105"/>
      <c r="Y358" s="105"/>
    </row>
    <row r="359" ht="15.75" customHeight="1">
      <c r="A359" s="127"/>
      <c r="B359" s="139"/>
      <c r="C359" s="139"/>
      <c r="D359" s="140"/>
      <c r="E359" s="141"/>
      <c r="F359" s="141"/>
      <c r="G359" s="141"/>
      <c r="H359" s="141"/>
      <c r="I359" s="112"/>
      <c r="J359" s="105"/>
      <c r="K359" s="105"/>
      <c r="L359" s="105"/>
      <c r="M359" s="140"/>
      <c r="N359" s="139"/>
      <c r="O359" s="139"/>
      <c r="P359" s="133"/>
      <c r="Q359" s="73"/>
      <c r="R359" s="139"/>
      <c r="S359" s="139"/>
      <c r="T359" s="139"/>
      <c r="U359" s="110"/>
      <c r="V359" s="110"/>
      <c r="W359" s="111"/>
      <c r="X359" s="105"/>
      <c r="Y359" s="105"/>
    </row>
    <row r="360" ht="15.75" customHeight="1">
      <c r="A360" s="127"/>
      <c r="B360" s="139"/>
      <c r="C360" s="139"/>
      <c r="D360" s="140"/>
      <c r="E360" s="141"/>
      <c r="F360" s="141"/>
      <c r="G360" s="141"/>
      <c r="H360" s="141"/>
      <c r="I360" s="112"/>
      <c r="J360" s="105"/>
      <c r="K360" s="105"/>
      <c r="L360" s="105"/>
      <c r="M360" s="140"/>
      <c r="N360" s="139"/>
      <c r="O360" s="139"/>
      <c r="P360" s="133"/>
      <c r="Q360" s="73"/>
      <c r="R360" s="139"/>
      <c r="S360" s="139"/>
      <c r="T360" s="139"/>
      <c r="U360" s="110"/>
      <c r="V360" s="110"/>
      <c r="W360" s="111"/>
      <c r="X360" s="105"/>
      <c r="Y360" s="105"/>
    </row>
    <row r="361" ht="15.75" customHeight="1">
      <c r="A361" s="127"/>
      <c r="B361" s="139"/>
      <c r="C361" s="139"/>
      <c r="D361" s="140"/>
      <c r="E361" s="141"/>
      <c r="F361" s="141"/>
      <c r="G361" s="141"/>
      <c r="H361" s="141"/>
      <c r="I361" s="112"/>
      <c r="J361" s="105"/>
      <c r="K361" s="105"/>
      <c r="L361" s="105"/>
      <c r="M361" s="140"/>
      <c r="N361" s="139"/>
      <c r="O361" s="139"/>
      <c r="P361" s="133"/>
      <c r="Q361" s="73"/>
      <c r="R361" s="139"/>
      <c r="S361" s="139"/>
      <c r="T361" s="139"/>
      <c r="U361" s="110"/>
      <c r="V361" s="110"/>
      <c r="W361" s="111"/>
      <c r="X361" s="105"/>
      <c r="Y361" s="105"/>
    </row>
    <row r="362" ht="15.75" customHeight="1">
      <c r="A362" s="127"/>
      <c r="B362" s="139"/>
      <c r="C362" s="139"/>
      <c r="D362" s="140"/>
      <c r="E362" s="141"/>
      <c r="F362" s="141"/>
      <c r="G362" s="141"/>
      <c r="H362" s="141"/>
      <c r="I362" s="112"/>
      <c r="J362" s="105"/>
      <c r="K362" s="105"/>
      <c r="L362" s="105"/>
      <c r="M362" s="140"/>
      <c r="N362" s="139"/>
      <c r="O362" s="139"/>
      <c r="P362" s="133"/>
      <c r="Q362" s="73"/>
      <c r="R362" s="139"/>
      <c r="S362" s="139"/>
      <c r="T362" s="139"/>
      <c r="U362" s="110"/>
      <c r="V362" s="110"/>
      <c r="W362" s="111"/>
      <c r="X362" s="105"/>
      <c r="Y362" s="105"/>
    </row>
    <row r="363" ht="15.75" customHeight="1">
      <c r="A363" s="127"/>
      <c r="B363" s="139"/>
      <c r="C363" s="139"/>
      <c r="D363" s="140"/>
      <c r="E363" s="141"/>
      <c r="F363" s="141"/>
      <c r="G363" s="141"/>
      <c r="H363" s="141"/>
      <c r="I363" s="112"/>
      <c r="J363" s="105"/>
      <c r="K363" s="105"/>
      <c r="L363" s="105"/>
      <c r="M363" s="140"/>
      <c r="N363" s="139"/>
      <c r="O363" s="139"/>
      <c r="P363" s="133"/>
      <c r="Q363" s="73"/>
      <c r="R363" s="139"/>
      <c r="S363" s="139"/>
      <c r="T363" s="139"/>
      <c r="U363" s="110"/>
      <c r="V363" s="110"/>
      <c r="W363" s="111"/>
      <c r="X363" s="105"/>
      <c r="Y363" s="105"/>
    </row>
    <row r="364" ht="15.75" customHeight="1">
      <c r="A364" s="127"/>
      <c r="B364" s="139"/>
      <c r="C364" s="139"/>
      <c r="D364" s="140"/>
      <c r="E364" s="141"/>
      <c r="F364" s="141"/>
      <c r="G364" s="141"/>
      <c r="H364" s="141"/>
      <c r="I364" s="112"/>
      <c r="J364" s="105"/>
      <c r="K364" s="105"/>
      <c r="L364" s="105"/>
      <c r="M364" s="140"/>
      <c r="N364" s="139"/>
      <c r="O364" s="139"/>
      <c r="P364" s="133"/>
      <c r="Q364" s="73"/>
      <c r="R364" s="139"/>
      <c r="S364" s="139"/>
      <c r="T364" s="139"/>
      <c r="U364" s="110"/>
      <c r="V364" s="110"/>
      <c r="W364" s="111"/>
      <c r="X364" s="105"/>
      <c r="Y364" s="105"/>
    </row>
    <row r="365" ht="15.75" customHeight="1">
      <c r="A365" s="127"/>
      <c r="B365" s="139"/>
      <c r="C365" s="139"/>
      <c r="D365" s="140"/>
      <c r="E365" s="141"/>
      <c r="F365" s="141"/>
      <c r="G365" s="141"/>
      <c r="H365" s="141"/>
      <c r="I365" s="112"/>
      <c r="J365" s="105"/>
      <c r="K365" s="105"/>
      <c r="L365" s="105"/>
      <c r="M365" s="140"/>
      <c r="N365" s="139"/>
      <c r="O365" s="139"/>
      <c r="P365" s="133"/>
      <c r="Q365" s="73"/>
      <c r="R365" s="139"/>
      <c r="S365" s="139"/>
      <c r="T365" s="139"/>
      <c r="U365" s="110"/>
      <c r="V365" s="110"/>
      <c r="W365" s="111"/>
      <c r="X365" s="105"/>
      <c r="Y365" s="105"/>
    </row>
    <row r="366" ht="15.75" customHeight="1">
      <c r="A366" s="127"/>
      <c r="B366" s="139"/>
      <c r="C366" s="139"/>
      <c r="D366" s="140"/>
      <c r="E366" s="141"/>
      <c r="F366" s="141"/>
      <c r="G366" s="141"/>
      <c r="H366" s="141"/>
      <c r="I366" s="112"/>
      <c r="J366" s="105"/>
      <c r="K366" s="105"/>
      <c r="L366" s="105"/>
      <c r="M366" s="140"/>
      <c r="N366" s="139"/>
      <c r="O366" s="139"/>
      <c r="P366" s="133"/>
      <c r="Q366" s="73"/>
      <c r="R366" s="139"/>
      <c r="S366" s="139"/>
      <c r="T366" s="139"/>
      <c r="U366" s="110"/>
      <c r="V366" s="110"/>
      <c r="W366" s="111"/>
      <c r="X366" s="105"/>
      <c r="Y366" s="105"/>
    </row>
    <row r="367" ht="15.75" customHeight="1">
      <c r="A367" s="127"/>
      <c r="B367" s="139"/>
      <c r="C367" s="139"/>
      <c r="D367" s="140"/>
      <c r="E367" s="141"/>
      <c r="F367" s="141"/>
      <c r="G367" s="141"/>
      <c r="H367" s="141"/>
      <c r="I367" s="112"/>
      <c r="J367" s="105"/>
      <c r="K367" s="105"/>
      <c r="L367" s="105"/>
      <c r="M367" s="140"/>
      <c r="N367" s="139"/>
      <c r="O367" s="139"/>
      <c r="P367" s="133"/>
      <c r="Q367" s="73"/>
      <c r="R367" s="139"/>
      <c r="S367" s="139"/>
      <c r="T367" s="139"/>
      <c r="U367" s="110"/>
      <c r="V367" s="110"/>
      <c r="W367" s="111"/>
      <c r="X367" s="105"/>
      <c r="Y367" s="105"/>
    </row>
    <row r="368" ht="15.75" customHeight="1">
      <c r="A368" s="127"/>
      <c r="B368" s="139"/>
      <c r="C368" s="139"/>
      <c r="D368" s="140"/>
      <c r="E368" s="141"/>
      <c r="F368" s="141"/>
      <c r="G368" s="141"/>
      <c r="H368" s="141"/>
      <c r="I368" s="112"/>
      <c r="J368" s="105"/>
      <c r="K368" s="105"/>
      <c r="L368" s="105"/>
      <c r="M368" s="140"/>
      <c r="N368" s="139"/>
      <c r="O368" s="139"/>
      <c r="P368" s="133"/>
      <c r="Q368" s="73"/>
      <c r="R368" s="139"/>
      <c r="S368" s="139"/>
      <c r="T368" s="139"/>
      <c r="U368" s="110"/>
      <c r="V368" s="110"/>
      <c r="W368" s="111"/>
      <c r="X368" s="105"/>
      <c r="Y368" s="105"/>
    </row>
    <row r="369" ht="15.75" customHeight="1">
      <c r="A369" s="127"/>
      <c r="B369" s="139"/>
      <c r="C369" s="139"/>
      <c r="D369" s="140"/>
      <c r="E369" s="141"/>
      <c r="F369" s="141"/>
      <c r="G369" s="141"/>
      <c r="H369" s="141"/>
      <c r="I369" s="112"/>
      <c r="J369" s="105"/>
      <c r="K369" s="105"/>
      <c r="L369" s="105"/>
      <c r="M369" s="140"/>
      <c r="N369" s="139"/>
      <c r="O369" s="139"/>
      <c r="P369" s="133"/>
      <c r="Q369" s="73"/>
      <c r="R369" s="139"/>
      <c r="S369" s="139"/>
      <c r="T369" s="139"/>
      <c r="U369" s="110"/>
      <c r="V369" s="110"/>
      <c r="W369" s="111"/>
      <c r="X369" s="105"/>
      <c r="Y369" s="105"/>
    </row>
    <row r="370" ht="15.75" customHeight="1">
      <c r="A370" s="127"/>
      <c r="B370" s="139"/>
      <c r="C370" s="139"/>
      <c r="D370" s="140"/>
      <c r="E370" s="141"/>
      <c r="F370" s="141"/>
      <c r="G370" s="141"/>
      <c r="H370" s="141"/>
      <c r="I370" s="112"/>
      <c r="J370" s="105"/>
      <c r="K370" s="105"/>
      <c r="L370" s="105"/>
      <c r="M370" s="140"/>
      <c r="N370" s="139"/>
      <c r="O370" s="139"/>
      <c r="P370" s="133"/>
      <c r="Q370" s="73"/>
      <c r="R370" s="139"/>
      <c r="S370" s="139"/>
      <c r="T370" s="139"/>
      <c r="U370" s="110"/>
      <c r="V370" s="110"/>
      <c r="W370" s="111"/>
      <c r="X370" s="105"/>
      <c r="Y370" s="105"/>
    </row>
    <row r="371" ht="15.75" customHeight="1">
      <c r="A371" s="127"/>
      <c r="B371" s="139"/>
      <c r="C371" s="139"/>
      <c r="D371" s="140"/>
      <c r="E371" s="141"/>
      <c r="F371" s="141"/>
      <c r="G371" s="141"/>
      <c r="H371" s="141"/>
      <c r="I371" s="112"/>
      <c r="J371" s="105"/>
      <c r="K371" s="105"/>
      <c r="L371" s="105"/>
      <c r="M371" s="140"/>
      <c r="N371" s="139"/>
      <c r="O371" s="139"/>
      <c r="P371" s="133"/>
      <c r="Q371" s="73"/>
      <c r="R371" s="139"/>
      <c r="S371" s="139"/>
      <c r="T371" s="139"/>
      <c r="U371" s="110"/>
      <c r="V371" s="110"/>
      <c r="W371" s="111"/>
      <c r="X371" s="105"/>
      <c r="Y371" s="105"/>
    </row>
    <row r="372" ht="15.75" customHeight="1">
      <c r="A372" s="127"/>
      <c r="B372" s="139"/>
      <c r="C372" s="139"/>
      <c r="D372" s="140"/>
      <c r="E372" s="141"/>
      <c r="F372" s="141"/>
      <c r="G372" s="141"/>
      <c r="H372" s="141"/>
      <c r="I372" s="112"/>
      <c r="J372" s="105"/>
      <c r="K372" s="105"/>
      <c r="L372" s="105"/>
      <c r="M372" s="140"/>
      <c r="N372" s="139"/>
      <c r="O372" s="139"/>
      <c r="P372" s="133"/>
      <c r="Q372" s="73"/>
      <c r="R372" s="139"/>
      <c r="S372" s="139"/>
      <c r="T372" s="139"/>
      <c r="U372" s="110"/>
      <c r="V372" s="110"/>
      <c r="W372" s="111"/>
      <c r="X372" s="105"/>
      <c r="Y372" s="105"/>
    </row>
    <row r="373" ht="15.75" customHeight="1">
      <c r="A373" s="127"/>
      <c r="B373" s="139"/>
      <c r="C373" s="139"/>
      <c r="D373" s="140"/>
      <c r="E373" s="141"/>
      <c r="F373" s="141"/>
      <c r="G373" s="141"/>
      <c r="H373" s="141"/>
      <c r="I373" s="112"/>
      <c r="J373" s="105"/>
      <c r="K373" s="105"/>
      <c r="L373" s="105"/>
      <c r="M373" s="140"/>
      <c r="N373" s="139"/>
      <c r="O373" s="139"/>
      <c r="P373" s="133"/>
      <c r="Q373" s="73"/>
      <c r="R373" s="139"/>
      <c r="S373" s="139"/>
      <c r="T373" s="139"/>
      <c r="U373" s="110"/>
      <c r="V373" s="110"/>
      <c r="W373" s="111"/>
      <c r="X373" s="105"/>
      <c r="Y373" s="105"/>
    </row>
    <row r="374" ht="15.75" customHeight="1">
      <c r="A374" s="127"/>
      <c r="B374" s="139"/>
      <c r="C374" s="139"/>
      <c r="D374" s="140"/>
      <c r="E374" s="141"/>
      <c r="F374" s="141"/>
      <c r="G374" s="141"/>
      <c r="H374" s="141"/>
      <c r="I374" s="112"/>
      <c r="J374" s="105"/>
      <c r="K374" s="105"/>
      <c r="L374" s="105"/>
      <c r="M374" s="140"/>
      <c r="N374" s="139"/>
      <c r="O374" s="139"/>
      <c r="P374" s="133"/>
      <c r="Q374" s="73"/>
      <c r="R374" s="139"/>
      <c r="S374" s="139"/>
      <c r="T374" s="139"/>
      <c r="U374" s="110"/>
      <c r="V374" s="110"/>
      <c r="W374" s="111"/>
      <c r="X374" s="105"/>
      <c r="Y374" s="105"/>
    </row>
    <row r="375" ht="15.75" customHeight="1">
      <c r="A375" s="127"/>
      <c r="B375" s="139"/>
      <c r="C375" s="139"/>
      <c r="D375" s="140"/>
      <c r="E375" s="141"/>
      <c r="F375" s="141"/>
      <c r="G375" s="141"/>
      <c r="H375" s="141"/>
      <c r="I375" s="112"/>
      <c r="J375" s="105"/>
      <c r="K375" s="105"/>
      <c r="L375" s="105"/>
      <c r="M375" s="140"/>
      <c r="N375" s="139"/>
      <c r="O375" s="139"/>
      <c r="P375" s="133"/>
      <c r="Q375" s="73"/>
      <c r="R375" s="139"/>
      <c r="S375" s="139"/>
      <c r="T375" s="139"/>
      <c r="U375" s="110"/>
      <c r="V375" s="110"/>
      <c r="W375" s="111"/>
      <c r="X375" s="105"/>
      <c r="Y375" s="105"/>
    </row>
    <row r="376" ht="15.75" customHeight="1">
      <c r="A376" s="127"/>
      <c r="B376" s="139"/>
      <c r="C376" s="139"/>
      <c r="D376" s="140"/>
      <c r="E376" s="141"/>
      <c r="F376" s="141"/>
      <c r="G376" s="141"/>
      <c r="H376" s="141"/>
      <c r="I376" s="112"/>
      <c r="J376" s="105"/>
      <c r="K376" s="105"/>
      <c r="L376" s="105"/>
      <c r="M376" s="140"/>
      <c r="N376" s="139"/>
      <c r="O376" s="139"/>
      <c r="P376" s="133"/>
      <c r="Q376" s="73"/>
      <c r="R376" s="139"/>
      <c r="S376" s="139"/>
      <c r="T376" s="139"/>
      <c r="U376" s="110"/>
      <c r="V376" s="110"/>
      <c r="W376" s="111"/>
      <c r="X376" s="105"/>
      <c r="Y376" s="105"/>
    </row>
    <row r="377" ht="15.75" customHeight="1">
      <c r="A377" s="127"/>
      <c r="B377" s="139"/>
      <c r="C377" s="139"/>
      <c r="D377" s="140"/>
      <c r="E377" s="141"/>
      <c r="F377" s="141"/>
      <c r="G377" s="141"/>
      <c r="H377" s="141"/>
      <c r="I377" s="112"/>
      <c r="J377" s="105"/>
      <c r="K377" s="105"/>
      <c r="L377" s="105"/>
      <c r="M377" s="140"/>
      <c r="N377" s="139"/>
      <c r="O377" s="139"/>
      <c r="P377" s="133"/>
      <c r="Q377" s="73"/>
      <c r="R377" s="139"/>
      <c r="S377" s="139"/>
      <c r="T377" s="139"/>
      <c r="U377" s="110"/>
      <c r="V377" s="110"/>
      <c r="W377" s="111"/>
      <c r="X377" s="105"/>
      <c r="Y377" s="105"/>
    </row>
    <row r="378" ht="15.75" customHeight="1">
      <c r="A378" s="127"/>
      <c r="B378" s="139"/>
      <c r="C378" s="139"/>
      <c r="D378" s="140"/>
      <c r="E378" s="141"/>
      <c r="F378" s="141"/>
      <c r="G378" s="141"/>
      <c r="H378" s="141"/>
      <c r="I378" s="112"/>
      <c r="J378" s="105"/>
      <c r="K378" s="105"/>
      <c r="L378" s="105"/>
      <c r="M378" s="140"/>
      <c r="N378" s="139"/>
      <c r="O378" s="139"/>
      <c r="P378" s="133"/>
      <c r="Q378" s="73"/>
      <c r="R378" s="139"/>
      <c r="S378" s="139"/>
      <c r="T378" s="139"/>
      <c r="U378" s="110"/>
      <c r="V378" s="110"/>
      <c r="W378" s="111"/>
      <c r="X378" s="105"/>
      <c r="Y378" s="105"/>
    </row>
    <row r="379" ht="15.75" customHeight="1">
      <c r="A379" s="127"/>
      <c r="B379" s="139"/>
      <c r="C379" s="139"/>
      <c r="D379" s="140"/>
      <c r="E379" s="141"/>
      <c r="F379" s="141"/>
      <c r="G379" s="141"/>
      <c r="H379" s="141"/>
      <c r="I379" s="112"/>
      <c r="J379" s="105"/>
      <c r="K379" s="105"/>
      <c r="L379" s="105"/>
      <c r="M379" s="140"/>
      <c r="N379" s="139"/>
      <c r="O379" s="139"/>
      <c r="P379" s="133"/>
      <c r="Q379" s="73"/>
      <c r="R379" s="139"/>
      <c r="S379" s="139"/>
      <c r="T379" s="139"/>
      <c r="U379" s="110"/>
      <c r="V379" s="110"/>
      <c r="W379" s="111"/>
      <c r="X379" s="105"/>
      <c r="Y379" s="105"/>
    </row>
    <row r="380" ht="15.75" customHeight="1">
      <c r="A380" s="127"/>
      <c r="B380" s="139"/>
      <c r="C380" s="139"/>
      <c r="D380" s="140"/>
      <c r="E380" s="141"/>
      <c r="F380" s="141"/>
      <c r="G380" s="141"/>
      <c r="H380" s="141"/>
      <c r="I380" s="112"/>
      <c r="J380" s="105"/>
      <c r="K380" s="105"/>
      <c r="L380" s="105"/>
      <c r="M380" s="140"/>
      <c r="N380" s="139"/>
      <c r="O380" s="139"/>
      <c r="P380" s="133"/>
      <c r="Q380" s="73"/>
      <c r="R380" s="139"/>
      <c r="S380" s="139"/>
      <c r="T380" s="139"/>
      <c r="U380" s="110"/>
      <c r="V380" s="110"/>
      <c r="W380" s="111"/>
      <c r="X380" s="105"/>
      <c r="Y380" s="105"/>
    </row>
    <row r="381" ht="15.75" customHeight="1">
      <c r="A381" s="127"/>
      <c r="B381" s="139"/>
      <c r="C381" s="139"/>
      <c r="D381" s="140"/>
      <c r="E381" s="141"/>
      <c r="F381" s="141"/>
      <c r="G381" s="141"/>
      <c r="H381" s="141"/>
      <c r="I381" s="112"/>
      <c r="J381" s="105"/>
      <c r="K381" s="105"/>
      <c r="L381" s="105"/>
      <c r="M381" s="140"/>
      <c r="N381" s="139"/>
      <c r="O381" s="139"/>
      <c r="P381" s="133"/>
      <c r="Q381" s="73"/>
      <c r="R381" s="139"/>
      <c r="S381" s="139"/>
      <c r="T381" s="139"/>
      <c r="U381" s="110"/>
      <c r="V381" s="110"/>
      <c r="W381" s="111"/>
      <c r="X381" s="105"/>
      <c r="Y381" s="105"/>
    </row>
    <row r="382" ht="15.75" customHeight="1">
      <c r="A382" s="127"/>
      <c r="B382" s="139"/>
      <c r="C382" s="139"/>
      <c r="D382" s="140"/>
      <c r="E382" s="141"/>
      <c r="F382" s="141"/>
      <c r="G382" s="141"/>
      <c r="H382" s="141"/>
      <c r="I382" s="112"/>
      <c r="J382" s="105"/>
      <c r="K382" s="105"/>
      <c r="L382" s="105"/>
      <c r="M382" s="140"/>
      <c r="N382" s="139"/>
      <c r="O382" s="139"/>
      <c r="P382" s="133"/>
      <c r="Q382" s="73"/>
      <c r="R382" s="139"/>
      <c r="S382" s="139"/>
      <c r="T382" s="139"/>
      <c r="U382" s="110"/>
      <c r="V382" s="110"/>
      <c r="W382" s="111"/>
      <c r="X382" s="105"/>
      <c r="Y382" s="105"/>
    </row>
    <row r="383" ht="15.75" customHeight="1">
      <c r="A383" s="127"/>
      <c r="B383" s="139"/>
      <c r="C383" s="139"/>
      <c r="D383" s="140"/>
      <c r="E383" s="141"/>
      <c r="F383" s="141"/>
      <c r="G383" s="141"/>
      <c r="H383" s="141"/>
      <c r="I383" s="112"/>
      <c r="J383" s="105"/>
      <c r="K383" s="105"/>
      <c r="L383" s="105"/>
      <c r="M383" s="140"/>
      <c r="N383" s="139"/>
      <c r="O383" s="139"/>
      <c r="P383" s="133"/>
      <c r="Q383" s="73"/>
      <c r="R383" s="139"/>
      <c r="S383" s="139"/>
      <c r="T383" s="139"/>
      <c r="U383" s="110"/>
      <c r="V383" s="110"/>
      <c r="W383" s="111"/>
      <c r="X383" s="105"/>
      <c r="Y383" s="105"/>
    </row>
    <row r="384" ht="15.75" customHeight="1">
      <c r="A384" s="127"/>
      <c r="B384" s="139"/>
      <c r="C384" s="139"/>
      <c r="D384" s="140"/>
      <c r="E384" s="141"/>
      <c r="F384" s="141"/>
      <c r="G384" s="141"/>
      <c r="H384" s="141"/>
      <c r="I384" s="112"/>
      <c r="J384" s="105"/>
      <c r="K384" s="105"/>
      <c r="L384" s="105"/>
      <c r="M384" s="140"/>
      <c r="N384" s="139"/>
      <c r="O384" s="139"/>
      <c r="P384" s="133"/>
      <c r="Q384" s="73"/>
      <c r="R384" s="139"/>
      <c r="S384" s="139"/>
      <c r="T384" s="139"/>
      <c r="U384" s="110"/>
      <c r="V384" s="110"/>
      <c r="W384" s="111"/>
      <c r="X384" s="105"/>
      <c r="Y384" s="105"/>
    </row>
    <row r="385" ht="15.75" customHeight="1">
      <c r="A385" s="127"/>
      <c r="B385" s="139"/>
      <c r="C385" s="139"/>
      <c r="D385" s="140"/>
      <c r="E385" s="141"/>
      <c r="F385" s="141"/>
      <c r="G385" s="141"/>
      <c r="H385" s="141"/>
      <c r="I385" s="112"/>
      <c r="J385" s="105"/>
      <c r="K385" s="105"/>
      <c r="L385" s="105"/>
      <c r="M385" s="140"/>
      <c r="N385" s="139"/>
      <c r="O385" s="139"/>
      <c r="P385" s="133"/>
      <c r="Q385" s="73"/>
      <c r="R385" s="139"/>
      <c r="S385" s="139"/>
      <c r="T385" s="139"/>
      <c r="U385" s="110"/>
      <c r="V385" s="110"/>
      <c r="W385" s="111"/>
      <c r="X385" s="105"/>
      <c r="Y385" s="105"/>
    </row>
    <row r="386" ht="15.75" customHeight="1">
      <c r="A386" s="127"/>
      <c r="B386" s="139"/>
      <c r="C386" s="139"/>
      <c r="D386" s="140"/>
      <c r="E386" s="141"/>
      <c r="F386" s="141"/>
      <c r="G386" s="141"/>
      <c r="H386" s="141"/>
      <c r="I386" s="112"/>
      <c r="J386" s="105"/>
      <c r="K386" s="105"/>
      <c r="L386" s="105"/>
      <c r="M386" s="140"/>
      <c r="N386" s="139"/>
      <c r="O386" s="139"/>
      <c r="P386" s="133"/>
      <c r="Q386" s="73"/>
      <c r="R386" s="139"/>
      <c r="S386" s="139"/>
      <c r="T386" s="139"/>
      <c r="U386" s="110"/>
      <c r="V386" s="110"/>
      <c r="W386" s="111"/>
      <c r="X386" s="105"/>
      <c r="Y386" s="105"/>
    </row>
    <row r="387" ht="15.75" customHeight="1">
      <c r="A387" s="127"/>
      <c r="B387" s="139"/>
      <c r="C387" s="139"/>
      <c r="D387" s="140"/>
      <c r="E387" s="141"/>
      <c r="F387" s="141"/>
      <c r="G387" s="141"/>
      <c r="H387" s="141"/>
      <c r="I387" s="112"/>
      <c r="J387" s="105"/>
      <c r="K387" s="105"/>
      <c r="L387" s="105"/>
      <c r="M387" s="140"/>
      <c r="N387" s="139"/>
      <c r="O387" s="139"/>
      <c r="P387" s="133"/>
      <c r="Q387" s="73"/>
      <c r="R387" s="139"/>
      <c r="S387" s="139"/>
      <c r="T387" s="139"/>
      <c r="U387" s="110"/>
      <c r="V387" s="110"/>
      <c r="W387" s="111"/>
      <c r="X387" s="105"/>
      <c r="Y387" s="105"/>
    </row>
    <row r="388" ht="15.75" customHeight="1">
      <c r="A388" s="127"/>
      <c r="B388" s="139"/>
      <c r="C388" s="139"/>
      <c r="D388" s="140"/>
      <c r="E388" s="141"/>
      <c r="F388" s="141"/>
      <c r="G388" s="141"/>
      <c r="H388" s="141"/>
      <c r="I388" s="112"/>
      <c r="J388" s="105"/>
      <c r="K388" s="105"/>
      <c r="L388" s="105"/>
      <c r="M388" s="140"/>
      <c r="N388" s="139"/>
      <c r="O388" s="139"/>
      <c r="P388" s="133"/>
      <c r="Q388" s="73"/>
      <c r="R388" s="139"/>
      <c r="S388" s="139"/>
      <c r="T388" s="139"/>
      <c r="U388" s="110"/>
      <c r="V388" s="110"/>
      <c r="W388" s="111"/>
      <c r="X388" s="105"/>
      <c r="Y388" s="105"/>
    </row>
    <row r="389" ht="15.75" customHeight="1">
      <c r="A389" s="127"/>
      <c r="B389" s="139"/>
      <c r="C389" s="139"/>
      <c r="D389" s="140"/>
      <c r="E389" s="141"/>
      <c r="F389" s="141"/>
      <c r="G389" s="141"/>
      <c r="H389" s="141"/>
      <c r="I389" s="112"/>
      <c r="J389" s="105"/>
      <c r="K389" s="105"/>
      <c r="L389" s="105"/>
      <c r="M389" s="140"/>
      <c r="N389" s="139"/>
      <c r="O389" s="139"/>
      <c r="P389" s="133"/>
      <c r="Q389" s="73"/>
      <c r="R389" s="139"/>
      <c r="S389" s="139"/>
      <c r="T389" s="139"/>
      <c r="U389" s="110"/>
      <c r="V389" s="110"/>
      <c r="W389" s="111"/>
      <c r="X389" s="105"/>
      <c r="Y389" s="105"/>
    </row>
    <row r="390" ht="15.75" customHeight="1">
      <c r="A390" s="127"/>
      <c r="B390" s="139"/>
      <c r="C390" s="139"/>
      <c r="D390" s="140"/>
      <c r="E390" s="141"/>
      <c r="F390" s="141"/>
      <c r="G390" s="141"/>
      <c r="H390" s="141"/>
      <c r="I390" s="112"/>
      <c r="J390" s="105"/>
      <c r="K390" s="105"/>
      <c r="L390" s="105"/>
      <c r="M390" s="140"/>
      <c r="N390" s="139"/>
      <c r="O390" s="139"/>
      <c r="P390" s="133"/>
      <c r="Q390" s="73"/>
      <c r="R390" s="139"/>
      <c r="S390" s="139"/>
      <c r="T390" s="139"/>
      <c r="U390" s="110"/>
      <c r="V390" s="110"/>
      <c r="W390" s="111"/>
      <c r="X390" s="105"/>
      <c r="Y390" s="105"/>
    </row>
    <row r="391" ht="15.75" customHeight="1">
      <c r="A391" s="127"/>
      <c r="B391" s="139"/>
      <c r="C391" s="139"/>
      <c r="D391" s="140"/>
      <c r="E391" s="141"/>
      <c r="F391" s="141"/>
      <c r="G391" s="141"/>
      <c r="H391" s="141"/>
      <c r="I391" s="112"/>
      <c r="J391" s="105"/>
      <c r="K391" s="105"/>
      <c r="L391" s="105"/>
      <c r="M391" s="140"/>
      <c r="N391" s="139"/>
      <c r="O391" s="139"/>
      <c r="P391" s="133"/>
      <c r="Q391" s="73"/>
      <c r="R391" s="139"/>
      <c r="S391" s="139"/>
      <c r="T391" s="139"/>
      <c r="U391" s="110"/>
      <c r="V391" s="110"/>
      <c r="W391" s="111"/>
      <c r="X391" s="105"/>
      <c r="Y391" s="105"/>
    </row>
    <row r="392" ht="15.75" customHeight="1">
      <c r="A392" s="127"/>
      <c r="B392" s="139"/>
      <c r="C392" s="139"/>
      <c r="D392" s="140"/>
      <c r="E392" s="141"/>
      <c r="F392" s="141"/>
      <c r="G392" s="141"/>
      <c r="H392" s="141"/>
      <c r="I392" s="112"/>
      <c r="J392" s="105"/>
      <c r="K392" s="105"/>
      <c r="L392" s="105"/>
      <c r="M392" s="140"/>
      <c r="N392" s="139"/>
      <c r="O392" s="139"/>
      <c r="P392" s="133"/>
      <c r="Q392" s="73"/>
      <c r="R392" s="139"/>
      <c r="S392" s="139"/>
      <c r="T392" s="139"/>
      <c r="U392" s="110"/>
      <c r="V392" s="110"/>
      <c r="W392" s="111"/>
      <c r="X392" s="105"/>
      <c r="Y392" s="105"/>
    </row>
    <row r="393" ht="15.75" customHeight="1">
      <c r="A393" s="127"/>
      <c r="B393" s="139"/>
      <c r="C393" s="139"/>
      <c r="D393" s="140"/>
      <c r="E393" s="141"/>
      <c r="F393" s="141"/>
      <c r="G393" s="141"/>
      <c r="H393" s="141"/>
      <c r="I393" s="112"/>
      <c r="J393" s="105"/>
      <c r="K393" s="105"/>
      <c r="L393" s="105"/>
      <c r="M393" s="140"/>
      <c r="N393" s="139"/>
      <c r="O393" s="139"/>
      <c r="P393" s="133"/>
      <c r="Q393" s="73"/>
      <c r="R393" s="139"/>
      <c r="S393" s="139"/>
      <c r="T393" s="139"/>
      <c r="U393" s="110"/>
      <c r="V393" s="110"/>
      <c r="W393" s="111"/>
      <c r="X393" s="105"/>
      <c r="Y393" s="105"/>
    </row>
    <row r="394" ht="15.75" customHeight="1">
      <c r="A394" s="127"/>
      <c r="B394" s="139"/>
      <c r="C394" s="139"/>
      <c r="D394" s="140"/>
      <c r="E394" s="141"/>
      <c r="F394" s="141"/>
      <c r="G394" s="141"/>
      <c r="H394" s="141"/>
      <c r="I394" s="112"/>
      <c r="J394" s="105"/>
      <c r="K394" s="105"/>
      <c r="L394" s="105"/>
      <c r="M394" s="140"/>
      <c r="N394" s="139"/>
      <c r="O394" s="139"/>
      <c r="P394" s="133"/>
      <c r="Q394" s="73"/>
      <c r="R394" s="139"/>
      <c r="S394" s="139"/>
      <c r="T394" s="139"/>
      <c r="U394" s="110"/>
      <c r="V394" s="110"/>
      <c r="W394" s="111"/>
      <c r="X394" s="105"/>
      <c r="Y394" s="105"/>
    </row>
    <row r="395" ht="15.75" customHeight="1">
      <c r="A395" s="127"/>
      <c r="B395" s="139"/>
      <c r="C395" s="139"/>
      <c r="D395" s="140"/>
      <c r="E395" s="141"/>
      <c r="F395" s="141"/>
      <c r="G395" s="141"/>
      <c r="H395" s="141"/>
      <c r="I395" s="112"/>
      <c r="J395" s="105"/>
      <c r="K395" s="105"/>
      <c r="L395" s="105"/>
      <c r="M395" s="140"/>
      <c r="N395" s="139"/>
      <c r="O395" s="139"/>
      <c r="P395" s="133"/>
      <c r="Q395" s="73"/>
      <c r="R395" s="139"/>
      <c r="S395" s="139"/>
      <c r="T395" s="139"/>
      <c r="U395" s="110"/>
      <c r="V395" s="110"/>
      <c r="W395" s="111"/>
      <c r="X395" s="105"/>
      <c r="Y395" s="105"/>
    </row>
    <row r="396" ht="15.75" customHeight="1">
      <c r="A396" s="127"/>
      <c r="B396" s="139"/>
      <c r="C396" s="139"/>
      <c r="D396" s="140"/>
      <c r="E396" s="141"/>
      <c r="F396" s="141"/>
      <c r="G396" s="141"/>
      <c r="H396" s="141"/>
      <c r="I396" s="112"/>
      <c r="J396" s="105"/>
      <c r="K396" s="105"/>
      <c r="L396" s="105"/>
      <c r="M396" s="140"/>
      <c r="N396" s="139"/>
      <c r="O396" s="139"/>
      <c r="P396" s="133"/>
      <c r="Q396" s="73"/>
      <c r="R396" s="139"/>
      <c r="S396" s="139"/>
      <c r="T396" s="139"/>
      <c r="U396" s="110"/>
      <c r="V396" s="110"/>
      <c r="W396" s="111"/>
      <c r="X396" s="105"/>
      <c r="Y396" s="105"/>
    </row>
    <row r="397" ht="15.75" customHeight="1">
      <c r="A397" s="127"/>
      <c r="B397" s="139"/>
      <c r="C397" s="139"/>
      <c r="D397" s="140"/>
      <c r="E397" s="141"/>
      <c r="F397" s="141"/>
      <c r="G397" s="141"/>
      <c r="H397" s="141"/>
      <c r="I397" s="112"/>
      <c r="J397" s="105"/>
      <c r="K397" s="105"/>
      <c r="L397" s="105"/>
      <c r="M397" s="140"/>
      <c r="N397" s="139"/>
      <c r="O397" s="139"/>
      <c r="P397" s="133"/>
      <c r="Q397" s="73"/>
      <c r="R397" s="139"/>
      <c r="S397" s="139"/>
      <c r="T397" s="139"/>
      <c r="U397" s="110"/>
      <c r="V397" s="110"/>
      <c r="W397" s="111"/>
      <c r="X397" s="105"/>
      <c r="Y397" s="105"/>
    </row>
    <row r="398" ht="15.75" customHeight="1">
      <c r="A398" s="127"/>
      <c r="B398" s="139"/>
      <c r="C398" s="139"/>
      <c r="D398" s="140"/>
      <c r="E398" s="141"/>
      <c r="F398" s="141"/>
      <c r="G398" s="141"/>
      <c r="H398" s="141"/>
      <c r="I398" s="112"/>
      <c r="J398" s="105"/>
      <c r="K398" s="105"/>
      <c r="L398" s="105"/>
      <c r="M398" s="140"/>
      <c r="N398" s="139"/>
      <c r="O398" s="139"/>
      <c r="P398" s="133"/>
      <c r="Q398" s="73"/>
      <c r="R398" s="139"/>
      <c r="S398" s="139"/>
      <c r="T398" s="139"/>
      <c r="U398" s="110"/>
      <c r="V398" s="110"/>
      <c r="W398" s="111"/>
      <c r="X398" s="105"/>
      <c r="Y398" s="105"/>
    </row>
    <row r="399" ht="15.75" customHeight="1">
      <c r="A399" s="127"/>
      <c r="B399" s="139"/>
      <c r="C399" s="139"/>
      <c r="D399" s="140"/>
      <c r="E399" s="141"/>
      <c r="F399" s="141"/>
      <c r="G399" s="141"/>
      <c r="H399" s="141"/>
      <c r="I399" s="112"/>
      <c r="J399" s="105"/>
      <c r="K399" s="105"/>
      <c r="L399" s="105"/>
      <c r="M399" s="140"/>
      <c r="N399" s="139"/>
      <c r="O399" s="139"/>
      <c r="P399" s="133"/>
      <c r="Q399" s="73"/>
      <c r="R399" s="139"/>
      <c r="S399" s="139"/>
      <c r="T399" s="139"/>
      <c r="U399" s="110"/>
      <c r="V399" s="110"/>
      <c r="W399" s="111"/>
      <c r="X399" s="105"/>
      <c r="Y399" s="105"/>
    </row>
    <row r="400" ht="15.75" customHeight="1">
      <c r="A400" s="127"/>
      <c r="B400" s="139"/>
      <c r="C400" s="139"/>
      <c r="D400" s="140"/>
      <c r="E400" s="141"/>
      <c r="F400" s="141"/>
      <c r="G400" s="141"/>
      <c r="H400" s="141"/>
      <c r="I400" s="112"/>
      <c r="J400" s="105"/>
      <c r="K400" s="105"/>
      <c r="L400" s="105"/>
      <c r="M400" s="140"/>
      <c r="N400" s="139"/>
      <c r="O400" s="139"/>
      <c r="P400" s="133"/>
      <c r="Q400" s="73"/>
      <c r="R400" s="139"/>
      <c r="S400" s="139"/>
      <c r="T400" s="139"/>
      <c r="U400" s="110"/>
      <c r="V400" s="110"/>
      <c r="W400" s="111"/>
      <c r="X400" s="105"/>
      <c r="Y400" s="105"/>
    </row>
    <row r="401" ht="15.75" customHeight="1">
      <c r="A401" s="127"/>
      <c r="B401" s="139"/>
      <c r="C401" s="139"/>
      <c r="D401" s="140"/>
      <c r="E401" s="141"/>
      <c r="F401" s="141"/>
      <c r="G401" s="141"/>
      <c r="H401" s="141"/>
      <c r="I401" s="112"/>
      <c r="J401" s="105"/>
      <c r="K401" s="105"/>
      <c r="L401" s="105"/>
      <c r="M401" s="140"/>
      <c r="N401" s="139"/>
      <c r="O401" s="139"/>
      <c r="P401" s="133"/>
      <c r="Q401" s="73"/>
      <c r="R401" s="139"/>
      <c r="S401" s="139"/>
      <c r="T401" s="139"/>
      <c r="U401" s="110"/>
      <c r="V401" s="110"/>
      <c r="W401" s="111"/>
      <c r="X401" s="105"/>
      <c r="Y401" s="105"/>
    </row>
    <row r="402" ht="15.75" customHeight="1">
      <c r="A402" s="127"/>
      <c r="B402" s="139"/>
      <c r="C402" s="139"/>
      <c r="D402" s="140"/>
      <c r="E402" s="141"/>
      <c r="F402" s="141"/>
      <c r="G402" s="141"/>
      <c r="H402" s="141"/>
      <c r="I402" s="112"/>
      <c r="J402" s="105"/>
      <c r="K402" s="105"/>
      <c r="L402" s="105"/>
      <c r="M402" s="140"/>
      <c r="N402" s="139"/>
      <c r="O402" s="139"/>
      <c r="P402" s="133"/>
      <c r="Q402" s="73"/>
      <c r="R402" s="139"/>
      <c r="S402" s="139"/>
      <c r="T402" s="139"/>
      <c r="U402" s="110"/>
      <c r="V402" s="110"/>
      <c r="W402" s="111"/>
      <c r="X402" s="105"/>
      <c r="Y402" s="105"/>
    </row>
    <row r="403" ht="15.75" customHeight="1">
      <c r="A403" s="127"/>
      <c r="B403" s="139"/>
      <c r="C403" s="139"/>
      <c r="D403" s="140"/>
      <c r="E403" s="141"/>
      <c r="F403" s="141"/>
      <c r="G403" s="141"/>
      <c r="H403" s="141"/>
      <c r="I403" s="112"/>
      <c r="J403" s="105"/>
      <c r="K403" s="105"/>
      <c r="L403" s="105"/>
      <c r="M403" s="140"/>
      <c r="N403" s="139"/>
      <c r="O403" s="139"/>
      <c r="P403" s="133"/>
      <c r="Q403" s="73"/>
      <c r="R403" s="139"/>
      <c r="S403" s="139"/>
      <c r="T403" s="139"/>
      <c r="U403" s="110"/>
      <c r="V403" s="110"/>
      <c r="W403" s="111"/>
      <c r="X403" s="105"/>
      <c r="Y403" s="105"/>
    </row>
    <row r="404" ht="15.75" customHeight="1">
      <c r="A404" s="127"/>
      <c r="B404" s="139"/>
      <c r="C404" s="139"/>
      <c r="D404" s="140"/>
      <c r="E404" s="141"/>
      <c r="F404" s="141"/>
      <c r="G404" s="141"/>
      <c r="H404" s="141"/>
      <c r="I404" s="112"/>
      <c r="J404" s="105"/>
      <c r="K404" s="105"/>
      <c r="L404" s="105"/>
      <c r="M404" s="140"/>
      <c r="N404" s="139"/>
      <c r="O404" s="139"/>
      <c r="P404" s="133"/>
      <c r="Q404" s="73"/>
      <c r="R404" s="139"/>
      <c r="S404" s="139"/>
      <c r="T404" s="139"/>
      <c r="U404" s="110"/>
      <c r="V404" s="110"/>
      <c r="W404" s="111"/>
      <c r="X404" s="105"/>
      <c r="Y404" s="105"/>
    </row>
    <row r="405" ht="15.75" customHeight="1">
      <c r="A405" s="127"/>
      <c r="B405" s="139"/>
      <c r="C405" s="139"/>
      <c r="D405" s="140"/>
      <c r="E405" s="141"/>
      <c r="F405" s="141"/>
      <c r="G405" s="141"/>
      <c r="H405" s="141"/>
      <c r="I405" s="112"/>
      <c r="J405" s="105"/>
      <c r="K405" s="105"/>
      <c r="L405" s="105"/>
      <c r="M405" s="140"/>
      <c r="N405" s="139"/>
      <c r="O405" s="139"/>
      <c r="P405" s="133"/>
      <c r="Q405" s="73"/>
      <c r="R405" s="139"/>
      <c r="S405" s="139"/>
      <c r="T405" s="139"/>
      <c r="U405" s="110"/>
      <c r="V405" s="110"/>
      <c r="W405" s="111"/>
      <c r="X405" s="105"/>
      <c r="Y405" s="105"/>
    </row>
    <row r="406" ht="15.75" customHeight="1">
      <c r="A406" s="127"/>
      <c r="B406" s="139"/>
      <c r="C406" s="139"/>
      <c r="D406" s="140"/>
      <c r="E406" s="141"/>
      <c r="F406" s="141"/>
      <c r="G406" s="141"/>
      <c r="H406" s="141"/>
      <c r="I406" s="112"/>
      <c r="J406" s="105"/>
      <c r="K406" s="105"/>
      <c r="L406" s="105"/>
      <c r="M406" s="140"/>
      <c r="N406" s="139"/>
      <c r="O406" s="139"/>
      <c r="P406" s="133"/>
      <c r="Q406" s="73"/>
      <c r="R406" s="139"/>
      <c r="S406" s="139"/>
      <c r="T406" s="139"/>
      <c r="U406" s="110"/>
      <c r="V406" s="110"/>
      <c r="W406" s="111"/>
      <c r="X406" s="105"/>
      <c r="Y406" s="105"/>
    </row>
    <row r="407" ht="15.75" customHeight="1">
      <c r="A407" s="127"/>
      <c r="B407" s="139"/>
      <c r="C407" s="139"/>
      <c r="D407" s="140"/>
      <c r="E407" s="141"/>
      <c r="F407" s="141"/>
      <c r="G407" s="141"/>
      <c r="H407" s="141"/>
      <c r="I407" s="112"/>
      <c r="J407" s="105"/>
      <c r="K407" s="105"/>
      <c r="L407" s="105"/>
      <c r="M407" s="140"/>
      <c r="N407" s="139"/>
      <c r="O407" s="139"/>
      <c r="P407" s="133"/>
      <c r="Q407" s="73"/>
      <c r="R407" s="139"/>
      <c r="S407" s="139"/>
      <c r="T407" s="139"/>
      <c r="U407" s="110"/>
      <c r="V407" s="110"/>
      <c r="W407" s="111"/>
      <c r="X407" s="105"/>
      <c r="Y407" s="105"/>
    </row>
    <row r="408" ht="15.75" customHeight="1">
      <c r="A408" s="127"/>
      <c r="B408" s="139"/>
      <c r="C408" s="139"/>
      <c r="D408" s="140"/>
      <c r="E408" s="141"/>
      <c r="F408" s="141"/>
      <c r="G408" s="141"/>
      <c r="H408" s="141"/>
      <c r="I408" s="112"/>
      <c r="J408" s="105"/>
      <c r="K408" s="105"/>
      <c r="L408" s="105"/>
      <c r="M408" s="140"/>
      <c r="N408" s="139"/>
      <c r="O408" s="139"/>
      <c r="P408" s="133"/>
      <c r="Q408" s="73"/>
      <c r="R408" s="139"/>
      <c r="S408" s="139"/>
      <c r="T408" s="139"/>
      <c r="U408" s="110"/>
      <c r="V408" s="110"/>
      <c r="W408" s="111"/>
      <c r="X408" s="105"/>
      <c r="Y408" s="105"/>
    </row>
    <row r="409" ht="15.75" customHeight="1">
      <c r="A409" s="127"/>
      <c r="B409" s="139"/>
      <c r="C409" s="139"/>
      <c r="D409" s="140"/>
      <c r="E409" s="141"/>
      <c r="F409" s="141"/>
      <c r="G409" s="141"/>
      <c r="H409" s="141"/>
      <c r="I409" s="112"/>
      <c r="J409" s="105"/>
      <c r="K409" s="105"/>
      <c r="L409" s="105"/>
      <c r="M409" s="140"/>
      <c r="N409" s="139"/>
      <c r="O409" s="139"/>
      <c r="P409" s="133"/>
      <c r="Q409" s="73"/>
      <c r="R409" s="139"/>
      <c r="S409" s="139"/>
      <c r="T409" s="139"/>
      <c r="U409" s="110"/>
      <c r="V409" s="110"/>
      <c r="W409" s="111"/>
      <c r="X409" s="105"/>
      <c r="Y409" s="105"/>
    </row>
    <row r="410" ht="15.75" customHeight="1">
      <c r="A410" s="127"/>
      <c r="B410" s="139"/>
      <c r="C410" s="139"/>
      <c r="D410" s="140"/>
      <c r="E410" s="141"/>
      <c r="F410" s="141"/>
      <c r="G410" s="141"/>
      <c r="H410" s="141"/>
      <c r="I410" s="112"/>
      <c r="J410" s="105"/>
      <c r="K410" s="105"/>
      <c r="L410" s="105"/>
      <c r="M410" s="140"/>
      <c r="N410" s="139"/>
      <c r="O410" s="139"/>
      <c r="P410" s="133"/>
      <c r="Q410" s="73"/>
      <c r="R410" s="139"/>
      <c r="S410" s="139"/>
      <c r="T410" s="139"/>
      <c r="U410" s="110"/>
      <c r="V410" s="110"/>
      <c r="W410" s="111"/>
      <c r="X410" s="105"/>
      <c r="Y410" s="105"/>
    </row>
    <row r="411" ht="15.75" customHeight="1">
      <c r="A411" s="127"/>
      <c r="B411" s="139"/>
      <c r="C411" s="139"/>
      <c r="D411" s="140"/>
      <c r="E411" s="141"/>
      <c r="F411" s="141"/>
      <c r="G411" s="141"/>
      <c r="H411" s="141"/>
      <c r="I411" s="112"/>
      <c r="J411" s="105"/>
      <c r="K411" s="105"/>
      <c r="L411" s="105"/>
      <c r="M411" s="140"/>
      <c r="N411" s="139"/>
      <c r="O411" s="139"/>
      <c r="P411" s="133"/>
      <c r="Q411" s="73"/>
      <c r="R411" s="139"/>
      <c r="S411" s="139"/>
      <c r="T411" s="139"/>
      <c r="U411" s="110"/>
      <c r="V411" s="110"/>
      <c r="W411" s="111"/>
      <c r="X411" s="105"/>
      <c r="Y411" s="105"/>
    </row>
    <row r="412" ht="15.75" customHeight="1">
      <c r="A412" s="127"/>
      <c r="B412" s="139"/>
      <c r="C412" s="139"/>
      <c r="D412" s="140"/>
      <c r="E412" s="141"/>
      <c r="F412" s="141"/>
      <c r="G412" s="141"/>
      <c r="H412" s="141"/>
      <c r="I412" s="112"/>
      <c r="J412" s="105"/>
      <c r="K412" s="105"/>
      <c r="L412" s="105"/>
      <c r="M412" s="140"/>
      <c r="N412" s="139"/>
      <c r="O412" s="139"/>
      <c r="P412" s="133"/>
      <c r="Q412" s="73"/>
      <c r="R412" s="139"/>
      <c r="S412" s="139"/>
      <c r="T412" s="139"/>
      <c r="U412" s="110"/>
      <c r="V412" s="110"/>
      <c r="W412" s="111"/>
      <c r="X412" s="105"/>
      <c r="Y412" s="105"/>
    </row>
    <row r="413" ht="15.75" customHeight="1">
      <c r="A413" s="127"/>
      <c r="B413" s="139"/>
      <c r="C413" s="139"/>
      <c r="D413" s="140"/>
      <c r="E413" s="141"/>
      <c r="F413" s="141"/>
      <c r="G413" s="141"/>
      <c r="H413" s="141"/>
      <c r="I413" s="112"/>
      <c r="J413" s="105"/>
      <c r="K413" s="105"/>
      <c r="L413" s="105"/>
      <c r="M413" s="140"/>
      <c r="N413" s="139"/>
      <c r="O413" s="139"/>
      <c r="P413" s="133"/>
      <c r="Q413" s="73"/>
      <c r="R413" s="139"/>
      <c r="S413" s="139"/>
      <c r="T413" s="139"/>
      <c r="U413" s="110"/>
      <c r="V413" s="110"/>
      <c r="W413" s="111"/>
      <c r="X413" s="105"/>
      <c r="Y413" s="105"/>
    </row>
    <row r="414" ht="15.75" customHeight="1">
      <c r="A414" s="127"/>
      <c r="B414" s="139"/>
      <c r="C414" s="139"/>
      <c r="D414" s="140"/>
      <c r="E414" s="141"/>
      <c r="F414" s="141"/>
      <c r="G414" s="141"/>
      <c r="H414" s="141"/>
      <c r="I414" s="112"/>
      <c r="J414" s="105"/>
      <c r="K414" s="105"/>
      <c r="L414" s="105"/>
      <c r="M414" s="140"/>
      <c r="N414" s="139"/>
      <c r="O414" s="139"/>
      <c r="P414" s="133"/>
      <c r="Q414" s="73"/>
      <c r="R414" s="139"/>
      <c r="S414" s="139"/>
      <c r="T414" s="139"/>
      <c r="U414" s="110"/>
      <c r="V414" s="110"/>
      <c r="W414" s="111"/>
      <c r="X414" s="105"/>
      <c r="Y414" s="105"/>
    </row>
    <row r="415" ht="15.75" customHeight="1">
      <c r="A415" s="127"/>
      <c r="B415" s="139"/>
      <c r="C415" s="139"/>
      <c r="D415" s="140"/>
      <c r="E415" s="141"/>
      <c r="F415" s="141"/>
      <c r="G415" s="141"/>
      <c r="H415" s="141"/>
      <c r="I415" s="112"/>
      <c r="J415" s="105"/>
      <c r="K415" s="105"/>
      <c r="L415" s="105"/>
      <c r="M415" s="140"/>
      <c r="N415" s="139"/>
      <c r="O415" s="139"/>
      <c r="P415" s="133"/>
      <c r="Q415" s="73"/>
      <c r="R415" s="139"/>
      <c r="S415" s="139"/>
      <c r="T415" s="139"/>
      <c r="U415" s="110"/>
      <c r="V415" s="110"/>
      <c r="W415" s="111"/>
      <c r="X415" s="105"/>
      <c r="Y415" s="105"/>
    </row>
    <row r="416" ht="15.75" customHeight="1">
      <c r="A416" s="127"/>
      <c r="B416" s="139"/>
      <c r="C416" s="139"/>
      <c r="D416" s="140"/>
      <c r="E416" s="141"/>
      <c r="F416" s="141"/>
      <c r="G416" s="141"/>
      <c r="H416" s="141"/>
      <c r="I416" s="112"/>
      <c r="J416" s="105"/>
      <c r="K416" s="105"/>
      <c r="L416" s="105"/>
      <c r="M416" s="140"/>
      <c r="N416" s="139"/>
      <c r="O416" s="139"/>
      <c r="P416" s="133"/>
      <c r="Q416" s="73"/>
      <c r="R416" s="139"/>
      <c r="S416" s="139"/>
      <c r="T416" s="139"/>
      <c r="U416" s="110"/>
      <c r="V416" s="110"/>
      <c r="W416" s="111"/>
      <c r="X416" s="105"/>
      <c r="Y416" s="105"/>
    </row>
    <row r="417" ht="15.75" customHeight="1">
      <c r="A417" s="127"/>
      <c r="B417" s="139"/>
      <c r="C417" s="139"/>
      <c r="D417" s="140"/>
      <c r="E417" s="141"/>
      <c r="F417" s="141"/>
      <c r="G417" s="141"/>
      <c r="H417" s="141"/>
      <c r="I417" s="112"/>
      <c r="J417" s="105"/>
      <c r="K417" s="105"/>
      <c r="L417" s="105"/>
      <c r="M417" s="140"/>
      <c r="N417" s="139"/>
      <c r="O417" s="139"/>
      <c r="P417" s="133"/>
      <c r="Q417" s="73"/>
      <c r="R417" s="139"/>
      <c r="S417" s="139"/>
      <c r="T417" s="139"/>
      <c r="U417" s="110"/>
      <c r="V417" s="110"/>
      <c r="W417" s="111"/>
      <c r="X417" s="105"/>
      <c r="Y417" s="105"/>
    </row>
    <row r="418" ht="15.75" customHeight="1">
      <c r="A418" s="127"/>
      <c r="B418" s="139"/>
      <c r="C418" s="139"/>
      <c r="D418" s="140"/>
      <c r="E418" s="141"/>
      <c r="F418" s="141"/>
      <c r="G418" s="141"/>
      <c r="H418" s="141"/>
      <c r="I418" s="112"/>
      <c r="J418" s="105"/>
      <c r="K418" s="105"/>
      <c r="L418" s="105"/>
      <c r="M418" s="140"/>
      <c r="N418" s="139"/>
      <c r="O418" s="139"/>
      <c r="P418" s="133"/>
      <c r="Q418" s="73"/>
      <c r="R418" s="139"/>
      <c r="S418" s="139"/>
      <c r="T418" s="139"/>
      <c r="U418" s="110"/>
      <c r="V418" s="110"/>
      <c r="W418" s="111"/>
      <c r="X418" s="105"/>
      <c r="Y418" s="105"/>
    </row>
    <row r="419" ht="15.75" customHeight="1">
      <c r="A419" s="127"/>
      <c r="B419" s="139"/>
      <c r="C419" s="139"/>
      <c r="D419" s="140"/>
      <c r="E419" s="141"/>
      <c r="F419" s="141"/>
      <c r="G419" s="141"/>
      <c r="H419" s="141"/>
      <c r="I419" s="112"/>
      <c r="J419" s="105"/>
      <c r="K419" s="105"/>
      <c r="L419" s="105"/>
      <c r="M419" s="140"/>
      <c r="N419" s="139"/>
      <c r="O419" s="139"/>
      <c r="P419" s="133"/>
      <c r="Q419" s="73"/>
      <c r="R419" s="139"/>
      <c r="S419" s="139"/>
      <c r="T419" s="139"/>
      <c r="U419" s="110"/>
      <c r="V419" s="110"/>
      <c r="W419" s="111"/>
      <c r="X419" s="105"/>
      <c r="Y419" s="105"/>
    </row>
    <row r="420" ht="15.75" customHeight="1">
      <c r="A420" s="127"/>
      <c r="B420" s="139"/>
      <c r="C420" s="139"/>
      <c r="D420" s="140"/>
      <c r="E420" s="141"/>
      <c r="F420" s="141"/>
      <c r="G420" s="141"/>
      <c r="H420" s="141"/>
      <c r="I420" s="112"/>
      <c r="J420" s="105"/>
      <c r="K420" s="105"/>
      <c r="L420" s="105"/>
      <c r="M420" s="140"/>
      <c r="N420" s="139"/>
      <c r="O420" s="139"/>
      <c r="P420" s="133"/>
      <c r="Q420" s="73"/>
      <c r="R420" s="139"/>
      <c r="S420" s="139"/>
      <c r="T420" s="139"/>
      <c r="U420" s="110"/>
      <c r="V420" s="110"/>
      <c r="W420" s="111"/>
      <c r="X420" s="105"/>
      <c r="Y420" s="105"/>
    </row>
    <row r="421" ht="15.75" customHeight="1">
      <c r="A421" s="127"/>
      <c r="B421" s="139"/>
      <c r="C421" s="139"/>
      <c r="D421" s="140"/>
      <c r="E421" s="141"/>
      <c r="F421" s="141"/>
      <c r="G421" s="141"/>
      <c r="H421" s="141"/>
      <c r="I421" s="112"/>
      <c r="J421" s="105"/>
      <c r="K421" s="105"/>
      <c r="L421" s="105"/>
      <c r="M421" s="140"/>
      <c r="N421" s="139"/>
      <c r="O421" s="139"/>
      <c r="P421" s="133"/>
      <c r="Q421" s="73"/>
      <c r="R421" s="139"/>
      <c r="S421" s="139"/>
      <c r="T421" s="139"/>
      <c r="U421" s="110"/>
      <c r="V421" s="110"/>
      <c r="W421" s="111"/>
      <c r="X421" s="105"/>
      <c r="Y421" s="105"/>
    </row>
    <row r="422" ht="15.75" customHeight="1">
      <c r="A422" s="127"/>
      <c r="B422" s="139"/>
      <c r="C422" s="139"/>
      <c r="D422" s="140"/>
      <c r="E422" s="141"/>
      <c r="F422" s="141"/>
      <c r="G422" s="141"/>
      <c r="H422" s="141"/>
      <c r="I422" s="112"/>
      <c r="J422" s="105"/>
      <c r="K422" s="105"/>
      <c r="L422" s="105"/>
      <c r="M422" s="140"/>
      <c r="N422" s="139"/>
      <c r="O422" s="139"/>
      <c r="P422" s="133"/>
      <c r="Q422" s="73"/>
      <c r="R422" s="139"/>
      <c r="S422" s="139"/>
      <c r="T422" s="139"/>
      <c r="U422" s="110"/>
      <c r="V422" s="110"/>
      <c r="W422" s="111"/>
      <c r="X422" s="105"/>
      <c r="Y422" s="105"/>
    </row>
    <row r="423" ht="15.75" customHeight="1">
      <c r="A423" s="127"/>
      <c r="B423" s="139"/>
      <c r="C423" s="139"/>
      <c r="D423" s="140"/>
      <c r="E423" s="141"/>
      <c r="F423" s="141"/>
      <c r="G423" s="141"/>
      <c r="H423" s="141"/>
      <c r="I423" s="112"/>
      <c r="J423" s="105"/>
      <c r="K423" s="105"/>
      <c r="L423" s="105"/>
      <c r="M423" s="140"/>
      <c r="N423" s="139"/>
      <c r="O423" s="139"/>
      <c r="P423" s="133"/>
      <c r="Q423" s="73"/>
      <c r="R423" s="139"/>
      <c r="S423" s="139"/>
      <c r="T423" s="139"/>
      <c r="U423" s="110"/>
      <c r="V423" s="110"/>
      <c r="W423" s="111"/>
      <c r="X423" s="105"/>
      <c r="Y423" s="105"/>
    </row>
    <row r="424" ht="15.75" customHeight="1">
      <c r="A424" s="127"/>
      <c r="B424" s="139"/>
      <c r="C424" s="139"/>
      <c r="D424" s="140"/>
      <c r="E424" s="141"/>
      <c r="F424" s="141"/>
      <c r="G424" s="141"/>
      <c r="H424" s="141"/>
      <c r="I424" s="112"/>
      <c r="J424" s="105"/>
      <c r="K424" s="105"/>
      <c r="L424" s="105"/>
      <c r="M424" s="140"/>
      <c r="N424" s="139"/>
      <c r="O424" s="139"/>
      <c r="P424" s="133"/>
      <c r="Q424" s="73"/>
      <c r="R424" s="139"/>
      <c r="S424" s="139"/>
      <c r="T424" s="139"/>
      <c r="U424" s="110"/>
      <c r="V424" s="110"/>
      <c r="W424" s="111"/>
      <c r="X424" s="105"/>
      <c r="Y424" s="105"/>
    </row>
    <row r="425" ht="15.75" customHeight="1">
      <c r="A425" s="127"/>
      <c r="B425" s="139"/>
      <c r="C425" s="139"/>
      <c r="D425" s="140"/>
      <c r="E425" s="141"/>
      <c r="F425" s="141"/>
      <c r="G425" s="141"/>
      <c r="H425" s="141"/>
      <c r="I425" s="112"/>
      <c r="J425" s="105"/>
      <c r="K425" s="105"/>
      <c r="L425" s="105"/>
      <c r="M425" s="140"/>
      <c r="N425" s="139"/>
      <c r="O425" s="139"/>
      <c r="P425" s="133"/>
      <c r="Q425" s="73"/>
      <c r="R425" s="139"/>
      <c r="S425" s="139"/>
      <c r="T425" s="139"/>
      <c r="U425" s="110"/>
      <c r="V425" s="110"/>
      <c r="W425" s="111"/>
      <c r="X425" s="105"/>
      <c r="Y425" s="105"/>
    </row>
    <row r="426" ht="15.75" customHeight="1">
      <c r="A426" s="127"/>
      <c r="B426" s="139"/>
      <c r="C426" s="139"/>
      <c r="D426" s="140"/>
      <c r="E426" s="141"/>
      <c r="F426" s="141"/>
      <c r="G426" s="141"/>
      <c r="H426" s="141"/>
      <c r="I426" s="112"/>
      <c r="J426" s="105"/>
      <c r="K426" s="105"/>
      <c r="L426" s="105"/>
      <c r="M426" s="140"/>
      <c r="N426" s="139"/>
      <c r="O426" s="139"/>
      <c r="P426" s="133"/>
      <c r="Q426" s="73"/>
      <c r="R426" s="139"/>
      <c r="S426" s="139"/>
      <c r="T426" s="139"/>
      <c r="U426" s="110"/>
      <c r="V426" s="110"/>
      <c r="W426" s="111"/>
      <c r="X426" s="105"/>
      <c r="Y426" s="105"/>
    </row>
    <row r="427" ht="15.75" customHeight="1">
      <c r="A427" s="127"/>
      <c r="B427" s="139"/>
      <c r="C427" s="139"/>
      <c r="D427" s="140"/>
      <c r="E427" s="141"/>
      <c r="F427" s="141"/>
      <c r="G427" s="141"/>
      <c r="H427" s="141"/>
      <c r="I427" s="112"/>
      <c r="J427" s="105"/>
      <c r="K427" s="105"/>
      <c r="L427" s="105"/>
      <c r="M427" s="140"/>
      <c r="N427" s="139"/>
      <c r="O427" s="139"/>
      <c r="P427" s="133"/>
      <c r="Q427" s="73"/>
      <c r="R427" s="139"/>
      <c r="S427" s="139"/>
      <c r="T427" s="139"/>
      <c r="U427" s="110"/>
      <c r="V427" s="110"/>
      <c r="W427" s="111"/>
      <c r="X427" s="105"/>
      <c r="Y427" s="105"/>
    </row>
    <row r="428" ht="15.75" customHeight="1">
      <c r="A428" s="127"/>
      <c r="B428" s="139"/>
      <c r="C428" s="139"/>
      <c r="D428" s="140"/>
      <c r="E428" s="141"/>
      <c r="F428" s="141"/>
      <c r="G428" s="141"/>
      <c r="H428" s="141"/>
      <c r="I428" s="112"/>
      <c r="J428" s="105"/>
      <c r="K428" s="105"/>
      <c r="L428" s="105"/>
      <c r="M428" s="140"/>
      <c r="N428" s="139"/>
      <c r="O428" s="139"/>
      <c r="P428" s="133"/>
      <c r="Q428" s="73"/>
      <c r="R428" s="139"/>
      <c r="S428" s="139"/>
      <c r="T428" s="139"/>
      <c r="U428" s="110"/>
      <c r="V428" s="110"/>
      <c r="W428" s="111"/>
      <c r="X428" s="105"/>
      <c r="Y428" s="105"/>
    </row>
    <row r="429" ht="15.75" customHeight="1">
      <c r="A429" s="127"/>
      <c r="B429" s="139"/>
      <c r="C429" s="139"/>
      <c r="D429" s="140"/>
      <c r="E429" s="141"/>
      <c r="F429" s="141"/>
      <c r="G429" s="141"/>
      <c r="H429" s="141"/>
      <c r="I429" s="112"/>
      <c r="J429" s="105"/>
      <c r="K429" s="105"/>
      <c r="L429" s="105"/>
      <c r="M429" s="140"/>
      <c r="N429" s="139"/>
      <c r="O429" s="139"/>
      <c r="P429" s="133"/>
      <c r="Q429" s="73"/>
      <c r="R429" s="139"/>
      <c r="S429" s="139"/>
      <c r="T429" s="139"/>
      <c r="U429" s="110"/>
      <c r="V429" s="110"/>
      <c r="W429" s="111"/>
      <c r="X429" s="105"/>
      <c r="Y429" s="105"/>
    </row>
    <row r="430" ht="15.75" customHeight="1">
      <c r="A430" s="127"/>
      <c r="B430" s="139"/>
      <c r="C430" s="139"/>
      <c r="D430" s="140"/>
      <c r="E430" s="141"/>
      <c r="F430" s="141"/>
      <c r="G430" s="141"/>
      <c r="H430" s="141"/>
      <c r="I430" s="112"/>
      <c r="J430" s="105"/>
      <c r="K430" s="105"/>
      <c r="L430" s="105"/>
      <c r="M430" s="140"/>
      <c r="N430" s="139"/>
      <c r="O430" s="139"/>
      <c r="P430" s="133"/>
      <c r="Q430" s="73"/>
      <c r="R430" s="139"/>
      <c r="S430" s="139"/>
      <c r="T430" s="139"/>
      <c r="U430" s="110"/>
      <c r="V430" s="110"/>
      <c r="W430" s="111"/>
      <c r="X430" s="105"/>
      <c r="Y430" s="105"/>
    </row>
    <row r="431" ht="15.75" customHeight="1">
      <c r="A431" s="127"/>
      <c r="B431" s="139"/>
      <c r="C431" s="139"/>
      <c r="D431" s="140"/>
      <c r="E431" s="141"/>
      <c r="F431" s="141"/>
      <c r="G431" s="141"/>
      <c r="H431" s="141"/>
      <c r="I431" s="112"/>
      <c r="J431" s="105"/>
      <c r="K431" s="105"/>
      <c r="L431" s="105"/>
      <c r="M431" s="140"/>
      <c r="N431" s="139"/>
      <c r="O431" s="139"/>
      <c r="P431" s="133"/>
      <c r="Q431" s="73"/>
      <c r="R431" s="139"/>
      <c r="S431" s="139"/>
      <c r="T431" s="139"/>
      <c r="U431" s="110"/>
      <c r="V431" s="110"/>
      <c r="W431" s="111"/>
      <c r="X431" s="105"/>
      <c r="Y431" s="105"/>
    </row>
    <row r="432" ht="15.75" customHeight="1">
      <c r="A432" s="127"/>
      <c r="B432" s="139"/>
      <c r="C432" s="139"/>
      <c r="D432" s="140"/>
      <c r="E432" s="141"/>
      <c r="F432" s="141"/>
      <c r="G432" s="141"/>
      <c r="H432" s="141"/>
      <c r="I432" s="112"/>
      <c r="J432" s="105"/>
      <c r="K432" s="105"/>
      <c r="L432" s="105"/>
      <c r="M432" s="140"/>
      <c r="N432" s="139"/>
      <c r="O432" s="139"/>
      <c r="P432" s="133"/>
      <c r="Q432" s="73"/>
      <c r="R432" s="139"/>
      <c r="S432" s="139"/>
      <c r="T432" s="139"/>
      <c r="U432" s="110"/>
      <c r="V432" s="110"/>
      <c r="W432" s="111"/>
      <c r="X432" s="105"/>
      <c r="Y432" s="105"/>
    </row>
    <row r="433" ht="15.75" customHeight="1">
      <c r="A433" s="127"/>
      <c r="B433" s="139"/>
      <c r="C433" s="139"/>
      <c r="D433" s="140"/>
      <c r="E433" s="141"/>
      <c r="F433" s="141"/>
      <c r="G433" s="141"/>
      <c r="H433" s="141"/>
      <c r="I433" s="112"/>
      <c r="J433" s="105"/>
      <c r="K433" s="105"/>
      <c r="L433" s="105"/>
      <c r="M433" s="140"/>
      <c r="N433" s="139"/>
      <c r="O433" s="139"/>
      <c r="P433" s="133"/>
      <c r="Q433" s="73"/>
      <c r="R433" s="139"/>
      <c r="S433" s="139"/>
      <c r="T433" s="139"/>
      <c r="U433" s="110"/>
      <c r="V433" s="110"/>
      <c r="W433" s="111"/>
      <c r="X433" s="105"/>
      <c r="Y433" s="105"/>
    </row>
    <row r="434" ht="15.75" customHeight="1">
      <c r="A434" s="127"/>
      <c r="B434" s="139"/>
      <c r="C434" s="139"/>
      <c r="D434" s="140"/>
      <c r="E434" s="141"/>
      <c r="F434" s="141"/>
      <c r="G434" s="141"/>
      <c r="H434" s="141"/>
      <c r="I434" s="112"/>
      <c r="J434" s="105"/>
      <c r="K434" s="105"/>
      <c r="L434" s="105"/>
      <c r="M434" s="140"/>
      <c r="N434" s="139"/>
      <c r="O434" s="139"/>
      <c r="P434" s="133"/>
      <c r="Q434" s="73"/>
      <c r="R434" s="139"/>
      <c r="S434" s="139"/>
      <c r="T434" s="139"/>
      <c r="U434" s="110"/>
      <c r="V434" s="110"/>
      <c r="W434" s="111"/>
      <c r="X434" s="105"/>
      <c r="Y434" s="105"/>
    </row>
    <row r="435" ht="15.75" customHeight="1">
      <c r="A435" s="127"/>
      <c r="B435" s="139"/>
      <c r="C435" s="139"/>
      <c r="D435" s="140"/>
      <c r="E435" s="141"/>
      <c r="F435" s="141"/>
      <c r="G435" s="141"/>
      <c r="H435" s="141"/>
      <c r="I435" s="112"/>
      <c r="J435" s="105"/>
      <c r="K435" s="105"/>
      <c r="L435" s="105"/>
      <c r="M435" s="140"/>
      <c r="N435" s="139"/>
      <c r="O435" s="139"/>
      <c r="P435" s="133"/>
      <c r="Q435" s="73"/>
      <c r="R435" s="139"/>
      <c r="S435" s="139"/>
      <c r="T435" s="139"/>
      <c r="U435" s="110"/>
      <c r="V435" s="110"/>
      <c r="W435" s="111"/>
      <c r="X435" s="105"/>
      <c r="Y435" s="105"/>
    </row>
    <row r="436" ht="15.75" customHeight="1">
      <c r="A436" s="127"/>
      <c r="B436" s="139"/>
      <c r="C436" s="139"/>
      <c r="D436" s="140"/>
      <c r="E436" s="141"/>
      <c r="F436" s="141"/>
      <c r="G436" s="141"/>
      <c r="H436" s="141"/>
      <c r="I436" s="112"/>
      <c r="J436" s="105"/>
      <c r="K436" s="105"/>
      <c r="L436" s="105"/>
      <c r="M436" s="140"/>
      <c r="N436" s="139"/>
      <c r="O436" s="139"/>
      <c r="P436" s="133"/>
      <c r="Q436" s="73"/>
      <c r="R436" s="139"/>
      <c r="S436" s="139"/>
      <c r="T436" s="139"/>
      <c r="U436" s="110"/>
      <c r="V436" s="110"/>
      <c r="W436" s="111"/>
      <c r="X436" s="105"/>
      <c r="Y436" s="105"/>
    </row>
    <row r="437" ht="15.75" customHeight="1">
      <c r="A437" s="127"/>
      <c r="B437" s="139"/>
      <c r="C437" s="139"/>
      <c r="D437" s="140"/>
      <c r="E437" s="141"/>
      <c r="F437" s="141"/>
      <c r="G437" s="141"/>
      <c r="H437" s="141"/>
      <c r="I437" s="112"/>
      <c r="J437" s="105"/>
      <c r="K437" s="105"/>
      <c r="L437" s="105"/>
      <c r="M437" s="140"/>
      <c r="N437" s="139"/>
      <c r="O437" s="139"/>
      <c r="P437" s="133"/>
      <c r="Q437" s="73"/>
      <c r="R437" s="139"/>
      <c r="S437" s="139"/>
      <c r="T437" s="139"/>
      <c r="U437" s="110"/>
      <c r="V437" s="110"/>
      <c r="W437" s="111"/>
      <c r="X437" s="105"/>
      <c r="Y437" s="105"/>
    </row>
    <row r="438" ht="15.75" customHeight="1">
      <c r="A438" s="127"/>
      <c r="B438" s="139"/>
      <c r="C438" s="139"/>
      <c r="D438" s="140"/>
      <c r="E438" s="141"/>
      <c r="F438" s="141"/>
      <c r="G438" s="141"/>
      <c r="H438" s="141"/>
      <c r="I438" s="112"/>
      <c r="J438" s="105"/>
      <c r="K438" s="105"/>
      <c r="L438" s="105"/>
      <c r="M438" s="140"/>
      <c r="N438" s="139"/>
      <c r="O438" s="139"/>
      <c r="P438" s="133"/>
      <c r="Q438" s="73"/>
      <c r="R438" s="139"/>
      <c r="S438" s="139"/>
      <c r="T438" s="139"/>
      <c r="U438" s="110"/>
      <c r="V438" s="110"/>
      <c r="W438" s="111"/>
      <c r="X438" s="105"/>
      <c r="Y438" s="105"/>
    </row>
    <row r="439" ht="15.75" customHeight="1">
      <c r="A439" s="127"/>
      <c r="B439" s="139"/>
      <c r="C439" s="139"/>
      <c r="D439" s="140"/>
      <c r="E439" s="141"/>
      <c r="F439" s="141"/>
      <c r="G439" s="141"/>
      <c r="H439" s="141"/>
      <c r="I439" s="112"/>
      <c r="J439" s="105"/>
      <c r="K439" s="105"/>
      <c r="L439" s="105"/>
      <c r="M439" s="140"/>
      <c r="N439" s="139"/>
      <c r="O439" s="139"/>
      <c r="P439" s="133"/>
      <c r="Q439" s="73"/>
      <c r="R439" s="139"/>
      <c r="S439" s="139"/>
      <c r="T439" s="139"/>
      <c r="U439" s="110"/>
      <c r="V439" s="110"/>
      <c r="W439" s="111"/>
      <c r="X439" s="105"/>
      <c r="Y439" s="105"/>
    </row>
    <row r="440" ht="15.75" customHeight="1">
      <c r="A440" s="127"/>
      <c r="B440" s="139"/>
      <c r="C440" s="139"/>
      <c r="D440" s="140"/>
      <c r="E440" s="141"/>
      <c r="F440" s="141"/>
      <c r="G440" s="141"/>
      <c r="H440" s="141"/>
      <c r="I440" s="112"/>
      <c r="J440" s="105"/>
      <c r="K440" s="105"/>
      <c r="L440" s="105"/>
      <c r="M440" s="140"/>
      <c r="N440" s="139"/>
      <c r="O440" s="139"/>
      <c r="P440" s="133"/>
      <c r="Q440" s="73"/>
      <c r="R440" s="139"/>
      <c r="S440" s="139"/>
      <c r="T440" s="139"/>
      <c r="U440" s="110"/>
      <c r="V440" s="110"/>
      <c r="W440" s="111"/>
      <c r="X440" s="105"/>
      <c r="Y440" s="105"/>
    </row>
    <row r="441" ht="15.75" customHeight="1">
      <c r="A441" s="127"/>
      <c r="B441" s="139"/>
      <c r="C441" s="139"/>
      <c r="D441" s="140"/>
      <c r="E441" s="141"/>
      <c r="F441" s="141"/>
      <c r="G441" s="141"/>
      <c r="H441" s="141"/>
      <c r="I441" s="112"/>
      <c r="J441" s="105"/>
      <c r="K441" s="105"/>
      <c r="L441" s="105"/>
      <c r="M441" s="140"/>
      <c r="N441" s="139"/>
      <c r="O441" s="139"/>
      <c r="P441" s="133"/>
      <c r="Q441" s="73"/>
      <c r="R441" s="139"/>
      <c r="S441" s="139"/>
      <c r="T441" s="139"/>
      <c r="U441" s="110"/>
      <c r="V441" s="110"/>
      <c r="W441" s="111"/>
      <c r="X441" s="105"/>
      <c r="Y441" s="105"/>
    </row>
    <row r="442" ht="15.75" customHeight="1">
      <c r="A442" s="127"/>
      <c r="B442" s="139"/>
      <c r="C442" s="139"/>
      <c r="D442" s="140"/>
      <c r="E442" s="141"/>
      <c r="F442" s="141"/>
      <c r="G442" s="141"/>
      <c r="H442" s="141"/>
      <c r="I442" s="112"/>
      <c r="J442" s="105"/>
      <c r="K442" s="105"/>
      <c r="L442" s="105"/>
      <c r="M442" s="140"/>
      <c r="N442" s="139"/>
      <c r="O442" s="139"/>
      <c r="P442" s="133"/>
      <c r="Q442" s="73"/>
      <c r="R442" s="139"/>
      <c r="S442" s="139"/>
      <c r="T442" s="139"/>
      <c r="U442" s="110"/>
      <c r="V442" s="110"/>
      <c r="W442" s="111"/>
      <c r="X442" s="105"/>
      <c r="Y442" s="105"/>
    </row>
    <row r="443" ht="15.75" customHeight="1">
      <c r="A443" s="127"/>
      <c r="B443" s="139"/>
      <c r="C443" s="139"/>
      <c r="D443" s="140"/>
      <c r="E443" s="141"/>
      <c r="F443" s="141"/>
      <c r="G443" s="141"/>
      <c r="H443" s="141"/>
      <c r="I443" s="112"/>
      <c r="J443" s="105"/>
      <c r="K443" s="105"/>
      <c r="L443" s="105"/>
      <c r="M443" s="140"/>
      <c r="N443" s="139"/>
      <c r="O443" s="139"/>
      <c r="P443" s="133"/>
      <c r="Q443" s="73"/>
      <c r="R443" s="139"/>
      <c r="S443" s="139"/>
      <c r="T443" s="139"/>
      <c r="U443" s="110"/>
      <c r="V443" s="110"/>
      <c r="W443" s="111"/>
      <c r="X443" s="105"/>
      <c r="Y443" s="105"/>
    </row>
    <row r="444" ht="15.75" customHeight="1">
      <c r="A444" s="127"/>
      <c r="B444" s="139"/>
      <c r="C444" s="139"/>
      <c r="D444" s="140"/>
      <c r="E444" s="141"/>
      <c r="F444" s="141"/>
      <c r="G444" s="141"/>
      <c r="H444" s="141"/>
      <c r="I444" s="112"/>
      <c r="J444" s="105"/>
      <c r="K444" s="105"/>
      <c r="L444" s="105"/>
      <c r="M444" s="140"/>
      <c r="N444" s="139"/>
      <c r="O444" s="139"/>
      <c r="P444" s="133"/>
      <c r="Q444" s="73"/>
      <c r="R444" s="139"/>
      <c r="S444" s="139"/>
      <c r="T444" s="139"/>
      <c r="U444" s="110"/>
      <c r="V444" s="110"/>
      <c r="W444" s="111"/>
      <c r="X444" s="105"/>
      <c r="Y444" s="105"/>
    </row>
    <row r="445" ht="15.75" customHeight="1">
      <c r="A445" s="127"/>
      <c r="B445" s="139"/>
      <c r="C445" s="139"/>
      <c r="D445" s="140"/>
      <c r="E445" s="141"/>
      <c r="F445" s="141"/>
      <c r="G445" s="141"/>
      <c r="H445" s="141"/>
      <c r="I445" s="112"/>
      <c r="J445" s="105"/>
      <c r="K445" s="105"/>
      <c r="L445" s="105"/>
      <c r="M445" s="140"/>
      <c r="N445" s="139"/>
      <c r="O445" s="139"/>
      <c r="P445" s="133"/>
      <c r="Q445" s="73"/>
      <c r="R445" s="139"/>
      <c r="S445" s="139"/>
      <c r="T445" s="139"/>
      <c r="U445" s="110"/>
      <c r="V445" s="110"/>
      <c r="W445" s="111"/>
      <c r="X445" s="105"/>
      <c r="Y445" s="105"/>
    </row>
    <row r="446" ht="15.75" customHeight="1">
      <c r="A446" s="127"/>
      <c r="B446" s="139"/>
      <c r="C446" s="139"/>
      <c r="D446" s="140"/>
      <c r="E446" s="141"/>
      <c r="F446" s="141"/>
      <c r="G446" s="141"/>
      <c r="H446" s="141"/>
      <c r="I446" s="112"/>
      <c r="J446" s="105"/>
      <c r="K446" s="105"/>
      <c r="L446" s="105"/>
      <c r="M446" s="140"/>
      <c r="N446" s="139"/>
      <c r="O446" s="139"/>
      <c r="P446" s="133"/>
      <c r="Q446" s="73"/>
      <c r="R446" s="139"/>
      <c r="S446" s="139"/>
      <c r="T446" s="139"/>
      <c r="U446" s="110"/>
      <c r="V446" s="110"/>
      <c r="W446" s="111"/>
      <c r="X446" s="105"/>
      <c r="Y446" s="105"/>
    </row>
    <row r="447" ht="15.75" customHeight="1">
      <c r="A447" s="127"/>
      <c r="B447" s="139"/>
      <c r="C447" s="139"/>
      <c r="D447" s="140"/>
      <c r="E447" s="141"/>
      <c r="F447" s="141"/>
      <c r="G447" s="141"/>
      <c r="H447" s="141"/>
      <c r="I447" s="112"/>
      <c r="J447" s="105"/>
      <c r="K447" s="105"/>
      <c r="L447" s="105"/>
      <c r="M447" s="140"/>
      <c r="N447" s="139"/>
      <c r="O447" s="139"/>
      <c r="P447" s="133"/>
      <c r="Q447" s="73"/>
      <c r="R447" s="139"/>
      <c r="S447" s="139"/>
      <c r="T447" s="139"/>
      <c r="U447" s="110"/>
      <c r="V447" s="110"/>
      <c r="W447" s="111"/>
      <c r="X447" s="105"/>
      <c r="Y447" s="105"/>
    </row>
    <row r="448" ht="15.75" customHeight="1">
      <c r="A448" s="127"/>
      <c r="B448" s="139"/>
      <c r="C448" s="139"/>
      <c r="D448" s="140"/>
      <c r="E448" s="141"/>
      <c r="F448" s="141"/>
      <c r="G448" s="141"/>
      <c r="H448" s="141"/>
      <c r="I448" s="112"/>
      <c r="J448" s="105"/>
      <c r="K448" s="105"/>
      <c r="L448" s="105"/>
      <c r="M448" s="140"/>
      <c r="N448" s="139"/>
      <c r="O448" s="139"/>
      <c r="P448" s="133"/>
      <c r="Q448" s="73"/>
      <c r="R448" s="139"/>
      <c r="S448" s="139"/>
      <c r="T448" s="139"/>
      <c r="U448" s="110"/>
      <c r="V448" s="110"/>
      <c r="W448" s="111"/>
      <c r="X448" s="105"/>
      <c r="Y448" s="105"/>
    </row>
    <row r="449" ht="15.75" customHeight="1">
      <c r="A449" s="127"/>
      <c r="B449" s="139"/>
      <c r="C449" s="139"/>
      <c r="D449" s="140"/>
      <c r="E449" s="141"/>
      <c r="F449" s="141"/>
      <c r="G449" s="141"/>
      <c r="H449" s="141"/>
      <c r="I449" s="112"/>
      <c r="J449" s="105"/>
      <c r="K449" s="105"/>
      <c r="L449" s="105"/>
      <c r="M449" s="140"/>
      <c r="N449" s="139"/>
      <c r="O449" s="139"/>
      <c r="P449" s="133"/>
      <c r="Q449" s="73"/>
      <c r="R449" s="139"/>
      <c r="S449" s="139"/>
      <c r="T449" s="139"/>
      <c r="U449" s="110"/>
      <c r="V449" s="110"/>
      <c r="W449" s="111"/>
      <c r="X449" s="105"/>
      <c r="Y449" s="105"/>
    </row>
    <row r="450" ht="15.75" customHeight="1">
      <c r="A450" s="127"/>
      <c r="B450" s="139"/>
      <c r="C450" s="139"/>
      <c r="D450" s="140"/>
      <c r="E450" s="141"/>
      <c r="F450" s="141"/>
      <c r="G450" s="141"/>
      <c r="H450" s="141"/>
      <c r="I450" s="112"/>
      <c r="J450" s="105"/>
      <c r="K450" s="105"/>
      <c r="L450" s="105"/>
      <c r="M450" s="140"/>
      <c r="N450" s="139"/>
      <c r="O450" s="139"/>
      <c r="P450" s="133"/>
      <c r="Q450" s="73"/>
      <c r="R450" s="139"/>
      <c r="S450" s="139"/>
      <c r="T450" s="139"/>
      <c r="U450" s="110"/>
      <c r="V450" s="110"/>
      <c r="W450" s="111"/>
      <c r="X450" s="105"/>
      <c r="Y450" s="105"/>
    </row>
    <row r="451" ht="15.75" customHeight="1">
      <c r="A451" s="127"/>
      <c r="B451" s="139"/>
      <c r="C451" s="139"/>
      <c r="D451" s="140"/>
      <c r="E451" s="141"/>
      <c r="F451" s="141"/>
      <c r="G451" s="141"/>
      <c r="H451" s="141"/>
      <c r="I451" s="112"/>
      <c r="J451" s="105"/>
      <c r="K451" s="105"/>
      <c r="L451" s="105"/>
      <c r="M451" s="140"/>
      <c r="N451" s="139"/>
      <c r="O451" s="139"/>
      <c r="P451" s="133"/>
      <c r="Q451" s="73"/>
      <c r="R451" s="139"/>
      <c r="S451" s="139"/>
      <c r="T451" s="139"/>
      <c r="U451" s="110"/>
      <c r="V451" s="110"/>
      <c r="W451" s="111"/>
      <c r="X451" s="105"/>
      <c r="Y451" s="105"/>
    </row>
    <row r="452" ht="15.75" customHeight="1">
      <c r="A452" s="127"/>
      <c r="B452" s="139"/>
      <c r="C452" s="139"/>
      <c r="D452" s="140"/>
      <c r="E452" s="141"/>
      <c r="F452" s="141"/>
      <c r="G452" s="141"/>
      <c r="H452" s="141"/>
      <c r="I452" s="112"/>
      <c r="J452" s="105"/>
      <c r="K452" s="105"/>
      <c r="L452" s="105"/>
      <c r="M452" s="140"/>
      <c r="N452" s="139"/>
      <c r="O452" s="139"/>
      <c r="P452" s="133"/>
      <c r="Q452" s="73"/>
      <c r="R452" s="139"/>
      <c r="S452" s="139"/>
      <c r="T452" s="139"/>
      <c r="U452" s="110"/>
      <c r="V452" s="110"/>
      <c r="W452" s="111"/>
      <c r="X452" s="105"/>
      <c r="Y452" s="105"/>
    </row>
    <row r="453" ht="15.75" customHeight="1">
      <c r="A453" s="127"/>
      <c r="B453" s="139"/>
      <c r="C453" s="139"/>
      <c r="D453" s="140"/>
      <c r="E453" s="141"/>
      <c r="F453" s="141"/>
      <c r="G453" s="141"/>
      <c r="H453" s="141"/>
      <c r="I453" s="112"/>
      <c r="J453" s="105"/>
      <c r="K453" s="105"/>
      <c r="L453" s="105"/>
      <c r="M453" s="140"/>
      <c r="N453" s="139"/>
      <c r="O453" s="139"/>
      <c r="P453" s="133"/>
      <c r="Q453" s="73"/>
      <c r="R453" s="139"/>
      <c r="S453" s="139"/>
      <c r="T453" s="139"/>
      <c r="U453" s="110"/>
      <c r="V453" s="110"/>
      <c r="W453" s="111"/>
      <c r="X453" s="105"/>
      <c r="Y453" s="105"/>
    </row>
    <row r="454" ht="15.75" customHeight="1">
      <c r="A454" s="127"/>
      <c r="B454" s="139"/>
      <c r="C454" s="139"/>
      <c r="D454" s="140"/>
      <c r="E454" s="141"/>
      <c r="F454" s="141"/>
      <c r="G454" s="141"/>
      <c r="H454" s="141"/>
      <c r="I454" s="112"/>
      <c r="J454" s="105"/>
      <c r="K454" s="105"/>
      <c r="L454" s="105"/>
      <c r="M454" s="140"/>
      <c r="N454" s="139"/>
      <c r="O454" s="139"/>
      <c r="P454" s="133"/>
      <c r="Q454" s="73"/>
      <c r="R454" s="139"/>
      <c r="S454" s="139"/>
      <c r="T454" s="139"/>
      <c r="U454" s="110"/>
      <c r="V454" s="110"/>
      <c r="W454" s="111"/>
      <c r="X454" s="105"/>
      <c r="Y454" s="105"/>
    </row>
    <row r="455" ht="15.75" customHeight="1">
      <c r="A455" s="127"/>
      <c r="B455" s="139"/>
      <c r="C455" s="139"/>
      <c r="D455" s="140"/>
      <c r="E455" s="141"/>
      <c r="F455" s="141"/>
      <c r="G455" s="141"/>
      <c r="H455" s="141"/>
      <c r="I455" s="112"/>
      <c r="J455" s="105"/>
      <c r="K455" s="105"/>
      <c r="L455" s="105"/>
      <c r="M455" s="140"/>
      <c r="N455" s="139"/>
      <c r="O455" s="139"/>
      <c r="P455" s="133"/>
      <c r="Q455" s="73"/>
      <c r="R455" s="139"/>
      <c r="S455" s="139"/>
      <c r="T455" s="139"/>
      <c r="U455" s="110"/>
      <c r="V455" s="110"/>
      <c r="W455" s="111"/>
      <c r="X455" s="105"/>
      <c r="Y455" s="105"/>
    </row>
    <row r="456" ht="15.75" customHeight="1">
      <c r="A456" s="127"/>
      <c r="B456" s="139"/>
      <c r="C456" s="139"/>
      <c r="D456" s="140"/>
      <c r="E456" s="141"/>
      <c r="F456" s="141"/>
      <c r="G456" s="141"/>
      <c r="H456" s="141"/>
      <c r="I456" s="112"/>
      <c r="J456" s="105"/>
      <c r="K456" s="105"/>
      <c r="L456" s="105"/>
      <c r="M456" s="140"/>
      <c r="N456" s="139"/>
      <c r="O456" s="139"/>
      <c r="P456" s="133"/>
      <c r="Q456" s="73"/>
      <c r="R456" s="139"/>
      <c r="S456" s="139"/>
      <c r="T456" s="139"/>
      <c r="U456" s="110"/>
      <c r="V456" s="110"/>
      <c r="W456" s="111"/>
      <c r="X456" s="105"/>
      <c r="Y456" s="105"/>
    </row>
    <row r="457" ht="15.75" customHeight="1">
      <c r="A457" s="127"/>
      <c r="B457" s="139"/>
      <c r="C457" s="139"/>
      <c r="D457" s="140"/>
      <c r="E457" s="141"/>
      <c r="F457" s="141"/>
      <c r="G457" s="141"/>
      <c r="H457" s="141"/>
      <c r="I457" s="112"/>
      <c r="J457" s="105"/>
      <c r="K457" s="105"/>
      <c r="L457" s="105"/>
      <c r="M457" s="140"/>
      <c r="N457" s="139"/>
      <c r="O457" s="139"/>
      <c r="P457" s="133"/>
      <c r="Q457" s="73"/>
      <c r="R457" s="139"/>
      <c r="S457" s="139"/>
      <c r="T457" s="139"/>
      <c r="U457" s="110"/>
      <c r="V457" s="110"/>
      <c r="W457" s="111"/>
      <c r="X457" s="105"/>
      <c r="Y457" s="105"/>
    </row>
    <row r="458" ht="15.75" customHeight="1">
      <c r="A458" s="127"/>
      <c r="B458" s="139"/>
      <c r="C458" s="139"/>
      <c r="D458" s="140"/>
      <c r="E458" s="141"/>
      <c r="F458" s="141"/>
      <c r="G458" s="141"/>
      <c r="H458" s="141"/>
      <c r="I458" s="112"/>
      <c r="J458" s="105"/>
      <c r="K458" s="105"/>
      <c r="L458" s="105"/>
      <c r="M458" s="140"/>
      <c r="N458" s="139"/>
      <c r="O458" s="139"/>
      <c r="P458" s="133"/>
      <c r="Q458" s="73"/>
      <c r="R458" s="139"/>
      <c r="S458" s="139"/>
      <c r="T458" s="139"/>
      <c r="U458" s="110"/>
      <c r="V458" s="110"/>
      <c r="W458" s="111"/>
      <c r="X458" s="105"/>
      <c r="Y458" s="105"/>
    </row>
    <row r="459" ht="15.75" customHeight="1">
      <c r="A459" s="127"/>
      <c r="B459" s="139"/>
      <c r="C459" s="139"/>
      <c r="D459" s="140"/>
      <c r="E459" s="141"/>
      <c r="F459" s="141"/>
      <c r="G459" s="141"/>
      <c r="H459" s="141"/>
      <c r="I459" s="112"/>
      <c r="J459" s="105"/>
      <c r="K459" s="105"/>
      <c r="L459" s="105"/>
      <c r="M459" s="140"/>
      <c r="N459" s="139"/>
      <c r="O459" s="139"/>
      <c r="P459" s="133"/>
      <c r="Q459" s="73"/>
      <c r="R459" s="139"/>
      <c r="S459" s="139"/>
      <c r="T459" s="139"/>
      <c r="U459" s="110"/>
      <c r="V459" s="110"/>
      <c r="W459" s="111"/>
      <c r="X459" s="105"/>
      <c r="Y459" s="105"/>
    </row>
    <row r="460" ht="15.75" customHeight="1">
      <c r="A460" s="127"/>
      <c r="B460" s="139"/>
      <c r="C460" s="139"/>
      <c r="D460" s="140"/>
      <c r="E460" s="141"/>
      <c r="F460" s="141"/>
      <c r="G460" s="141"/>
      <c r="H460" s="141"/>
      <c r="I460" s="112"/>
      <c r="J460" s="105"/>
      <c r="K460" s="105"/>
      <c r="L460" s="105"/>
      <c r="M460" s="140"/>
      <c r="N460" s="139"/>
      <c r="O460" s="139"/>
      <c r="P460" s="133"/>
      <c r="Q460" s="73"/>
      <c r="R460" s="139"/>
      <c r="S460" s="139"/>
      <c r="T460" s="139"/>
      <c r="U460" s="110"/>
      <c r="V460" s="110"/>
      <c r="W460" s="111"/>
      <c r="X460" s="105"/>
      <c r="Y460" s="105"/>
    </row>
    <row r="461" ht="15.75" customHeight="1">
      <c r="A461" s="127"/>
      <c r="B461" s="139"/>
      <c r="C461" s="139"/>
      <c r="D461" s="140"/>
      <c r="E461" s="141"/>
      <c r="F461" s="141"/>
      <c r="G461" s="141"/>
      <c r="H461" s="141"/>
      <c r="I461" s="112"/>
      <c r="J461" s="105"/>
      <c r="K461" s="105"/>
      <c r="L461" s="105"/>
      <c r="M461" s="140"/>
      <c r="N461" s="139"/>
      <c r="O461" s="139"/>
      <c r="P461" s="133"/>
      <c r="Q461" s="73"/>
      <c r="R461" s="139"/>
      <c r="S461" s="139"/>
      <c r="T461" s="139"/>
      <c r="U461" s="110"/>
      <c r="V461" s="110"/>
      <c r="W461" s="111"/>
      <c r="X461" s="105"/>
      <c r="Y461" s="105"/>
    </row>
    <row r="462" ht="15.75" customHeight="1">
      <c r="A462" s="127"/>
      <c r="B462" s="139"/>
      <c r="C462" s="139"/>
      <c r="D462" s="140"/>
      <c r="E462" s="141"/>
      <c r="F462" s="141"/>
      <c r="G462" s="141"/>
      <c r="H462" s="141"/>
      <c r="I462" s="112"/>
      <c r="J462" s="105"/>
      <c r="K462" s="105"/>
      <c r="L462" s="105"/>
      <c r="M462" s="140"/>
      <c r="N462" s="139"/>
      <c r="O462" s="139"/>
      <c r="P462" s="133"/>
      <c r="Q462" s="73"/>
      <c r="R462" s="139"/>
      <c r="S462" s="139"/>
      <c r="T462" s="139"/>
      <c r="U462" s="110"/>
      <c r="V462" s="110"/>
      <c r="W462" s="111"/>
      <c r="X462" s="105"/>
      <c r="Y462" s="105"/>
    </row>
    <row r="463" ht="15.75" customHeight="1">
      <c r="A463" s="127"/>
      <c r="B463" s="139"/>
      <c r="C463" s="139"/>
      <c r="D463" s="140"/>
      <c r="E463" s="141"/>
      <c r="F463" s="141"/>
      <c r="G463" s="141"/>
      <c r="H463" s="141"/>
      <c r="I463" s="112"/>
      <c r="J463" s="105"/>
      <c r="K463" s="105"/>
      <c r="L463" s="105"/>
      <c r="M463" s="140"/>
      <c r="N463" s="139"/>
      <c r="O463" s="139"/>
      <c r="P463" s="133"/>
      <c r="Q463" s="73"/>
      <c r="R463" s="139"/>
      <c r="S463" s="139"/>
      <c r="T463" s="139"/>
      <c r="U463" s="110"/>
      <c r="V463" s="110"/>
      <c r="W463" s="111"/>
      <c r="X463" s="105"/>
      <c r="Y463" s="105"/>
    </row>
    <row r="464" ht="15.75" customHeight="1">
      <c r="A464" s="127"/>
      <c r="B464" s="139"/>
      <c r="C464" s="139"/>
      <c r="D464" s="140"/>
      <c r="E464" s="141"/>
      <c r="F464" s="141"/>
      <c r="G464" s="141"/>
      <c r="H464" s="141"/>
      <c r="I464" s="112"/>
      <c r="J464" s="105"/>
      <c r="K464" s="105"/>
      <c r="L464" s="105"/>
      <c r="M464" s="140"/>
      <c r="N464" s="139"/>
      <c r="O464" s="139"/>
      <c r="P464" s="133"/>
      <c r="Q464" s="73"/>
      <c r="R464" s="139"/>
      <c r="S464" s="139"/>
      <c r="T464" s="139"/>
      <c r="U464" s="110"/>
      <c r="V464" s="110"/>
      <c r="W464" s="111"/>
      <c r="X464" s="105"/>
      <c r="Y464" s="105"/>
    </row>
    <row r="465" ht="15.75" customHeight="1">
      <c r="A465" s="127"/>
      <c r="B465" s="139"/>
      <c r="C465" s="139"/>
      <c r="D465" s="140"/>
      <c r="E465" s="141"/>
      <c r="F465" s="141"/>
      <c r="G465" s="141"/>
      <c r="H465" s="141"/>
      <c r="I465" s="112"/>
      <c r="J465" s="105"/>
      <c r="K465" s="105"/>
      <c r="L465" s="105"/>
      <c r="M465" s="140"/>
      <c r="N465" s="139"/>
      <c r="O465" s="139"/>
      <c r="P465" s="133"/>
      <c r="Q465" s="73"/>
      <c r="R465" s="139"/>
      <c r="S465" s="139"/>
      <c r="T465" s="139"/>
      <c r="U465" s="110"/>
      <c r="V465" s="110"/>
      <c r="W465" s="111"/>
      <c r="X465" s="105"/>
      <c r="Y465" s="105"/>
    </row>
    <row r="466" ht="15.75" customHeight="1">
      <c r="A466" s="127"/>
      <c r="B466" s="139"/>
      <c r="C466" s="139"/>
      <c r="D466" s="140"/>
      <c r="E466" s="141"/>
      <c r="F466" s="141"/>
      <c r="G466" s="141"/>
      <c r="H466" s="141"/>
      <c r="I466" s="112"/>
      <c r="J466" s="105"/>
      <c r="K466" s="105"/>
      <c r="L466" s="105"/>
      <c r="M466" s="140"/>
      <c r="N466" s="139"/>
      <c r="O466" s="139"/>
      <c r="P466" s="133"/>
      <c r="Q466" s="73"/>
      <c r="R466" s="139"/>
      <c r="S466" s="139"/>
      <c r="T466" s="139"/>
      <c r="U466" s="110"/>
      <c r="V466" s="110"/>
      <c r="W466" s="111"/>
      <c r="X466" s="105"/>
      <c r="Y466" s="105"/>
    </row>
    <row r="467" ht="15.75" customHeight="1">
      <c r="A467" s="127"/>
      <c r="B467" s="139"/>
      <c r="C467" s="139"/>
      <c r="D467" s="140"/>
      <c r="E467" s="141"/>
      <c r="F467" s="141"/>
      <c r="G467" s="141"/>
      <c r="H467" s="141"/>
      <c r="I467" s="112"/>
      <c r="J467" s="105"/>
      <c r="K467" s="105"/>
      <c r="L467" s="105"/>
      <c r="M467" s="140"/>
      <c r="N467" s="139"/>
      <c r="O467" s="139"/>
      <c r="P467" s="133"/>
      <c r="Q467" s="73"/>
      <c r="R467" s="139"/>
      <c r="S467" s="139"/>
      <c r="T467" s="139"/>
      <c r="U467" s="110"/>
      <c r="V467" s="110"/>
      <c r="W467" s="111"/>
      <c r="X467" s="105"/>
      <c r="Y467" s="105"/>
    </row>
    <row r="468" ht="15.75" customHeight="1">
      <c r="A468" s="127"/>
      <c r="B468" s="139"/>
      <c r="C468" s="139"/>
      <c r="D468" s="140"/>
      <c r="E468" s="141"/>
      <c r="F468" s="141"/>
      <c r="G468" s="141"/>
      <c r="H468" s="141"/>
      <c r="I468" s="112"/>
      <c r="J468" s="105"/>
      <c r="K468" s="105"/>
      <c r="L468" s="105"/>
      <c r="M468" s="140"/>
      <c r="N468" s="139"/>
      <c r="O468" s="139"/>
      <c r="P468" s="133"/>
      <c r="Q468" s="73"/>
      <c r="R468" s="139"/>
      <c r="S468" s="139"/>
      <c r="T468" s="139"/>
      <c r="U468" s="110"/>
      <c r="V468" s="110"/>
      <c r="W468" s="111"/>
      <c r="X468" s="105"/>
      <c r="Y468" s="105"/>
    </row>
    <row r="469" ht="15.75" customHeight="1">
      <c r="A469" s="127"/>
      <c r="B469" s="139"/>
      <c r="C469" s="139"/>
      <c r="D469" s="140"/>
      <c r="E469" s="141"/>
      <c r="F469" s="141"/>
      <c r="G469" s="141"/>
      <c r="H469" s="141"/>
      <c r="I469" s="112"/>
      <c r="J469" s="105"/>
      <c r="K469" s="105"/>
      <c r="L469" s="105"/>
      <c r="M469" s="140"/>
      <c r="N469" s="139"/>
      <c r="O469" s="139"/>
      <c r="P469" s="133"/>
      <c r="Q469" s="73"/>
      <c r="R469" s="139"/>
      <c r="S469" s="139"/>
      <c r="T469" s="139"/>
      <c r="U469" s="110"/>
      <c r="V469" s="110"/>
      <c r="W469" s="111"/>
      <c r="X469" s="105"/>
      <c r="Y469" s="105"/>
    </row>
    <row r="470" ht="15.75" customHeight="1">
      <c r="A470" s="127"/>
      <c r="B470" s="139"/>
      <c r="C470" s="139"/>
      <c r="D470" s="140"/>
      <c r="E470" s="141"/>
      <c r="F470" s="141"/>
      <c r="G470" s="141"/>
      <c r="H470" s="141"/>
      <c r="I470" s="112"/>
      <c r="J470" s="105"/>
      <c r="K470" s="105"/>
      <c r="L470" s="105"/>
      <c r="M470" s="140"/>
      <c r="N470" s="139"/>
      <c r="O470" s="139"/>
      <c r="P470" s="133"/>
      <c r="Q470" s="73"/>
      <c r="R470" s="139"/>
      <c r="S470" s="139"/>
      <c r="T470" s="139"/>
      <c r="U470" s="110"/>
      <c r="V470" s="110"/>
      <c r="W470" s="111"/>
      <c r="X470" s="105"/>
      <c r="Y470" s="105"/>
    </row>
    <row r="471" ht="15.75" customHeight="1">
      <c r="A471" s="127"/>
      <c r="B471" s="139"/>
      <c r="C471" s="139"/>
      <c r="D471" s="140"/>
      <c r="E471" s="141"/>
      <c r="F471" s="141"/>
      <c r="G471" s="141"/>
      <c r="H471" s="141"/>
      <c r="I471" s="112"/>
      <c r="J471" s="105"/>
      <c r="K471" s="105"/>
      <c r="L471" s="105"/>
      <c r="M471" s="140"/>
      <c r="N471" s="139"/>
      <c r="O471" s="139"/>
      <c r="P471" s="133"/>
      <c r="Q471" s="73"/>
      <c r="R471" s="139"/>
      <c r="S471" s="139"/>
      <c r="T471" s="139"/>
      <c r="U471" s="110"/>
      <c r="V471" s="110"/>
      <c r="W471" s="111"/>
      <c r="X471" s="105"/>
      <c r="Y471" s="105"/>
    </row>
    <row r="472" ht="15.75" customHeight="1">
      <c r="A472" s="127"/>
      <c r="B472" s="139"/>
      <c r="C472" s="139"/>
      <c r="D472" s="140"/>
      <c r="E472" s="141"/>
      <c r="F472" s="141"/>
      <c r="G472" s="141"/>
      <c r="H472" s="141"/>
      <c r="I472" s="112"/>
      <c r="J472" s="105"/>
      <c r="K472" s="105"/>
      <c r="L472" s="105"/>
      <c r="M472" s="140"/>
      <c r="N472" s="139"/>
      <c r="O472" s="139"/>
      <c r="P472" s="133"/>
      <c r="Q472" s="73"/>
      <c r="R472" s="139"/>
      <c r="S472" s="139"/>
      <c r="T472" s="139"/>
      <c r="U472" s="110"/>
      <c r="V472" s="110"/>
      <c r="W472" s="111"/>
      <c r="X472" s="105"/>
      <c r="Y472" s="105"/>
    </row>
    <row r="473" ht="15.75" customHeight="1">
      <c r="A473" s="127"/>
      <c r="B473" s="139"/>
      <c r="C473" s="139"/>
      <c r="D473" s="140"/>
      <c r="E473" s="141"/>
      <c r="F473" s="141"/>
      <c r="G473" s="141"/>
      <c r="H473" s="141"/>
      <c r="I473" s="112"/>
      <c r="J473" s="105"/>
      <c r="K473" s="105"/>
      <c r="L473" s="105"/>
      <c r="M473" s="140"/>
      <c r="N473" s="139"/>
      <c r="O473" s="139"/>
      <c r="P473" s="133"/>
      <c r="Q473" s="73"/>
      <c r="R473" s="139"/>
      <c r="S473" s="139"/>
      <c r="T473" s="139"/>
      <c r="U473" s="110"/>
      <c r="V473" s="110"/>
      <c r="W473" s="111"/>
      <c r="X473" s="105"/>
      <c r="Y473" s="105"/>
    </row>
    <row r="474" ht="15.75" customHeight="1">
      <c r="A474" s="127"/>
      <c r="B474" s="139"/>
      <c r="C474" s="139"/>
      <c r="D474" s="140"/>
      <c r="E474" s="141"/>
      <c r="F474" s="141"/>
      <c r="G474" s="141"/>
      <c r="H474" s="141"/>
      <c r="I474" s="112"/>
      <c r="J474" s="105"/>
      <c r="K474" s="105"/>
      <c r="L474" s="105"/>
      <c r="M474" s="140"/>
      <c r="N474" s="139"/>
      <c r="O474" s="139"/>
      <c r="P474" s="133"/>
      <c r="Q474" s="73"/>
      <c r="R474" s="139"/>
      <c r="S474" s="139"/>
      <c r="T474" s="139"/>
      <c r="U474" s="110"/>
      <c r="V474" s="110"/>
      <c r="W474" s="111"/>
      <c r="X474" s="105"/>
      <c r="Y474" s="105"/>
    </row>
    <row r="475" ht="15.75" customHeight="1">
      <c r="A475" s="127"/>
      <c r="B475" s="139"/>
      <c r="C475" s="139"/>
      <c r="D475" s="140"/>
      <c r="E475" s="141"/>
      <c r="F475" s="141"/>
      <c r="G475" s="141"/>
      <c r="H475" s="141"/>
      <c r="I475" s="112"/>
      <c r="J475" s="105"/>
      <c r="K475" s="105"/>
      <c r="L475" s="105"/>
      <c r="M475" s="140"/>
      <c r="N475" s="139"/>
      <c r="O475" s="139"/>
      <c r="P475" s="133"/>
      <c r="Q475" s="73"/>
      <c r="R475" s="139"/>
      <c r="S475" s="139"/>
      <c r="T475" s="139"/>
      <c r="U475" s="110"/>
      <c r="V475" s="110"/>
      <c r="W475" s="111"/>
      <c r="X475" s="105"/>
      <c r="Y475" s="105"/>
    </row>
    <row r="476" ht="15.75" customHeight="1">
      <c r="A476" s="127"/>
      <c r="B476" s="139"/>
      <c r="C476" s="139"/>
      <c r="D476" s="140"/>
      <c r="E476" s="141"/>
      <c r="F476" s="141"/>
      <c r="G476" s="141"/>
      <c r="H476" s="141"/>
      <c r="I476" s="112"/>
      <c r="J476" s="105"/>
      <c r="K476" s="105"/>
      <c r="L476" s="105"/>
      <c r="M476" s="140"/>
      <c r="N476" s="139"/>
      <c r="O476" s="139"/>
      <c r="P476" s="133"/>
      <c r="Q476" s="73"/>
      <c r="R476" s="139"/>
      <c r="S476" s="139"/>
      <c r="T476" s="139"/>
      <c r="U476" s="110"/>
      <c r="V476" s="110"/>
      <c r="W476" s="111"/>
      <c r="X476" s="105"/>
      <c r="Y476" s="105"/>
    </row>
    <row r="477" ht="15.75" customHeight="1">
      <c r="A477" s="144"/>
      <c r="B477" s="139"/>
      <c r="C477" s="139"/>
      <c r="D477" s="145"/>
      <c r="E477" s="139"/>
      <c r="F477" s="139"/>
      <c r="G477" s="139"/>
      <c r="H477" s="139"/>
      <c r="I477" s="139"/>
      <c r="J477" s="139"/>
      <c r="K477" s="139"/>
      <c r="L477" s="139"/>
      <c r="M477" s="145"/>
      <c r="N477" s="139"/>
      <c r="O477" s="139"/>
      <c r="P477" s="139"/>
      <c r="Q477" s="146"/>
      <c r="R477" s="139"/>
      <c r="S477" s="139"/>
      <c r="T477" s="139"/>
      <c r="U477" s="139"/>
      <c r="V477" s="139"/>
      <c r="W477" s="111"/>
      <c r="X477" s="139"/>
      <c r="Y477" s="139"/>
    </row>
    <row r="478" ht="15.75" customHeight="1">
      <c r="A478" s="144"/>
      <c r="B478" s="139"/>
      <c r="C478" s="139"/>
      <c r="D478" s="145"/>
      <c r="E478" s="139"/>
      <c r="F478" s="139"/>
      <c r="G478" s="139"/>
      <c r="H478" s="139"/>
      <c r="I478" s="139"/>
      <c r="J478" s="139"/>
      <c r="K478" s="139"/>
      <c r="L478" s="139"/>
      <c r="M478" s="145"/>
      <c r="N478" s="139"/>
      <c r="O478" s="139"/>
      <c r="P478" s="139"/>
      <c r="Q478" s="146"/>
      <c r="R478" s="139"/>
      <c r="S478" s="139"/>
      <c r="T478" s="139"/>
      <c r="U478" s="139"/>
      <c r="V478" s="139"/>
      <c r="W478" s="111"/>
      <c r="X478" s="139"/>
      <c r="Y478" s="139"/>
    </row>
    <row r="479" ht="15.75" customHeight="1">
      <c r="A479" s="144"/>
      <c r="B479" s="139"/>
      <c r="C479" s="139"/>
      <c r="D479" s="145"/>
      <c r="E479" s="139"/>
      <c r="F479" s="139"/>
      <c r="G479" s="139"/>
      <c r="H479" s="139"/>
      <c r="I479" s="139"/>
      <c r="J479" s="139"/>
      <c r="K479" s="139"/>
      <c r="L479" s="139"/>
      <c r="M479" s="145"/>
      <c r="N479" s="139"/>
      <c r="O479" s="139"/>
      <c r="P479" s="139"/>
      <c r="Q479" s="146"/>
      <c r="R479" s="139"/>
      <c r="S479" s="139"/>
      <c r="T479" s="139"/>
      <c r="U479" s="139"/>
      <c r="V479" s="139"/>
      <c r="W479" s="111"/>
      <c r="X479" s="139"/>
      <c r="Y479" s="139"/>
    </row>
    <row r="480" ht="15.75" customHeight="1">
      <c r="A480" s="144"/>
      <c r="B480" s="139"/>
      <c r="C480" s="139"/>
      <c r="D480" s="145"/>
      <c r="E480" s="139"/>
      <c r="F480" s="139"/>
      <c r="G480" s="139"/>
      <c r="H480" s="139"/>
      <c r="I480" s="139"/>
      <c r="J480" s="139"/>
      <c r="K480" s="139"/>
      <c r="L480" s="139"/>
      <c r="M480" s="145"/>
      <c r="N480" s="139"/>
      <c r="O480" s="139"/>
      <c r="P480" s="139"/>
      <c r="Q480" s="146"/>
      <c r="R480" s="139"/>
      <c r="S480" s="139"/>
      <c r="T480" s="139"/>
      <c r="U480" s="139"/>
      <c r="V480" s="139"/>
      <c r="W480" s="111"/>
      <c r="X480" s="139"/>
      <c r="Y480" s="139"/>
    </row>
    <row r="481" ht="15.75" customHeight="1">
      <c r="A481" s="144"/>
      <c r="B481" s="139"/>
      <c r="C481" s="139"/>
      <c r="D481" s="145"/>
      <c r="E481" s="139"/>
      <c r="F481" s="139"/>
      <c r="G481" s="139"/>
      <c r="H481" s="139"/>
      <c r="I481" s="139"/>
      <c r="J481" s="139"/>
      <c r="K481" s="139"/>
      <c r="L481" s="139"/>
      <c r="M481" s="145"/>
      <c r="N481" s="139"/>
      <c r="O481" s="139"/>
      <c r="P481" s="139"/>
      <c r="Q481" s="146"/>
      <c r="R481" s="139"/>
      <c r="S481" s="139"/>
      <c r="T481" s="139"/>
      <c r="U481" s="139"/>
      <c r="V481" s="139"/>
      <c r="W481" s="111"/>
      <c r="X481" s="139"/>
      <c r="Y481" s="139"/>
    </row>
    <row r="482" ht="15.75" customHeight="1">
      <c r="A482" s="144"/>
      <c r="B482" s="139"/>
      <c r="C482" s="139"/>
      <c r="D482" s="145"/>
      <c r="E482" s="139"/>
      <c r="F482" s="139"/>
      <c r="G482" s="139"/>
      <c r="H482" s="139"/>
      <c r="I482" s="139"/>
      <c r="J482" s="139"/>
      <c r="K482" s="139"/>
      <c r="L482" s="139"/>
      <c r="M482" s="145"/>
      <c r="N482" s="139"/>
      <c r="O482" s="139"/>
      <c r="P482" s="139"/>
      <c r="Q482" s="146"/>
      <c r="R482" s="139"/>
      <c r="S482" s="139"/>
      <c r="T482" s="139"/>
      <c r="U482" s="139"/>
      <c r="V482" s="139"/>
      <c r="W482" s="111"/>
      <c r="X482" s="139"/>
      <c r="Y482" s="139"/>
    </row>
    <row r="483" ht="15.75" customHeight="1">
      <c r="A483" s="144"/>
      <c r="B483" s="139"/>
      <c r="C483" s="139"/>
      <c r="D483" s="145"/>
      <c r="E483" s="139"/>
      <c r="F483" s="139"/>
      <c r="G483" s="139"/>
      <c r="H483" s="139"/>
      <c r="I483" s="139"/>
      <c r="J483" s="139"/>
      <c r="K483" s="139"/>
      <c r="L483" s="139"/>
      <c r="M483" s="145"/>
      <c r="N483" s="139"/>
      <c r="O483" s="139"/>
      <c r="P483" s="139"/>
      <c r="Q483" s="146"/>
      <c r="R483" s="139"/>
      <c r="S483" s="139"/>
      <c r="T483" s="139"/>
      <c r="U483" s="139"/>
      <c r="V483" s="139"/>
      <c r="W483" s="111"/>
      <c r="X483" s="139"/>
      <c r="Y483" s="139"/>
    </row>
    <row r="484" ht="15.75" customHeight="1">
      <c r="A484" s="144"/>
      <c r="B484" s="139"/>
      <c r="C484" s="139"/>
      <c r="D484" s="145"/>
      <c r="E484" s="139"/>
      <c r="F484" s="139"/>
      <c r="G484" s="139"/>
      <c r="H484" s="139"/>
      <c r="I484" s="139"/>
      <c r="J484" s="139"/>
      <c r="K484" s="139"/>
      <c r="L484" s="139"/>
      <c r="M484" s="145"/>
      <c r="N484" s="139"/>
      <c r="O484" s="139"/>
      <c r="P484" s="139"/>
      <c r="Q484" s="146"/>
      <c r="R484" s="139"/>
      <c r="S484" s="139"/>
      <c r="T484" s="139"/>
      <c r="U484" s="139"/>
      <c r="V484" s="139"/>
      <c r="W484" s="111"/>
      <c r="X484" s="139"/>
      <c r="Y484" s="139"/>
    </row>
    <row r="485" ht="15.75" customHeight="1">
      <c r="A485" s="144"/>
      <c r="B485" s="139"/>
      <c r="C485" s="139"/>
      <c r="D485" s="145"/>
      <c r="E485" s="139"/>
      <c r="F485" s="139"/>
      <c r="G485" s="139"/>
      <c r="H485" s="139"/>
      <c r="I485" s="139"/>
      <c r="J485" s="139"/>
      <c r="K485" s="139"/>
      <c r="L485" s="139"/>
      <c r="M485" s="145"/>
      <c r="N485" s="139"/>
      <c r="O485" s="139"/>
      <c r="P485" s="139"/>
      <c r="Q485" s="146"/>
      <c r="R485" s="139"/>
      <c r="S485" s="139"/>
      <c r="T485" s="139"/>
      <c r="U485" s="139"/>
      <c r="V485" s="139"/>
      <c r="W485" s="111"/>
      <c r="X485" s="139"/>
      <c r="Y485" s="139"/>
    </row>
    <row r="486" ht="15.75" customHeight="1">
      <c r="A486" s="144"/>
      <c r="B486" s="139"/>
      <c r="C486" s="139"/>
      <c r="D486" s="145"/>
      <c r="E486" s="139"/>
      <c r="F486" s="139"/>
      <c r="G486" s="139"/>
      <c r="H486" s="139"/>
      <c r="I486" s="139"/>
      <c r="J486" s="139"/>
      <c r="K486" s="139"/>
      <c r="L486" s="139"/>
      <c r="M486" s="145"/>
      <c r="N486" s="139"/>
      <c r="O486" s="139"/>
      <c r="P486" s="139"/>
      <c r="Q486" s="146"/>
      <c r="R486" s="139"/>
      <c r="S486" s="139"/>
      <c r="T486" s="139"/>
      <c r="U486" s="139"/>
      <c r="V486" s="139"/>
      <c r="W486" s="111"/>
      <c r="X486" s="139"/>
      <c r="Y486" s="139"/>
    </row>
    <row r="487" ht="15.75" customHeight="1">
      <c r="A487" s="144"/>
      <c r="B487" s="139"/>
      <c r="C487" s="139"/>
      <c r="D487" s="145"/>
      <c r="E487" s="139"/>
      <c r="F487" s="139"/>
      <c r="G487" s="139"/>
      <c r="H487" s="139"/>
      <c r="I487" s="139"/>
      <c r="J487" s="139"/>
      <c r="K487" s="139"/>
      <c r="L487" s="139"/>
      <c r="M487" s="145"/>
      <c r="N487" s="139"/>
      <c r="O487" s="139"/>
      <c r="P487" s="139"/>
      <c r="Q487" s="146"/>
      <c r="R487" s="139"/>
      <c r="S487" s="139"/>
      <c r="T487" s="139"/>
      <c r="U487" s="139"/>
      <c r="V487" s="139"/>
      <c r="W487" s="111"/>
      <c r="X487" s="139"/>
      <c r="Y487" s="139"/>
    </row>
    <row r="488" ht="15.75" customHeight="1">
      <c r="A488" s="144"/>
      <c r="B488" s="139"/>
      <c r="C488" s="139"/>
      <c r="D488" s="145"/>
      <c r="E488" s="139"/>
      <c r="F488" s="139"/>
      <c r="G488" s="139"/>
      <c r="H488" s="139"/>
      <c r="I488" s="139"/>
      <c r="J488" s="139"/>
      <c r="K488" s="139"/>
      <c r="L488" s="139"/>
      <c r="M488" s="145"/>
      <c r="N488" s="139"/>
      <c r="O488" s="139"/>
      <c r="P488" s="139"/>
      <c r="Q488" s="146"/>
      <c r="R488" s="139"/>
      <c r="S488" s="139"/>
      <c r="T488" s="139"/>
      <c r="U488" s="139"/>
      <c r="V488" s="139"/>
      <c r="W488" s="111"/>
      <c r="X488" s="139"/>
      <c r="Y488" s="139"/>
    </row>
    <row r="489" ht="15.75" customHeight="1">
      <c r="A489" s="144"/>
      <c r="B489" s="139"/>
      <c r="C489" s="139"/>
      <c r="D489" s="145"/>
      <c r="E489" s="139"/>
      <c r="F489" s="139"/>
      <c r="G489" s="139"/>
      <c r="H489" s="139"/>
      <c r="I489" s="139"/>
      <c r="J489" s="139"/>
      <c r="K489" s="139"/>
      <c r="L489" s="139"/>
      <c r="M489" s="145"/>
      <c r="N489" s="139"/>
      <c r="O489" s="139"/>
      <c r="P489" s="139"/>
      <c r="Q489" s="146"/>
      <c r="R489" s="139"/>
      <c r="S489" s="139"/>
      <c r="T489" s="139"/>
      <c r="U489" s="139"/>
      <c r="V489" s="139"/>
      <c r="W489" s="111"/>
      <c r="X489" s="139"/>
      <c r="Y489" s="139"/>
    </row>
    <row r="490" ht="15.75" customHeight="1">
      <c r="A490" s="144"/>
      <c r="B490" s="139"/>
      <c r="C490" s="139"/>
      <c r="D490" s="145"/>
      <c r="E490" s="139"/>
      <c r="F490" s="139"/>
      <c r="G490" s="139"/>
      <c r="H490" s="139"/>
      <c r="I490" s="139"/>
      <c r="J490" s="139"/>
      <c r="K490" s="139"/>
      <c r="L490" s="139"/>
      <c r="M490" s="145"/>
      <c r="N490" s="139"/>
      <c r="O490" s="139"/>
      <c r="P490" s="139"/>
      <c r="Q490" s="146"/>
      <c r="R490" s="139"/>
      <c r="S490" s="139"/>
      <c r="T490" s="139"/>
      <c r="U490" s="139"/>
      <c r="V490" s="139"/>
      <c r="W490" s="111"/>
      <c r="X490" s="139"/>
      <c r="Y490" s="139"/>
    </row>
    <row r="491" ht="15.75" customHeight="1">
      <c r="A491" s="144"/>
      <c r="B491" s="139"/>
      <c r="C491" s="139"/>
      <c r="D491" s="145"/>
      <c r="E491" s="139"/>
      <c r="F491" s="139"/>
      <c r="G491" s="139"/>
      <c r="H491" s="139"/>
      <c r="I491" s="139"/>
      <c r="J491" s="139"/>
      <c r="K491" s="139"/>
      <c r="L491" s="139"/>
      <c r="M491" s="145"/>
      <c r="N491" s="139"/>
      <c r="O491" s="139"/>
      <c r="P491" s="139"/>
      <c r="Q491" s="146"/>
      <c r="R491" s="139"/>
      <c r="S491" s="139"/>
      <c r="T491" s="139"/>
      <c r="U491" s="139"/>
      <c r="V491" s="139"/>
      <c r="W491" s="111"/>
      <c r="X491" s="139"/>
      <c r="Y491" s="139"/>
    </row>
    <row r="492" ht="15.75" customHeight="1">
      <c r="A492" s="144"/>
      <c r="B492" s="139"/>
      <c r="C492" s="139"/>
      <c r="D492" s="145"/>
      <c r="E492" s="139"/>
      <c r="F492" s="139"/>
      <c r="G492" s="139"/>
      <c r="H492" s="139"/>
      <c r="I492" s="139"/>
      <c r="J492" s="139"/>
      <c r="K492" s="139"/>
      <c r="L492" s="139"/>
      <c r="M492" s="145"/>
      <c r="N492" s="139"/>
      <c r="O492" s="139"/>
      <c r="P492" s="139"/>
      <c r="Q492" s="146"/>
      <c r="R492" s="139"/>
      <c r="S492" s="139"/>
      <c r="T492" s="139"/>
      <c r="U492" s="139"/>
      <c r="V492" s="139"/>
      <c r="W492" s="111"/>
      <c r="X492" s="139"/>
      <c r="Y492" s="139"/>
    </row>
    <row r="493" ht="15.75" customHeight="1">
      <c r="A493" s="144"/>
      <c r="B493" s="139"/>
      <c r="C493" s="139"/>
      <c r="D493" s="145"/>
      <c r="E493" s="139"/>
      <c r="F493" s="139"/>
      <c r="G493" s="139"/>
      <c r="H493" s="139"/>
      <c r="I493" s="139"/>
      <c r="J493" s="139"/>
      <c r="K493" s="139"/>
      <c r="L493" s="139"/>
      <c r="M493" s="145"/>
      <c r="N493" s="139"/>
      <c r="O493" s="139"/>
      <c r="P493" s="139"/>
      <c r="Q493" s="146"/>
      <c r="R493" s="139"/>
      <c r="S493" s="139"/>
      <c r="T493" s="139"/>
      <c r="U493" s="139"/>
      <c r="V493" s="139"/>
      <c r="W493" s="111"/>
      <c r="X493" s="139"/>
      <c r="Y493" s="139"/>
    </row>
    <row r="494" ht="15.75" customHeight="1">
      <c r="A494" s="144"/>
      <c r="B494" s="139"/>
      <c r="C494" s="139"/>
      <c r="D494" s="145"/>
      <c r="E494" s="139"/>
      <c r="F494" s="139"/>
      <c r="G494" s="139"/>
      <c r="H494" s="139"/>
      <c r="I494" s="139"/>
      <c r="J494" s="139"/>
      <c r="K494" s="139"/>
      <c r="L494" s="139"/>
      <c r="M494" s="145"/>
      <c r="N494" s="139"/>
      <c r="O494" s="139"/>
      <c r="P494" s="139"/>
      <c r="Q494" s="146"/>
      <c r="R494" s="139"/>
      <c r="S494" s="139"/>
      <c r="T494" s="139"/>
      <c r="U494" s="139"/>
      <c r="V494" s="139"/>
      <c r="W494" s="111"/>
      <c r="X494" s="139"/>
      <c r="Y494" s="139"/>
    </row>
    <row r="495" ht="15.75" customHeight="1">
      <c r="A495" s="144"/>
      <c r="B495" s="139"/>
      <c r="C495" s="139"/>
      <c r="D495" s="145"/>
      <c r="E495" s="139"/>
      <c r="F495" s="139"/>
      <c r="G495" s="139"/>
      <c r="H495" s="139"/>
      <c r="I495" s="139"/>
      <c r="J495" s="139"/>
      <c r="K495" s="139"/>
      <c r="L495" s="139"/>
      <c r="M495" s="145"/>
      <c r="N495" s="139"/>
      <c r="O495" s="139"/>
      <c r="P495" s="139"/>
      <c r="Q495" s="146"/>
      <c r="R495" s="139"/>
      <c r="S495" s="139"/>
      <c r="T495" s="139"/>
      <c r="U495" s="139"/>
      <c r="V495" s="139"/>
      <c r="W495" s="111"/>
      <c r="X495" s="139"/>
      <c r="Y495" s="139"/>
    </row>
    <row r="496" ht="15.75" customHeight="1">
      <c r="A496" s="144"/>
      <c r="B496" s="139"/>
      <c r="C496" s="139"/>
      <c r="D496" s="145"/>
      <c r="E496" s="139"/>
      <c r="F496" s="139"/>
      <c r="G496" s="139"/>
      <c r="H496" s="139"/>
      <c r="I496" s="139"/>
      <c r="J496" s="139"/>
      <c r="K496" s="139"/>
      <c r="L496" s="139"/>
      <c r="M496" s="145"/>
      <c r="N496" s="139"/>
      <c r="O496" s="139"/>
      <c r="P496" s="139"/>
      <c r="Q496" s="146"/>
      <c r="R496" s="139"/>
      <c r="S496" s="139"/>
      <c r="T496" s="139"/>
      <c r="U496" s="139"/>
      <c r="V496" s="139"/>
      <c r="W496" s="111"/>
      <c r="X496" s="139"/>
      <c r="Y496" s="139"/>
    </row>
    <row r="497" ht="15.75" customHeight="1">
      <c r="A497" s="144"/>
      <c r="B497" s="139"/>
      <c r="C497" s="139"/>
      <c r="D497" s="145"/>
      <c r="E497" s="139"/>
      <c r="F497" s="139"/>
      <c r="G497" s="139"/>
      <c r="H497" s="139"/>
      <c r="I497" s="139"/>
      <c r="J497" s="139"/>
      <c r="K497" s="139"/>
      <c r="L497" s="139"/>
      <c r="M497" s="145"/>
      <c r="N497" s="139"/>
      <c r="O497" s="139"/>
      <c r="P497" s="139"/>
      <c r="Q497" s="146"/>
      <c r="R497" s="139"/>
      <c r="S497" s="139"/>
      <c r="T497" s="139"/>
      <c r="U497" s="139"/>
      <c r="V497" s="139"/>
      <c r="W497" s="111"/>
      <c r="X497" s="139"/>
      <c r="Y497" s="139"/>
    </row>
    <row r="498" ht="15.75" customHeight="1">
      <c r="A498" s="144"/>
      <c r="B498" s="139"/>
      <c r="C498" s="139"/>
      <c r="D498" s="145"/>
      <c r="E498" s="139"/>
      <c r="F498" s="139"/>
      <c r="G498" s="139"/>
      <c r="H498" s="139"/>
      <c r="I498" s="139"/>
      <c r="J498" s="139"/>
      <c r="K498" s="139"/>
      <c r="L498" s="139"/>
      <c r="M498" s="145"/>
      <c r="N498" s="139"/>
      <c r="O498" s="139"/>
      <c r="P498" s="139"/>
      <c r="Q498" s="146"/>
      <c r="R498" s="139"/>
      <c r="S498" s="139"/>
      <c r="T498" s="139"/>
      <c r="U498" s="139"/>
      <c r="V498" s="139"/>
      <c r="W498" s="111"/>
      <c r="X498" s="139"/>
      <c r="Y498" s="139"/>
    </row>
    <row r="499" ht="15.75" customHeight="1">
      <c r="A499" s="144"/>
      <c r="B499" s="139"/>
      <c r="C499" s="139"/>
      <c r="D499" s="145"/>
      <c r="E499" s="139"/>
      <c r="F499" s="139"/>
      <c r="G499" s="139"/>
      <c r="H499" s="139"/>
      <c r="I499" s="139"/>
      <c r="J499" s="139"/>
      <c r="K499" s="139"/>
      <c r="L499" s="139"/>
      <c r="M499" s="145"/>
      <c r="N499" s="139"/>
      <c r="O499" s="139"/>
      <c r="P499" s="139"/>
      <c r="Q499" s="146"/>
      <c r="R499" s="139"/>
      <c r="S499" s="139"/>
      <c r="T499" s="139"/>
      <c r="U499" s="139"/>
      <c r="V499" s="139"/>
      <c r="W499" s="111"/>
      <c r="X499" s="139"/>
      <c r="Y499" s="139"/>
    </row>
    <row r="500" ht="15.75" customHeight="1">
      <c r="A500" s="144"/>
      <c r="B500" s="139"/>
      <c r="C500" s="139"/>
      <c r="D500" s="145"/>
      <c r="E500" s="139"/>
      <c r="F500" s="139"/>
      <c r="G500" s="139"/>
      <c r="H500" s="139"/>
      <c r="I500" s="139"/>
      <c r="J500" s="139"/>
      <c r="K500" s="139"/>
      <c r="L500" s="139"/>
      <c r="M500" s="145"/>
      <c r="N500" s="139"/>
      <c r="O500" s="139"/>
      <c r="P500" s="139"/>
      <c r="Q500" s="146"/>
      <c r="R500" s="139"/>
      <c r="S500" s="139"/>
      <c r="T500" s="139"/>
      <c r="U500" s="139"/>
      <c r="V500" s="139"/>
      <c r="W500" s="111"/>
      <c r="X500" s="139"/>
      <c r="Y500" s="139"/>
    </row>
    <row r="501" ht="15.75" customHeight="1">
      <c r="A501" s="144"/>
      <c r="B501" s="139"/>
      <c r="C501" s="139"/>
      <c r="D501" s="145"/>
      <c r="E501" s="139"/>
      <c r="F501" s="139"/>
      <c r="G501" s="139"/>
      <c r="H501" s="139"/>
      <c r="I501" s="139"/>
      <c r="J501" s="139"/>
      <c r="K501" s="139"/>
      <c r="L501" s="139"/>
      <c r="M501" s="145"/>
      <c r="N501" s="139"/>
      <c r="O501" s="139"/>
      <c r="P501" s="139"/>
      <c r="Q501" s="146"/>
      <c r="R501" s="139"/>
      <c r="S501" s="139"/>
      <c r="T501" s="139"/>
      <c r="U501" s="139"/>
      <c r="V501" s="139"/>
      <c r="W501" s="111"/>
      <c r="X501" s="139"/>
      <c r="Y501" s="139"/>
    </row>
    <row r="502" ht="15.75" customHeight="1">
      <c r="A502" s="144"/>
      <c r="B502" s="139"/>
      <c r="C502" s="139"/>
      <c r="D502" s="145"/>
      <c r="E502" s="139"/>
      <c r="F502" s="139"/>
      <c r="G502" s="139"/>
      <c r="H502" s="139"/>
      <c r="I502" s="139"/>
      <c r="J502" s="139"/>
      <c r="K502" s="139"/>
      <c r="L502" s="139"/>
      <c r="M502" s="145"/>
      <c r="N502" s="139"/>
      <c r="O502" s="139"/>
      <c r="P502" s="139"/>
      <c r="Q502" s="146"/>
      <c r="R502" s="139"/>
      <c r="S502" s="139"/>
      <c r="T502" s="139"/>
      <c r="U502" s="139"/>
      <c r="V502" s="139"/>
      <c r="W502" s="111"/>
      <c r="X502" s="139"/>
      <c r="Y502" s="139"/>
    </row>
    <row r="503" ht="15.75" customHeight="1">
      <c r="A503" s="144"/>
      <c r="B503" s="139"/>
      <c r="C503" s="139"/>
      <c r="D503" s="145"/>
      <c r="E503" s="139"/>
      <c r="F503" s="139"/>
      <c r="G503" s="139"/>
      <c r="H503" s="139"/>
      <c r="I503" s="139"/>
      <c r="J503" s="139"/>
      <c r="K503" s="139"/>
      <c r="L503" s="139"/>
      <c r="M503" s="145"/>
      <c r="N503" s="139"/>
      <c r="O503" s="139"/>
      <c r="P503" s="139"/>
      <c r="Q503" s="146"/>
      <c r="R503" s="139"/>
      <c r="S503" s="139"/>
      <c r="T503" s="139"/>
      <c r="U503" s="139"/>
      <c r="V503" s="139"/>
      <c r="W503" s="111"/>
      <c r="X503" s="139"/>
      <c r="Y503" s="139"/>
    </row>
    <row r="504" ht="15.75" customHeight="1">
      <c r="A504" s="144"/>
      <c r="B504" s="139"/>
      <c r="C504" s="139"/>
      <c r="D504" s="145"/>
      <c r="E504" s="139"/>
      <c r="F504" s="139"/>
      <c r="G504" s="139"/>
      <c r="H504" s="139"/>
      <c r="I504" s="139"/>
      <c r="J504" s="139"/>
      <c r="K504" s="139"/>
      <c r="L504" s="139"/>
      <c r="M504" s="145"/>
      <c r="N504" s="139"/>
      <c r="O504" s="139"/>
      <c r="P504" s="139"/>
      <c r="Q504" s="146"/>
      <c r="R504" s="139"/>
      <c r="S504" s="139"/>
      <c r="T504" s="139"/>
      <c r="U504" s="139"/>
      <c r="V504" s="139"/>
      <c r="W504" s="111"/>
      <c r="X504" s="139"/>
      <c r="Y504" s="139"/>
    </row>
    <row r="505" ht="15.75" customHeight="1">
      <c r="A505" s="144"/>
      <c r="B505" s="139"/>
      <c r="C505" s="139"/>
      <c r="D505" s="145"/>
      <c r="E505" s="139"/>
      <c r="F505" s="139"/>
      <c r="G505" s="139"/>
      <c r="H505" s="139"/>
      <c r="I505" s="139"/>
      <c r="J505" s="139"/>
      <c r="K505" s="139"/>
      <c r="L505" s="139"/>
      <c r="M505" s="145"/>
      <c r="N505" s="139"/>
      <c r="O505" s="139"/>
      <c r="P505" s="139"/>
      <c r="Q505" s="146"/>
      <c r="R505" s="139"/>
      <c r="S505" s="139"/>
      <c r="T505" s="139"/>
      <c r="U505" s="139"/>
      <c r="V505" s="139"/>
      <c r="W505" s="111"/>
      <c r="X505" s="139"/>
      <c r="Y505" s="139"/>
    </row>
    <row r="506" ht="15.75" customHeight="1">
      <c r="A506" s="144"/>
      <c r="B506" s="139"/>
      <c r="C506" s="139"/>
      <c r="D506" s="145"/>
      <c r="E506" s="139"/>
      <c r="F506" s="139"/>
      <c r="G506" s="139"/>
      <c r="H506" s="139"/>
      <c r="I506" s="139"/>
      <c r="J506" s="139"/>
      <c r="K506" s="139"/>
      <c r="L506" s="139"/>
      <c r="M506" s="145"/>
      <c r="N506" s="139"/>
      <c r="O506" s="139"/>
      <c r="P506" s="139"/>
      <c r="Q506" s="146"/>
      <c r="R506" s="139"/>
      <c r="S506" s="139"/>
      <c r="T506" s="139"/>
      <c r="U506" s="139"/>
      <c r="V506" s="139"/>
      <c r="W506" s="111"/>
      <c r="X506" s="139"/>
      <c r="Y506" s="139"/>
    </row>
    <row r="507" ht="15.75" customHeight="1">
      <c r="A507" s="144"/>
      <c r="B507" s="139"/>
      <c r="C507" s="139"/>
      <c r="D507" s="145"/>
      <c r="E507" s="139"/>
      <c r="F507" s="139"/>
      <c r="G507" s="139"/>
      <c r="H507" s="139"/>
      <c r="I507" s="139"/>
      <c r="J507" s="139"/>
      <c r="K507" s="139"/>
      <c r="L507" s="139"/>
      <c r="M507" s="145"/>
      <c r="N507" s="139"/>
      <c r="O507" s="139"/>
      <c r="P507" s="139"/>
      <c r="Q507" s="146"/>
      <c r="R507" s="139"/>
      <c r="S507" s="139"/>
      <c r="T507" s="139"/>
      <c r="U507" s="139"/>
      <c r="V507" s="139"/>
      <c r="W507" s="111"/>
      <c r="X507" s="139"/>
      <c r="Y507" s="139"/>
    </row>
    <row r="508" ht="15.75" customHeight="1">
      <c r="A508" s="144"/>
      <c r="B508" s="139"/>
      <c r="C508" s="139"/>
      <c r="D508" s="145"/>
      <c r="E508" s="139"/>
      <c r="F508" s="139"/>
      <c r="G508" s="139"/>
      <c r="H508" s="139"/>
      <c r="I508" s="139"/>
      <c r="J508" s="139"/>
      <c r="K508" s="139"/>
      <c r="L508" s="139"/>
      <c r="M508" s="145"/>
      <c r="N508" s="139"/>
      <c r="O508" s="139"/>
      <c r="P508" s="139"/>
      <c r="Q508" s="146"/>
      <c r="R508" s="139"/>
      <c r="S508" s="139"/>
      <c r="T508" s="139"/>
      <c r="U508" s="139"/>
      <c r="V508" s="139"/>
      <c r="W508" s="111"/>
      <c r="X508" s="139"/>
      <c r="Y508" s="139"/>
    </row>
    <row r="509" ht="15.75" customHeight="1">
      <c r="A509" s="144"/>
      <c r="B509" s="139"/>
      <c r="C509" s="139"/>
      <c r="D509" s="145"/>
      <c r="E509" s="139"/>
      <c r="F509" s="139"/>
      <c r="G509" s="139"/>
      <c r="H509" s="139"/>
      <c r="I509" s="139"/>
      <c r="J509" s="139"/>
      <c r="K509" s="139"/>
      <c r="L509" s="139"/>
      <c r="M509" s="145"/>
      <c r="N509" s="139"/>
      <c r="O509" s="139"/>
      <c r="P509" s="139"/>
      <c r="Q509" s="146"/>
      <c r="R509" s="139"/>
      <c r="S509" s="139"/>
      <c r="T509" s="139"/>
      <c r="U509" s="139"/>
      <c r="V509" s="139"/>
      <c r="W509" s="111"/>
      <c r="X509" s="139"/>
      <c r="Y509" s="139"/>
    </row>
    <row r="510" ht="15.75" customHeight="1">
      <c r="A510" s="144"/>
      <c r="B510" s="139"/>
      <c r="C510" s="139"/>
      <c r="D510" s="145"/>
      <c r="E510" s="139"/>
      <c r="F510" s="139"/>
      <c r="G510" s="139"/>
      <c r="H510" s="139"/>
      <c r="I510" s="139"/>
      <c r="J510" s="139"/>
      <c r="K510" s="139"/>
      <c r="L510" s="139"/>
      <c r="M510" s="145"/>
      <c r="N510" s="139"/>
      <c r="O510" s="139"/>
      <c r="P510" s="139"/>
      <c r="Q510" s="146"/>
      <c r="R510" s="139"/>
      <c r="S510" s="139"/>
      <c r="T510" s="139"/>
      <c r="U510" s="139"/>
      <c r="V510" s="139"/>
      <c r="W510" s="111"/>
      <c r="X510" s="139"/>
      <c r="Y510" s="139"/>
    </row>
    <row r="511" ht="15.75" customHeight="1">
      <c r="A511" s="144"/>
      <c r="B511" s="139"/>
      <c r="C511" s="139"/>
      <c r="D511" s="145"/>
      <c r="E511" s="139"/>
      <c r="F511" s="139"/>
      <c r="G511" s="139"/>
      <c r="H511" s="139"/>
      <c r="I511" s="139"/>
      <c r="J511" s="139"/>
      <c r="K511" s="139"/>
      <c r="L511" s="139"/>
      <c r="M511" s="145"/>
      <c r="N511" s="139"/>
      <c r="O511" s="139"/>
      <c r="P511" s="139"/>
      <c r="Q511" s="146"/>
      <c r="R511" s="139"/>
      <c r="S511" s="139"/>
      <c r="T511" s="139"/>
      <c r="U511" s="139"/>
      <c r="V511" s="139"/>
      <c r="W511" s="111"/>
      <c r="X511" s="139"/>
      <c r="Y511" s="139"/>
    </row>
    <row r="512" ht="15.75" customHeight="1">
      <c r="A512" s="144"/>
      <c r="B512" s="139"/>
      <c r="C512" s="139"/>
      <c r="D512" s="145"/>
      <c r="E512" s="139"/>
      <c r="F512" s="139"/>
      <c r="G512" s="139"/>
      <c r="H512" s="139"/>
      <c r="I512" s="139"/>
      <c r="J512" s="139"/>
      <c r="K512" s="139"/>
      <c r="L512" s="139"/>
      <c r="M512" s="145"/>
      <c r="N512" s="139"/>
      <c r="O512" s="139"/>
      <c r="P512" s="139"/>
      <c r="Q512" s="146"/>
      <c r="R512" s="139"/>
      <c r="S512" s="139"/>
      <c r="T512" s="139"/>
      <c r="U512" s="139"/>
      <c r="V512" s="139"/>
      <c r="W512" s="111"/>
      <c r="X512" s="139"/>
      <c r="Y512" s="139"/>
    </row>
    <row r="513" ht="15.75" customHeight="1">
      <c r="A513" s="144"/>
      <c r="B513" s="139"/>
      <c r="C513" s="139"/>
      <c r="D513" s="145"/>
      <c r="E513" s="139"/>
      <c r="F513" s="139"/>
      <c r="G513" s="139"/>
      <c r="H513" s="139"/>
      <c r="I513" s="139"/>
      <c r="J513" s="139"/>
      <c r="K513" s="139"/>
      <c r="L513" s="139"/>
      <c r="M513" s="145"/>
      <c r="N513" s="139"/>
      <c r="O513" s="139"/>
      <c r="P513" s="139"/>
      <c r="Q513" s="146"/>
      <c r="R513" s="139"/>
      <c r="S513" s="139"/>
      <c r="T513" s="139"/>
      <c r="U513" s="139"/>
      <c r="V513" s="139"/>
      <c r="W513" s="111"/>
      <c r="X513" s="139"/>
      <c r="Y513" s="139"/>
    </row>
    <row r="514" ht="15.75" customHeight="1">
      <c r="A514" s="144"/>
      <c r="B514" s="139"/>
      <c r="C514" s="139"/>
      <c r="D514" s="145"/>
      <c r="E514" s="139"/>
      <c r="F514" s="139"/>
      <c r="G514" s="139"/>
      <c r="H514" s="139"/>
      <c r="I514" s="139"/>
      <c r="J514" s="139"/>
      <c r="K514" s="139"/>
      <c r="L514" s="139"/>
      <c r="M514" s="145"/>
      <c r="N514" s="139"/>
      <c r="O514" s="139"/>
      <c r="P514" s="139"/>
      <c r="Q514" s="146"/>
      <c r="R514" s="139"/>
      <c r="S514" s="139"/>
      <c r="T514" s="139"/>
      <c r="U514" s="139"/>
      <c r="V514" s="139"/>
      <c r="W514" s="111"/>
      <c r="X514" s="139"/>
      <c r="Y514" s="139"/>
    </row>
    <row r="515" ht="15.75" customHeight="1">
      <c r="A515" s="144"/>
      <c r="B515" s="139"/>
      <c r="C515" s="139"/>
      <c r="D515" s="145"/>
      <c r="E515" s="139"/>
      <c r="F515" s="139"/>
      <c r="G515" s="139"/>
      <c r="H515" s="139"/>
      <c r="I515" s="139"/>
      <c r="J515" s="139"/>
      <c r="K515" s="139"/>
      <c r="L515" s="139"/>
      <c r="M515" s="145"/>
      <c r="N515" s="139"/>
      <c r="O515" s="139"/>
      <c r="P515" s="139"/>
      <c r="Q515" s="146"/>
      <c r="R515" s="139"/>
      <c r="S515" s="139"/>
      <c r="T515" s="139"/>
      <c r="U515" s="139"/>
      <c r="V515" s="139"/>
      <c r="W515" s="111"/>
      <c r="X515" s="139"/>
      <c r="Y515" s="139"/>
    </row>
    <row r="516" ht="15.75" customHeight="1">
      <c r="A516" s="144"/>
      <c r="B516" s="139"/>
      <c r="C516" s="139"/>
      <c r="D516" s="145"/>
      <c r="E516" s="139"/>
      <c r="F516" s="139"/>
      <c r="G516" s="139"/>
      <c r="H516" s="139"/>
      <c r="I516" s="139"/>
      <c r="J516" s="139"/>
      <c r="K516" s="139"/>
      <c r="L516" s="139"/>
      <c r="M516" s="145"/>
      <c r="N516" s="139"/>
      <c r="O516" s="139"/>
      <c r="P516" s="139"/>
      <c r="Q516" s="146"/>
      <c r="R516" s="139"/>
      <c r="S516" s="139"/>
      <c r="T516" s="139"/>
      <c r="U516" s="139"/>
      <c r="V516" s="139"/>
      <c r="W516" s="111"/>
      <c r="X516" s="139"/>
      <c r="Y516" s="139"/>
    </row>
    <row r="517" ht="15.75" customHeight="1">
      <c r="A517" s="144"/>
      <c r="B517" s="139"/>
      <c r="C517" s="139"/>
      <c r="D517" s="145"/>
      <c r="E517" s="139"/>
      <c r="F517" s="139"/>
      <c r="G517" s="139"/>
      <c r="H517" s="139"/>
      <c r="I517" s="139"/>
      <c r="J517" s="139"/>
      <c r="K517" s="139"/>
      <c r="L517" s="139"/>
      <c r="M517" s="145"/>
      <c r="N517" s="139"/>
      <c r="O517" s="139"/>
      <c r="P517" s="139"/>
      <c r="Q517" s="146"/>
      <c r="R517" s="139"/>
      <c r="S517" s="139"/>
      <c r="T517" s="139"/>
      <c r="U517" s="139"/>
      <c r="V517" s="139"/>
      <c r="W517" s="111"/>
      <c r="X517" s="139"/>
      <c r="Y517" s="139"/>
    </row>
    <row r="518" ht="15.75" customHeight="1">
      <c r="A518" s="144"/>
      <c r="B518" s="139"/>
      <c r="C518" s="139"/>
      <c r="D518" s="145"/>
      <c r="E518" s="139"/>
      <c r="F518" s="139"/>
      <c r="G518" s="139"/>
      <c r="H518" s="139"/>
      <c r="I518" s="139"/>
      <c r="J518" s="139"/>
      <c r="K518" s="139"/>
      <c r="L518" s="139"/>
      <c r="M518" s="145"/>
      <c r="N518" s="139"/>
      <c r="O518" s="139"/>
      <c r="P518" s="139"/>
      <c r="Q518" s="146"/>
      <c r="R518" s="139"/>
      <c r="S518" s="139"/>
      <c r="T518" s="139"/>
      <c r="U518" s="139"/>
      <c r="V518" s="139"/>
      <c r="W518" s="111"/>
      <c r="X518" s="139"/>
      <c r="Y518" s="139"/>
    </row>
    <row r="519" ht="15.75" customHeight="1">
      <c r="A519" s="144"/>
      <c r="B519" s="139"/>
      <c r="C519" s="139"/>
      <c r="D519" s="145"/>
      <c r="E519" s="139"/>
      <c r="F519" s="139"/>
      <c r="G519" s="139"/>
      <c r="H519" s="139"/>
      <c r="I519" s="139"/>
      <c r="J519" s="139"/>
      <c r="K519" s="139"/>
      <c r="L519" s="139"/>
      <c r="M519" s="145"/>
      <c r="N519" s="139"/>
      <c r="O519" s="139"/>
      <c r="P519" s="139"/>
      <c r="Q519" s="146"/>
      <c r="R519" s="139"/>
      <c r="S519" s="139"/>
      <c r="T519" s="139"/>
      <c r="U519" s="139"/>
      <c r="V519" s="139"/>
      <c r="W519" s="111"/>
      <c r="X519" s="139"/>
      <c r="Y519" s="139"/>
    </row>
    <row r="520" ht="15.75" customHeight="1">
      <c r="A520" s="144"/>
      <c r="B520" s="139"/>
      <c r="C520" s="139"/>
      <c r="D520" s="145"/>
      <c r="E520" s="139"/>
      <c r="F520" s="139"/>
      <c r="G520" s="139"/>
      <c r="H520" s="139"/>
      <c r="I520" s="139"/>
      <c r="J520" s="139"/>
      <c r="K520" s="139"/>
      <c r="L520" s="139"/>
      <c r="M520" s="145"/>
      <c r="N520" s="139"/>
      <c r="O520" s="139"/>
      <c r="P520" s="139"/>
      <c r="Q520" s="146"/>
      <c r="R520" s="139"/>
      <c r="S520" s="139"/>
      <c r="T520" s="139"/>
      <c r="U520" s="139"/>
      <c r="V520" s="139"/>
      <c r="W520" s="111"/>
      <c r="X520" s="139"/>
      <c r="Y520" s="139"/>
    </row>
    <row r="521" ht="15.75" customHeight="1">
      <c r="A521" s="144"/>
      <c r="B521" s="139"/>
      <c r="C521" s="139"/>
      <c r="D521" s="145"/>
      <c r="E521" s="139"/>
      <c r="F521" s="139"/>
      <c r="G521" s="139"/>
      <c r="H521" s="139"/>
      <c r="I521" s="139"/>
      <c r="J521" s="139"/>
      <c r="K521" s="139"/>
      <c r="L521" s="139"/>
      <c r="M521" s="145"/>
      <c r="N521" s="139"/>
      <c r="O521" s="139"/>
      <c r="P521" s="139"/>
      <c r="Q521" s="146"/>
      <c r="R521" s="139"/>
      <c r="S521" s="139"/>
      <c r="T521" s="139"/>
      <c r="U521" s="139"/>
      <c r="V521" s="139"/>
      <c r="W521" s="111"/>
      <c r="X521" s="139"/>
      <c r="Y521" s="139"/>
    </row>
    <row r="522" ht="15.75" customHeight="1">
      <c r="A522" s="144"/>
      <c r="B522" s="139"/>
      <c r="C522" s="139"/>
      <c r="D522" s="145"/>
      <c r="E522" s="139"/>
      <c r="F522" s="139"/>
      <c r="G522" s="139"/>
      <c r="H522" s="139"/>
      <c r="I522" s="139"/>
      <c r="J522" s="139"/>
      <c r="K522" s="139"/>
      <c r="L522" s="139"/>
      <c r="M522" s="145"/>
      <c r="N522" s="139"/>
      <c r="O522" s="139"/>
      <c r="P522" s="139"/>
      <c r="Q522" s="146"/>
      <c r="R522" s="139"/>
      <c r="S522" s="139"/>
      <c r="T522" s="139"/>
      <c r="U522" s="139"/>
      <c r="V522" s="139"/>
      <c r="W522" s="111"/>
      <c r="X522" s="139"/>
      <c r="Y522" s="139"/>
    </row>
    <row r="523" ht="15.75" customHeight="1">
      <c r="A523" s="144"/>
      <c r="B523" s="139"/>
      <c r="C523" s="139"/>
      <c r="D523" s="145"/>
      <c r="E523" s="139"/>
      <c r="F523" s="139"/>
      <c r="G523" s="139"/>
      <c r="H523" s="139"/>
      <c r="I523" s="139"/>
      <c r="J523" s="139"/>
      <c r="K523" s="139"/>
      <c r="L523" s="139"/>
      <c r="M523" s="145"/>
      <c r="N523" s="139"/>
      <c r="O523" s="139"/>
      <c r="P523" s="139"/>
      <c r="Q523" s="146"/>
      <c r="R523" s="139"/>
      <c r="S523" s="139"/>
      <c r="T523" s="139"/>
      <c r="U523" s="139"/>
      <c r="V523" s="139"/>
      <c r="W523" s="111"/>
      <c r="X523" s="139"/>
      <c r="Y523" s="139"/>
    </row>
    <row r="524" ht="15.75" customHeight="1">
      <c r="A524" s="144"/>
      <c r="B524" s="139"/>
      <c r="C524" s="139"/>
      <c r="D524" s="145"/>
      <c r="E524" s="139"/>
      <c r="F524" s="139"/>
      <c r="G524" s="139"/>
      <c r="H524" s="139"/>
      <c r="I524" s="139"/>
      <c r="J524" s="139"/>
      <c r="K524" s="139"/>
      <c r="L524" s="139"/>
      <c r="M524" s="145"/>
      <c r="N524" s="139"/>
      <c r="O524" s="139"/>
      <c r="P524" s="139"/>
      <c r="Q524" s="146"/>
      <c r="R524" s="139"/>
      <c r="S524" s="139"/>
      <c r="T524" s="139"/>
      <c r="U524" s="139"/>
      <c r="V524" s="139"/>
      <c r="W524" s="111"/>
      <c r="X524" s="139"/>
      <c r="Y524" s="139"/>
    </row>
    <row r="525" ht="15.75" customHeight="1">
      <c r="A525" s="144"/>
      <c r="B525" s="139"/>
      <c r="C525" s="139"/>
      <c r="D525" s="145"/>
      <c r="E525" s="139"/>
      <c r="F525" s="139"/>
      <c r="G525" s="139"/>
      <c r="H525" s="139"/>
      <c r="I525" s="139"/>
      <c r="J525" s="139"/>
      <c r="K525" s="139"/>
      <c r="L525" s="139"/>
      <c r="M525" s="145"/>
      <c r="N525" s="139"/>
      <c r="O525" s="139"/>
      <c r="P525" s="139"/>
      <c r="Q525" s="146"/>
      <c r="R525" s="139"/>
      <c r="S525" s="139"/>
      <c r="T525" s="139"/>
      <c r="U525" s="139"/>
      <c r="V525" s="139"/>
      <c r="W525" s="111"/>
      <c r="X525" s="139"/>
      <c r="Y525" s="139"/>
    </row>
    <row r="526" ht="15.75" customHeight="1">
      <c r="A526" s="144"/>
      <c r="B526" s="139"/>
      <c r="C526" s="139"/>
      <c r="D526" s="145"/>
      <c r="E526" s="139"/>
      <c r="F526" s="139"/>
      <c r="G526" s="139"/>
      <c r="H526" s="139"/>
      <c r="I526" s="139"/>
      <c r="J526" s="139"/>
      <c r="K526" s="139"/>
      <c r="L526" s="139"/>
      <c r="M526" s="145"/>
      <c r="N526" s="139"/>
      <c r="O526" s="139"/>
      <c r="P526" s="139"/>
      <c r="Q526" s="146"/>
      <c r="R526" s="139"/>
      <c r="S526" s="139"/>
      <c r="T526" s="139"/>
      <c r="U526" s="139"/>
      <c r="V526" s="139"/>
      <c r="W526" s="111"/>
      <c r="X526" s="139"/>
      <c r="Y526" s="139"/>
    </row>
    <row r="527" ht="15.75" customHeight="1">
      <c r="A527" s="144"/>
      <c r="B527" s="139"/>
      <c r="C527" s="139"/>
      <c r="D527" s="145"/>
      <c r="E527" s="139"/>
      <c r="F527" s="139"/>
      <c r="G527" s="139"/>
      <c r="H527" s="139"/>
      <c r="I527" s="139"/>
      <c r="J527" s="139"/>
      <c r="K527" s="139"/>
      <c r="L527" s="139"/>
      <c r="M527" s="145"/>
      <c r="N527" s="139"/>
      <c r="O527" s="139"/>
      <c r="P527" s="139"/>
      <c r="Q527" s="146"/>
      <c r="R527" s="139"/>
      <c r="S527" s="139"/>
      <c r="T527" s="139"/>
      <c r="U527" s="139"/>
      <c r="V527" s="139"/>
      <c r="W527" s="111"/>
      <c r="X527" s="139"/>
      <c r="Y527" s="139"/>
    </row>
    <row r="528" ht="15.75" customHeight="1">
      <c r="A528" s="144"/>
      <c r="B528" s="139"/>
      <c r="C528" s="139"/>
      <c r="D528" s="145"/>
      <c r="E528" s="139"/>
      <c r="F528" s="139"/>
      <c r="G528" s="139"/>
      <c r="H528" s="139"/>
      <c r="I528" s="139"/>
      <c r="J528" s="139"/>
      <c r="K528" s="139"/>
      <c r="L528" s="139"/>
      <c r="M528" s="145"/>
      <c r="N528" s="139"/>
      <c r="O528" s="139"/>
      <c r="P528" s="139"/>
      <c r="Q528" s="146"/>
      <c r="R528" s="139"/>
      <c r="S528" s="139"/>
      <c r="T528" s="139"/>
      <c r="U528" s="139"/>
      <c r="V528" s="139"/>
      <c r="W528" s="111"/>
      <c r="X528" s="139"/>
      <c r="Y528" s="139"/>
    </row>
    <row r="529" ht="15.75" customHeight="1">
      <c r="A529" s="144"/>
      <c r="B529" s="139"/>
      <c r="C529" s="139"/>
      <c r="D529" s="145"/>
      <c r="E529" s="139"/>
      <c r="F529" s="139"/>
      <c r="G529" s="139"/>
      <c r="H529" s="139"/>
      <c r="I529" s="139"/>
      <c r="J529" s="139"/>
      <c r="K529" s="139"/>
      <c r="L529" s="139"/>
      <c r="M529" s="145"/>
      <c r="N529" s="139"/>
      <c r="O529" s="139"/>
      <c r="P529" s="139"/>
      <c r="Q529" s="146"/>
      <c r="R529" s="139"/>
      <c r="S529" s="139"/>
      <c r="T529" s="139"/>
      <c r="U529" s="139"/>
      <c r="V529" s="139"/>
      <c r="W529" s="111"/>
      <c r="X529" s="139"/>
      <c r="Y529" s="139"/>
    </row>
    <row r="530" ht="15.75" customHeight="1">
      <c r="A530" s="144"/>
      <c r="B530" s="139"/>
      <c r="C530" s="139"/>
      <c r="D530" s="145"/>
      <c r="E530" s="139"/>
      <c r="F530" s="139"/>
      <c r="G530" s="139"/>
      <c r="H530" s="139"/>
      <c r="I530" s="139"/>
      <c r="J530" s="139"/>
      <c r="K530" s="139"/>
      <c r="L530" s="139"/>
      <c r="M530" s="145"/>
      <c r="N530" s="139"/>
      <c r="O530" s="139"/>
      <c r="P530" s="139"/>
      <c r="Q530" s="146"/>
      <c r="R530" s="139"/>
      <c r="S530" s="139"/>
      <c r="T530" s="139"/>
      <c r="U530" s="139"/>
      <c r="V530" s="139"/>
      <c r="W530" s="111"/>
      <c r="X530" s="139"/>
      <c r="Y530" s="139"/>
    </row>
    <row r="531" ht="15.75" customHeight="1">
      <c r="A531" s="144"/>
      <c r="B531" s="139"/>
      <c r="C531" s="139"/>
      <c r="D531" s="145"/>
      <c r="E531" s="139"/>
      <c r="F531" s="139"/>
      <c r="G531" s="139"/>
      <c r="H531" s="139"/>
      <c r="I531" s="139"/>
      <c r="J531" s="139"/>
      <c r="K531" s="139"/>
      <c r="L531" s="139"/>
      <c r="M531" s="145"/>
      <c r="N531" s="139"/>
      <c r="O531" s="139"/>
      <c r="P531" s="139"/>
      <c r="Q531" s="146"/>
      <c r="R531" s="139"/>
      <c r="S531" s="139"/>
      <c r="T531" s="139"/>
      <c r="U531" s="139"/>
      <c r="V531" s="139"/>
      <c r="W531" s="111"/>
      <c r="X531" s="139"/>
      <c r="Y531" s="139"/>
    </row>
    <row r="532" ht="15.75" customHeight="1">
      <c r="A532" s="144"/>
      <c r="B532" s="139"/>
      <c r="C532" s="139"/>
      <c r="D532" s="145"/>
      <c r="E532" s="139"/>
      <c r="F532" s="139"/>
      <c r="G532" s="139"/>
      <c r="H532" s="139"/>
      <c r="I532" s="139"/>
      <c r="J532" s="139"/>
      <c r="K532" s="139"/>
      <c r="L532" s="139"/>
      <c r="M532" s="145"/>
      <c r="N532" s="139"/>
      <c r="O532" s="139"/>
      <c r="P532" s="139"/>
      <c r="Q532" s="146"/>
      <c r="R532" s="139"/>
      <c r="S532" s="139"/>
      <c r="T532" s="139"/>
      <c r="U532" s="139"/>
      <c r="V532" s="139"/>
      <c r="W532" s="111"/>
      <c r="X532" s="139"/>
      <c r="Y532" s="139"/>
    </row>
    <row r="533" ht="15.75" customHeight="1">
      <c r="A533" s="144"/>
      <c r="B533" s="139"/>
      <c r="C533" s="139"/>
      <c r="D533" s="145"/>
      <c r="E533" s="139"/>
      <c r="F533" s="139"/>
      <c r="G533" s="139"/>
      <c r="H533" s="139"/>
      <c r="I533" s="139"/>
      <c r="J533" s="139"/>
      <c r="K533" s="139"/>
      <c r="L533" s="139"/>
      <c r="M533" s="145"/>
      <c r="N533" s="139"/>
      <c r="O533" s="139"/>
      <c r="P533" s="139"/>
      <c r="Q533" s="146"/>
      <c r="R533" s="139"/>
      <c r="S533" s="139"/>
      <c r="T533" s="139"/>
      <c r="U533" s="139"/>
      <c r="V533" s="139"/>
      <c r="W533" s="111"/>
      <c r="X533" s="139"/>
      <c r="Y533" s="139"/>
    </row>
    <row r="534" ht="15.75" customHeight="1">
      <c r="A534" s="144"/>
      <c r="B534" s="139"/>
      <c r="C534" s="139"/>
      <c r="D534" s="145"/>
      <c r="E534" s="139"/>
      <c r="F534" s="139"/>
      <c r="G534" s="139"/>
      <c r="H534" s="139"/>
      <c r="I534" s="139"/>
      <c r="J534" s="139"/>
      <c r="K534" s="139"/>
      <c r="L534" s="139"/>
      <c r="M534" s="145"/>
      <c r="N534" s="139"/>
      <c r="O534" s="139"/>
      <c r="P534" s="139"/>
      <c r="Q534" s="146"/>
      <c r="R534" s="139"/>
      <c r="S534" s="139"/>
      <c r="T534" s="139"/>
      <c r="U534" s="139"/>
      <c r="V534" s="139"/>
      <c r="W534" s="111"/>
      <c r="X534" s="139"/>
      <c r="Y534" s="139"/>
    </row>
    <row r="535" ht="15.75" customHeight="1">
      <c r="A535" s="144"/>
      <c r="B535" s="139"/>
      <c r="C535" s="139"/>
      <c r="D535" s="145"/>
      <c r="E535" s="139"/>
      <c r="F535" s="139"/>
      <c r="G535" s="139"/>
      <c r="H535" s="139"/>
      <c r="I535" s="139"/>
      <c r="J535" s="139"/>
      <c r="K535" s="139"/>
      <c r="L535" s="139"/>
      <c r="M535" s="145"/>
      <c r="N535" s="139"/>
      <c r="O535" s="139"/>
      <c r="P535" s="139"/>
      <c r="Q535" s="146"/>
      <c r="R535" s="139"/>
      <c r="S535" s="139"/>
      <c r="T535" s="139"/>
      <c r="U535" s="139"/>
      <c r="V535" s="139"/>
      <c r="W535" s="111"/>
      <c r="X535" s="139"/>
      <c r="Y535" s="139"/>
    </row>
    <row r="536" ht="15.75" customHeight="1">
      <c r="A536" s="144"/>
      <c r="B536" s="139"/>
      <c r="C536" s="139"/>
      <c r="D536" s="145"/>
      <c r="E536" s="139"/>
      <c r="F536" s="139"/>
      <c r="G536" s="139"/>
      <c r="H536" s="139"/>
      <c r="I536" s="139"/>
      <c r="J536" s="139"/>
      <c r="K536" s="139"/>
      <c r="L536" s="139"/>
      <c r="M536" s="145"/>
      <c r="N536" s="139"/>
      <c r="O536" s="139"/>
      <c r="P536" s="139"/>
      <c r="Q536" s="146"/>
      <c r="R536" s="139"/>
      <c r="S536" s="139"/>
      <c r="T536" s="139"/>
      <c r="U536" s="139"/>
      <c r="V536" s="139"/>
      <c r="W536" s="111"/>
      <c r="X536" s="139"/>
      <c r="Y536" s="139"/>
    </row>
    <row r="537" ht="15.75" customHeight="1">
      <c r="A537" s="144"/>
      <c r="B537" s="139"/>
      <c r="C537" s="139"/>
      <c r="D537" s="145"/>
      <c r="E537" s="139"/>
      <c r="F537" s="139"/>
      <c r="G537" s="139"/>
      <c r="H537" s="139"/>
      <c r="I537" s="139"/>
      <c r="J537" s="139"/>
      <c r="K537" s="139"/>
      <c r="L537" s="139"/>
      <c r="M537" s="145"/>
      <c r="N537" s="139"/>
      <c r="O537" s="139"/>
      <c r="P537" s="139"/>
      <c r="Q537" s="146"/>
      <c r="R537" s="139"/>
      <c r="S537" s="139"/>
      <c r="T537" s="139"/>
      <c r="U537" s="139"/>
      <c r="V537" s="139"/>
      <c r="W537" s="111"/>
      <c r="X537" s="139"/>
      <c r="Y537" s="139"/>
    </row>
    <row r="538" ht="15.75" customHeight="1">
      <c r="A538" s="144"/>
      <c r="B538" s="139"/>
      <c r="C538" s="139"/>
      <c r="D538" s="145"/>
      <c r="E538" s="139"/>
      <c r="F538" s="139"/>
      <c r="G538" s="139"/>
      <c r="H538" s="139"/>
      <c r="I538" s="139"/>
      <c r="J538" s="139"/>
      <c r="K538" s="139"/>
      <c r="L538" s="139"/>
      <c r="M538" s="145"/>
      <c r="N538" s="139"/>
      <c r="O538" s="139"/>
      <c r="P538" s="139"/>
      <c r="Q538" s="146"/>
      <c r="R538" s="139"/>
      <c r="S538" s="139"/>
      <c r="T538" s="139"/>
      <c r="U538" s="139"/>
      <c r="V538" s="139"/>
      <c r="W538" s="111"/>
      <c r="X538" s="139"/>
      <c r="Y538" s="139"/>
    </row>
    <row r="539" ht="15.75" customHeight="1">
      <c r="A539" s="144"/>
      <c r="B539" s="139"/>
      <c r="C539" s="139"/>
      <c r="D539" s="145"/>
      <c r="E539" s="139"/>
      <c r="F539" s="139"/>
      <c r="G539" s="139"/>
      <c r="H539" s="139"/>
      <c r="I539" s="139"/>
      <c r="J539" s="139"/>
      <c r="K539" s="139"/>
      <c r="L539" s="139"/>
      <c r="M539" s="145"/>
      <c r="N539" s="139"/>
      <c r="O539" s="139"/>
      <c r="P539" s="139"/>
      <c r="Q539" s="146"/>
      <c r="R539" s="139"/>
      <c r="S539" s="139"/>
      <c r="T539" s="139"/>
      <c r="U539" s="139"/>
      <c r="V539" s="139"/>
      <c r="W539" s="111"/>
      <c r="X539" s="139"/>
      <c r="Y539" s="139"/>
    </row>
    <row r="540" ht="15.75" customHeight="1">
      <c r="A540" s="144"/>
      <c r="B540" s="139"/>
      <c r="C540" s="139"/>
      <c r="D540" s="145"/>
      <c r="E540" s="139"/>
      <c r="F540" s="139"/>
      <c r="G540" s="139"/>
      <c r="H540" s="139"/>
      <c r="I540" s="139"/>
      <c r="J540" s="139"/>
      <c r="K540" s="139"/>
      <c r="L540" s="139"/>
      <c r="M540" s="145"/>
      <c r="N540" s="139"/>
      <c r="O540" s="139"/>
      <c r="P540" s="139"/>
      <c r="Q540" s="146"/>
      <c r="R540" s="139"/>
      <c r="S540" s="139"/>
      <c r="T540" s="139"/>
      <c r="U540" s="139"/>
      <c r="V540" s="139"/>
      <c r="W540" s="111"/>
      <c r="X540" s="139"/>
      <c r="Y540" s="139"/>
    </row>
    <row r="541" ht="15.75" customHeight="1">
      <c r="A541" s="144"/>
      <c r="B541" s="139"/>
      <c r="C541" s="139"/>
      <c r="D541" s="145"/>
      <c r="E541" s="139"/>
      <c r="F541" s="139"/>
      <c r="G541" s="139"/>
      <c r="H541" s="139"/>
      <c r="I541" s="139"/>
      <c r="J541" s="139"/>
      <c r="K541" s="139"/>
      <c r="L541" s="139"/>
      <c r="M541" s="145"/>
      <c r="N541" s="139"/>
      <c r="O541" s="139"/>
      <c r="P541" s="139"/>
      <c r="Q541" s="146"/>
      <c r="R541" s="139"/>
      <c r="S541" s="139"/>
      <c r="T541" s="139"/>
      <c r="U541" s="139"/>
      <c r="V541" s="139"/>
      <c r="W541" s="111"/>
      <c r="X541" s="139"/>
      <c r="Y541" s="139"/>
    </row>
    <row r="542" ht="15.75" customHeight="1">
      <c r="A542" s="144"/>
      <c r="B542" s="139"/>
      <c r="C542" s="139"/>
      <c r="D542" s="145"/>
      <c r="E542" s="139"/>
      <c r="F542" s="139"/>
      <c r="G542" s="139"/>
      <c r="H542" s="139"/>
      <c r="I542" s="139"/>
      <c r="J542" s="139"/>
      <c r="K542" s="139"/>
      <c r="L542" s="139"/>
      <c r="M542" s="145"/>
      <c r="N542" s="139"/>
      <c r="O542" s="139"/>
      <c r="P542" s="139"/>
      <c r="Q542" s="146"/>
      <c r="R542" s="139"/>
      <c r="S542" s="139"/>
      <c r="T542" s="139"/>
      <c r="U542" s="139"/>
      <c r="V542" s="139"/>
      <c r="W542" s="111"/>
      <c r="X542" s="139"/>
      <c r="Y542" s="139"/>
    </row>
    <row r="543" ht="15.75" customHeight="1">
      <c r="A543" s="144"/>
      <c r="B543" s="139"/>
      <c r="C543" s="139"/>
      <c r="D543" s="145"/>
      <c r="E543" s="139"/>
      <c r="F543" s="139"/>
      <c r="G543" s="139"/>
      <c r="H543" s="139"/>
      <c r="I543" s="139"/>
      <c r="J543" s="139"/>
      <c r="K543" s="139"/>
      <c r="L543" s="139"/>
      <c r="M543" s="145"/>
      <c r="N543" s="139"/>
      <c r="O543" s="139"/>
      <c r="P543" s="139"/>
      <c r="Q543" s="146"/>
      <c r="R543" s="139"/>
      <c r="S543" s="139"/>
      <c r="T543" s="139"/>
      <c r="U543" s="139"/>
      <c r="V543" s="139"/>
      <c r="W543" s="111"/>
      <c r="X543" s="139"/>
      <c r="Y543" s="139"/>
    </row>
    <row r="544" ht="15.75" customHeight="1">
      <c r="A544" s="144"/>
      <c r="B544" s="139"/>
      <c r="C544" s="139"/>
      <c r="D544" s="145"/>
      <c r="E544" s="139"/>
      <c r="F544" s="139"/>
      <c r="G544" s="139"/>
      <c r="H544" s="139"/>
      <c r="I544" s="139"/>
      <c r="J544" s="139"/>
      <c r="K544" s="139"/>
      <c r="L544" s="139"/>
      <c r="M544" s="145"/>
      <c r="N544" s="139"/>
      <c r="O544" s="139"/>
      <c r="P544" s="139"/>
      <c r="Q544" s="146"/>
      <c r="R544" s="139"/>
      <c r="S544" s="139"/>
      <c r="T544" s="139"/>
      <c r="U544" s="139"/>
      <c r="V544" s="139"/>
      <c r="W544" s="111"/>
      <c r="X544" s="139"/>
      <c r="Y544" s="139"/>
    </row>
    <row r="545" ht="15.75" customHeight="1">
      <c r="A545" s="144"/>
      <c r="B545" s="139"/>
      <c r="C545" s="139"/>
      <c r="D545" s="145"/>
      <c r="E545" s="139"/>
      <c r="F545" s="139"/>
      <c r="G545" s="139"/>
      <c r="H545" s="139"/>
      <c r="I545" s="139"/>
      <c r="J545" s="139"/>
      <c r="K545" s="139"/>
      <c r="L545" s="139"/>
      <c r="M545" s="145"/>
      <c r="N545" s="139"/>
      <c r="O545" s="139"/>
      <c r="P545" s="139"/>
      <c r="Q545" s="146"/>
      <c r="R545" s="139"/>
      <c r="S545" s="139"/>
      <c r="T545" s="139"/>
      <c r="U545" s="139"/>
      <c r="V545" s="139"/>
      <c r="W545" s="111"/>
      <c r="X545" s="139"/>
      <c r="Y545" s="139"/>
    </row>
    <row r="546" ht="15.75" customHeight="1">
      <c r="A546" s="144"/>
      <c r="B546" s="139"/>
      <c r="C546" s="139"/>
      <c r="D546" s="145"/>
      <c r="E546" s="139"/>
      <c r="F546" s="139"/>
      <c r="G546" s="139"/>
      <c r="H546" s="139"/>
      <c r="I546" s="139"/>
      <c r="J546" s="139"/>
      <c r="K546" s="139"/>
      <c r="L546" s="139"/>
      <c r="M546" s="145"/>
      <c r="N546" s="139"/>
      <c r="O546" s="139"/>
      <c r="P546" s="139"/>
      <c r="Q546" s="146"/>
      <c r="R546" s="139"/>
      <c r="S546" s="139"/>
      <c r="T546" s="139"/>
      <c r="U546" s="139"/>
      <c r="V546" s="139"/>
      <c r="W546" s="111"/>
      <c r="X546" s="139"/>
      <c r="Y546" s="139"/>
    </row>
    <row r="547" ht="15.75" customHeight="1">
      <c r="A547" s="144"/>
      <c r="B547" s="139"/>
      <c r="C547" s="139"/>
      <c r="D547" s="145"/>
      <c r="E547" s="139"/>
      <c r="F547" s="139"/>
      <c r="G547" s="139"/>
      <c r="H547" s="139"/>
      <c r="I547" s="139"/>
      <c r="J547" s="139"/>
      <c r="K547" s="139"/>
      <c r="L547" s="139"/>
      <c r="M547" s="145"/>
      <c r="N547" s="139"/>
      <c r="O547" s="139"/>
      <c r="P547" s="139"/>
      <c r="Q547" s="146"/>
      <c r="R547" s="139"/>
      <c r="S547" s="139"/>
      <c r="T547" s="139"/>
      <c r="U547" s="139"/>
      <c r="V547" s="139"/>
      <c r="W547" s="111"/>
      <c r="X547" s="139"/>
      <c r="Y547" s="139"/>
    </row>
    <row r="548" ht="15.75" customHeight="1">
      <c r="A548" s="144"/>
      <c r="B548" s="139"/>
      <c r="C548" s="139"/>
      <c r="D548" s="145"/>
      <c r="E548" s="139"/>
      <c r="F548" s="139"/>
      <c r="G548" s="139"/>
      <c r="H548" s="139"/>
      <c r="I548" s="139"/>
      <c r="J548" s="139"/>
      <c r="K548" s="139"/>
      <c r="L548" s="139"/>
      <c r="M548" s="145"/>
      <c r="N548" s="139"/>
      <c r="O548" s="139"/>
      <c r="P548" s="139"/>
      <c r="Q548" s="146"/>
      <c r="R548" s="139"/>
      <c r="S548" s="139"/>
      <c r="T548" s="139"/>
      <c r="U548" s="139"/>
      <c r="V548" s="139"/>
      <c r="W548" s="111"/>
      <c r="X548" s="139"/>
      <c r="Y548" s="139"/>
    </row>
    <row r="549" ht="15.75" customHeight="1">
      <c r="A549" s="144"/>
      <c r="B549" s="139"/>
      <c r="C549" s="139"/>
      <c r="D549" s="145"/>
      <c r="E549" s="139"/>
      <c r="F549" s="139"/>
      <c r="G549" s="139"/>
      <c r="H549" s="139"/>
      <c r="I549" s="139"/>
      <c r="J549" s="139"/>
      <c r="K549" s="139"/>
      <c r="L549" s="139"/>
      <c r="M549" s="145"/>
      <c r="N549" s="139"/>
      <c r="O549" s="139"/>
      <c r="P549" s="139"/>
      <c r="Q549" s="146"/>
      <c r="R549" s="139"/>
      <c r="S549" s="139"/>
      <c r="T549" s="139"/>
      <c r="U549" s="139"/>
      <c r="V549" s="139"/>
      <c r="W549" s="111"/>
      <c r="X549" s="139"/>
      <c r="Y549" s="139"/>
    </row>
    <row r="550" ht="15.75" customHeight="1">
      <c r="A550" s="144"/>
      <c r="B550" s="139"/>
      <c r="C550" s="139"/>
      <c r="D550" s="145"/>
      <c r="E550" s="139"/>
      <c r="F550" s="139"/>
      <c r="G550" s="139"/>
      <c r="H550" s="139"/>
      <c r="I550" s="139"/>
      <c r="J550" s="139"/>
      <c r="K550" s="139"/>
      <c r="L550" s="139"/>
      <c r="M550" s="145"/>
      <c r="N550" s="139"/>
      <c r="O550" s="139"/>
      <c r="P550" s="139"/>
      <c r="Q550" s="146"/>
      <c r="R550" s="139"/>
      <c r="S550" s="139"/>
      <c r="T550" s="139"/>
      <c r="U550" s="139"/>
      <c r="V550" s="139"/>
      <c r="W550" s="111"/>
      <c r="X550" s="139"/>
      <c r="Y550" s="139"/>
    </row>
    <row r="551" ht="15.75" customHeight="1">
      <c r="A551" s="144"/>
      <c r="B551" s="139"/>
      <c r="C551" s="139"/>
      <c r="D551" s="145"/>
      <c r="E551" s="139"/>
      <c r="F551" s="139"/>
      <c r="G551" s="139"/>
      <c r="H551" s="139"/>
      <c r="I551" s="139"/>
      <c r="J551" s="139"/>
      <c r="K551" s="139"/>
      <c r="L551" s="139"/>
      <c r="M551" s="145"/>
      <c r="N551" s="139"/>
      <c r="O551" s="139"/>
      <c r="P551" s="139"/>
      <c r="Q551" s="146"/>
      <c r="R551" s="139"/>
      <c r="S551" s="139"/>
      <c r="T551" s="139"/>
      <c r="U551" s="139"/>
      <c r="V551" s="139"/>
      <c r="W551" s="111"/>
      <c r="X551" s="139"/>
      <c r="Y551" s="139"/>
    </row>
    <row r="552" ht="15.75" customHeight="1">
      <c r="A552" s="144"/>
      <c r="B552" s="139"/>
      <c r="C552" s="139"/>
      <c r="D552" s="145"/>
      <c r="E552" s="139"/>
      <c r="F552" s="139"/>
      <c r="G552" s="139"/>
      <c r="H552" s="139"/>
      <c r="I552" s="139"/>
      <c r="J552" s="139"/>
      <c r="K552" s="139"/>
      <c r="L552" s="139"/>
      <c r="M552" s="145"/>
      <c r="N552" s="139"/>
      <c r="O552" s="139"/>
      <c r="P552" s="139"/>
      <c r="Q552" s="146"/>
      <c r="R552" s="139"/>
      <c r="S552" s="139"/>
      <c r="T552" s="139"/>
      <c r="U552" s="139"/>
      <c r="V552" s="139"/>
      <c r="W552" s="111"/>
      <c r="X552" s="139"/>
      <c r="Y552" s="139"/>
    </row>
    <row r="553" ht="15.75" customHeight="1">
      <c r="A553" s="144"/>
      <c r="B553" s="139"/>
      <c r="C553" s="139"/>
      <c r="D553" s="145"/>
      <c r="E553" s="139"/>
      <c r="F553" s="139"/>
      <c r="G553" s="139"/>
      <c r="H553" s="139"/>
      <c r="I553" s="139"/>
      <c r="J553" s="139"/>
      <c r="K553" s="139"/>
      <c r="L553" s="139"/>
      <c r="M553" s="145"/>
      <c r="N553" s="139"/>
      <c r="O553" s="139"/>
      <c r="P553" s="139"/>
      <c r="Q553" s="146"/>
      <c r="R553" s="139"/>
      <c r="S553" s="139"/>
      <c r="T553" s="139"/>
      <c r="U553" s="139"/>
      <c r="V553" s="139"/>
      <c r="W553" s="111"/>
      <c r="X553" s="139"/>
      <c r="Y553" s="139"/>
    </row>
    <row r="554" ht="15.75" customHeight="1">
      <c r="A554" s="144"/>
      <c r="B554" s="139"/>
      <c r="C554" s="139"/>
      <c r="D554" s="145"/>
      <c r="E554" s="139"/>
      <c r="F554" s="139"/>
      <c r="G554" s="139"/>
      <c r="H554" s="139"/>
      <c r="I554" s="139"/>
      <c r="J554" s="139"/>
      <c r="K554" s="139"/>
      <c r="L554" s="139"/>
      <c r="M554" s="145"/>
      <c r="N554" s="139"/>
      <c r="O554" s="139"/>
      <c r="P554" s="139"/>
      <c r="Q554" s="146"/>
      <c r="R554" s="139"/>
      <c r="S554" s="139"/>
      <c r="T554" s="139"/>
      <c r="U554" s="139"/>
      <c r="V554" s="139"/>
      <c r="W554" s="111"/>
      <c r="X554" s="139"/>
      <c r="Y554" s="139"/>
    </row>
    <row r="555" ht="15.75" customHeight="1">
      <c r="A555" s="144"/>
      <c r="B555" s="139"/>
      <c r="C555" s="139"/>
      <c r="D555" s="145"/>
      <c r="E555" s="139"/>
      <c r="F555" s="139"/>
      <c r="G555" s="139"/>
      <c r="H555" s="139"/>
      <c r="I555" s="139"/>
      <c r="J555" s="139"/>
      <c r="K555" s="139"/>
      <c r="L555" s="139"/>
      <c r="M555" s="145"/>
      <c r="N555" s="139"/>
      <c r="O555" s="139"/>
      <c r="P555" s="139"/>
      <c r="Q555" s="146"/>
      <c r="R555" s="139"/>
      <c r="S555" s="139"/>
      <c r="T555" s="139"/>
      <c r="U555" s="139"/>
      <c r="V555" s="139"/>
      <c r="W555" s="111"/>
      <c r="X555" s="139"/>
      <c r="Y555" s="139"/>
    </row>
    <row r="556" ht="15.75" customHeight="1">
      <c r="A556" s="144"/>
      <c r="B556" s="139"/>
      <c r="C556" s="139"/>
      <c r="D556" s="145"/>
      <c r="E556" s="139"/>
      <c r="F556" s="139"/>
      <c r="G556" s="139"/>
      <c r="H556" s="139"/>
      <c r="I556" s="139"/>
      <c r="J556" s="139"/>
      <c r="K556" s="139"/>
      <c r="L556" s="139"/>
      <c r="M556" s="145"/>
      <c r="N556" s="139"/>
      <c r="O556" s="139"/>
      <c r="P556" s="139"/>
      <c r="Q556" s="146"/>
      <c r="R556" s="139"/>
      <c r="S556" s="139"/>
      <c r="T556" s="139"/>
      <c r="U556" s="139"/>
      <c r="V556" s="139"/>
      <c r="W556" s="111"/>
      <c r="X556" s="139"/>
      <c r="Y556" s="139"/>
    </row>
    <row r="557" ht="15.75" customHeight="1">
      <c r="A557" s="144"/>
      <c r="B557" s="139"/>
      <c r="C557" s="139"/>
      <c r="D557" s="145"/>
      <c r="E557" s="139"/>
      <c r="F557" s="139"/>
      <c r="G557" s="139"/>
      <c r="H557" s="139"/>
      <c r="I557" s="139"/>
      <c r="J557" s="139"/>
      <c r="K557" s="139"/>
      <c r="L557" s="139"/>
      <c r="M557" s="145"/>
      <c r="N557" s="139"/>
      <c r="O557" s="139"/>
      <c r="P557" s="139"/>
      <c r="Q557" s="146"/>
      <c r="R557" s="139"/>
      <c r="S557" s="139"/>
      <c r="T557" s="139"/>
      <c r="U557" s="139"/>
      <c r="V557" s="139"/>
      <c r="W557" s="111"/>
      <c r="X557" s="139"/>
      <c r="Y557" s="139"/>
    </row>
    <row r="558" ht="15.75" customHeight="1">
      <c r="A558" s="144"/>
      <c r="B558" s="139"/>
      <c r="C558" s="139"/>
      <c r="D558" s="145"/>
      <c r="E558" s="139"/>
      <c r="F558" s="139"/>
      <c r="G558" s="139"/>
      <c r="H558" s="139"/>
      <c r="I558" s="139"/>
      <c r="J558" s="139"/>
      <c r="K558" s="139"/>
      <c r="L558" s="139"/>
      <c r="M558" s="145"/>
      <c r="N558" s="139"/>
      <c r="O558" s="139"/>
      <c r="P558" s="139"/>
      <c r="Q558" s="146"/>
      <c r="R558" s="139"/>
      <c r="S558" s="139"/>
      <c r="T558" s="139"/>
      <c r="U558" s="139"/>
      <c r="V558" s="139"/>
      <c r="W558" s="111"/>
      <c r="X558" s="139"/>
      <c r="Y558" s="139"/>
    </row>
    <row r="559" ht="15.75" customHeight="1">
      <c r="A559" s="144"/>
      <c r="B559" s="139"/>
      <c r="C559" s="139"/>
      <c r="D559" s="145"/>
      <c r="E559" s="139"/>
      <c r="F559" s="139"/>
      <c r="G559" s="139"/>
      <c r="H559" s="139"/>
      <c r="I559" s="139"/>
      <c r="J559" s="139"/>
      <c r="K559" s="139"/>
      <c r="L559" s="139"/>
      <c r="M559" s="145"/>
      <c r="N559" s="139"/>
      <c r="O559" s="139"/>
      <c r="P559" s="139"/>
      <c r="Q559" s="146"/>
      <c r="R559" s="139"/>
      <c r="S559" s="139"/>
      <c r="T559" s="139"/>
      <c r="U559" s="139"/>
      <c r="V559" s="139"/>
      <c r="W559" s="111"/>
      <c r="X559" s="139"/>
      <c r="Y559" s="139"/>
    </row>
    <row r="560" ht="15.75" customHeight="1">
      <c r="A560" s="144"/>
      <c r="B560" s="139"/>
      <c r="C560" s="139"/>
      <c r="D560" s="145"/>
      <c r="E560" s="139"/>
      <c r="F560" s="139"/>
      <c r="G560" s="139"/>
      <c r="H560" s="139"/>
      <c r="I560" s="139"/>
      <c r="J560" s="139"/>
      <c r="K560" s="139"/>
      <c r="L560" s="139"/>
      <c r="M560" s="145"/>
      <c r="N560" s="139"/>
      <c r="O560" s="139"/>
      <c r="P560" s="139"/>
      <c r="Q560" s="146"/>
      <c r="R560" s="139"/>
      <c r="S560" s="139"/>
      <c r="T560" s="139"/>
      <c r="U560" s="139"/>
      <c r="V560" s="139"/>
      <c r="W560" s="111"/>
      <c r="X560" s="139"/>
      <c r="Y560" s="139"/>
    </row>
    <row r="561" ht="15.75" customHeight="1">
      <c r="A561" s="144"/>
      <c r="B561" s="139"/>
      <c r="C561" s="139"/>
      <c r="D561" s="145"/>
      <c r="E561" s="139"/>
      <c r="F561" s="139"/>
      <c r="G561" s="139"/>
      <c r="H561" s="139"/>
      <c r="I561" s="139"/>
      <c r="J561" s="139"/>
      <c r="K561" s="139"/>
      <c r="L561" s="139"/>
      <c r="M561" s="145"/>
      <c r="N561" s="139"/>
      <c r="O561" s="139"/>
      <c r="P561" s="139"/>
      <c r="Q561" s="146"/>
      <c r="R561" s="139"/>
      <c r="S561" s="139"/>
      <c r="T561" s="139"/>
      <c r="U561" s="139"/>
      <c r="V561" s="139"/>
      <c r="W561" s="111"/>
      <c r="X561" s="139"/>
      <c r="Y561" s="139"/>
    </row>
    <row r="562" ht="15.75" customHeight="1">
      <c r="A562" s="144"/>
      <c r="B562" s="139"/>
      <c r="C562" s="139"/>
      <c r="D562" s="145"/>
      <c r="E562" s="139"/>
      <c r="F562" s="139"/>
      <c r="G562" s="139"/>
      <c r="H562" s="139"/>
      <c r="I562" s="139"/>
      <c r="J562" s="139"/>
      <c r="K562" s="139"/>
      <c r="L562" s="139"/>
      <c r="M562" s="145"/>
      <c r="N562" s="139"/>
      <c r="O562" s="139"/>
      <c r="P562" s="139"/>
      <c r="Q562" s="146"/>
      <c r="R562" s="139"/>
      <c r="S562" s="139"/>
      <c r="T562" s="139"/>
      <c r="U562" s="139"/>
      <c r="V562" s="139"/>
      <c r="W562" s="111"/>
      <c r="X562" s="139"/>
      <c r="Y562" s="139"/>
    </row>
    <row r="563" ht="15.75" customHeight="1">
      <c r="A563" s="144"/>
      <c r="B563" s="139"/>
      <c r="C563" s="139"/>
      <c r="D563" s="145"/>
      <c r="E563" s="139"/>
      <c r="F563" s="139"/>
      <c r="G563" s="139"/>
      <c r="H563" s="139"/>
      <c r="I563" s="139"/>
      <c r="J563" s="139"/>
      <c r="K563" s="139"/>
      <c r="L563" s="139"/>
      <c r="M563" s="145"/>
      <c r="N563" s="139"/>
      <c r="O563" s="139"/>
      <c r="P563" s="139"/>
      <c r="Q563" s="146"/>
      <c r="R563" s="139"/>
      <c r="S563" s="139"/>
      <c r="T563" s="139"/>
      <c r="U563" s="139"/>
      <c r="V563" s="139"/>
      <c r="W563" s="111"/>
      <c r="X563" s="139"/>
      <c r="Y563" s="139"/>
    </row>
    <row r="564" ht="15.75" customHeight="1">
      <c r="A564" s="144"/>
      <c r="B564" s="139"/>
      <c r="C564" s="139"/>
      <c r="D564" s="145"/>
      <c r="E564" s="139"/>
      <c r="F564" s="139"/>
      <c r="G564" s="139"/>
      <c r="H564" s="139"/>
      <c r="I564" s="139"/>
      <c r="J564" s="139"/>
      <c r="K564" s="139"/>
      <c r="L564" s="139"/>
      <c r="M564" s="145"/>
      <c r="N564" s="139"/>
      <c r="O564" s="139"/>
      <c r="P564" s="139"/>
      <c r="Q564" s="146"/>
      <c r="R564" s="139"/>
      <c r="S564" s="139"/>
      <c r="T564" s="139"/>
      <c r="U564" s="139"/>
      <c r="V564" s="139"/>
      <c r="W564" s="111"/>
      <c r="X564" s="139"/>
      <c r="Y564" s="139"/>
    </row>
    <row r="565" ht="15.75" customHeight="1">
      <c r="A565" s="144"/>
      <c r="B565" s="139"/>
      <c r="C565" s="139"/>
      <c r="D565" s="145"/>
      <c r="E565" s="139"/>
      <c r="F565" s="139"/>
      <c r="G565" s="139"/>
      <c r="H565" s="139"/>
      <c r="I565" s="139"/>
      <c r="J565" s="139"/>
      <c r="K565" s="139"/>
      <c r="L565" s="139"/>
      <c r="M565" s="145"/>
      <c r="N565" s="139"/>
      <c r="O565" s="139"/>
      <c r="P565" s="139"/>
      <c r="Q565" s="146"/>
      <c r="R565" s="139"/>
      <c r="S565" s="139"/>
      <c r="T565" s="139"/>
      <c r="U565" s="139"/>
      <c r="V565" s="139"/>
      <c r="W565" s="111"/>
      <c r="X565" s="139"/>
      <c r="Y565" s="139"/>
    </row>
    <row r="566" ht="15.75" customHeight="1">
      <c r="A566" s="144"/>
      <c r="B566" s="139"/>
      <c r="C566" s="139"/>
      <c r="D566" s="145"/>
      <c r="E566" s="139"/>
      <c r="F566" s="139"/>
      <c r="G566" s="139"/>
      <c r="H566" s="139"/>
      <c r="I566" s="139"/>
      <c r="J566" s="139"/>
      <c r="K566" s="139"/>
      <c r="L566" s="139"/>
      <c r="M566" s="145"/>
      <c r="N566" s="139"/>
      <c r="O566" s="139"/>
      <c r="P566" s="139"/>
      <c r="Q566" s="146"/>
      <c r="R566" s="139"/>
      <c r="S566" s="139"/>
      <c r="T566" s="139"/>
      <c r="U566" s="139"/>
      <c r="V566" s="139"/>
      <c r="W566" s="111"/>
      <c r="X566" s="139"/>
      <c r="Y566" s="139"/>
    </row>
    <row r="567" ht="15.75" customHeight="1">
      <c r="A567" s="144"/>
      <c r="B567" s="139"/>
      <c r="C567" s="139"/>
      <c r="D567" s="145"/>
      <c r="E567" s="139"/>
      <c r="F567" s="139"/>
      <c r="G567" s="139"/>
      <c r="H567" s="139"/>
      <c r="I567" s="139"/>
      <c r="J567" s="139"/>
      <c r="K567" s="139"/>
      <c r="L567" s="139"/>
      <c r="M567" s="145"/>
      <c r="N567" s="139"/>
      <c r="O567" s="139"/>
      <c r="P567" s="139"/>
      <c r="Q567" s="146"/>
      <c r="R567" s="139"/>
      <c r="S567" s="139"/>
      <c r="T567" s="139"/>
      <c r="U567" s="139"/>
      <c r="V567" s="139"/>
      <c r="W567" s="111"/>
      <c r="X567" s="139"/>
      <c r="Y567" s="139"/>
    </row>
    <row r="568" ht="15.75" customHeight="1">
      <c r="A568" s="144"/>
      <c r="B568" s="139"/>
      <c r="C568" s="139"/>
      <c r="D568" s="145"/>
      <c r="E568" s="139"/>
      <c r="F568" s="139"/>
      <c r="G568" s="139"/>
      <c r="H568" s="139"/>
      <c r="I568" s="139"/>
      <c r="J568" s="139"/>
      <c r="K568" s="139"/>
      <c r="L568" s="139"/>
      <c r="M568" s="145"/>
      <c r="N568" s="139"/>
      <c r="O568" s="139"/>
      <c r="P568" s="139"/>
      <c r="Q568" s="146"/>
      <c r="R568" s="139"/>
      <c r="S568" s="139"/>
      <c r="T568" s="139"/>
      <c r="U568" s="139"/>
      <c r="V568" s="139"/>
      <c r="W568" s="111"/>
      <c r="X568" s="139"/>
      <c r="Y568" s="139"/>
    </row>
    <row r="569" ht="15.75" customHeight="1">
      <c r="A569" s="144"/>
      <c r="B569" s="139"/>
      <c r="C569" s="139"/>
      <c r="D569" s="145"/>
      <c r="E569" s="139"/>
      <c r="F569" s="139"/>
      <c r="G569" s="139"/>
      <c r="H569" s="139"/>
      <c r="I569" s="139"/>
      <c r="J569" s="139"/>
      <c r="K569" s="139"/>
      <c r="L569" s="139"/>
      <c r="M569" s="145"/>
      <c r="N569" s="139"/>
      <c r="O569" s="139"/>
      <c r="P569" s="139"/>
      <c r="Q569" s="146"/>
      <c r="R569" s="139"/>
      <c r="S569" s="139"/>
      <c r="T569" s="139"/>
      <c r="U569" s="139"/>
      <c r="V569" s="139"/>
      <c r="W569" s="111"/>
      <c r="X569" s="139"/>
      <c r="Y569" s="139"/>
    </row>
    <row r="570" ht="15.75" customHeight="1">
      <c r="A570" s="144"/>
      <c r="B570" s="139"/>
      <c r="C570" s="139"/>
      <c r="D570" s="145"/>
      <c r="E570" s="139"/>
      <c r="F570" s="139"/>
      <c r="G570" s="139"/>
      <c r="H570" s="139"/>
      <c r="I570" s="139"/>
      <c r="J570" s="139"/>
      <c r="K570" s="139"/>
      <c r="L570" s="139"/>
      <c r="M570" s="145"/>
      <c r="N570" s="139"/>
      <c r="O570" s="139"/>
      <c r="P570" s="139"/>
      <c r="Q570" s="146"/>
      <c r="R570" s="139"/>
      <c r="S570" s="139"/>
      <c r="T570" s="139"/>
      <c r="U570" s="139"/>
      <c r="V570" s="139"/>
      <c r="W570" s="111"/>
      <c r="X570" s="139"/>
      <c r="Y570" s="139"/>
    </row>
    <row r="571" ht="15.75" customHeight="1">
      <c r="A571" s="144"/>
      <c r="B571" s="139"/>
      <c r="C571" s="139"/>
      <c r="D571" s="145"/>
      <c r="E571" s="139"/>
      <c r="F571" s="139"/>
      <c r="G571" s="139"/>
      <c r="H571" s="139"/>
      <c r="I571" s="139"/>
      <c r="J571" s="139"/>
      <c r="K571" s="139"/>
      <c r="L571" s="139"/>
      <c r="M571" s="145"/>
      <c r="N571" s="139"/>
      <c r="O571" s="139"/>
      <c r="P571" s="139"/>
      <c r="Q571" s="146"/>
      <c r="R571" s="139"/>
      <c r="S571" s="139"/>
      <c r="T571" s="139"/>
      <c r="U571" s="139"/>
      <c r="V571" s="139"/>
      <c r="W571" s="111"/>
      <c r="X571" s="139"/>
      <c r="Y571" s="139"/>
    </row>
    <row r="572" ht="15.75" customHeight="1">
      <c r="A572" s="144"/>
      <c r="B572" s="139"/>
      <c r="C572" s="139"/>
      <c r="D572" s="145"/>
      <c r="E572" s="139"/>
      <c r="F572" s="139"/>
      <c r="G572" s="139"/>
      <c r="H572" s="139"/>
      <c r="I572" s="139"/>
      <c r="J572" s="139"/>
      <c r="K572" s="139"/>
      <c r="L572" s="139"/>
      <c r="M572" s="145"/>
      <c r="N572" s="139"/>
      <c r="O572" s="139"/>
      <c r="P572" s="139"/>
      <c r="Q572" s="146"/>
      <c r="R572" s="139"/>
      <c r="S572" s="139"/>
      <c r="T572" s="139"/>
      <c r="U572" s="139"/>
      <c r="V572" s="139"/>
      <c r="W572" s="111"/>
      <c r="X572" s="139"/>
      <c r="Y572" s="139"/>
    </row>
    <row r="573" ht="15.75" customHeight="1">
      <c r="A573" s="144"/>
      <c r="B573" s="139"/>
      <c r="C573" s="139"/>
      <c r="D573" s="145"/>
      <c r="E573" s="139"/>
      <c r="F573" s="139"/>
      <c r="G573" s="139"/>
      <c r="H573" s="139"/>
      <c r="I573" s="139"/>
      <c r="J573" s="139"/>
      <c r="K573" s="139"/>
      <c r="L573" s="139"/>
      <c r="M573" s="145"/>
      <c r="N573" s="139"/>
      <c r="O573" s="139"/>
      <c r="P573" s="139"/>
      <c r="Q573" s="146"/>
      <c r="R573" s="139"/>
      <c r="S573" s="139"/>
      <c r="T573" s="139"/>
      <c r="U573" s="139"/>
      <c r="V573" s="139"/>
      <c r="W573" s="111"/>
      <c r="X573" s="139"/>
      <c r="Y573" s="139"/>
    </row>
    <row r="574" ht="15.75" customHeight="1">
      <c r="A574" s="144"/>
      <c r="B574" s="139"/>
      <c r="C574" s="139"/>
      <c r="D574" s="145"/>
      <c r="E574" s="139"/>
      <c r="F574" s="139"/>
      <c r="G574" s="139"/>
      <c r="H574" s="139"/>
      <c r="I574" s="139"/>
      <c r="J574" s="139"/>
      <c r="K574" s="139"/>
      <c r="L574" s="139"/>
      <c r="M574" s="145"/>
      <c r="N574" s="139"/>
      <c r="O574" s="139"/>
      <c r="P574" s="139"/>
      <c r="Q574" s="146"/>
      <c r="R574" s="139"/>
      <c r="S574" s="139"/>
      <c r="T574" s="139"/>
      <c r="U574" s="139"/>
      <c r="V574" s="139"/>
      <c r="W574" s="111"/>
      <c r="X574" s="139"/>
      <c r="Y574" s="139"/>
    </row>
    <row r="575" ht="15.75" customHeight="1">
      <c r="A575" s="144"/>
      <c r="B575" s="139"/>
      <c r="C575" s="139"/>
      <c r="D575" s="145"/>
      <c r="E575" s="139"/>
      <c r="F575" s="139"/>
      <c r="G575" s="139"/>
      <c r="H575" s="139"/>
      <c r="I575" s="139"/>
      <c r="J575" s="139"/>
      <c r="K575" s="139"/>
      <c r="L575" s="139"/>
      <c r="M575" s="145"/>
      <c r="N575" s="139"/>
      <c r="O575" s="139"/>
      <c r="P575" s="139"/>
      <c r="Q575" s="146"/>
      <c r="R575" s="139"/>
      <c r="S575" s="139"/>
      <c r="T575" s="139"/>
      <c r="U575" s="139"/>
      <c r="V575" s="139"/>
      <c r="W575" s="111"/>
      <c r="X575" s="139"/>
      <c r="Y575" s="139"/>
    </row>
    <row r="576" ht="15.75" customHeight="1">
      <c r="A576" s="144"/>
      <c r="B576" s="139"/>
      <c r="C576" s="139"/>
      <c r="D576" s="145"/>
      <c r="E576" s="139"/>
      <c r="F576" s="139"/>
      <c r="G576" s="139"/>
      <c r="H576" s="139"/>
      <c r="I576" s="139"/>
      <c r="J576" s="139"/>
      <c r="K576" s="139"/>
      <c r="L576" s="139"/>
      <c r="M576" s="145"/>
      <c r="N576" s="139"/>
      <c r="O576" s="139"/>
      <c r="P576" s="139"/>
      <c r="Q576" s="146"/>
      <c r="R576" s="139"/>
      <c r="S576" s="139"/>
      <c r="T576" s="139"/>
      <c r="U576" s="139"/>
      <c r="V576" s="139"/>
      <c r="W576" s="111"/>
      <c r="X576" s="139"/>
      <c r="Y576" s="139"/>
    </row>
    <row r="577" ht="15.75" customHeight="1">
      <c r="A577" s="144"/>
      <c r="B577" s="139"/>
      <c r="C577" s="139"/>
      <c r="D577" s="145"/>
      <c r="E577" s="139"/>
      <c r="F577" s="139"/>
      <c r="G577" s="139"/>
      <c r="H577" s="139"/>
      <c r="I577" s="139"/>
      <c r="J577" s="139"/>
      <c r="K577" s="139"/>
      <c r="L577" s="139"/>
      <c r="M577" s="145"/>
      <c r="N577" s="139"/>
      <c r="O577" s="139"/>
      <c r="P577" s="139"/>
      <c r="Q577" s="146"/>
      <c r="R577" s="139"/>
      <c r="S577" s="139"/>
      <c r="T577" s="139"/>
      <c r="U577" s="139"/>
      <c r="V577" s="139"/>
      <c r="W577" s="111"/>
      <c r="X577" s="139"/>
      <c r="Y577" s="139"/>
    </row>
    <row r="578" ht="15.75" customHeight="1">
      <c r="A578" s="144"/>
      <c r="B578" s="139"/>
      <c r="C578" s="139"/>
      <c r="D578" s="145"/>
      <c r="E578" s="139"/>
      <c r="F578" s="139"/>
      <c r="G578" s="139"/>
      <c r="H578" s="139"/>
      <c r="I578" s="139"/>
      <c r="J578" s="139"/>
      <c r="K578" s="139"/>
      <c r="L578" s="139"/>
      <c r="M578" s="145"/>
      <c r="N578" s="139"/>
      <c r="O578" s="139"/>
      <c r="P578" s="139"/>
      <c r="Q578" s="146"/>
      <c r="R578" s="139"/>
      <c r="S578" s="139"/>
      <c r="T578" s="139"/>
      <c r="U578" s="139"/>
      <c r="V578" s="139"/>
      <c r="W578" s="111"/>
      <c r="X578" s="139"/>
      <c r="Y578" s="139"/>
    </row>
    <row r="579" ht="15.75" customHeight="1">
      <c r="A579" s="144"/>
      <c r="B579" s="139"/>
      <c r="C579" s="139"/>
      <c r="D579" s="145"/>
      <c r="E579" s="139"/>
      <c r="F579" s="139"/>
      <c r="G579" s="139"/>
      <c r="H579" s="139"/>
      <c r="I579" s="139"/>
      <c r="J579" s="139"/>
      <c r="K579" s="139"/>
      <c r="L579" s="139"/>
      <c r="M579" s="145"/>
      <c r="N579" s="139"/>
      <c r="O579" s="139"/>
      <c r="P579" s="139"/>
      <c r="Q579" s="146"/>
      <c r="R579" s="139"/>
      <c r="S579" s="139"/>
      <c r="T579" s="139"/>
      <c r="U579" s="139"/>
      <c r="V579" s="139"/>
      <c r="W579" s="111"/>
      <c r="X579" s="139"/>
      <c r="Y579" s="139"/>
    </row>
    <row r="580" ht="15.75" customHeight="1">
      <c r="A580" s="144"/>
      <c r="B580" s="139"/>
      <c r="C580" s="139"/>
      <c r="D580" s="145"/>
      <c r="E580" s="139"/>
      <c r="F580" s="139"/>
      <c r="G580" s="139"/>
      <c r="H580" s="139"/>
      <c r="I580" s="139"/>
      <c r="J580" s="139"/>
      <c r="K580" s="139"/>
      <c r="L580" s="139"/>
      <c r="M580" s="145"/>
      <c r="N580" s="139"/>
      <c r="O580" s="139"/>
      <c r="P580" s="139"/>
      <c r="Q580" s="146"/>
      <c r="R580" s="139"/>
      <c r="S580" s="139"/>
      <c r="T580" s="139"/>
      <c r="U580" s="139"/>
      <c r="V580" s="139"/>
      <c r="W580" s="111"/>
      <c r="X580" s="139"/>
      <c r="Y580" s="139"/>
    </row>
    <row r="581" ht="15.75" customHeight="1">
      <c r="A581" s="144"/>
      <c r="B581" s="139"/>
      <c r="C581" s="139"/>
      <c r="D581" s="145"/>
      <c r="E581" s="139"/>
      <c r="F581" s="139"/>
      <c r="G581" s="139"/>
      <c r="H581" s="139"/>
      <c r="I581" s="139"/>
      <c r="J581" s="139"/>
      <c r="K581" s="139"/>
      <c r="L581" s="139"/>
      <c r="M581" s="145"/>
      <c r="N581" s="139"/>
      <c r="O581" s="139"/>
      <c r="P581" s="139"/>
      <c r="Q581" s="146"/>
      <c r="R581" s="139"/>
      <c r="S581" s="139"/>
      <c r="T581" s="139"/>
      <c r="U581" s="139"/>
      <c r="V581" s="139"/>
      <c r="W581" s="111"/>
      <c r="X581" s="139"/>
      <c r="Y581" s="139"/>
    </row>
    <row r="582" ht="15.75" customHeight="1">
      <c r="A582" s="144"/>
      <c r="B582" s="139"/>
      <c r="C582" s="139"/>
      <c r="D582" s="145"/>
      <c r="E582" s="139"/>
      <c r="F582" s="139"/>
      <c r="G582" s="139"/>
      <c r="H582" s="139"/>
      <c r="I582" s="139"/>
      <c r="J582" s="139"/>
      <c r="K582" s="139"/>
      <c r="L582" s="139"/>
      <c r="M582" s="145"/>
      <c r="N582" s="139"/>
      <c r="O582" s="139"/>
      <c r="P582" s="139"/>
      <c r="Q582" s="146"/>
      <c r="R582" s="139"/>
      <c r="S582" s="139"/>
      <c r="T582" s="139"/>
      <c r="U582" s="139"/>
      <c r="V582" s="139"/>
      <c r="W582" s="111"/>
      <c r="X582" s="139"/>
      <c r="Y582" s="139"/>
    </row>
    <row r="583" ht="15.75" customHeight="1">
      <c r="A583" s="144"/>
      <c r="B583" s="139"/>
      <c r="C583" s="139"/>
      <c r="D583" s="145"/>
      <c r="E583" s="139"/>
      <c r="F583" s="139"/>
      <c r="G583" s="139"/>
      <c r="H583" s="139"/>
      <c r="I583" s="139"/>
      <c r="J583" s="139"/>
      <c r="K583" s="139"/>
      <c r="L583" s="139"/>
      <c r="M583" s="145"/>
      <c r="N583" s="139"/>
      <c r="O583" s="139"/>
      <c r="P583" s="139"/>
      <c r="Q583" s="146"/>
      <c r="R583" s="139"/>
      <c r="S583" s="139"/>
      <c r="T583" s="139"/>
      <c r="U583" s="139"/>
      <c r="V583" s="139"/>
      <c r="W583" s="111"/>
      <c r="X583" s="139"/>
      <c r="Y583" s="139"/>
    </row>
    <row r="584" ht="15.75" customHeight="1">
      <c r="A584" s="144"/>
      <c r="B584" s="139"/>
      <c r="C584" s="139"/>
      <c r="D584" s="145"/>
      <c r="E584" s="139"/>
      <c r="F584" s="139"/>
      <c r="G584" s="139"/>
      <c r="H584" s="139"/>
      <c r="I584" s="139"/>
      <c r="J584" s="139"/>
      <c r="K584" s="139"/>
      <c r="L584" s="139"/>
      <c r="M584" s="145"/>
      <c r="N584" s="139"/>
      <c r="O584" s="139"/>
      <c r="P584" s="139"/>
      <c r="Q584" s="146"/>
      <c r="R584" s="139"/>
      <c r="S584" s="139"/>
      <c r="T584" s="139"/>
      <c r="U584" s="139"/>
      <c r="V584" s="139"/>
      <c r="W584" s="111"/>
      <c r="X584" s="139"/>
      <c r="Y584" s="139"/>
    </row>
    <row r="585" ht="15.75" customHeight="1">
      <c r="A585" s="144"/>
      <c r="B585" s="139"/>
      <c r="C585" s="139"/>
      <c r="D585" s="145"/>
      <c r="E585" s="139"/>
      <c r="F585" s="139"/>
      <c r="G585" s="139"/>
      <c r="H585" s="139"/>
      <c r="I585" s="139"/>
      <c r="J585" s="139"/>
      <c r="K585" s="139"/>
      <c r="L585" s="139"/>
      <c r="M585" s="145"/>
      <c r="N585" s="139"/>
      <c r="O585" s="139"/>
      <c r="P585" s="139"/>
      <c r="Q585" s="146"/>
      <c r="R585" s="139"/>
      <c r="S585" s="139"/>
      <c r="T585" s="139"/>
      <c r="U585" s="139"/>
      <c r="V585" s="139"/>
      <c r="W585" s="111"/>
      <c r="X585" s="139"/>
      <c r="Y585" s="139"/>
    </row>
    <row r="586" ht="15.75" customHeight="1">
      <c r="A586" s="144"/>
      <c r="B586" s="139"/>
      <c r="C586" s="139"/>
      <c r="D586" s="145"/>
      <c r="E586" s="139"/>
      <c r="F586" s="139"/>
      <c r="G586" s="139"/>
      <c r="H586" s="139"/>
      <c r="I586" s="139"/>
      <c r="J586" s="139"/>
      <c r="K586" s="139"/>
      <c r="L586" s="139"/>
      <c r="M586" s="145"/>
      <c r="N586" s="139"/>
      <c r="O586" s="139"/>
      <c r="P586" s="139"/>
      <c r="Q586" s="146"/>
      <c r="R586" s="139"/>
      <c r="S586" s="139"/>
      <c r="T586" s="139"/>
      <c r="U586" s="139"/>
      <c r="V586" s="139"/>
      <c r="W586" s="111"/>
      <c r="X586" s="139"/>
      <c r="Y586" s="139"/>
    </row>
    <row r="587" ht="15.75" customHeight="1">
      <c r="A587" s="144"/>
      <c r="B587" s="139"/>
      <c r="C587" s="139"/>
      <c r="D587" s="145"/>
      <c r="E587" s="139"/>
      <c r="F587" s="139"/>
      <c r="G587" s="139"/>
      <c r="H587" s="139"/>
      <c r="I587" s="139"/>
      <c r="J587" s="139"/>
      <c r="K587" s="139"/>
      <c r="L587" s="139"/>
      <c r="M587" s="145"/>
      <c r="N587" s="139"/>
      <c r="O587" s="139"/>
      <c r="P587" s="139"/>
      <c r="Q587" s="146"/>
      <c r="R587" s="139"/>
      <c r="S587" s="139"/>
      <c r="T587" s="139"/>
      <c r="U587" s="139"/>
      <c r="V587" s="139"/>
      <c r="W587" s="111"/>
      <c r="X587" s="139"/>
      <c r="Y587" s="139"/>
    </row>
    <row r="588" ht="15.75" customHeight="1">
      <c r="A588" s="144"/>
      <c r="B588" s="139"/>
      <c r="C588" s="139"/>
      <c r="D588" s="145"/>
      <c r="E588" s="139"/>
      <c r="F588" s="139"/>
      <c r="G588" s="139"/>
      <c r="H588" s="139"/>
      <c r="I588" s="139"/>
      <c r="J588" s="139"/>
      <c r="K588" s="139"/>
      <c r="L588" s="139"/>
      <c r="M588" s="145"/>
      <c r="N588" s="139"/>
      <c r="O588" s="139"/>
      <c r="P588" s="139"/>
      <c r="Q588" s="146"/>
      <c r="R588" s="139"/>
      <c r="S588" s="139"/>
      <c r="T588" s="139"/>
      <c r="U588" s="139"/>
      <c r="V588" s="139"/>
      <c r="W588" s="111"/>
      <c r="X588" s="139"/>
      <c r="Y588" s="139"/>
    </row>
    <row r="589" ht="15.75" customHeight="1">
      <c r="A589" s="144"/>
      <c r="B589" s="139"/>
      <c r="C589" s="139"/>
      <c r="D589" s="145"/>
      <c r="E589" s="139"/>
      <c r="F589" s="139"/>
      <c r="G589" s="139"/>
      <c r="H589" s="139"/>
      <c r="I589" s="139"/>
      <c r="J589" s="139"/>
      <c r="K589" s="139"/>
      <c r="L589" s="139"/>
      <c r="M589" s="145"/>
      <c r="N589" s="139"/>
      <c r="O589" s="139"/>
      <c r="P589" s="139"/>
      <c r="Q589" s="146"/>
      <c r="R589" s="139"/>
      <c r="S589" s="139"/>
      <c r="T589" s="139"/>
      <c r="U589" s="139"/>
      <c r="V589" s="139"/>
      <c r="W589" s="111"/>
      <c r="X589" s="139"/>
      <c r="Y589" s="139"/>
    </row>
    <row r="590" ht="15.75" customHeight="1">
      <c r="A590" s="144"/>
      <c r="B590" s="139"/>
      <c r="C590" s="139"/>
      <c r="D590" s="145"/>
      <c r="E590" s="139"/>
      <c r="F590" s="139"/>
      <c r="G590" s="139"/>
      <c r="H590" s="139"/>
      <c r="I590" s="139"/>
      <c r="J590" s="139"/>
      <c r="K590" s="139"/>
      <c r="L590" s="139"/>
      <c r="M590" s="145"/>
      <c r="N590" s="139"/>
      <c r="O590" s="139"/>
      <c r="P590" s="139"/>
      <c r="Q590" s="146"/>
      <c r="R590" s="139"/>
      <c r="S590" s="139"/>
      <c r="T590" s="139"/>
      <c r="U590" s="139"/>
      <c r="V590" s="139"/>
      <c r="W590" s="111"/>
      <c r="X590" s="139"/>
      <c r="Y590" s="139"/>
    </row>
    <row r="591" ht="15.75" customHeight="1">
      <c r="A591" s="144"/>
      <c r="B591" s="139"/>
      <c r="C591" s="139"/>
      <c r="D591" s="145"/>
      <c r="E591" s="139"/>
      <c r="F591" s="139"/>
      <c r="G591" s="139"/>
      <c r="H591" s="139"/>
      <c r="I591" s="139"/>
      <c r="J591" s="139"/>
      <c r="K591" s="139"/>
      <c r="L591" s="139"/>
      <c r="M591" s="145"/>
      <c r="N591" s="139"/>
      <c r="O591" s="139"/>
      <c r="P591" s="139"/>
      <c r="Q591" s="146"/>
      <c r="R591" s="139"/>
      <c r="S591" s="139"/>
      <c r="T591" s="139"/>
      <c r="U591" s="139"/>
      <c r="V591" s="139"/>
      <c r="W591" s="111"/>
      <c r="X591" s="139"/>
      <c r="Y591" s="139"/>
    </row>
    <row r="592" ht="15.75" customHeight="1">
      <c r="A592" s="144"/>
      <c r="B592" s="139"/>
      <c r="C592" s="139"/>
      <c r="D592" s="145"/>
      <c r="E592" s="139"/>
      <c r="F592" s="139"/>
      <c r="G592" s="139"/>
      <c r="H592" s="139"/>
      <c r="I592" s="139"/>
      <c r="J592" s="139"/>
      <c r="K592" s="139"/>
      <c r="L592" s="139"/>
      <c r="M592" s="145"/>
      <c r="N592" s="139"/>
      <c r="O592" s="139"/>
      <c r="P592" s="139"/>
      <c r="Q592" s="146"/>
      <c r="R592" s="139"/>
      <c r="S592" s="139"/>
      <c r="T592" s="139"/>
      <c r="U592" s="139"/>
      <c r="V592" s="139"/>
      <c r="W592" s="111"/>
      <c r="X592" s="139"/>
      <c r="Y592" s="139"/>
    </row>
    <row r="593" ht="15.75" customHeight="1">
      <c r="A593" s="144"/>
      <c r="B593" s="139"/>
      <c r="C593" s="139"/>
      <c r="D593" s="145"/>
      <c r="E593" s="139"/>
      <c r="F593" s="139"/>
      <c r="G593" s="139"/>
      <c r="H593" s="139"/>
      <c r="I593" s="139"/>
      <c r="J593" s="139"/>
      <c r="K593" s="139"/>
      <c r="L593" s="139"/>
      <c r="M593" s="145"/>
      <c r="N593" s="139"/>
      <c r="O593" s="139"/>
      <c r="P593" s="139"/>
      <c r="Q593" s="146"/>
      <c r="R593" s="139"/>
      <c r="S593" s="139"/>
      <c r="T593" s="139"/>
      <c r="U593" s="139"/>
      <c r="V593" s="139"/>
      <c r="W593" s="111"/>
      <c r="X593" s="139"/>
      <c r="Y593" s="139"/>
    </row>
    <row r="594" ht="15.75" customHeight="1">
      <c r="A594" s="144"/>
      <c r="B594" s="139"/>
      <c r="C594" s="139"/>
      <c r="D594" s="145"/>
      <c r="E594" s="139"/>
      <c r="F594" s="139"/>
      <c r="G594" s="139"/>
      <c r="H594" s="139"/>
      <c r="I594" s="139"/>
      <c r="J594" s="139"/>
      <c r="K594" s="139"/>
      <c r="L594" s="139"/>
      <c r="M594" s="145"/>
      <c r="N594" s="139"/>
      <c r="O594" s="139"/>
      <c r="P594" s="139"/>
      <c r="Q594" s="146"/>
      <c r="R594" s="139"/>
      <c r="S594" s="139"/>
      <c r="T594" s="139"/>
      <c r="U594" s="139"/>
      <c r="V594" s="139"/>
      <c r="W594" s="111"/>
      <c r="X594" s="139"/>
      <c r="Y594" s="139"/>
    </row>
    <row r="595" ht="15.75" customHeight="1">
      <c r="A595" s="144"/>
      <c r="B595" s="139"/>
      <c r="C595" s="139"/>
      <c r="D595" s="145"/>
      <c r="E595" s="139"/>
      <c r="F595" s="139"/>
      <c r="G595" s="139"/>
      <c r="H595" s="139"/>
      <c r="I595" s="139"/>
      <c r="J595" s="139"/>
      <c r="K595" s="139"/>
      <c r="L595" s="139"/>
      <c r="M595" s="145"/>
      <c r="N595" s="139"/>
      <c r="O595" s="139"/>
      <c r="P595" s="139"/>
      <c r="Q595" s="146"/>
      <c r="R595" s="139"/>
      <c r="S595" s="139"/>
      <c r="T595" s="139"/>
      <c r="U595" s="139"/>
      <c r="V595" s="139"/>
      <c r="W595" s="111"/>
      <c r="X595" s="139"/>
      <c r="Y595" s="139"/>
    </row>
    <row r="596" ht="15.75" customHeight="1">
      <c r="A596" s="144"/>
      <c r="B596" s="139"/>
      <c r="C596" s="139"/>
      <c r="D596" s="145"/>
      <c r="E596" s="139"/>
      <c r="F596" s="139"/>
      <c r="G596" s="139"/>
      <c r="H596" s="139"/>
      <c r="I596" s="139"/>
      <c r="J596" s="139"/>
      <c r="K596" s="139"/>
      <c r="L596" s="139"/>
      <c r="M596" s="145"/>
      <c r="N596" s="139"/>
      <c r="O596" s="139"/>
      <c r="P596" s="139"/>
      <c r="Q596" s="146"/>
      <c r="R596" s="139"/>
      <c r="S596" s="139"/>
      <c r="T596" s="139"/>
      <c r="U596" s="139"/>
      <c r="V596" s="139"/>
      <c r="W596" s="111"/>
      <c r="X596" s="139"/>
      <c r="Y596" s="139"/>
    </row>
    <row r="597" ht="15.75" customHeight="1">
      <c r="A597" s="144"/>
      <c r="B597" s="139"/>
      <c r="C597" s="139"/>
      <c r="D597" s="145"/>
      <c r="E597" s="139"/>
      <c r="F597" s="139"/>
      <c r="G597" s="139"/>
      <c r="H597" s="139"/>
      <c r="I597" s="139"/>
      <c r="J597" s="139"/>
      <c r="K597" s="139"/>
      <c r="L597" s="139"/>
      <c r="M597" s="145"/>
      <c r="N597" s="139"/>
      <c r="O597" s="139"/>
      <c r="P597" s="139"/>
      <c r="Q597" s="146"/>
      <c r="R597" s="139"/>
      <c r="S597" s="139"/>
      <c r="T597" s="139"/>
      <c r="U597" s="139"/>
      <c r="V597" s="139"/>
      <c r="W597" s="111"/>
      <c r="X597" s="139"/>
      <c r="Y597" s="139"/>
    </row>
    <row r="598" ht="15.75" customHeight="1">
      <c r="A598" s="144"/>
      <c r="B598" s="139"/>
      <c r="C598" s="139"/>
      <c r="D598" s="145"/>
      <c r="E598" s="139"/>
      <c r="F598" s="139"/>
      <c r="G598" s="139"/>
      <c r="H598" s="139"/>
      <c r="I598" s="139"/>
      <c r="J598" s="139"/>
      <c r="K598" s="139"/>
      <c r="L598" s="139"/>
      <c r="M598" s="145"/>
      <c r="N598" s="139"/>
      <c r="O598" s="139"/>
      <c r="P598" s="139"/>
      <c r="Q598" s="146"/>
      <c r="R598" s="139"/>
      <c r="S598" s="139"/>
      <c r="T598" s="139"/>
      <c r="U598" s="139"/>
      <c r="V598" s="139"/>
      <c r="W598" s="111"/>
      <c r="X598" s="139"/>
      <c r="Y598" s="139"/>
    </row>
    <row r="599" ht="15.75" customHeight="1">
      <c r="A599" s="144"/>
      <c r="B599" s="139"/>
      <c r="C599" s="139"/>
      <c r="D599" s="145"/>
      <c r="E599" s="139"/>
      <c r="F599" s="139"/>
      <c r="G599" s="139"/>
      <c r="H599" s="139"/>
      <c r="I599" s="139"/>
      <c r="J599" s="139"/>
      <c r="K599" s="139"/>
      <c r="L599" s="139"/>
      <c r="M599" s="145"/>
      <c r="N599" s="139"/>
      <c r="O599" s="139"/>
      <c r="P599" s="139"/>
      <c r="Q599" s="146"/>
      <c r="R599" s="139"/>
      <c r="S599" s="139"/>
      <c r="T599" s="139"/>
      <c r="U599" s="139"/>
      <c r="V599" s="139"/>
      <c r="W599" s="111"/>
      <c r="X599" s="139"/>
      <c r="Y599" s="139"/>
    </row>
    <row r="600" ht="15.75" customHeight="1">
      <c r="A600" s="144"/>
      <c r="B600" s="139"/>
      <c r="C600" s="139"/>
      <c r="D600" s="145"/>
      <c r="E600" s="139"/>
      <c r="F600" s="139"/>
      <c r="G600" s="139"/>
      <c r="H600" s="139"/>
      <c r="I600" s="139"/>
      <c r="J600" s="139"/>
      <c r="K600" s="139"/>
      <c r="L600" s="139"/>
      <c r="M600" s="145"/>
      <c r="N600" s="139"/>
      <c r="O600" s="139"/>
      <c r="P600" s="139"/>
      <c r="Q600" s="146"/>
      <c r="R600" s="139"/>
      <c r="S600" s="139"/>
      <c r="T600" s="139"/>
      <c r="U600" s="139"/>
      <c r="V600" s="139"/>
      <c r="W600" s="111"/>
      <c r="X600" s="139"/>
      <c r="Y600" s="139"/>
    </row>
    <row r="601" ht="15.75" customHeight="1">
      <c r="A601" s="144"/>
      <c r="B601" s="139"/>
      <c r="C601" s="139"/>
      <c r="D601" s="145"/>
      <c r="E601" s="139"/>
      <c r="F601" s="139"/>
      <c r="G601" s="139"/>
      <c r="H601" s="139"/>
      <c r="I601" s="139"/>
      <c r="J601" s="139"/>
      <c r="K601" s="139"/>
      <c r="L601" s="139"/>
      <c r="M601" s="145"/>
      <c r="N601" s="139"/>
      <c r="O601" s="139"/>
      <c r="P601" s="139"/>
      <c r="Q601" s="146"/>
      <c r="R601" s="139"/>
      <c r="S601" s="139"/>
      <c r="T601" s="139"/>
      <c r="U601" s="139"/>
      <c r="V601" s="139"/>
      <c r="W601" s="111"/>
      <c r="X601" s="139"/>
      <c r="Y601" s="139"/>
    </row>
    <row r="602" ht="15.75" customHeight="1">
      <c r="A602" s="144"/>
      <c r="B602" s="139"/>
      <c r="C602" s="139"/>
      <c r="D602" s="145"/>
      <c r="E602" s="139"/>
      <c r="F602" s="139"/>
      <c r="G602" s="139"/>
      <c r="H602" s="139"/>
      <c r="I602" s="139"/>
      <c r="J602" s="139"/>
      <c r="K602" s="139"/>
      <c r="L602" s="139"/>
      <c r="M602" s="145"/>
      <c r="N602" s="139"/>
      <c r="O602" s="139"/>
      <c r="P602" s="139"/>
      <c r="Q602" s="146"/>
      <c r="R602" s="139"/>
      <c r="S602" s="139"/>
      <c r="T602" s="139"/>
      <c r="U602" s="139"/>
      <c r="V602" s="139"/>
      <c r="W602" s="111"/>
      <c r="X602" s="139"/>
      <c r="Y602" s="139"/>
    </row>
    <row r="603" ht="15.75" customHeight="1">
      <c r="A603" s="144"/>
      <c r="B603" s="139"/>
      <c r="C603" s="139"/>
      <c r="D603" s="145"/>
      <c r="E603" s="139"/>
      <c r="F603" s="139"/>
      <c r="G603" s="139"/>
      <c r="H603" s="139"/>
      <c r="I603" s="139"/>
      <c r="J603" s="139"/>
      <c r="K603" s="139"/>
      <c r="L603" s="139"/>
      <c r="M603" s="145"/>
      <c r="N603" s="139"/>
      <c r="O603" s="139"/>
      <c r="P603" s="139"/>
      <c r="Q603" s="146"/>
      <c r="R603" s="139"/>
      <c r="S603" s="139"/>
      <c r="T603" s="139"/>
      <c r="U603" s="139"/>
      <c r="V603" s="139"/>
      <c r="W603" s="111"/>
      <c r="X603" s="139"/>
      <c r="Y603" s="139"/>
    </row>
    <row r="604" ht="15.75" customHeight="1">
      <c r="A604" s="144"/>
      <c r="B604" s="139"/>
      <c r="C604" s="139"/>
      <c r="D604" s="145"/>
      <c r="E604" s="139"/>
      <c r="F604" s="139"/>
      <c r="G604" s="139"/>
      <c r="H604" s="139"/>
      <c r="I604" s="139"/>
      <c r="J604" s="139"/>
      <c r="K604" s="139"/>
      <c r="L604" s="139"/>
      <c r="M604" s="145"/>
      <c r="N604" s="139"/>
      <c r="O604" s="139"/>
      <c r="P604" s="139"/>
      <c r="Q604" s="146"/>
      <c r="R604" s="139"/>
      <c r="S604" s="139"/>
      <c r="T604" s="139"/>
      <c r="U604" s="139"/>
      <c r="V604" s="139"/>
      <c r="W604" s="111"/>
      <c r="X604" s="139"/>
      <c r="Y604" s="139"/>
    </row>
    <row r="605" ht="15.75" customHeight="1">
      <c r="A605" s="144"/>
      <c r="B605" s="139"/>
      <c r="C605" s="139"/>
      <c r="D605" s="145"/>
      <c r="E605" s="139"/>
      <c r="F605" s="139"/>
      <c r="G605" s="139"/>
      <c r="H605" s="139"/>
      <c r="I605" s="139"/>
      <c r="J605" s="139"/>
      <c r="K605" s="139"/>
      <c r="L605" s="139"/>
      <c r="M605" s="145"/>
      <c r="N605" s="139"/>
      <c r="O605" s="139"/>
      <c r="P605" s="139"/>
      <c r="Q605" s="146"/>
      <c r="R605" s="139"/>
      <c r="S605" s="139"/>
      <c r="T605" s="139"/>
      <c r="U605" s="139"/>
      <c r="V605" s="139"/>
      <c r="W605" s="111"/>
      <c r="X605" s="139"/>
      <c r="Y605" s="139"/>
    </row>
    <row r="606" ht="15.75" customHeight="1">
      <c r="A606" s="144"/>
      <c r="B606" s="139"/>
      <c r="C606" s="139"/>
      <c r="D606" s="145"/>
      <c r="E606" s="139"/>
      <c r="F606" s="139"/>
      <c r="G606" s="139"/>
      <c r="H606" s="139"/>
      <c r="I606" s="139"/>
      <c r="J606" s="139"/>
      <c r="K606" s="139"/>
      <c r="L606" s="139"/>
      <c r="M606" s="145"/>
      <c r="N606" s="139"/>
      <c r="O606" s="139"/>
      <c r="P606" s="139"/>
      <c r="Q606" s="146"/>
      <c r="R606" s="139"/>
      <c r="S606" s="139"/>
      <c r="T606" s="139"/>
      <c r="U606" s="139"/>
      <c r="V606" s="139"/>
      <c r="W606" s="111"/>
      <c r="X606" s="139"/>
      <c r="Y606" s="139"/>
    </row>
    <row r="607" ht="15.75" customHeight="1">
      <c r="A607" s="144"/>
      <c r="B607" s="139"/>
      <c r="C607" s="139"/>
      <c r="D607" s="145"/>
      <c r="E607" s="139"/>
      <c r="F607" s="139"/>
      <c r="G607" s="139"/>
      <c r="H607" s="139"/>
      <c r="I607" s="139"/>
      <c r="J607" s="139"/>
      <c r="K607" s="139"/>
      <c r="L607" s="139"/>
      <c r="M607" s="145"/>
      <c r="N607" s="139"/>
      <c r="O607" s="139"/>
      <c r="P607" s="139"/>
      <c r="Q607" s="146"/>
      <c r="R607" s="139"/>
      <c r="S607" s="139"/>
      <c r="T607" s="139"/>
      <c r="U607" s="139"/>
      <c r="V607" s="139"/>
      <c r="W607" s="111"/>
      <c r="X607" s="139"/>
      <c r="Y607" s="139"/>
    </row>
    <row r="608" ht="15.75" customHeight="1">
      <c r="A608" s="144"/>
      <c r="B608" s="139"/>
      <c r="C608" s="139"/>
      <c r="D608" s="145"/>
      <c r="E608" s="139"/>
      <c r="F608" s="139"/>
      <c r="G608" s="139"/>
      <c r="H608" s="139"/>
      <c r="I608" s="139"/>
      <c r="J608" s="139"/>
      <c r="K608" s="139"/>
      <c r="L608" s="139"/>
      <c r="M608" s="145"/>
      <c r="N608" s="139"/>
      <c r="O608" s="139"/>
      <c r="P608" s="139"/>
      <c r="Q608" s="146"/>
      <c r="R608" s="139"/>
      <c r="S608" s="139"/>
      <c r="T608" s="139"/>
      <c r="U608" s="139"/>
      <c r="V608" s="139"/>
      <c r="W608" s="111"/>
      <c r="X608" s="139"/>
      <c r="Y608" s="139"/>
    </row>
    <row r="609" ht="15.75" customHeight="1">
      <c r="A609" s="144"/>
      <c r="B609" s="139"/>
      <c r="C609" s="139"/>
      <c r="D609" s="145"/>
      <c r="E609" s="139"/>
      <c r="F609" s="139"/>
      <c r="G609" s="139"/>
      <c r="H609" s="139"/>
      <c r="I609" s="139"/>
      <c r="J609" s="139"/>
      <c r="K609" s="139"/>
      <c r="L609" s="139"/>
      <c r="M609" s="145"/>
      <c r="N609" s="139"/>
      <c r="O609" s="139"/>
      <c r="P609" s="139"/>
      <c r="Q609" s="146"/>
      <c r="R609" s="139"/>
      <c r="S609" s="139"/>
      <c r="T609" s="139"/>
      <c r="U609" s="139"/>
      <c r="V609" s="139"/>
      <c r="W609" s="111"/>
      <c r="X609" s="139"/>
      <c r="Y609" s="139"/>
    </row>
    <row r="610" ht="15.75" customHeight="1">
      <c r="A610" s="144"/>
      <c r="B610" s="139"/>
      <c r="C610" s="139"/>
      <c r="D610" s="145"/>
      <c r="E610" s="139"/>
      <c r="F610" s="139"/>
      <c r="G610" s="139"/>
      <c r="H610" s="139"/>
      <c r="I610" s="139"/>
      <c r="J610" s="139"/>
      <c r="K610" s="139"/>
      <c r="L610" s="139"/>
      <c r="M610" s="145"/>
      <c r="N610" s="139"/>
      <c r="O610" s="139"/>
      <c r="P610" s="139"/>
      <c r="Q610" s="146"/>
      <c r="R610" s="139"/>
      <c r="S610" s="139"/>
      <c r="T610" s="139"/>
      <c r="U610" s="139"/>
      <c r="V610" s="139"/>
      <c r="W610" s="111"/>
      <c r="X610" s="139"/>
      <c r="Y610" s="139"/>
    </row>
    <row r="611" ht="15.75" customHeight="1">
      <c r="A611" s="144"/>
      <c r="B611" s="139"/>
      <c r="C611" s="139"/>
      <c r="D611" s="145"/>
      <c r="E611" s="139"/>
      <c r="F611" s="139"/>
      <c r="G611" s="139"/>
      <c r="H611" s="139"/>
      <c r="I611" s="139"/>
      <c r="J611" s="139"/>
      <c r="K611" s="139"/>
      <c r="L611" s="139"/>
      <c r="M611" s="145"/>
      <c r="N611" s="139"/>
      <c r="O611" s="139"/>
      <c r="P611" s="139"/>
      <c r="Q611" s="146"/>
      <c r="R611" s="139"/>
      <c r="S611" s="139"/>
      <c r="T611" s="139"/>
      <c r="U611" s="139"/>
      <c r="V611" s="139"/>
      <c r="W611" s="111"/>
      <c r="X611" s="139"/>
      <c r="Y611" s="139"/>
    </row>
    <row r="612" ht="15.75" customHeight="1">
      <c r="A612" s="144"/>
      <c r="B612" s="139"/>
      <c r="C612" s="139"/>
      <c r="D612" s="145"/>
      <c r="E612" s="139"/>
      <c r="F612" s="139"/>
      <c r="G612" s="139"/>
      <c r="H612" s="139"/>
      <c r="I612" s="139"/>
      <c r="J612" s="139"/>
      <c r="K612" s="139"/>
      <c r="L612" s="139"/>
      <c r="M612" s="145"/>
      <c r="N612" s="139"/>
      <c r="O612" s="139"/>
      <c r="P612" s="139"/>
      <c r="Q612" s="146"/>
      <c r="R612" s="139"/>
      <c r="S612" s="139"/>
      <c r="T612" s="139"/>
      <c r="U612" s="139"/>
      <c r="V612" s="139"/>
      <c r="W612" s="111"/>
      <c r="X612" s="139"/>
      <c r="Y612" s="139"/>
    </row>
    <row r="613" ht="15.75" customHeight="1">
      <c r="A613" s="144"/>
      <c r="B613" s="139"/>
      <c r="C613" s="139"/>
      <c r="D613" s="145"/>
      <c r="E613" s="139"/>
      <c r="F613" s="139"/>
      <c r="G613" s="139"/>
      <c r="H613" s="139"/>
      <c r="I613" s="139"/>
      <c r="J613" s="139"/>
      <c r="K613" s="139"/>
      <c r="L613" s="139"/>
      <c r="M613" s="145"/>
      <c r="N613" s="139"/>
      <c r="O613" s="139"/>
      <c r="P613" s="139"/>
      <c r="Q613" s="146"/>
      <c r="R613" s="139"/>
      <c r="S613" s="139"/>
      <c r="T613" s="139"/>
      <c r="U613" s="139"/>
      <c r="V613" s="139"/>
      <c r="W613" s="111"/>
      <c r="X613" s="139"/>
      <c r="Y613" s="139"/>
    </row>
    <row r="614" ht="15.75" customHeight="1">
      <c r="A614" s="144"/>
      <c r="B614" s="139"/>
      <c r="C614" s="139"/>
      <c r="D614" s="145"/>
      <c r="E614" s="139"/>
      <c r="F614" s="139"/>
      <c r="G614" s="139"/>
      <c r="H614" s="139"/>
      <c r="I614" s="139"/>
      <c r="J614" s="139"/>
      <c r="K614" s="139"/>
      <c r="L614" s="139"/>
      <c r="M614" s="145"/>
      <c r="N614" s="139"/>
      <c r="O614" s="139"/>
      <c r="P614" s="139"/>
      <c r="Q614" s="146"/>
      <c r="R614" s="139"/>
      <c r="S614" s="139"/>
      <c r="T614" s="139"/>
      <c r="U614" s="139"/>
      <c r="V614" s="139"/>
      <c r="W614" s="111"/>
      <c r="X614" s="139"/>
      <c r="Y614" s="139"/>
    </row>
    <row r="615" ht="15.75" customHeight="1">
      <c r="A615" s="144"/>
      <c r="B615" s="139"/>
      <c r="C615" s="139"/>
      <c r="D615" s="145"/>
      <c r="E615" s="139"/>
      <c r="F615" s="139"/>
      <c r="G615" s="139"/>
      <c r="H615" s="139"/>
      <c r="I615" s="139"/>
      <c r="J615" s="139"/>
      <c r="K615" s="139"/>
      <c r="L615" s="139"/>
      <c r="M615" s="145"/>
      <c r="N615" s="139"/>
      <c r="O615" s="139"/>
      <c r="P615" s="139"/>
      <c r="Q615" s="146"/>
      <c r="R615" s="139"/>
      <c r="S615" s="139"/>
      <c r="T615" s="139"/>
      <c r="U615" s="139"/>
      <c r="V615" s="139"/>
      <c r="W615" s="111"/>
      <c r="X615" s="139"/>
      <c r="Y615" s="139"/>
    </row>
    <row r="616" ht="15.75" customHeight="1">
      <c r="A616" s="144"/>
      <c r="B616" s="139"/>
      <c r="C616" s="139"/>
      <c r="D616" s="145"/>
      <c r="E616" s="139"/>
      <c r="F616" s="139"/>
      <c r="G616" s="139"/>
      <c r="H616" s="139"/>
      <c r="I616" s="139"/>
      <c r="J616" s="139"/>
      <c r="K616" s="139"/>
      <c r="L616" s="139"/>
      <c r="M616" s="145"/>
      <c r="N616" s="139"/>
      <c r="O616" s="139"/>
      <c r="P616" s="139"/>
      <c r="Q616" s="146"/>
      <c r="R616" s="139"/>
      <c r="S616" s="139"/>
      <c r="T616" s="139"/>
      <c r="U616" s="139"/>
      <c r="V616" s="139"/>
      <c r="W616" s="111"/>
      <c r="X616" s="139"/>
      <c r="Y616" s="139"/>
    </row>
    <row r="617" ht="15.75" customHeight="1">
      <c r="A617" s="144"/>
      <c r="B617" s="139"/>
      <c r="C617" s="139"/>
      <c r="D617" s="145"/>
      <c r="E617" s="139"/>
      <c r="F617" s="139"/>
      <c r="G617" s="139"/>
      <c r="H617" s="139"/>
      <c r="I617" s="139"/>
      <c r="J617" s="139"/>
      <c r="K617" s="139"/>
      <c r="L617" s="139"/>
      <c r="M617" s="145"/>
      <c r="N617" s="139"/>
      <c r="O617" s="139"/>
      <c r="P617" s="139"/>
      <c r="Q617" s="146"/>
      <c r="R617" s="139"/>
      <c r="S617" s="139"/>
      <c r="T617" s="139"/>
      <c r="U617" s="139"/>
      <c r="V617" s="139"/>
      <c r="W617" s="111"/>
      <c r="X617" s="139"/>
      <c r="Y617" s="139"/>
    </row>
    <row r="618" ht="15.75" customHeight="1">
      <c r="A618" s="144"/>
      <c r="B618" s="139"/>
      <c r="C618" s="139"/>
      <c r="D618" s="145"/>
      <c r="E618" s="139"/>
      <c r="F618" s="139"/>
      <c r="G618" s="139"/>
      <c r="H618" s="139"/>
      <c r="I618" s="139"/>
      <c r="J618" s="139"/>
      <c r="K618" s="139"/>
      <c r="L618" s="139"/>
      <c r="M618" s="145"/>
      <c r="N618" s="139"/>
      <c r="O618" s="139"/>
      <c r="P618" s="139"/>
      <c r="Q618" s="146"/>
      <c r="R618" s="139"/>
      <c r="S618" s="139"/>
      <c r="T618" s="139"/>
      <c r="U618" s="139"/>
      <c r="V618" s="139"/>
      <c r="W618" s="111"/>
      <c r="X618" s="139"/>
      <c r="Y618" s="139"/>
    </row>
    <row r="619" ht="15.75" customHeight="1">
      <c r="A619" s="144"/>
      <c r="B619" s="139"/>
      <c r="C619" s="139"/>
      <c r="D619" s="145"/>
      <c r="E619" s="139"/>
      <c r="F619" s="139"/>
      <c r="G619" s="139"/>
      <c r="H619" s="139"/>
      <c r="I619" s="139"/>
      <c r="J619" s="139"/>
      <c r="K619" s="139"/>
      <c r="L619" s="139"/>
      <c r="M619" s="145"/>
      <c r="N619" s="139"/>
      <c r="O619" s="139"/>
      <c r="P619" s="139"/>
      <c r="Q619" s="146"/>
      <c r="R619" s="139"/>
      <c r="S619" s="139"/>
      <c r="T619" s="139"/>
      <c r="U619" s="139"/>
      <c r="V619" s="139"/>
      <c r="W619" s="111"/>
      <c r="X619" s="139"/>
      <c r="Y619" s="139"/>
    </row>
    <row r="620" ht="15.75" customHeight="1">
      <c r="A620" s="144"/>
      <c r="B620" s="139"/>
      <c r="C620" s="139"/>
      <c r="D620" s="145"/>
      <c r="E620" s="139"/>
      <c r="F620" s="139"/>
      <c r="G620" s="139"/>
      <c r="H620" s="139"/>
      <c r="I620" s="139"/>
      <c r="J620" s="139"/>
      <c r="K620" s="139"/>
      <c r="L620" s="139"/>
      <c r="M620" s="145"/>
      <c r="N620" s="139"/>
      <c r="O620" s="139"/>
      <c r="P620" s="139"/>
      <c r="Q620" s="146"/>
      <c r="R620" s="139"/>
      <c r="S620" s="139"/>
      <c r="T620" s="139"/>
      <c r="U620" s="139"/>
      <c r="V620" s="139"/>
      <c r="W620" s="111"/>
      <c r="X620" s="139"/>
      <c r="Y620" s="139"/>
    </row>
    <row r="621" ht="15.75" customHeight="1">
      <c r="A621" s="144"/>
      <c r="B621" s="139"/>
      <c r="C621" s="139"/>
      <c r="D621" s="145"/>
      <c r="E621" s="139"/>
      <c r="F621" s="139"/>
      <c r="G621" s="139"/>
      <c r="H621" s="139"/>
      <c r="I621" s="139"/>
      <c r="J621" s="139"/>
      <c r="K621" s="139"/>
      <c r="L621" s="139"/>
      <c r="M621" s="145"/>
      <c r="N621" s="139"/>
      <c r="O621" s="139"/>
      <c r="P621" s="139"/>
      <c r="Q621" s="146"/>
      <c r="R621" s="139"/>
      <c r="S621" s="139"/>
      <c r="T621" s="139"/>
      <c r="U621" s="139"/>
      <c r="V621" s="139"/>
      <c r="W621" s="111"/>
      <c r="X621" s="139"/>
      <c r="Y621" s="139"/>
    </row>
    <row r="622" ht="15.75" customHeight="1">
      <c r="A622" s="144"/>
      <c r="B622" s="139"/>
      <c r="C622" s="139"/>
      <c r="D622" s="145"/>
      <c r="E622" s="139"/>
      <c r="F622" s="139"/>
      <c r="G622" s="139"/>
      <c r="H622" s="139"/>
      <c r="I622" s="139"/>
      <c r="J622" s="139"/>
      <c r="K622" s="139"/>
      <c r="L622" s="139"/>
      <c r="M622" s="145"/>
      <c r="N622" s="139"/>
      <c r="O622" s="139"/>
      <c r="P622" s="139"/>
      <c r="Q622" s="146"/>
      <c r="R622" s="139"/>
      <c r="S622" s="139"/>
      <c r="T622" s="139"/>
      <c r="U622" s="139"/>
      <c r="V622" s="139"/>
      <c r="W622" s="111"/>
      <c r="X622" s="139"/>
      <c r="Y622" s="139"/>
    </row>
    <row r="623" ht="15.75" customHeight="1">
      <c r="A623" s="144"/>
      <c r="B623" s="139"/>
      <c r="C623" s="139"/>
      <c r="D623" s="145"/>
      <c r="E623" s="139"/>
      <c r="F623" s="139"/>
      <c r="G623" s="139"/>
      <c r="H623" s="139"/>
      <c r="I623" s="139"/>
      <c r="J623" s="139"/>
      <c r="K623" s="139"/>
      <c r="L623" s="139"/>
      <c r="M623" s="145"/>
      <c r="N623" s="139"/>
      <c r="O623" s="139"/>
      <c r="P623" s="139"/>
      <c r="Q623" s="146"/>
      <c r="R623" s="139"/>
      <c r="S623" s="139"/>
      <c r="T623" s="139"/>
      <c r="U623" s="139"/>
      <c r="V623" s="139"/>
      <c r="W623" s="111"/>
      <c r="X623" s="139"/>
      <c r="Y623" s="139"/>
    </row>
    <row r="624" ht="15.75" customHeight="1">
      <c r="A624" s="144"/>
      <c r="B624" s="139"/>
      <c r="C624" s="139"/>
      <c r="D624" s="145"/>
      <c r="E624" s="139"/>
      <c r="F624" s="139"/>
      <c r="G624" s="139"/>
      <c r="H624" s="139"/>
      <c r="I624" s="139"/>
      <c r="J624" s="139"/>
      <c r="K624" s="139"/>
      <c r="L624" s="139"/>
      <c r="M624" s="145"/>
      <c r="N624" s="139"/>
      <c r="O624" s="139"/>
      <c r="P624" s="139"/>
      <c r="Q624" s="146"/>
      <c r="R624" s="139"/>
      <c r="S624" s="139"/>
      <c r="T624" s="139"/>
      <c r="U624" s="139"/>
      <c r="V624" s="139"/>
      <c r="W624" s="111"/>
      <c r="X624" s="139"/>
      <c r="Y624" s="139"/>
    </row>
    <row r="625" ht="15.75" customHeight="1">
      <c r="A625" s="144"/>
      <c r="B625" s="139"/>
      <c r="C625" s="139"/>
      <c r="D625" s="145"/>
      <c r="E625" s="139"/>
      <c r="F625" s="139"/>
      <c r="G625" s="139"/>
      <c r="H625" s="139"/>
      <c r="I625" s="139"/>
      <c r="J625" s="139"/>
      <c r="K625" s="139"/>
      <c r="L625" s="139"/>
      <c r="M625" s="145"/>
      <c r="N625" s="139"/>
      <c r="O625" s="139"/>
      <c r="P625" s="139"/>
      <c r="Q625" s="146"/>
      <c r="R625" s="139"/>
      <c r="S625" s="139"/>
      <c r="T625" s="139"/>
      <c r="U625" s="139"/>
      <c r="V625" s="139"/>
      <c r="W625" s="111"/>
      <c r="X625" s="139"/>
      <c r="Y625" s="139"/>
    </row>
    <row r="626" ht="15.75" customHeight="1">
      <c r="A626" s="144"/>
      <c r="B626" s="139"/>
      <c r="C626" s="139"/>
      <c r="D626" s="145"/>
      <c r="E626" s="139"/>
      <c r="F626" s="139"/>
      <c r="G626" s="139"/>
      <c r="H626" s="139"/>
      <c r="I626" s="139"/>
      <c r="J626" s="139"/>
      <c r="K626" s="139"/>
      <c r="L626" s="139"/>
      <c r="M626" s="145"/>
      <c r="N626" s="139"/>
      <c r="O626" s="139"/>
      <c r="P626" s="139"/>
      <c r="Q626" s="146"/>
      <c r="R626" s="139"/>
      <c r="S626" s="139"/>
      <c r="T626" s="139"/>
      <c r="U626" s="139"/>
      <c r="V626" s="139"/>
      <c r="W626" s="111"/>
      <c r="X626" s="139"/>
      <c r="Y626" s="139"/>
    </row>
    <row r="627" ht="15.75" customHeight="1">
      <c r="A627" s="144"/>
      <c r="B627" s="139"/>
      <c r="C627" s="139"/>
      <c r="D627" s="145"/>
      <c r="E627" s="139"/>
      <c r="F627" s="139"/>
      <c r="G627" s="139"/>
      <c r="H627" s="139"/>
      <c r="I627" s="139"/>
      <c r="J627" s="139"/>
      <c r="K627" s="139"/>
      <c r="L627" s="139"/>
      <c r="M627" s="145"/>
      <c r="N627" s="139"/>
      <c r="O627" s="139"/>
      <c r="P627" s="139"/>
      <c r="Q627" s="146"/>
      <c r="R627" s="139"/>
      <c r="S627" s="139"/>
      <c r="T627" s="139"/>
      <c r="U627" s="139"/>
      <c r="V627" s="139"/>
      <c r="W627" s="111"/>
      <c r="X627" s="139"/>
      <c r="Y627" s="139"/>
    </row>
    <row r="628" ht="15.75" customHeight="1">
      <c r="A628" s="144"/>
      <c r="B628" s="139"/>
      <c r="C628" s="139"/>
      <c r="D628" s="145"/>
      <c r="E628" s="139"/>
      <c r="F628" s="139"/>
      <c r="G628" s="139"/>
      <c r="H628" s="139"/>
      <c r="I628" s="139"/>
      <c r="J628" s="139"/>
      <c r="K628" s="139"/>
      <c r="L628" s="139"/>
      <c r="M628" s="145"/>
      <c r="N628" s="139"/>
      <c r="O628" s="139"/>
      <c r="P628" s="139"/>
      <c r="Q628" s="146"/>
      <c r="R628" s="139"/>
      <c r="S628" s="139"/>
      <c r="T628" s="139"/>
      <c r="U628" s="139"/>
      <c r="V628" s="139"/>
      <c r="W628" s="111"/>
      <c r="X628" s="139"/>
      <c r="Y628" s="139"/>
    </row>
    <row r="629" ht="15.75" customHeight="1">
      <c r="A629" s="144"/>
      <c r="B629" s="139"/>
      <c r="C629" s="139"/>
      <c r="D629" s="145"/>
      <c r="E629" s="139"/>
      <c r="F629" s="139"/>
      <c r="G629" s="139"/>
      <c r="H629" s="139"/>
      <c r="I629" s="139"/>
      <c r="J629" s="139"/>
      <c r="K629" s="139"/>
      <c r="L629" s="139"/>
      <c r="M629" s="145"/>
      <c r="N629" s="139"/>
      <c r="O629" s="139"/>
      <c r="P629" s="139"/>
      <c r="Q629" s="146"/>
      <c r="R629" s="139"/>
      <c r="S629" s="139"/>
      <c r="T629" s="139"/>
      <c r="U629" s="139"/>
      <c r="V629" s="139"/>
      <c r="W629" s="111"/>
      <c r="X629" s="139"/>
      <c r="Y629" s="139"/>
    </row>
    <row r="630" ht="15.75" customHeight="1">
      <c r="A630" s="144"/>
      <c r="B630" s="139"/>
      <c r="C630" s="139"/>
      <c r="D630" s="145"/>
      <c r="E630" s="139"/>
      <c r="F630" s="139"/>
      <c r="G630" s="139"/>
      <c r="H630" s="139"/>
      <c r="I630" s="139"/>
      <c r="J630" s="139"/>
      <c r="K630" s="139"/>
      <c r="L630" s="139"/>
      <c r="M630" s="145"/>
      <c r="N630" s="139"/>
      <c r="O630" s="139"/>
      <c r="P630" s="139"/>
      <c r="Q630" s="146"/>
      <c r="R630" s="139"/>
      <c r="S630" s="139"/>
      <c r="T630" s="139"/>
      <c r="U630" s="139"/>
      <c r="V630" s="139"/>
      <c r="W630" s="111"/>
      <c r="X630" s="139"/>
      <c r="Y630" s="139"/>
    </row>
    <row r="631" ht="15.75" customHeight="1">
      <c r="A631" s="144"/>
      <c r="B631" s="139"/>
      <c r="C631" s="139"/>
      <c r="D631" s="145"/>
      <c r="E631" s="139"/>
      <c r="F631" s="139"/>
      <c r="G631" s="139"/>
      <c r="H631" s="139"/>
      <c r="I631" s="139"/>
      <c r="J631" s="139"/>
      <c r="K631" s="139"/>
      <c r="L631" s="139"/>
      <c r="M631" s="145"/>
      <c r="N631" s="139"/>
      <c r="O631" s="139"/>
      <c r="P631" s="139"/>
      <c r="Q631" s="146"/>
      <c r="R631" s="139"/>
      <c r="S631" s="139"/>
      <c r="T631" s="139"/>
      <c r="U631" s="139"/>
      <c r="V631" s="139"/>
      <c r="W631" s="111"/>
      <c r="X631" s="139"/>
      <c r="Y631" s="139"/>
    </row>
    <row r="632" ht="15.75" customHeight="1">
      <c r="A632" s="144"/>
      <c r="B632" s="139"/>
      <c r="C632" s="139"/>
      <c r="D632" s="145"/>
      <c r="E632" s="139"/>
      <c r="F632" s="139"/>
      <c r="G632" s="139"/>
      <c r="H632" s="139"/>
      <c r="I632" s="139"/>
      <c r="J632" s="139"/>
      <c r="K632" s="139"/>
      <c r="L632" s="139"/>
      <c r="M632" s="145"/>
      <c r="N632" s="139"/>
      <c r="O632" s="139"/>
      <c r="P632" s="139"/>
      <c r="Q632" s="146"/>
      <c r="R632" s="139"/>
      <c r="S632" s="139"/>
      <c r="T632" s="139"/>
      <c r="U632" s="139"/>
      <c r="V632" s="139"/>
      <c r="W632" s="111"/>
      <c r="X632" s="139"/>
      <c r="Y632" s="139"/>
    </row>
    <row r="633" ht="15.75" customHeight="1">
      <c r="A633" s="144"/>
      <c r="B633" s="139"/>
      <c r="C633" s="139"/>
      <c r="D633" s="145"/>
      <c r="E633" s="139"/>
      <c r="F633" s="139"/>
      <c r="G633" s="139"/>
      <c r="H633" s="139"/>
      <c r="I633" s="139"/>
      <c r="J633" s="139"/>
      <c r="K633" s="139"/>
      <c r="L633" s="139"/>
      <c r="M633" s="145"/>
      <c r="N633" s="139"/>
      <c r="O633" s="139"/>
      <c r="P633" s="139"/>
      <c r="Q633" s="146"/>
      <c r="R633" s="139"/>
      <c r="S633" s="139"/>
      <c r="T633" s="139"/>
      <c r="U633" s="139"/>
      <c r="V633" s="139"/>
      <c r="W633" s="111"/>
      <c r="X633" s="139"/>
      <c r="Y633" s="139"/>
    </row>
    <row r="634" ht="15.75" customHeight="1">
      <c r="A634" s="144"/>
      <c r="B634" s="139"/>
      <c r="C634" s="139"/>
      <c r="D634" s="145"/>
      <c r="E634" s="139"/>
      <c r="F634" s="139"/>
      <c r="G634" s="139"/>
      <c r="H634" s="139"/>
      <c r="I634" s="139"/>
      <c r="J634" s="139"/>
      <c r="K634" s="139"/>
      <c r="L634" s="139"/>
      <c r="M634" s="145"/>
      <c r="N634" s="139"/>
      <c r="O634" s="139"/>
      <c r="P634" s="139"/>
      <c r="Q634" s="146"/>
      <c r="R634" s="139"/>
      <c r="S634" s="139"/>
      <c r="T634" s="139"/>
      <c r="U634" s="139"/>
      <c r="V634" s="139"/>
      <c r="W634" s="111"/>
      <c r="X634" s="139"/>
      <c r="Y634" s="139"/>
    </row>
    <row r="635" ht="15.75" customHeight="1">
      <c r="A635" s="144"/>
      <c r="B635" s="139"/>
      <c r="C635" s="139"/>
      <c r="D635" s="145"/>
      <c r="E635" s="139"/>
      <c r="F635" s="139"/>
      <c r="G635" s="139"/>
      <c r="H635" s="139"/>
      <c r="I635" s="139"/>
      <c r="J635" s="139"/>
      <c r="K635" s="139"/>
      <c r="L635" s="139"/>
      <c r="M635" s="145"/>
      <c r="N635" s="139"/>
      <c r="O635" s="139"/>
      <c r="P635" s="139"/>
      <c r="Q635" s="146"/>
      <c r="R635" s="139"/>
      <c r="S635" s="139"/>
      <c r="T635" s="139"/>
      <c r="U635" s="139"/>
      <c r="V635" s="139"/>
      <c r="W635" s="111"/>
      <c r="X635" s="139"/>
      <c r="Y635" s="139"/>
    </row>
    <row r="636" ht="15.75" customHeight="1">
      <c r="A636" s="144"/>
      <c r="B636" s="139"/>
      <c r="C636" s="139"/>
      <c r="D636" s="145"/>
      <c r="E636" s="139"/>
      <c r="F636" s="139"/>
      <c r="G636" s="139"/>
      <c r="H636" s="139"/>
      <c r="I636" s="139"/>
      <c r="J636" s="139"/>
      <c r="K636" s="139"/>
      <c r="L636" s="139"/>
      <c r="M636" s="145"/>
      <c r="N636" s="139"/>
      <c r="O636" s="139"/>
      <c r="P636" s="139"/>
      <c r="Q636" s="146"/>
      <c r="R636" s="139"/>
      <c r="S636" s="139"/>
      <c r="T636" s="139"/>
      <c r="U636" s="139"/>
      <c r="V636" s="139"/>
      <c r="W636" s="111"/>
      <c r="X636" s="139"/>
      <c r="Y636" s="139"/>
    </row>
    <row r="637" ht="15.75" customHeight="1">
      <c r="A637" s="144"/>
      <c r="B637" s="139"/>
      <c r="C637" s="139"/>
      <c r="D637" s="145"/>
      <c r="E637" s="139"/>
      <c r="F637" s="139"/>
      <c r="G637" s="139"/>
      <c r="H637" s="139"/>
      <c r="I637" s="139"/>
      <c r="J637" s="139"/>
      <c r="K637" s="139"/>
      <c r="L637" s="139"/>
      <c r="M637" s="145"/>
      <c r="N637" s="139"/>
      <c r="O637" s="139"/>
      <c r="P637" s="139"/>
      <c r="Q637" s="146"/>
      <c r="R637" s="139"/>
      <c r="S637" s="139"/>
      <c r="T637" s="139"/>
      <c r="U637" s="139"/>
      <c r="V637" s="139"/>
      <c r="W637" s="111"/>
      <c r="X637" s="139"/>
      <c r="Y637" s="139"/>
    </row>
    <row r="638" ht="15.75" customHeight="1">
      <c r="A638" s="144"/>
      <c r="B638" s="139"/>
      <c r="C638" s="139"/>
      <c r="D638" s="145"/>
      <c r="E638" s="139"/>
      <c r="F638" s="139"/>
      <c r="G638" s="139"/>
      <c r="H638" s="139"/>
      <c r="I638" s="139"/>
      <c r="J638" s="139"/>
      <c r="K638" s="139"/>
      <c r="L638" s="139"/>
      <c r="M638" s="145"/>
      <c r="N638" s="139"/>
      <c r="O638" s="139"/>
      <c r="P638" s="139"/>
      <c r="Q638" s="146"/>
      <c r="R638" s="139"/>
      <c r="S638" s="139"/>
      <c r="T638" s="139"/>
      <c r="U638" s="139"/>
      <c r="V638" s="139"/>
      <c r="W638" s="111"/>
      <c r="X638" s="139"/>
      <c r="Y638" s="139"/>
    </row>
    <row r="639" ht="15.75" customHeight="1">
      <c r="A639" s="144"/>
      <c r="B639" s="139"/>
      <c r="C639" s="139"/>
      <c r="D639" s="145"/>
      <c r="E639" s="139"/>
      <c r="F639" s="139"/>
      <c r="G639" s="139"/>
      <c r="H639" s="139"/>
      <c r="I639" s="139"/>
      <c r="J639" s="139"/>
      <c r="K639" s="139"/>
      <c r="L639" s="139"/>
      <c r="M639" s="145"/>
      <c r="N639" s="139"/>
      <c r="O639" s="139"/>
      <c r="P639" s="139"/>
      <c r="Q639" s="146"/>
      <c r="R639" s="139"/>
      <c r="S639" s="139"/>
      <c r="T639" s="139"/>
      <c r="U639" s="139"/>
      <c r="V639" s="139"/>
      <c r="W639" s="111"/>
      <c r="X639" s="139"/>
      <c r="Y639" s="139"/>
    </row>
    <row r="640" ht="15.75" customHeight="1">
      <c r="A640" s="144"/>
      <c r="B640" s="139"/>
      <c r="C640" s="139"/>
      <c r="D640" s="145"/>
      <c r="E640" s="139"/>
      <c r="F640" s="139"/>
      <c r="G640" s="139"/>
      <c r="H640" s="139"/>
      <c r="I640" s="139"/>
      <c r="J640" s="139"/>
      <c r="K640" s="139"/>
      <c r="L640" s="139"/>
      <c r="M640" s="145"/>
      <c r="N640" s="139"/>
      <c r="O640" s="139"/>
      <c r="P640" s="139"/>
      <c r="Q640" s="146"/>
      <c r="R640" s="139"/>
      <c r="S640" s="139"/>
      <c r="T640" s="139"/>
      <c r="U640" s="139"/>
      <c r="V640" s="139"/>
      <c r="W640" s="111"/>
      <c r="X640" s="139"/>
      <c r="Y640" s="139"/>
    </row>
    <row r="641" ht="15.75" customHeight="1">
      <c r="A641" s="144"/>
      <c r="B641" s="139"/>
      <c r="C641" s="139"/>
      <c r="D641" s="145"/>
      <c r="E641" s="139"/>
      <c r="F641" s="139"/>
      <c r="G641" s="139"/>
      <c r="H641" s="139"/>
      <c r="I641" s="139"/>
      <c r="J641" s="139"/>
      <c r="K641" s="139"/>
      <c r="L641" s="139"/>
      <c r="M641" s="145"/>
      <c r="N641" s="139"/>
      <c r="O641" s="139"/>
      <c r="P641" s="139"/>
      <c r="Q641" s="146"/>
      <c r="R641" s="139"/>
      <c r="S641" s="139"/>
      <c r="T641" s="139"/>
      <c r="U641" s="139"/>
      <c r="V641" s="139"/>
      <c r="W641" s="111"/>
      <c r="X641" s="139"/>
      <c r="Y641" s="139"/>
    </row>
    <row r="642" ht="15.75" customHeight="1">
      <c r="A642" s="144"/>
      <c r="B642" s="139"/>
      <c r="C642" s="139"/>
      <c r="D642" s="145"/>
      <c r="E642" s="139"/>
      <c r="F642" s="139"/>
      <c r="G642" s="139"/>
      <c r="H642" s="139"/>
      <c r="I642" s="139"/>
      <c r="J642" s="139"/>
      <c r="K642" s="139"/>
      <c r="L642" s="139"/>
      <c r="M642" s="145"/>
      <c r="N642" s="139"/>
      <c r="O642" s="139"/>
      <c r="P642" s="139"/>
      <c r="Q642" s="146"/>
      <c r="R642" s="139"/>
      <c r="S642" s="139"/>
      <c r="T642" s="139"/>
      <c r="U642" s="139"/>
      <c r="V642" s="139"/>
      <c r="W642" s="111"/>
      <c r="X642" s="139"/>
      <c r="Y642" s="139"/>
    </row>
    <row r="643" ht="15.75" customHeight="1">
      <c r="A643" s="144"/>
      <c r="B643" s="139"/>
      <c r="C643" s="139"/>
      <c r="D643" s="145"/>
      <c r="E643" s="139"/>
      <c r="F643" s="139"/>
      <c r="G643" s="139"/>
      <c r="H643" s="139"/>
      <c r="I643" s="139"/>
      <c r="J643" s="139"/>
      <c r="K643" s="139"/>
      <c r="L643" s="139"/>
      <c r="M643" s="145"/>
      <c r="N643" s="139"/>
      <c r="O643" s="139"/>
      <c r="P643" s="139"/>
      <c r="Q643" s="146"/>
      <c r="R643" s="139"/>
      <c r="S643" s="139"/>
      <c r="T643" s="139"/>
      <c r="U643" s="139"/>
      <c r="V643" s="139"/>
      <c r="W643" s="111"/>
      <c r="X643" s="139"/>
      <c r="Y643" s="139"/>
    </row>
    <row r="644" ht="15.75" customHeight="1">
      <c r="A644" s="144"/>
      <c r="B644" s="139"/>
      <c r="C644" s="139"/>
      <c r="D644" s="145"/>
      <c r="E644" s="139"/>
      <c r="F644" s="139"/>
      <c r="G644" s="139"/>
      <c r="H644" s="139"/>
      <c r="I644" s="139"/>
      <c r="J644" s="139"/>
      <c r="K644" s="139"/>
      <c r="L644" s="139"/>
      <c r="M644" s="145"/>
      <c r="N644" s="139"/>
      <c r="O644" s="139"/>
      <c r="P644" s="139"/>
      <c r="Q644" s="146"/>
      <c r="R644" s="139"/>
      <c r="S644" s="139"/>
      <c r="T644" s="139"/>
      <c r="U644" s="139"/>
      <c r="V644" s="139"/>
      <c r="W644" s="111"/>
      <c r="X644" s="139"/>
      <c r="Y644" s="139"/>
    </row>
    <row r="645" ht="15.75" customHeight="1">
      <c r="A645" s="144"/>
      <c r="B645" s="139"/>
      <c r="C645" s="139"/>
      <c r="D645" s="145"/>
      <c r="E645" s="139"/>
      <c r="F645" s="139"/>
      <c r="G645" s="139"/>
      <c r="H645" s="139"/>
      <c r="I645" s="139"/>
      <c r="J645" s="139"/>
      <c r="K645" s="139"/>
      <c r="L645" s="139"/>
      <c r="M645" s="145"/>
      <c r="N645" s="139"/>
      <c r="O645" s="139"/>
      <c r="P645" s="139"/>
      <c r="Q645" s="146"/>
      <c r="R645" s="139"/>
      <c r="S645" s="139"/>
      <c r="T645" s="139"/>
      <c r="U645" s="139"/>
      <c r="V645" s="139"/>
      <c r="W645" s="111"/>
      <c r="X645" s="139"/>
      <c r="Y645" s="139"/>
    </row>
    <row r="646" ht="15.75" customHeight="1">
      <c r="A646" s="144"/>
      <c r="B646" s="139"/>
      <c r="C646" s="139"/>
      <c r="D646" s="145"/>
      <c r="E646" s="139"/>
      <c r="F646" s="139"/>
      <c r="G646" s="139"/>
      <c r="H646" s="139"/>
      <c r="I646" s="139"/>
      <c r="J646" s="139"/>
      <c r="K646" s="139"/>
      <c r="L646" s="139"/>
      <c r="M646" s="145"/>
      <c r="N646" s="139"/>
      <c r="O646" s="139"/>
      <c r="P646" s="139"/>
      <c r="Q646" s="146"/>
      <c r="R646" s="139"/>
      <c r="S646" s="139"/>
      <c r="T646" s="139"/>
      <c r="U646" s="139"/>
      <c r="V646" s="139"/>
      <c r="W646" s="111"/>
      <c r="X646" s="139"/>
      <c r="Y646" s="139"/>
    </row>
    <row r="647" ht="15.75" customHeight="1">
      <c r="A647" s="144"/>
      <c r="B647" s="139"/>
      <c r="C647" s="139"/>
      <c r="D647" s="145"/>
      <c r="E647" s="139"/>
      <c r="F647" s="139"/>
      <c r="G647" s="139"/>
      <c r="H647" s="139"/>
      <c r="I647" s="139"/>
      <c r="J647" s="139"/>
      <c r="K647" s="139"/>
      <c r="L647" s="139"/>
      <c r="M647" s="145"/>
      <c r="N647" s="139"/>
      <c r="O647" s="139"/>
      <c r="P647" s="139"/>
      <c r="Q647" s="146"/>
      <c r="R647" s="139"/>
      <c r="S647" s="139"/>
      <c r="T647" s="139"/>
      <c r="U647" s="139"/>
      <c r="V647" s="139"/>
      <c r="W647" s="111"/>
      <c r="X647" s="139"/>
      <c r="Y647" s="139"/>
    </row>
    <row r="648" ht="15.75" customHeight="1">
      <c r="A648" s="144"/>
      <c r="B648" s="139"/>
      <c r="C648" s="139"/>
      <c r="D648" s="145"/>
      <c r="E648" s="139"/>
      <c r="F648" s="139"/>
      <c r="G648" s="139"/>
      <c r="H648" s="139"/>
      <c r="I648" s="139"/>
      <c r="J648" s="139"/>
      <c r="K648" s="139"/>
      <c r="L648" s="139"/>
      <c r="M648" s="145"/>
      <c r="N648" s="139"/>
      <c r="O648" s="139"/>
      <c r="P648" s="139"/>
      <c r="Q648" s="146"/>
      <c r="R648" s="139"/>
      <c r="S648" s="139"/>
      <c r="T648" s="139"/>
      <c r="U648" s="139"/>
      <c r="V648" s="139"/>
      <c r="W648" s="111"/>
      <c r="X648" s="139"/>
      <c r="Y648" s="139"/>
    </row>
    <row r="649" ht="15.75" customHeight="1">
      <c r="A649" s="144"/>
      <c r="B649" s="139"/>
      <c r="C649" s="139"/>
      <c r="D649" s="145"/>
      <c r="E649" s="139"/>
      <c r="F649" s="139"/>
      <c r="G649" s="139"/>
      <c r="H649" s="139"/>
      <c r="I649" s="139"/>
      <c r="J649" s="139"/>
      <c r="K649" s="139"/>
      <c r="L649" s="139"/>
      <c r="M649" s="145"/>
      <c r="N649" s="139"/>
      <c r="O649" s="139"/>
      <c r="P649" s="139"/>
      <c r="Q649" s="146"/>
      <c r="R649" s="139"/>
      <c r="S649" s="139"/>
      <c r="T649" s="139"/>
      <c r="U649" s="139"/>
      <c r="V649" s="139"/>
      <c r="W649" s="111"/>
      <c r="X649" s="139"/>
      <c r="Y649" s="139"/>
    </row>
    <row r="650" ht="15.75" customHeight="1">
      <c r="A650" s="144"/>
      <c r="B650" s="139"/>
      <c r="C650" s="139"/>
      <c r="D650" s="145"/>
      <c r="E650" s="139"/>
      <c r="F650" s="139"/>
      <c r="G650" s="139"/>
      <c r="H650" s="139"/>
      <c r="I650" s="139"/>
      <c r="J650" s="139"/>
      <c r="K650" s="139"/>
      <c r="L650" s="139"/>
      <c r="M650" s="145"/>
      <c r="N650" s="139"/>
      <c r="O650" s="139"/>
      <c r="P650" s="139"/>
      <c r="Q650" s="146"/>
      <c r="R650" s="139"/>
      <c r="S650" s="139"/>
      <c r="T650" s="139"/>
      <c r="U650" s="139"/>
      <c r="V650" s="139"/>
      <c r="W650" s="111"/>
      <c r="X650" s="139"/>
      <c r="Y650" s="139"/>
    </row>
    <row r="651" ht="15.75" customHeight="1">
      <c r="A651" s="144"/>
      <c r="B651" s="139"/>
      <c r="C651" s="139"/>
      <c r="D651" s="145"/>
      <c r="E651" s="139"/>
      <c r="F651" s="139"/>
      <c r="G651" s="139"/>
      <c r="H651" s="139"/>
      <c r="I651" s="139"/>
      <c r="J651" s="139"/>
      <c r="K651" s="139"/>
      <c r="L651" s="139"/>
      <c r="M651" s="145"/>
      <c r="N651" s="139"/>
      <c r="O651" s="139"/>
      <c r="P651" s="139"/>
      <c r="Q651" s="146"/>
      <c r="R651" s="139"/>
      <c r="S651" s="139"/>
      <c r="T651" s="139"/>
      <c r="U651" s="139"/>
      <c r="V651" s="139"/>
      <c r="W651" s="111"/>
      <c r="X651" s="139"/>
      <c r="Y651" s="139"/>
    </row>
    <row r="652" ht="15.75" customHeight="1">
      <c r="A652" s="144"/>
      <c r="B652" s="139"/>
      <c r="C652" s="139"/>
      <c r="D652" s="145"/>
      <c r="E652" s="139"/>
      <c r="F652" s="139"/>
      <c r="G652" s="139"/>
      <c r="H652" s="139"/>
      <c r="I652" s="139"/>
      <c r="J652" s="139"/>
      <c r="K652" s="139"/>
      <c r="L652" s="139"/>
      <c r="M652" s="145"/>
      <c r="N652" s="139"/>
      <c r="O652" s="139"/>
      <c r="P652" s="139"/>
      <c r="Q652" s="146"/>
      <c r="R652" s="139"/>
      <c r="S652" s="139"/>
      <c r="T652" s="139"/>
      <c r="U652" s="139"/>
      <c r="V652" s="139"/>
      <c r="W652" s="111"/>
      <c r="X652" s="139"/>
      <c r="Y652" s="139"/>
    </row>
    <row r="653" ht="15.75" customHeight="1">
      <c r="A653" s="144"/>
      <c r="B653" s="139"/>
      <c r="C653" s="139"/>
      <c r="D653" s="145"/>
      <c r="E653" s="139"/>
      <c r="F653" s="139"/>
      <c r="G653" s="139"/>
      <c r="H653" s="139"/>
      <c r="I653" s="139"/>
      <c r="J653" s="139"/>
      <c r="K653" s="139"/>
      <c r="L653" s="139"/>
      <c r="M653" s="145"/>
      <c r="N653" s="139"/>
      <c r="O653" s="139"/>
      <c r="P653" s="139"/>
      <c r="Q653" s="146"/>
      <c r="R653" s="139"/>
      <c r="S653" s="139"/>
      <c r="T653" s="139"/>
      <c r="U653" s="139"/>
      <c r="V653" s="139"/>
      <c r="W653" s="111"/>
      <c r="X653" s="139"/>
      <c r="Y653" s="139"/>
    </row>
    <row r="654" ht="15.75" customHeight="1">
      <c r="A654" s="144"/>
      <c r="B654" s="139"/>
      <c r="C654" s="139"/>
      <c r="D654" s="145"/>
      <c r="E654" s="139"/>
      <c r="F654" s="139"/>
      <c r="G654" s="139"/>
      <c r="H654" s="139"/>
      <c r="I654" s="139"/>
      <c r="J654" s="139"/>
      <c r="K654" s="139"/>
      <c r="L654" s="139"/>
      <c r="M654" s="145"/>
      <c r="N654" s="139"/>
      <c r="O654" s="139"/>
      <c r="P654" s="139"/>
      <c r="Q654" s="146"/>
      <c r="R654" s="139"/>
      <c r="S654" s="139"/>
      <c r="T654" s="139"/>
      <c r="U654" s="139"/>
      <c r="V654" s="139"/>
      <c r="W654" s="111"/>
      <c r="X654" s="139"/>
      <c r="Y654" s="139"/>
    </row>
    <row r="655" ht="15.75" customHeight="1">
      <c r="A655" s="144"/>
      <c r="B655" s="139"/>
      <c r="C655" s="139"/>
      <c r="D655" s="145"/>
      <c r="E655" s="139"/>
      <c r="F655" s="139"/>
      <c r="G655" s="139"/>
      <c r="H655" s="139"/>
      <c r="I655" s="139"/>
      <c r="J655" s="139"/>
      <c r="K655" s="139"/>
      <c r="L655" s="139"/>
      <c r="M655" s="145"/>
      <c r="N655" s="139"/>
      <c r="O655" s="139"/>
      <c r="P655" s="139"/>
      <c r="Q655" s="146"/>
      <c r="R655" s="139"/>
      <c r="S655" s="139"/>
      <c r="T655" s="139"/>
      <c r="U655" s="139"/>
      <c r="V655" s="139"/>
      <c r="W655" s="111"/>
      <c r="X655" s="139"/>
      <c r="Y655" s="139"/>
    </row>
    <row r="656" ht="15.75" customHeight="1">
      <c r="A656" s="144"/>
      <c r="B656" s="139"/>
      <c r="C656" s="139"/>
      <c r="D656" s="145"/>
      <c r="E656" s="139"/>
      <c r="F656" s="139"/>
      <c r="G656" s="139"/>
      <c r="H656" s="139"/>
      <c r="I656" s="139"/>
      <c r="J656" s="139"/>
      <c r="K656" s="139"/>
      <c r="L656" s="139"/>
      <c r="M656" s="145"/>
      <c r="N656" s="139"/>
      <c r="O656" s="139"/>
      <c r="P656" s="139"/>
      <c r="Q656" s="146"/>
      <c r="R656" s="139"/>
      <c r="S656" s="139"/>
      <c r="T656" s="139"/>
      <c r="U656" s="139"/>
      <c r="V656" s="139"/>
      <c r="W656" s="111"/>
      <c r="X656" s="139"/>
      <c r="Y656" s="139"/>
    </row>
    <row r="657" ht="15.75" customHeight="1">
      <c r="A657" s="144"/>
      <c r="B657" s="139"/>
      <c r="C657" s="139"/>
      <c r="D657" s="145"/>
      <c r="E657" s="139"/>
      <c r="F657" s="139"/>
      <c r="G657" s="139"/>
      <c r="H657" s="139"/>
      <c r="I657" s="139"/>
      <c r="J657" s="139"/>
      <c r="K657" s="139"/>
      <c r="L657" s="139"/>
      <c r="M657" s="145"/>
      <c r="N657" s="139"/>
      <c r="O657" s="139"/>
      <c r="P657" s="139"/>
      <c r="Q657" s="146"/>
      <c r="R657" s="139"/>
      <c r="S657" s="139"/>
      <c r="T657" s="139"/>
      <c r="U657" s="139"/>
      <c r="V657" s="139"/>
      <c r="W657" s="111"/>
      <c r="X657" s="139"/>
      <c r="Y657" s="139"/>
    </row>
    <row r="658" ht="15.75" customHeight="1">
      <c r="A658" s="144"/>
      <c r="B658" s="139"/>
      <c r="C658" s="139"/>
      <c r="D658" s="145"/>
      <c r="E658" s="139"/>
      <c r="F658" s="139"/>
      <c r="G658" s="139"/>
      <c r="H658" s="139"/>
      <c r="I658" s="139"/>
      <c r="J658" s="139"/>
      <c r="K658" s="139"/>
      <c r="L658" s="139"/>
      <c r="M658" s="145"/>
      <c r="N658" s="139"/>
      <c r="O658" s="139"/>
      <c r="P658" s="139"/>
      <c r="Q658" s="146"/>
      <c r="R658" s="139"/>
      <c r="S658" s="139"/>
      <c r="T658" s="139"/>
      <c r="U658" s="139"/>
      <c r="V658" s="139"/>
      <c r="W658" s="111"/>
      <c r="X658" s="139"/>
      <c r="Y658" s="139"/>
    </row>
    <row r="659" ht="15.75" customHeight="1">
      <c r="A659" s="144"/>
      <c r="B659" s="139"/>
      <c r="C659" s="139"/>
      <c r="D659" s="145"/>
      <c r="E659" s="139"/>
      <c r="F659" s="139"/>
      <c r="G659" s="139"/>
      <c r="H659" s="139"/>
      <c r="I659" s="139"/>
      <c r="J659" s="139"/>
      <c r="K659" s="139"/>
      <c r="L659" s="139"/>
      <c r="M659" s="145"/>
      <c r="N659" s="139"/>
      <c r="O659" s="139"/>
      <c r="P659" s="139"/>
      <c r="Q659" s="146"/>
      <c r="R659" s="139"/>
      <c r="S659" s="139"/>
      <c r="T659" s="139"/>
      <c r="U659" s="139"/>
      <c r="V659" s="139"/>
      <c r="W659" s="111"/>
      <c r="X659" s="139"/>
      <c r="Y659" s="139"/>
    </row>
    <row r="660" ht="15.75" customHeight="1">
      <c r="A660" s="144"/>
      <c r="B660" s="139"/>
      <c r="C660" s="139"/>
      <c r="D660" s="145"/>
      <c r="E660" s="139"/>
      <c r="F660" s="139"/>
      <c r="G660" s="139"/>
      <c r="H660" s="139"/>
      <c r="I660" s="139"/>
      <c r="J660" s="139"/>
      <c r="K660" s="139"/>
      <c r="L660" s="139"/>
      <c r="M660" s="145"/>
      <c r="N660" s="139"/>
      <c r="O660" s="139"/>
      <c r="P660" s="139"/>
      <c r="Q660" s="146"/>
      <c r="R660" s="139"/>
      <c r="S660" s="139"/>
      <c r="T660" s="139"/>
      <c r="U660" s="139"/>
      <c r="V660" s="139"/>
      <c r="W660" s="111"/>
      <c r="X660" s="139"/>
      <c r="Y660" s="139"/>
    </row>
    <row r="661" ht="15.75" customHeight="1">
      <c r="A661" s="144"/>
      <c r="B661" s="139"/>
      <c r="C661" s="139"/>
      <c r="D661" s="145"/>
      <c r="E661" s="139"/>
      <c r="F661" s="139"/>
      <c r="G661" s="139"/>
      <c r="H661" s="139"/>
      <c r="I661" s="139"/>
      <c r="J661" s="139"/>
      <c r="K661" s="139"/>
      <c r="L661" s="139"/>
      <c r="M661" s="145"/>
      <c r="N661" s="139"/>
      <c r="O661" s="139"/>
      <c r="P661" s="139"/>
      <c r="Q661" s="146"/>
      <c r="R661" s="139"/>
      <c r="S661" s="139"/>
      <c r="T661" s="139"/>
      <c r="U661" s="139"/>
      <c r="V661" s="139"/>
      <c r="W661" s="111"/>
      <c r="X661" s="139"/>
      <c r="Y661" s="139"/>
    </row>
    <row r="662" ht="15.75" customHeight="1">
      <c r="A662" s="144"/>
      <c r="B662" s="139"/>
      <c r="C662" s="139"/>
      <c r="D662" s="145"/>
      <c r="E662" s="139"/>
      <c r="F662" s="139"/>
      <c r="G662" s="139"/>
      <c r="H662" s="139"/>
      <c r="I662" s="139"/>
      <c r="J662" s="139"/>
      <c r="K662" s="139"/>
      <c r="L662" s="139"/>
      <c r="M662" s="145"/>
      <c r="N662" s="139"/>
      <c r="O662" s="139"/>
      <c r="P662" s="139"/>
      <c r="Q662" s="146"/>
      <c r="R662" s="139"/>
      <c r="S662" s="139"/>
      <c r="T662" s="139"/>
      <c r="U662" s="139"/>
      <c r="V662" s="139"/>
      <c r="W662" s="111"/>
      <c r="X662" s="139"/>
      <c r="Y662" s="139"/>
    </row>
    <row r="663" ht="15.75" customHeight="1">
      <c r="A663" s="144"/>
      <c r="B663" s="139"/>
      <c r="C663" s="139"/>
      <c r="D663" s="145"/>
      <c r="E663" s="139"/>
      <c r="F663" s="139"/>
      <c r="G663" s="139"/>
      <c r="H663" s="139"/>
      <c r="I663" s="139"/>
      <c r="J663" s="139"/>
      <c r="K663" s="139"/>
      <c r="L663" s="139"/>
      <c r="M663" s="145"/>
      <c r="N663" s="139"/>
      <c r="O663" s="139"/>
      <c r="P663" s="139"/>
      <c r="Q663" s="146"/>
      <c r="R663" s="139"/>
      <c r="S663" s="139"/>
      <c r="T663" s="139"/>
      <c r="U663" s="139"/>
      <c r="V663" s="139"/>
      <c r="W663" s="111"/>
      <c r="X663" s="139"/>
      <c r="Y663" s="139"/>
    </row>
    <row r="664" ht="15.75" customHeight="1">
      <c r="A664" s="144"/>
      <c r="B664" s="139"/>
      <c r="C664" s="139"/>
      <c r="D664" s="145"/>
      <c r="E664" s="139"/>
      <c r="F664" s="139"/>
      <c r="G664" s="139"/>
      <c r="H664" s="139"/>
      <c r="I664" s="139"/>
      <c r="J664" s="139"/>
      <c r="K664" s="139"/>
      <c r="L664" s="139"/>
      <c r="M664" s="145"/>
      <c r="N664" s="139"/>
      <c r="O664" s="139"/>
      <c r="P664" s="139"/>
      <c r="Q664" s="146"/>
      <c r="R664" s="139"/>
      <c r="S664" s="139"/>
      <c r="T664" s="139"/>
      <c r="U664" s="139"/>
      <c r="V664" s="139"/>
      <c r="W664" s="111"/>
      <c r="X664" s="139"/>
      <c r="Y664" s="139"/>
    </row>
    <row r="665" ht="15.75" customHeight="1">
      <c r="A665" s="144"/>
      <c r="B665" s="139"/>
      <c r="C665" s="139"/>
      <c r="D665" s="145"/>
      <c r="E665" s="139"/>
      <c r="F665" s="139"/>
      <c r="G665" s="139"/>
      <c r="H665" s="139"/>
      <c r="I665" s="139"/>
      <c r="J665" s="139"/>
      <c r="K665" s="139"/>
      <c r="L665" s="139"/>
      <c r="M665" s="145"/>
      <c r="N665" s="139"/>
      <c r="O665" s="139"/>
      <c r="P665" s="139"/>
      <c r="Q665" s="146"/>
      <c r="R665" s="139"/>
      <c r="S665" s="139"/>
      <c r="T665" s="139"/>
      <c r="U665" s="139"/>
      <c r="V665" s="139"/>
      <c r="W665" s="111"/>
      <c r="X665" s="139"/>
      <c r="Y665" s="139"/>
    </row>
    <row r="666" ht="15.75" customHeight="1">
      <c r="A666" s="144"/>
      <c r="B666" s="139"/>
      <c r="C666" s="139"/>
      <c r="D666" s="145"/>
      <c r="E666" s="139"/>
      <c r="F666" s="139"/>
      <c r="G666" s="139"/>
      <c r="H666" s="139"/>
      <c r="I666" s="139"/>
      <c r="J666" s="139"/>
      <c r="K666" s="139"/>
      <c r="L666" s="139"/>
      <c r="M666" s="145"/>
      <c r="N666" s="139"/>
      <c r="O666" s="139"/>
      <c r="P666" s="139"/>
      <c r="Q666" s="146"/>
      <c r="R666" s="139"/>
      <c r="S666" s="139"/>
      <c r="T666" s="139"/>
      <c r="U666" s="139"/>
      <c r="V666" s="139"/>
      <c r="W666" s="111"/>
      <c r="X666" s="139"/>
      <c r="Y666" s="139"/>
    </row>
    <row r="667" ht="15.75" customHeight="1">
      <c r="A667" s="144"/>
      <c r="B667" s="139"/>
      <c r="C667" s="139"/>
      <c r="D667" s="145"/>
      <c r="E667" s="139"/>
      <c r="F667" s="139"/>
      <c r="G667" s="139"/>
      <c r="H667" s="139"/>
      <c r="I667" s="139"/>
      <c r="J667" s="139"/>
      <c r="K667" s="139"/>
      <c r="L667" s="139"/>
      <c r="M667" s="145"/>
      <c r="N667" s="139"/>
      <c r="O667" s="139"/>
      <c r="P667" s="139"/>
      <c r="Q667" s="146"/>
      <c r="R667" s="139"/>
      <c r="S667" s="139"/>
      <c r="T667" s="139"/>
      <c r="U667" s="139"/>
      <c r="V667" s="139"/>
      <c r="W667" s="111"/>
      <c r="X667" s="139"/>
      <c r="Y667" s="139"/>
    </row>
    <row r="668" ht="15.75" customHeight="1">
      <c r="A668" s="144"/>
      <c r="B668" s="139"/>
      <c r="C668" s="139"/>
      <c r="D668" s="145"/>
      <c r="E668" s="139"/>
      <c r="F668" s="139"/>
      <c r="G668" s="139"/>
      <c r="H668" s="139"/>
      <c r="I668" s="139"/>
      <c r="J668" s="139"/>
      <c r="K668" s="139"/>
      <c r="L668" s="139"/>
      <c r="M668" s="145"/>
      <c r="N668" s="139"/>
      <c r="O668" s="139"/>
      <c r="P668" s="139"/>
      <c r="Q668" s="146"/>
      <c r="R668" s="139"/>
      <c r="S668" s="139"/>
      <c r="T668" s="139"/>
      <c r="U668" s="139"/>
      <c r="V668" s="139"/>
      <c r="W668" s="111"/>
      <c r="X668" s="139"/>
      <c r="Y668" s="139"/>
    </row>
    <row r="669" ht="15.75" customHeight="1">
      <c r="A669" s="144"/>
      <c r="B669" s="139"/>
      <c r="C669" s="139"/>
      <c r="D669" s="145"/>
      <c r="E669" s="139"/>
      <c r="F669" s="139"/>
      <c r="G669" s="139"/>
      <c r="H669" s="139"/>
      <c r="I669" s="139"/>
      <c r="J669" s="139"/>
      <c r="K669" s="139"/>
      <c r="L669" s="139"/>
      <c r="M669" s="145"/>
      <c r="N669" s="139"/>
      <c r="O669" s="139"/>
      <c r="P669" s="139"/>
      <c r="Q669" s="146"/>
      <c r="R669" s="139"/>
      <c r="S669" s="139"/>
      <c r="T669" s="139"/>
      <c r="U669" s="139"/>
      <c r="V669" s="139"/>
      <c r="W669" s="111"/>
      <c r="X669" s="139"/>
      <c r="Y669" s="139"/>
    </row>
    <row r="670" ht="15.75" customHeight="1">
      <c r="A670" s="144"/>
      <c r="B670" s="139"/>
      <c r="C670" s="139"/>
      <c r="D670" s="145"/>
      <c r="E670" s="139"/>
      <c r="F670" s="139"/>
      <c r="G670" s="139"/>
      <c r="H670" s="139"/>
      <c r="I670" s="139"/>
      <c r="J670" s="139"/>
      <c r="K670" s="139"/>
      <c r="L670" s="139"/>
      <c r="M670" s="145"/>
      <c r="N670" s="139"/>
      <c r="O670" s="139"/>
      <c r="P670" s="139"/>
      <c r="Q670" s="146"/>
      <c r="R670" s="139"/>
      <c r="S670" s="139"/>
      <c r="T670" s="139"/>
      <c r="U670" s="139"/>
      <c r="V670" s="139"/>
      <c r="W670" s="111"/>
      <c r="X670" s="139"/>
      <c r="Y670" s="139"/>
    </row>
    <row r="671" ht="15.75" customHeight="1">
      <c r="A671" s="144"/>
      <c r="B671" s="139"/>
      <c r="C671" s="139"/>
      <c r="D671" s="145"/>
      <c r="E671" s="139"/>
      <c r="F671" s="139"/>
      <c r="G671" s="139"/>
      <c r="H671" s="139"/>
      <c r="I671" s="139"/>
      <c r="J671" s="139"/>
      <c r="K671" s="139"/>
      <c r="L671" s="139"/>
      <c r="M671" s="145"/>
      <c r="N671" s="139"/>
      <c r="O671" s="139"/>
      <c r="P671" s="139"/>
      <c r="Q671" s="146"/>
      <c r="R671" s="139"/>
      <c r="S671" s="139"/>
      <c r="T671" s="139"/>
      <c r="U671" s="139"/>
      <c r="V671" s="139"/>
      <c r="W671" s="111"/>
      <c r="X671" s="139"/>
      <c r="Y671" s="139"/>
    </row>
    <row r="672" ht="15.75" customHeight="1">
      <c r="A672" s="144"/>
      <c r="B672" s="139"/>
      <c r="C672" s="139"/>
      <c r="D672" s="145"/>
      <c r="E672" s="139"/>
      <c r="F672" s="139"/>
      <c r="G672" s="139"/>
      <c r="H672" s="139"/>
      <c r="I672" s="139"/>
      <c r="J672" s="139"/>
      <c r="K672" s="139"/>
      <c r="L672" s="139"/>
      <c r="M672" s="145"/>
      <c r="N672" s="139"/>
      <c r="O672" s="139"/>
      <c r="P672" s="139"/>
      <c r="Q672" s="146"/>
      <c r="R672" s="139"/>
      <c r="S672" s="139"/>
      <c r="T672" s="139"/>
      <c r="U672" s="139"/>
      <c r="V672" s="139"/>
      <c r="W672" s="111"/>
      <c r="X672" s="139"/>
      <c r="Y672" s="139"/>
    </row>
    <row r="673" ht="15.75" customHeight="1">
      <c r="A673" s="144"/>
      <c r="B673" s="139"/>
      <c r="C673" s="139"/>
      <c r="D673" s="145"/>
      <c r="E673" s="139"/>
      <c r="F673" s="139"/>
      <c r="G673" s="139"/>
      <c r="H673" s="139"/>
      <c r="I673" s="139"/>
      <c r="J673" s="139"/>
      <c r="K673" s="139"/>
      <c r="L673" s="139"/>
      <c r="M673" s="145"/>
      <c r="N673" s="139"/>
      <c r="O673" s="139"/>
      <c r="P673" s="139"/>
      <c r="Q673" s="146"/>
      <c r="R673" s="139"/>
      <c r="S673" s="139"/>
      <c r="T673" s="139"/>
      <c r="U673" s="139"/>
      <c r="V673" s="139"/>
      <c r="W673" s="111"/>
      <c r="X673" s="139"/>
      <c r="Y673" s="139"/>
    </row>
    <row r="674" ht="15.75" customHeight="1">
      <c r="A674" s="144"/>
      <c r="B674" s="139"/>
      <c r="C674" s="139"/>
      <c r="D674" s="145"/>
      <c r="E674" s="139"/>
      <c r="F674" s="139"/>
      <c r="G674" s="139"/>
      <c r="H674" s="139"/>
      <c r="I674" s="139"/>
      <c r="J674" s="139"/>
      <c r="K674" s="139"/>
      <c r="L674" s="139"/>
      <c r="M674" s="145"/>
      <c r="N674" s="139"/>
      <c r="O674" s="139"/>
      <c r="P674" s="139"/>
      <c r="Q674" s="146"/>
      <c r="R674" s="139"/>
      <c r="S674" s="139"/>
      <c r="T674" s="139"/>
      <c r="U674" s="139"/>
      <c r="V674" s="139"/>
      <c r="W674" s="111"/>
      <c r="X674" s="139"/>
      <c r="Y674" s="139"/>
    </row>
    <row r="675" ht="15.75" customHeight="1">
      <c r="A675" s="144"/>
      <c r="B675" s="139"/>
      <c r="C675" s="139"/>
      <c r="D675" s="145"/>
      <c r="E675" s="139"/>
      <c r="F675" s="139"/>
      <c r="G675" s="139"/>
      <c r="H675" s="139"/>
      <c r="I675" s="139"/>
      <c r="J675" s="139"/>
      <c r="K675" s="139"/>
      <c r="L675" s="139"/>
      <c r="M675" s="145"/>
      <c r="N675" s="139"/>
      <c r="O675" s="139"/>
      <c r="P675" s="139"/>
      <c r="Q675" s="146"/>
      <c r="R675" s="139"/>
      <c r="S675" s="139"/>
      <c r="T675" s="139"/>
      <c r="U675" s="139"/>
      <c r="V675" s="139"/>
      <c r="W675" s="111"/>
      <c r="X675" s="139"/>
      <c r="Y675" s="139"/>
    </row>
    <row r="676" ht="15.75" customHeight="1">
      <c r="A676" s="144"/>
      <c r="B676" s="139"/>
      <c r="C676" s="139"/>
      <c r="D676" s="145"/>
      <c r="E676" s="139"/>
      <c r="F676" s="139"/>
      <c r="G676" s="139"/>
      <c r="H676" s="139"/>
      <c r="I676" s="139"/>
      <c r="J676" s="139"/>
      <c r="K676" s="139"/>
      <c r="L676" s="139"/>
      <c r="M676" s="145"/>
      <c r="N676" s="139"/>
      <c r="O676" s="139"/>
      <c r="P676" s="139"/>
      <c r="Q676" s="146"/>
      <c r="R676" s="139"/>
      <c r="S676" s="139"/>
      <c r="T676" s="139"/>
      <c r="U676" s="139"/>
      <c r="V676" s="139"/>
      <c r="W676" s="111"/>
      <c r="X676" s="139"/>
      <c r="Y676" s="139"/>
    </row>
    <row r="677" ht="15.75" customHeight="1">
      <c r="A677" s="144"/>
      <c r="B677" s="139"/>
      <c r="C677" s="139"/>
      <c r="D677" s="145"/>
      <c r="E677" s="139"/>
      <c r="F677" s="139"/>
      <c r="G677" s="139"/>
      <c r="H677" s="139"/>
      <c r="I677" s="139"/>
      <c r="J677" s="139"/>
      <c r="K677" s="139"/>
      <c r="L677" s="139"/>
      <c r="M677" s="145"/>
      <c r="N677" s="139"/>
      <c r="O677" s="139"/>
      <c r="P677" s="139"/>
      <c r="Q677" s="146"/>
      <c r="R677" s="139"/>
      <c r="S677" s="139"/>
      <c r="T677" s="139"/>
      <c r="U677" s="139"/>
      <c r="V677" s="139"/>
      <c r="W677" s="111"/>
      <c r="X677" s="139"/>
      <c r="Y677" s="139"/>
    </row>
    <row r="678" ht="15.75" customHeight="1">
      <c r="A678" s="144"/>
      <c r="B678" s="139"/>
      <c r="C678" s="139"/>
      <c r="D678" s="145"/>
      <c r="E678" s="139"/>
      <c r="F678" s="139"/>
      <c r="G678" s="139"/>
      <c r="H678" s="139"/>
      <c r="I678" s="139"/>
      <c r="J678" s="139"/>
      <c r="K678" s="139"/>
      <c r="L678" s="139"/>
      <c r="M678" s="145"/>
      <c r="N678" s="139"/>
      <c r="O678" s="139"/>
      <c r="P678" s="139"/>
      <c r="Q678" s="146"/>
      <c r="R678" s="139"/>
      <c r="S678" s="139"/>
      <c r="T678" s="139"/>
      <c r="U678" s="139"/>
      <c r="V678" s="139"/>
      <c r="W678" s="111"/>
      <c r="X678" s="139"/>
      <c r="Y678" s="139"/>
    </row>
    <row r="679" ht="15.75" customHeight="1">
      <c r="A679" s="144"/>
      <c r="B679" s="139"/>
      <c r="C679" s="139"/>
      <c r="D679" s="145"/>
      <c r="E679" s="139"/>
      <c r="F679" s="139"/>
      <c r="G679" s="139"/>
      <c r="H679" s="139"/>
      <c r="I679" s="139"/>
      <c r="J679" s="139"/>
      <c r="K679" s="139"/>
      <c r="L679" s="139"/>
      <c r="M679" s="145"/>
      <c r="N679" s="139"/>
      <c r="O679" s="139"/>
      <c r="P679" s="139"/>
      <c r="Q679" s="146"/>
      <c r="R679" s="139"/>
      <c r="S679" s="139"/>
      <c r="T679" s="139"/>
      <c r="U679" s="139"/>
      <c r="V679" s="139"/>
      <c r="W679" s="111"/>
      <c r="X679" s="139"/>
      <c r="Y679" s="139"/>
    </row>
    <row r="680" ht="15.75" customHeight="1">
      <c r="A680" s="144"/>
      <c r="B680" s="139"/>
      <c r="C680" s="139"/>
      <c r="D680" s="145"/>
      <c r="E680" s="139"/>
      <c r="F680" s="139"/>
      <c r="G680" s="139"/>
      <c r="H680" s="139"/>
      <c r="I680" s="139"/>
      <c r="J680" s="139"/>
      <c r="K680" s="139"/>
      <c r="L680" s="139"/>
      <c r="M680" s="145"/>
      <c r="N680" s="139"/>
      <c r="O680" s="139"/>
      <c r="P680" s="139"/>
      <c r="Q680" s="146"/>
      <c r="R680" s="139"/>
      <c r="S680" s="139"/>
      <c r="T680" s="139"/>
      <c r="U680" s="139"/>
      <c r="V680" s="139"/>
      <c r="W680" s="111"/>
      <c r="X680" s="139"/>
      <c r="Y680" s="139"/>
    </row>
    <row r="681" ht="15.75" customHeight="1">
      <c r="A681" s="144"/>
      <c r="B681" s="139"/>
      <c r="C681" s="139"/>
      <c r="D681" s="145"/>
      <c r="E681" s="139"/>
      <c r="F681" s="139"/>
      <c r="G681" s="139"/>
      <c r="H681" s="139"/>
      <c r="I681" s="139"/>
      <c r="J681" s="139"/>
      <c r="K681" s="139"/>
      <c r="L681" s="139"/>
      <c r="M681" s="145"/>
      <c r="N681" s="139"/>
      <c r="O681" s="139"/>
      <c r="P681" s="139"/>
      <c r="Q681" s="146"/>
      <c r="R681" s="139"/>
      <c r="S681" s="139"/>
      <c r="T681" s="139"/>
      <c r="U681" s="139"/>
      <c r="V681" s="139"/>
      <c r="W681" s="111"/>
      <c r="X681" s="139"/>
      <c r="Y681" s="139"/>
    </row>
    <row r="682" ht="15.75" customHeight="1">
      <c r="A682" s="144"/>
      <c r="B682" s="139"/>
      <c r="C682" s="139"/>
      <c r="D682" s="145"/>
      <c r="E682" s="139"/>
      <c r="F682" s="139"/>
      <c r="G682" s="139"/>
      <c r="H682" s="139"/>
      <c r="I682" s="139"/>
      <c r="J682" s="139"/>
      <c r="K682" s="139"/>
      <c r="L682" s="139"/>
      <c r="M682" s="145"/>
      <c r="N682" s="139"/>
      <c r="O682" s="139"/>
      <c r="P682" s="139"/>
      <c r="Q682" s="146"/>
      <c r="R682" s="139"/>
      <c r="S682" s="139"/>
      <c r="T682" s="139"/>
      <c r="U682" s="139"/>
      <c r="V682" s="139"/>
      <c r="W682" s="111"/>
      <c r="X682" s="139"/>
      <c r="Y682" s="139"/>
    </row>
    <row r="683" ht="15.75" customHeight="1">
      <c r="A683" s="144"/>
      <c r="B683" s="139"/>
      <c r="C683" s="139"/>
      <c r="D683" s="145"/>
      <c r="E683" s="139"/>
      <c r="F683" s="139"/>
      <c r="G683" s="139"/>
      <c r="H683" s="139"/>
      <c r="I683" s="139"/>
      <c r="J683" s="139"/>
      <c r="K683" s="139"/>
      <c r="L683" s="139"/>
      <c r="M683" s="145"/>
      <c r="N683" s="139"/>
      <c r="O683" s="139"/>
      <c r="P683" s="139"/>
      <c r="Q683" s="146"/>
      <c r="R683" s="139"/>
      <c r="S683" s="139"/>
      <c r="T683" s="139"/>
      <c r="U683" s="139"/>
      <c r="V683" s="139"/>
      <c r="W683" s="111"/>
      <c r="X683" s="139"/>
      <c r="Y683" s="139"/>
    </row>
    <row r="684" ht="15.75" customHeight="1">
      <c r="A684" s="144"/>
      <c r="B684" s="139"/>
      <c r="C684" s="139"/>
      <c r="D684" s="145"/>
      <c r="E684" s="139"/>
      <c r="F684" s="139"/>
      <c r="G684" s="139"/>
      <c r="H684" s="139"/>
      <c r="I684" s="139"/>
      <c r="J684" s="139"/>
      <c r="K684" s="139"/>
      <c r="L684" s="139"/>
      <c r="M684" s="145"/>
      <c r="N684" s="139"/>
      <c r="O684" s="139"/>
      <c r="P684" s="139"/>
      <c r="Q684" s="146"/>
      <c r="R684" s="139"/>
      <c r="S684" s="139"/>
      <c r="T684" s="139"/>
      <c r="U684" s="139"/>
      <c r="V684" s="139"/>
      <c r="W684" s="111"/>
      <c r="X684" s="139"/>
      <c r="Y684" s="139"/>
    </row>
    <row r="685" ht="15.75" customHeight="1">
      <c r="A685" s="144"/>
      <c r="B685" s="139"/>
      <c r="C685" s="139"/>
      <c r="D685" s="145"/>
      <c r="E685" s="139"/>
      <c r="F685" s="139"/>
      <c r="G685" s="139"/>
      <c r="H685" s="139"/>
      <c r="I685" s="139"/>
      <c r="J685" s="139"/>
      <c r="K685" s="139"/>
      <c r="L685" s="139"/>
      <c r="M685" s="145"/>
      <c r="N685" s="139"/>
      <c r="O685" s="139"/>
      <c r="P685" s="139"/>
      <c r="Q685" s="146"/>
      <c r="R685" s="139"/>
      <c r="S685" s="139"/>
      <c r="T685" s="139"/>
      <c r="U685" s="139"/>
      <c r="V685" s="139"/>
      <c r="W685" s="111"/>
      <c r="X685" s="139"/>
      <c r="Y685" s="139"/>
    </row>
    <row r="686" ht="15.75" customHeight="1">
      <c r="A686" s="144"/>
      <c r="B686" s="139"/>
      <c r="C686" s="139"/>
      <c r="D686" s="145"/>
      <c r="E686" s="139"/>
      <c r="F686" s="139"/>
      <c r="G686" s="139"/>
      <c r="H686" s="139"/>
      <c r="I686" s="139"/>
      <c r="J686" s="139"/>
      <c r="K686" s="139"/>
      <c r="L686" s="139"/>
      <c r="M686" s="145"/>
      <c r="N686" s="139"/>
      <c r="O686" s="139"/>
      <c r="P686" s="139"/>
      <c r="Q686" s="146"/>
      <c r="R686" s="139"/>
      <c r="S686" s="139"/>
      <c r="T686" s="139"/>
      <c r="U686" s="139"/>
      <c r="V686" s="139"/>
      <c r="W686" s="111"/>
      <c r="X686" s="139"/>
      <c r="Y686" s="139"/>
    </row>
    <row r="687" ht="15.75" customHeight="1">
      <c r="A687" s="144"/>
      <c r="B687" s="139"/>
      <c r="C687" s="139"/>
      <c r="D687" s="145"/>
      <c r="E687" s="139"/>
      <c r="F687" s="139"/>
      <c r="G687" s="139"/>
      <c r="H687" s="139"/>
      <c r="I687" s="139"/>
      <c r="J687" s="139"/>
      <c r="K687" s="139"/>
      <c r="L687" s="139"/>
      <c r="M687" s="145"/>
      <c r="N687" s="139"/>
      <c r="O687" s="139"/>
      <c r="P687" s="139"/>
      <c r="Q687" s="146"/>
      <c r="R687" s="139"/>
      <c r="S687" s="139"/>
      <c r="T687" s="139"/>
      <c r="U687" s="139"/>
      <c r="V687" s="139"/>
      <c r="W687" s="111"/>
      <c r="X687" s="139"/>
      <c r="Y687" s="139"/>
    </row>
    <row r="688" ht="15.75" customHeight="1">
      <c r="A688" s="144"/>
      <c r="B688" s="139"/>
      <c r="C688" s="139"/>
      <c r="D688" s="145"/>
      <c r="E688" s="139"/>
      <c r="F688" s="139"/>
      <c r="G688" s="139"/>
      <c r="H688" s="139"/>
      <c r="I688" s="139"/>
      <c r="J688" s="139"/>
      <c r="K688" s="139"/>
      <c r="L688" s="139"/>
      <c r="M688" s="145"/>
      <c r="N688" s="139"/>
      <c r="O688" s="139"/>
      <c r="P688" s="139"/>
      <c r="Q688" s="146"/>
      <c r="R688" s="139"/>
      <c r="S688" s="139"/>
      <c r="T688" s="139"/>
      <c r="U688" s="139"/>
      <c r="V688" s="139"/>
      <c r="W688" s="111"/>
      <c r="X688" s="139"/>
      <c r="Y688" s="139"/>
    </row>
    <row r="689" ht="15.75" customHeight="1">
      <c r="A689" s="144"/>
      <c r="B689" s="139"/>
      <c r="C689" s="139"/>
      <c r="D689" s="145"/>
      <c r="E689" s="139"/>
      <c r="F689" s="139"/>
      <c r="G689" s="139"/>
      <c r="H689" s="139"/>
      <c r="I689" s="139"/>
      <c r="J689" s="139"/>
      <c r="K689" s="139"/>
      <c r="L689" s="139"/>
      <c r="M689" s="145"/>
      <c r="N689" s="139"/>
      <c r="O689" s="139"/>
      <c r="P689" s="139"/>
      <c r="Q689" s="146"/>
      <c r="R689" s="139"/>
      <c r="S689" s="139"/>
      <c r="T689" s="139"/>
      <c r="U689" s="139"/>
      <c r="V689" s="139"/>
      <c r="W689" s="111"/>
      <c r="X689" s="139"/>
      <c r="Y689" s="139"/>
    </row>
    <row r="690" ht="15.75" customHeight="1">
      <c r="A690" s="144"/>
      <c r="B690" s="139"/>
      <c r="C690" s="139"/>
      <c r="D690" s="145"/>
      <c r="E690" s="139"/>
      <c r="F690" s="139"/>
      <c r="G690" s="139"/>
      <c r="H690" s="139"/>
      <c r="I690" s="139"/>
      <c r="J690" s="139"/>
      <c r="K690" s="139"/>
      <c r="L690" s="139"/>
      <c r="M690" s="145"/>
      <c r="N690" s="139"/>
      <c r="O690" s="139"/>
      <c r="P690" s="139"/>
      <c r="Q690" s="146"/>
      <c r="R690" s="139"/>
      <c r="S690" s="139"/>
      <c r="T690" s="139"/>
      <c r="U690" s="139"/>
      <c r="V690" s="139"/>
      <c r="W690" s="111"/>
      <c r="X690" s="139"/>
      <c r="Y690" s="139"/>
    </row>
    <row r="691" ht="15.75" customHeight="1">
      <c r="A691" s="144"/>
      <c r="B691" s="139"/>
      <c r="C691" s="139"/>
      <c r="D691" s="145"/>
      <c r="E691" s="139"/>
      <c r="F691" s="139"/>
      <c r="G691" s="139"/>
      <c r="H691" s="139"/>
      <c r="I691" s="139"/>
      <c r="J691" s="139"/>
      <c r="K691" s="139"/>
      <c r="L691" s="139"/>
      <c r="M691" s="145"/>
      <c r="N691" s="139"/>
      <c r="O691" s="139"/>
      <c r="P691" s="139"/>
      <c r="Q691" s="146"/>
      <c r="R691" s="139"/>
      <c r="S691" s="139"/>
      <c r="T691" s="139"/>
      <c r="U691" s="139"/>
      <c r="V691" s="139"/>
      <c r="W691" s="111"/>
      <c r="X691" s="139"/>
      <c r="Y691" s="139"/>
    </row>
    <row r="692" ht="15.75" customHeight="1">
      <c r="A692" s="144"/>
      <c r="B692" s="139"/>
      <c r="C692" s="139"/>
      <c r="D692" s="145"/>
      <c r="E692" s="139"/>
      <c r="F692" s="139"/>
      <c r="G692" s="139"/>
      <c r="H692" s="139"/>
      <c r="I692" s="139"/>
      <c r="J692" s="139"/>
      <c r="K692" s="139"/>
      <c r="L692" s="139"/>
      <c r="M692" s="145"/>
      <c r="N692" s="139"/>
      <c r="O692" s="139"/>
      <c r="P692" s="139"/>
      <c r="Q692" s="146"/>
      <c r="R692" s="139"/>
      <c r="S692" s="139"/>
      <c r="T692" s="139"/>
      <c r="U692" s="139"/>
      <c r="V692" s="139"/>
      <c r="W692" s="111"/>
      <c r="X692" s="139"/>
      <c r="Y692" s="139"/>
    </row>
    <row r="693" ht="15.75" customHeight="1">
      <c r="A693" s="144"/>
      <c r="B693" s="139"/>
      <c r="C693" s="139"/>
      <c r="D693" s="145"/>
      <c r="E693" s="139"/>
      <c r="F693" s="139"/>
      <c r="G693" s="139"/>
      <c r="H693" s="139"/>
      <c r="I693" s="139"/>
      <c r="J693" s="139"/>
      <c r="K693" s="139"/>
      <c r="L693" s="139"/>
      <c r="M693" s="145"/>
      <c r="N693" s="139"/>
      <c r="O693" s="139"/>
      <c r="P693" s="139"/>
      <c r="Q693" s="146"/>
      <c r="R693" s="139"/>
      <c r="S693" s="139"/>
      <c r="T693" s="139"/>
      <c r="U693" s="139"/>
      <c r="V693" s="139"/>
      <c r="W693" s="111"/>
      <c r="X693" s="139"/>
      <c r="Y693" s="139"/>
    </row>
    <row r="694" ht="15.75" customHeight="1">
      <c r="A694" s="144"/>
      <c r="B694" s="139"/>
      <c r="C694" s="139"/>
      <c r="D694" s="145"/>
      <c r="E694" s="139"/>
      <c r="F694" s="139"/>
      <c r="G694" s="139"/>
      <c r="H694" s="139"/>
      <c r="I694" s="139"/>
      <c r="J694" s="139"/>
      <c r="K694" s="139"/>
      <c r="L694" s="139"/>
      <c r="M694" s="145"/>
      <c r="N694" s="139"/>
      <c r="O694" s="139"/>
      <c r="P694" s="139"/>
      <c r="Q694" s="146"/>
      <c r="R694" s="139"/>
      <c r="S694" s="139"/>
      <c r="T694" s="139"/>
      <c r="U694" s="139"/>
      <c r="V694" s="139"/>
      <c r="W694" s="111"/>
      <c r="X694" s="139"/>
      <c r="Y694" s="139"/>
    </row>
    <row r="695" ht="15.75" customHeight="1">
      <c r="A695" s="144"/>
      <c r="B695" s="139"/>
      <c r="C695" s="139"/>
      <c r="D695" s="145"/>
      <c r="E695" s="139"/>
      <c r="F695" s="139"/>
      <c r="G695" s="139"/>
      <c r="H695" s="139"/>
      <c r="I695" s="139"/>
      <c r="J695" s="139"/>
      <c r="K695" s="139"/>
      <c r="L695" s="139"/>
      <c r="M695" s="145"/>
      <c r="N695" s="139"/>
      <c r="O695" s="139"/>
      <c r="P695" s="139"/>
      <c r="Q695" s="146"/>
      <c r="R695" s="139"/>
      <c r="S695" s="139"/>
      <c r="T695" s="139"/>
      <c r="U695" s="139"/>
      <c r="V695" s="139"/>
      <c r="W695" s="111"/>
      <c r="X695" s="139"/>
      <c r="Y695" s="139"/>
    </row>
    <row r="696" ht="15.75" customHeight="1">
      <c r="A696" s="144"/>
      <c r="B696" s="139"/>
      <c r="C696" s="139"/>
      <c r="D696" s="145"/>
      <c r="E696" s="139"/>
      <c r="F696" s="139"/>
      <c r="G696" s="139"/>
      <c r="H696" s="139"/>
      <c r="I696" s="139"/>
      <c r="J696" s="139"/>
      <c r="K696" s="139"/>
      <c r="L696" s="139"/>
      <c r="M696" s="145"/>
      <c r="N696" s="139"/>
      <c r="O696" s="139"/>
      <c r="P696" s="139"/>
      <c r="Q696" s="146"/>
      <c r="R696" s="139"/>
      <c r="S696" s="139"/>
      <c r="T696" s="139"/>
      <c r="U696" s="139"/>
      <c r="V696" s="139"/>
      <c r="W696" s="111"/>
      <c r="X696" s="139"/>
      <c r="Y696" s="139"/>
    </row>
    <row r="697" ht="15.75" customHeight="1">
      <c r="A697" s="144"/>
      <c r="B697" s="139"/>
      <c r="C697" s="139"/>
      <c r="D697" s="145"/>
      <c r="E697" s="139"/>
      <c r="F697" s="139"/>
      <c r="G697" s="139"/>
      <c r="H697" s="139"/>
      <c r="I697" s="139"/>
      <c r="J697" s="139"/>
      <c r="K697" s="139"/>
      <c r="L697" s="139"/>
      <c r="M697" s="145"/>
      <c r="N697" s="139"/>
      <c r="O697" s="139"/>
      <c r="P697" s="139"/>
      <c r="Q697" s="146"/>
      <c r="R697" s="139"/>
      <c r="S697" s="139"/>
      <c r="T697" s="139"/>
      <c r="U697" s="139"/>
      <c r="V697" s="139"/>
      <c r="W697" s="111"/>
      <c r="X697" s="139"/>
      <c r="Y697" s="139"/>
    </row>
    <row r="698" ht="15.75" customHeight="1">
      <c r="A698" s="144"/>
      <c r="B698" s="139"/>
      <c r="C698" s="139"/>
      <c r="D698" s="145"/>
      <c r="E698" s="139"/>
      <c r="F698" s="139"/>
      <c r="G698" s="139"/>
      <c r="H698" s="139"/>
      <c r="I698" s="139"/>
      <c r="J698" s="139"/>
      <c r="K698" s="139"/>
      <c r="L698" s="139"/>
      <c r="M698" s="145"/>
      <c r="N698" s="139"/>
      <c r="O698" s="139"/>
      <c r="P698" s="139"/>
      <c r="Q698" s="146"/>
      <c r="R698" s="139"/>
      <c r="S698" s="139"/>
      <c r="T698" s="139"/>
      <c r="U698" s="139"/>
      <c r="V698" s="139"/>
      <c r="W698" s="111"/>
      <c r="X698" s="139"/>
      <c r="Y698" s="139"/>
    </row>
    <row r="699" ht="15.75" customHeight="1">
      <c r="A699" s="144"/>
      <c r="B699" s="139"/>
      <c r="C699" s="139"/>
      <c r="D699" s="145"/>
      <c r="E699" s="139"/>
      <c r="F699" s="139"/>
      <c r="G699" s="139"/>
      <c r="H699" s="139"/>
      <c r="I699" s="139"/>
      <c r="J699" s="139"/>
      <c r="K699" s="139"/>
      <c r="L699" s="139"/>
      <c r="M699" s="145"/>
      <c r="N699" s="139"/>
      <c r="O699" s="139"/>
      <c r="P699" s="139"/>
      <c r="Q699" s="146"/>
      <c r="R699" s="139"/>
      <c r="S699" s="139"/>
      <c r="T699" s="139"/>
      <c r="U699" s="139"/>
      <c r="V699" s="139"/>
      <c r="W699" s="111"/>
      <c r="X699" s="139"/>
      <c r="Y699" s="139"/>
    </row>
    <row r="700" ht="15.75" customHeight="1">
      <c r="A700" s="144"/>
      <c r="B700" s="139"/>
      <c r="C700" s="139"/>
      <c r="D700" s="145"/>
      <c r="E700" s="139"/>
      <c r="F700" s="139"/>
      <c r="G700" s="139"/>
      <c r="H700" s="139"/>
      <c r="I700" s="139"/>
      <c r="J700" s="139"/>
      <c r="K700" s="139"/>
      <c r="L700" s="139"/>
      <c r="M700" s="145"/>
      <c r="N700" s="139"/>
      <c r="O700" s="139"/>
      <c r="P700" s="139"/>
      <c r="Q700" s="146"/>
      <c r="R700" s="139"/>
      <c r="S700" s="139"/>
      <c r="T700" s="139"/>
      <c r="U700" s="139"/>
      <c r="V700" s="139"/>
      <c r="W700" s="111"/>
      <c r="X700" s="139"/>
      <c r="Y700" s="139"/>
    </row>
    <row r="701" ht="15.75" customHeight="1">
      <c r="A701" s="144"/>
      <c r="B701" s="139"/>
      <c r="C701" s="139"/>
      <c r="D701" s="145"/>
      <c r="E701" s="139"/>
      <c r="F701" s="139"/>
      <c r="G701" s="139"/>
      <c r="H701" s="139"/>
      <c r="I701" s="139"/>
      <c r="J701" s="139"/>
      <c r="K701" s="139"/>
      <c r="L701" s="139"/>
      <c r="M701" s="145"/>
      <c r="N701" s="139"/>
      <c r="O701" s="139"/>
      <c r="P701" s="139"/>
      <c r="Q701" s="146"/>
      <c r="R701" s="139"/>
      <c r="S701" s="139"/>
      <c r="T701" s="139"/>
      <c r="U701" s="139"/>
      <c r="V701" s="139"/>
      <c r="W701" s="111"/>
      <c r="X701" s="139"/>
      <c r="Y701" s="139"/>
    </row>
    <row r="702" ht="15.75" customHeight="1">
      <c r="A702" s="144"/>
      <c r="B702" s="139"/>
      <c r="C702" s="139"/>
      <c r="D702" s="145"/>
      <c r="E702" s="139"/>
      <c r="F702" s="139"/>
      <c r="G702" s="139"/>
      <c r="H702" s="139"/>
      <c r="I702" s="139"/>
      <c r="J702" s="139"/>
      <c r="K702" s="139"/>
      <c r="L702" s="139"/>
      <c r="M702" s="145"/>
      <c r="N702" s="139"/>
      <c r="O702" s="139"/>
      <c r="P702" s="139"/>
      <c r="Q702" s="146"/>
      <c r="R702" s="139"/>
      <c r="S702" s="139"/>
      <c r="T702" s="139"/>
      <c r="U702" s="139"/>
      <c r="V702" s="139"/>
      <c r="W702" s="111"/>
      <c r="X702" s="139"/>
      <c r="Y702" s="139"/>
    </row>
    <row r="703" ht="15.75" customHeight="1">
      <c r="A703" s="144"/>
      <c r="B703" s="139"/>
      <c r="C703" s="139"/>
      <c r="D703" s="145"/>
      <c r="E703" s="139"/>
      <c r="F703" s="139"/>
      <c r="G703" s="139"/>
      <c r="H703" s="139"/>
      <c r="I703" s="139"/>
      <c r="J703" s="139"/>
      <c r="K703" s="139"/>
      <c r="L703" s="139"/>
      <c r="M703" s="145"/>
      <c r="N703" s="139"/>
      <c r="O703" s="139"/>
      <c r="P703" s="139"/>
      <c r="Q703" s="146"/>
      <c r="R703" s="139"/>
      <c r="S703" s="139"/>
      <c r="T703" s="139"/>
      <c r="U703" s="139"/>
      <c r="V703" s="139"/>
      <c r="W703" s="111"/>
      <c r="X703" s="139"/>
      <c r="Y703" s="139"/>
    </row>
    <row r="704" ht="15.75" customHeight="1">
      <c r="A704" s="144"/>
      <c r="B704" s="139"/>
      <c r="C704" s="139"/>
      <c r="D704" s="145"/>
      <c r="E704" s="139"/>
      <c r="F704" s="139"/>
      <c r="G704" s="139"/>
      <c r="H704" s="139"/>
      <c r="I704" s="139"/>
      <c r="J704" s="139"/>
      <c r="K704" s="139"/>
      <c r="L704" s="139"/>
      <c r="M704" s="145"/>
      <c r="N704" s="139"/>
      <c r="O704" s="139"/>
      <c r="P704" s="139"/>
      <c r="Q704" s="146"/>
      <c r="R704" s="139"/>
      <c r="S704" s="139"/>
      <c r="T704" s="139"/>
      <c r="U704" s="139"/>
      <c r="V704" s="139"/>
      <c r="W704" s="111"/>
      <c r="X704" s="139"/>
      <c r="Y704" s="139"/>
    </row>
    <row r="705" ht="15.75" customHeight="1">
      <c r="A705" s="144"/>
      <c r="B705" s="139"/>
      <c r="C705" s="139"/>
      <c r="D705" s="145"/>
      <c r="E705" s="139"/>
      <c r="F705" s="139"/>
      <c r="G705" s="139"/>
      <c r="H705" s="139"/>
      <c r="I705" s="139"/>
      <c r="J705" s="139"/>
      <c r="K705" s="139"/>
      <c r="L705" s="139"/>
      <c r="M705" s="145"/>
      <c r="N705" s="139"/>
      <c r="O705" s="139"/>
      <c r="P705" s="139"/>
      <c r="Q705" s="146"/>
      <c r="R705" s="139"/>
      <c r="S705" s="139"/>
      <c r="T705" s="139"/>
      <c r="U705" s="139"/>
      <c r="V705" s="139"/>
      <c r="W705" s="111"/>
      <c r="X705" s="139"/>
      <c r="Y705" s="139"/>
    </row>
    <row r="706" ht="15.75" customHeight="1">
      <c r="A706" s="144"/>
      <c r="B706" s="139"/>
      <c r="C706" s="139"/>
      <c r="D706" s="145"/>
      <c r="E706" s="139"/>
      <c r="F706" s="139"/>
      <c r="G706" s="139"/>
      <c r="H706" s="139"/>
      <c r="I706" s="139"/>
      <c r="J706" s="139"/>
      <c r="K706" s="139"/>
      <c r="L706" s="139"/>
      <c r="M706" s="145"/>
      <c r="N706" s="139"/>
      <c r="O706" s="139"/>
      <c r="P706" s="139"/>
      <c r="Q706" s="146"/>
      <c r="R706" s="139"/>
      <c r="S706" s="139"/>
      <c r="T706" s="139"/>
      <c r="U706" s="139"/>
      <c r="V706" s="139"/>
      <c r="W706" s="111"/>
      <c r="X706" s="139"/>
      <c r="Y706" s="139"/>
    </row>
    <row r="707" ht="15.75" customHeight="1">
      <c r="A707" s="144"/>
      <c r="B707" s="139"/>
      <c r="C707" s="139"/>
      <c r="D707" s="145"/>
      <c r="E707" s="139"/>
      <c r="F707" s="139"/>
      <c r="G707" s="139"/>
      <c r="H707" s="139"/>
      <c r="I707" s="139"/>
      <c r="J707" s="139"/>
      <c r="K707" s="139"/>
      <c r="L707" s="139"/>
      <c r="M707" s="145"/>
      <c r="N707" s="139"/>
      <c r="O707" s="139"/>
      <c r="P707" s="139"/>
      <c r="Q707" s="146"/>
      <c r="R707" s="139"/>
      <c r="S707" s="139"/>
      <c r="T707" s="139"/>
      <c r="U707" s="139"/>
      <c r="V707" s="139"/>
      <c r="W707" s="111"/>
      <c r="X707" s="139"/>
      <c r="Y707" s="139"/>
    </row>
    <row r="708" ht="15.75" customHeight="1">
      <c r="A708" s="144"/>
      <c r="B708" s="139"/>
      <c r="C708" s="139"/>
      <c r="D708" s="145"/>
      <c r="E708" s="139"/>
      <c r="F708" s="139"/>
      <c r="G708" s="139"/>
      <c r="H708" s="139"/>
      <c r="I708" s="139"/>
      <c r="J708" s="139"/>
      <c r="K708" s="139"/>
      <c r="L708" s="139"/>
      <c r="M708" s="145"/>
      <c r="N708" s="139"/>
      <c r="O708" s="139"/>
      <c r="P708" s="139"/>
      <c r="Q708" s="146"/>
      <c r="R708" s="139"/>
      <c r="S708" s="139"/>
      <c r="T708" s="139"/>
      <c r="U708" s="139"/>
      <c r="V708" s="139"/>
      <c r="W708" s="111"/>
      <c r="X708" s="139"/>
      <c r="Y708" s="139"/>
    </row>
    <row r="709" ht="15.75" customHeight="1">
      <c r="A709" s="144"/>
      <c r="B709" s="139"/>
      <c r="C709" s="139"/>
      <c r="D709" s="145"/>
      <c r="E709" s="139"/>
      <c r="F709" s="139"/>
      <c r="G709" s="139"/>
      <c r="H709" s="139"/>
      <c r="I709" s="139"/>
      <c r="J709" s="139"/>
      <c r="K709" s="139"/>
      <c r="L709" s="139"/>
      <c r="M709" s="145"/>
      <c r="N709" s="139"/>
      <c r="O709" s="139"/>
      <c r="P709" s="139"/>
      <c r="Q709" s="146"/>
      <c r="R709" s="139"/>
      <c r="S709" s="139"/>
      <c r="T709" s="139"/>
      <c r="U709" s="139"/>
      <c r="V709" s="139"/>
      <c r="W709" s="111"/>
      <c r="X709" s="139"/>
      <c r="Y709" s="139"/>
    </row>
    <row r="710" ht="15.75" customHeight="1">
      <c r="A710" s="144"/>
      <c r="B710" s="139"/>
      <c r="C710" s="139"/>
      <c r="D710" s="145"/>
      <c r="E710" s="139"/>
      <c r="F710" s="139"/>
      <c r="G710" s="139"/>
      <c r="H710" s="139"/>
      <c r="I710" s="139"/>
      <c r="J710" s="139"/>
      <c r="K710" s="139"/>
      <c r="L710" s="139"/>
      <c r="M710" s="145"/>
      <c r="N710" s="139"/>
      <c r="O710" s="139"/>
      <c r="P710" s="139"/>
      <c r="Q710" s="146"/>
      <c r="R710" s="139"/>
      <c r="S710" s="139"/>
      <c r="T710" s="139"/>
      <c r="U710" s="139"/>
      <c r="V710" s="139"/>
      <c r="W710" s="111"/>
      <c r="X710" s="139"/>
      <c r="Y710" s="139"/>
    </row>
    <row r="711" ht="15.75" customHeight="1">
      <c r="A711" s="144"/>
      <c r="B711" s="139"/>
      <c r="C711" s="139"/>
      <c r="D711" s="145"/>
      <c r="E711" s="139"/>
      <c r="F711" s="139"/>
      <c r="G711" s="139"/>
      <c r="H711" s="139"/>
      <c r="I711" s="139"/>
      <c r="J711" s="139"/>
      <c r="K711" s="139"/>
      <c r="L711" s="139"/>
      <c r="M711" s="145"/>
      <c r="N711" s="139"/>
      <c r="O711" s="139"/>
      <c r="P711" s="139"/>
      <c r="Q711" s="146"/>
      <c r="R711" s="139"/>
      <c r="S711" s="139"/>
      <c r="T711" s="139"/>
      <c r="U711" s="139"/>
      <c r="V711" s="139"/>
      <c r="W711" s="111"/>
      <c r="X711" s="139"/>
      <c r="Y711" s="139"/>
    </row>
    <row r="712" ht="15.75" customHeight="1">
      <c r="A712" s="144"/>
      <c r="B712" s="139"/>
      <c r="C712" s="139"/>
      <c r="D712" s="145"/>
      <c r="E712" s="139"/>
      <c r="F712" s="139"/>
      <c r="G712" s="139"/>
      <c r="H712" s="139"/>
      <c r="I712" s="139"/>
      <c r="J712" s="139"/>
      <c r="K712" s="139"/>
      <c r="L712" s="139"/>
      <c r="M712" s="145"/>
      <c r="N712" s="139"/>
      <c r="O712" s="139"/>
      <c r="P712" s="139"/>
      <c r="Q712" s="146"/>
      <c r="R712" s="139"/>
      <c r="S712" s="139"/>
      <c r="T712" s="139"/>
      <c r="U712" s="139"/>
      <c r="V712" s="139"/>
      <c r="W712" s="111"/>
      <c r="X712" s="139"/>
      <c r="Y712" s="139"/>
    </row>
    <row r="713" ht="15.75" customHeight="1">
      <c r="A713" s="144"/>
      <c r="B713" s="139"/>
      <c r="C713" s="139"/>
      <c r="D713" s="145"/>
      <c r="E713" s="139"/>
      <c r="F713" s="139"/>
      <c r="G713" s="139"/>
      <c r="H713" s="139"/>
      <c r="I713" s="139"/>
      <c r="J713" s="139"/>
      <c r="K713" s="139"/>
      <c r="L713" s="139"/>
      <c r="M713" s="145"/>
      <c r="N713" s="139"/>
      <c r="O713" s="139"/>
      <c r="P713" s="139"/>
      <c r="Q713" s="146"/>
      <c r="R713" s="139"/>
      <c r="S713" s="139"/>
      <c r="T713" s="139"/>
      <c r="U713" s="139"/>
      <c r="V713" s="139"/>
      <c r="W713" s="111"/>
      <c r="X713" s="139"/>
      <c r="Y713" s="139"/>
    </row>
    <row r="714" ht="15.75" customHeight="1">
      <c r="A714" s="144"/>
      <c r="B714" s="139"/>
      <c r="C714" s="139"/>
      <c r="D714" s="145"/>
      <c r="E714" s="139"/>
      <c r="F714" s="139"/>
      <c r="G714" s="139"/>
      <c r="H714" s="139"/>
      <c r="I714" s="139"/>
      <c r="J714" s="139"/>
      <c r="K714" s="139"/>
      <c r="L714" s="139"/>
      <c r="M714" s="145"/>
      <c r="N714" s="139"/>
      <c r="O714" s="139"/>
      <c r="P714" s="139"/>
      <c r="Q714" s="146"/>
      <c r="R714" s="139"/>
      <c r="S714" s="139"/>
      <c r="T714" s="139"/>
      <c r="U714" s="139"/>
      <c r="V714" s="139"/>
      <c r="W714" s="111"/>
      <c r="X714" s="139"/>
      <c r="Y714" s="139"/>
    </row>
    <row r="715" ht="15.75" customHeight="1">
      <c r="A715" s="144"/>
      <c r="B715" s="139"/>
      <c r="C715" s="139"/>
      <c r="D715" s="145"/>
      <c r="E715" s="139"/>
      <c r="F715" s="139"/>
      <c r="G715" s="139"/>
      <c r="H715" s="139"/>
      <c r="I715" s="139"/>
      <c r="J715" s="139"/>
      <c r="K715" s="139"/>
      <c r="L715" s="139"/>
      <c r="M715" s="145"/>
      <c r="N715" s="139"/>
      <c r="O715" s="139"/>
      <c r="P715" s="139"/>
      <c r="Q715" s="146"/>
      <c r="R715" s="139"/>
      <c r="S715" s="139"/>
      <c r="T715" s="139"/>
      <c r="U715" s="139"/>
      <c r="V715" s="139"/>
      <c r="W715" s="111"/>
      <c r="X715" s="139"/>
      <c r="Y715" s="139"/>
    </row>
    <row r="716" ht="15.75" customHeight="1">
      <c r="A716" s="144"/>
      <c r="B716" s="139"/>
      <c r="C716" s="139"/>
      <c r="D716" s="145"/>
      <c r="E716" s="139"/>
      <c r="F716" s="139"/>
      <c r="G716" s="139"/>
      <c r="H716" s="139"/>
      <c r="I716" s="139"/>
      <c r="J716" s="139"/>
      <c r="K716" s="139"/>
      <c r="L716" s="139"/>
      <c r="M716" s="145"/>
      <c r="N716" s="139"/>
      <c r="O716" s="139"/>
      <c r="P716" s="139"/>
      <c r="Q716" s="146"/>
      <c r="R716" s="139"/>
      <c r="S716" s="139"/>
      <c r="T716" s="139"/>
      <c r="U716" s="139"/>
      <c r="V716" s="139"/>
      <c r="W716" s="111"/>
      <c r="X716" s="139"/>
      <c r="Y716" s="139"/>
    </row>
    <row r="717" ht="15.75" customHeight="1">
      <c r="A717" s="144"/>
      <c r="B717" s="139"/>
      <c r="C717" s="139"/>
      <c r="D717" s="145"/>
      <c r="E717" s="139"/>
      <c r="F717" s="139"/>
      <c r="G717" s="139"/>
      <c r="H717" s="139"/>
      <c r="I717" s="139"/>
      <c r="J717" s="139"/>
      <c r="K717" s="139"/>
      <c r="L717" s="139"/>
      <c r="M717" s="145"/>
      <c r="N717" s="139"/>
      <c r="O717" s="139"/>
      <c r="P717" s="139"/>
      <c r="Q717" s="146"/>
      <c r="R717" s="139"/>
      <c r="S717" s="139"/>
      <c r="T717" s="139"/>
      <c r="U717" s="139"/>
      <c r="V717" s="139"/>
      <c r="W717" s="111"/>
      <c r="X717" s="139"/>
      <c r="Y717" s="139"/>
    </row>
    <row r="718" ht="15.75" customHeight="1">
      <c r="A718" s="144"/>
      <c r="B718" s="139"/>
      <c r="C718" s="139"/>
      <c r="D718" s="145"/>
      <c r="E718" s="139"/>
      <c r="F718" s="139"/>
      <c r="G718" s="139"/>
      <c r="H718" s="139"/>
      <c r="I718" s="139"/>
      <c r="J718" s="139"/>
      <c r="K718" s="139"/>
      <c r="L718" s="139"/>
      <c r="M718" s="145"/>
      <c r="N718" s="139"/>
      <c r="O718" s="139"/>
      <c r="P718" s="139"/>
      <c r="Q718" s="146"/>
      <c r="R718" s="139"/>
      <c r="S718" s="139"/>
      <c r="T718" s="139"/>
      <c r="U718" s="139"/>
      <c r="V718" s="139"/>
      <c r="W718" s="111"/>
      <c r="X718" s="139"/>
      <c r="Y718" s="139"/>
    </row>
    <row r="719" ht="15.75" customHeight="1">
      <c r="A719" s="144"/>
      <c r="B719" s="139"/>
      <c r="C719" s="139"/>
      <c r="D719" s="145"/>
      <c r="E719" s="139"/>
      <c r="F719" s="139"/>
      <c r="G719" s="139"/>
      <c r="H719" s="139"/>
      <c r="I719" s="139"/>
      <c r="J719" s="139"/>
      <c r="K719" s="139"/>
      <c r="L719" s="139"/>
      <c r="M719" s="145"/>
      <c r="N719" s="139"/>
      <c r="O719" s="139"/>
      <c r="P719" s="139"/>
      <c r="Q719" s="146"/>
      <c r="R719" s="139"/>
      <c r="S719" s="139"/>
      <c r="T719" s="139"/>
      <c r="U719" s="139"/>
      <c r="V719" s="139"/>
      <c r="W719" s="111"/>
      <c r="X719" s="139"/>
      <c r="Y719" s="139"/>
    </row>
    <row r="720" ht="15.75" customHeight="1">
      <c r="A720" s="144"/>
      <c r="B720" s="139"/>
      <c r="C720" s="139"/>
      <c r="D720" s="145"/>
      <c r="E720" s="139"/>
      <c r="F720" s="139"/>
      <c r="G720" s="139"/>
      <c r="H720" s="139"/>
      <c r="I720" s="139"/>
      <c r="J720" s="139"/>
      <c r="K720" s="139"/>
      <c r="L720" s="139"/>
      <c r="M720" s="145"/>
      <c r="N720" s="139"/>
      <c r="O720" s="139"/>
      <c r="P720" s="139"/>
      <c r="Q720" s="146"/>
      <c r="R720" s="139"/>
      <c r="S720" s="139"/>
      <c r="T720" s="139"/>
      <c r="U720" s="139"/>
      <c r="V720" s="139"/>
      <c r="W720" s="111"/>
      <c r="X720" s="139"/>
      <c r="Y720" s="139"/>
    </row>
    <row r="721" ht="15.75" customHeight="1">
      <c r="A721" s="144"/>
      <c r="B721" s="139"/>
      <c r="C721" s="139"/>
      <c r="D721" s="145"/>
      <c r="E721" s="139"/>
      <c r="F721" s="139"/>
      <c r="G721" s="139"/>
      <c r="H721" s="139"/>
      <c r="I721" s="139"/>
      <c r="J721" s="139"/>
      <c r="K721" s="139"/>
      <c r="L721" s="139"/>
      <c r="M721" s="145"/>
      <c r="N721" s="139"/>
      <c r="O721" s="139"/>
      <c r="P721" s="139"/>
      <c r="Q721" s="146"/>
      <c r="R721" s="139"/>
      <c r="S721" s="139"/>
      <c r="T721" s="139"/>
      <c r="U721" s="139"/>
      <c r="V721" s="139"/>
      <c r="W721" s="111"/>
      <c r="X721" s="139"/>
      <c r="Y721" s="139"/>
    </row>
    <row r="722" ht="15.75" customHeight="1">
      <c r="A722" s="144"/>
      <c r="B722" s="139"/>
      <c r="C722" s="139"/>
      <c r="D722" s="145"/>
      <c r="E722" s="139"/>
      <c r="F722" s="139"/>
      <c r="G722" s="139"/>
      <c r="H722" s="139"/>
      <c r="I722" s="139"/>
      <c r="J722" s="139"/>
      <c r="K722" s="139"/>
      <c r="L722" s="139"/>
      <c r="M722" s="145"/>
      <c r="N722" s="139"/>
      <c r="O722" s="139"/>
      <c r="P722" s="139"/>
      <c r="Q722" s="146"/>
      <c r="R722" s="139"/>
      <c r="S722" s="139"/>
      <c r="T722" s="139"/>
      <c r="U722" s="139"/>
      <c r="V722" s="139"/>
      <c r="W722" s="111"/>
      <c r="X722" s="139"/>
      <c r="Y722" s="139"/>
    </row>
    <row r="723" ht="15.75" customHeight="1">
      <c r="A723" s="144"/>
      <c r="B723" s="139"/>
      <c r="C723" s="139"/>
      <c r="D723" s="145"/>
      <c r="E723" s="139"/>
      <c r="F723" s="139"/>
      <c r="G723" s="139"/>
      <c r="H723" s="139"/>
      <c r="I723" s="139"/>
      <c r="J723" s="139"/>
      <c r="K723" s="139"/>
      <c r="L723" s="139"/>
      <c r="M723" s="145"/>
      <c r="N723" s="139"/>
      <c r="O723" s="139"/>
      <c r="P723" s="139"/>
      <c r="Q723" s="146"/>
      <c r="R723" s="139"/>
      <c r="S723" s="139"/>
      <c r="T723" s="139"/>
      <c r="U723" s="139"/>
      <c r="V723" s="139"/>
      <c r="W723" s="111"/>
      <c r="X723" s="139"/>
      <c r="Y723" s="139"/>
    </row>
    <row r="724" ht="15.75" customHeight="1">
      <c r="A724" s="144"/>
      <c r="B724" s="139"/>
      <c r="C724" s="139"/>
      <c r="D724" s="145"/>
      <c r="E724" s="139"/>
      <c r="F724" s="139"/>
      <c r="G724" s="139"/>
      <c r="H724" s="139"/>
      <c r="I724" s="139"/>
      <c r="J724" s="139"/>
      <c r="K724" s="139"/>
      <c r="L724" s="139"/>
      <c r="M724" s="145"/>
      <c r="N724" s="139"/>
      <c r="O724" s="139"/>
      <c r="P724" s="139"/>
      <c r="Q724" s="146"/>
      <c r="R724" s="139"/>
      <c r="S724" s="139"/>
      <c r="T724" s="139"/>
      <c r="U724" s="139"/>
      <c r="V724" s="139"/>
      <c r="W724" s="111"/>
      <c r="X724" s="139"/>
      <c r="Y724" s="139"/>
    </row>
    <row r="725" ht="15.75" customHeight="1">
      <c r="A725" s="144"/>
      <c r="B725" s="139"/>
      <c r="C725" s="139"/>
      <c r="D725" s="145"/>
      <c r="E725" s="139"/>
      <c r="F725" s="139"/>
      <c r="G725" s="139"/>
      <c r="H725" s="139"/>
      <c r="I725" s="139"/>
      <c r="J725" s="139"/>
      <c r="K725" s="139"/>
      <c r="L725" s="139"/>
      <c r="M725" s="145"/>
      <c r="N725" s="139"/>
      <c r="O725" s="139"/>
      <c r="P725" s="139"/>
      <c r="Q725" s="146"/>
      <c r="R725" s="139"/>
      <c r="S725" s="139"/>
      <c r="T725" s="139"/>
      <c r="U725" s="139"/>
      <c r="V725" s="139"/>
      <c r="W725" s="111"/>
      <c r="X725" s="139"/>
      <c r="Y725" s="139"/>
    </row>
    <row r="726" ht="15.75" customHeight="1">
      <c r="A726" s="144"/>
      <c r="B726" s="139"/>
      <c r="C726" s="139"/>
      <c r="D726" s="145"/>
      <c r="E726" s="139"/>
      <c r="F726" s="139"/>
      <c r="G726" s="139"/>
      <c r="H726" s="139"/>
      <c r="I726" s="139"/>
      <c r="J726" s="139"/>
      <c r="K726" s="139"/>
      <c r="L726" s="139"/>
      <c r="M726" s="145"/>
      <c r="N726" s="139"/>
      <c r="O726" s="139"/>
      <c r="P726" s="139"/>
      <c r="Q726" s="146"/>
      <c r="R726" s="139"/>
      <c r="S726" s="139"/>
      <c r="T726" s="139"/>
      <c r="U726" s="139"/>
      <c r="V726" s="139"/>
      <c r="W726" s="111"/>
      <c r="X726" s="139"/>
      <c r="Y726" s="139"/>
    </row>
    <row r="727" ht="15.75" customHeight="1">
      <c r="A727" s="144"/>
      <c r="B727" s="139"/>
      <c r="C727" s="139"/>
      <c r="D727" s="145"/>
      <c r="E727" s="139"/>
      <c r="F727" s="139"/>
      <c r="G727" s="139"/>
      <c r="H727" s="139"/>
      <c r="I727" s="139"/>
      <c r="J727" s="139"/>
      <c r="K727" s="139"/>
      <c r="L727" s="139"/>
      <c r="M727" s="145"/>
      <c r="N727" s="139"/>
      <c r="O727" s="139"/>
      <c r="P727" s="139"/>
      <c r="Q727" s="146"/>
      <c r="R727" s="139"/>
      <c r="S727" s="139"/>
      <c r="T727" s="139"/>
      <c r="U727" s="139"/>
      <c r="V727" s="139"/>
      <c r="W727" s="111"/>
      <c r="X727" s="139"/>
      <c r="Y727" s="139"/>
    </row>
    <row r="728" ht="15.75" customHeight="1">
      <c r="A728" s="144"/>
      <c r="B728" s="139"/>
      <c r="C728" s="139"/>
      <c r="D728" s="145"/>
      <c r="E728" s="139"/>
      <c r="F728" s="139"/>
      <c r="G728" s="139"/>
      <c r="H728" s="139"/>
      <c r="I728" s="139"/>
      <c r="J728" s="139"/>
      <c r="K728" s="139"/>
      <c r="L728" s="139"/>
      <c r="M728" s="145"/>
      <c r="N728" s="139"/>
      <c r="O728" s="139"/>
      <c r="P728" s="139"/>
      <c r="Q728" s="146"/>
      <c r="R728" s="139"/>
      <c r="S728" s="139"/>
      <c r="T728" s="139"/>
      <c r="U728" s="139"/>
      <c r="V728" s="139"/>
      <c r="W728" s="111"/>
      <c r="X728" s="139"/>
      <c r="Y728" s="139"/>
    </row>
    <row r="729" ht="15.75" customHeight="1">
      <c r="A729" s="144"/>
      <c r="B729" s="139"/>
      <c r="C729" s="139"/>
      <c r="D729" s="145"/>
      <c r="E729" s="139"/>
      <c r="F729" s="139"/>
      <c r="G729" s="139"/>
      <c r="H729" s="139"/>
      <c r="I729" s="139"/>
      <c r="J729" s="139"/>
      <c r="K729" s="139"/>
      <c r="L729" s="139"/>
      <c r="M729" s="145"/>
      <c r="N729" s="139"/>
      <c r="O729" s="139"/>
      <c r="P729" s="139"/>
      <c r="Q729" s="146"/>
      <c r="R729" s="139"/>
      <c r="S729" s="139"/>
      <c r="T729" s="139"/>
      <c r="U729" s="139"/>
      <c r="V729" s="139"/>
      <c r="W729" s="111"/>
      <c r="X729" s="139"/>
      <c r="Y729" s="139"/>
    </row>
    <row r="730" ht="15.75" customHeight="1">
      <c r="A730" s="144"/>
      <c r="B730" s="139"/>
      <c r="C730" s="139"/>
      <c r="D730" s="145"/>
      <c r="E730" s="139"/>
      <c r="F730" s="139"/>
      <c r="G730" s="139"/>
      <c r="H730" s="139"/>
      <c r="I730" s="139"/>
      <c r="J730" s="139"/>
      <c r="K730" s="139"/>
      <c r="L730" s="139"/>
      <c r="M730" s="145"/>
      <c r="N730" s="139"/>
      <c r="O730" s="139"/>
      <c r="P730" s="139"/>
      <c r="Q730" s="146"/>
      <c r="R730" s="139"/>
      <c r="S730" s="139"/>
      <c r="T730" s="139"/>
      <c r="U730" s="139"/>
      <c r="V730" s="139"/>
      <c r="W730" s="111"/>
      <c r="X730" s="139"/>
      <c r="Y730" s="139"/>
    </row>
    <row r="731" ht="15.75" customHeight="1">
      <c r="A731" s="144"/>
      <c r="B731" s="139"/>
      <c r="C731" s="139"/>
      <c r="D731" s="145"/>
      <c r="E731" s="139"/>
      <c r="F731" s="139"/>
      <c r="G731" s="139"/>
      <c r="H731" s="139"/>
      <c r="I731" s="139"/>
      <c r="J731" s="139"/>
      <c r="K731" s="139"/>
      <c r="L731" s="139"/>
      <c r="M731" s="145"/>
      <c r="N731" s="139"/>
      <c r="O731" s="139"/>
      <c r="P731" s="139"/>
      <c r="Q731" s="146"/>
      <c r="R731" s="139"/>
      <c r="S731" s="139"/>
      <c r="T731" s="139"/>
      <c r="U731" s="139"/>
      <c r="V731" s="139"/>
      <c r="W731" s="111"/>
      <c r="X731" s="139"/>
      <c r="Y731" s="139"/>
    </row>
    <row r="732" ht="15.75" customHeight="1">
      <c r="A732" s="144"/>
      <c r="B732" s="139"/>
      <c r="C732" s="139"/>
      <c r="D732" s="145"/>
      <c r="E732" s="139"/>
      <c r="F732" s="139"/>
      <c r="G732" s="139"/>
      <c r="H732" s="139"/>
      <c r="I732" s="139"/>
      <c r="J732" s="139"/>
      <c r="K732" s="139"/>
      <c r="L732" s="139"/>
      <c r="M732" s="145"/>
      <c r="N732" s="139"/>
      <c r="O732" s="139"/>
      <c r="P732" s="139"/>
      <c r="Q732" s="146"/>
      <c r="R732" s="139"/>
      <c r="S732" s="139"/>
      <c r="T732" s="139"/>
      <c r="U732" s="139"/>
      <c r="V732" s="139"/>
      <c r="W732" s="111"/>
      <c r="X732" s="139"/>
      <c r="Y732" s="139"/>
    </row>
    <row r="733" ht="15.75" customHeight="1">
      <c r="A733" s="144"/>
      <c r="B733" s="139"/>
      <c r="C733" s="139"/>
      <c r="D733" s="145"/>
      <c r="E733" s="139"/>
      <c r="F733" s="139"/>
      <c r="G733" s="139"/>
      <c r="H733" s="139"/>
      <c r="I733" s="139"/>
      <c r="J733" s="139"/>
      <c r="K733" s="139"/>
      <c r="L733" s="139"/>
      <c r="M733" s="145"/>
      <c r="N733" s="139"/>
      <c r="O733" s="139"/>
      <c r="P733" s="139"/>
      <c r="Q733" s="146"/>
      <c r="R733" s="139"/>
      <c r="S733" s="139"/>
      <c r="T733" s="139"/>
      <c r="U733" s="139"/>
      <c r="V733" s="139"/>
      <c r="W733" s="111"/>
      <c r="X733" s="139"/>
      <c r="Y733" s="139"/>
    </row>
    <row r="734" ht="15.75" customHeight="1">
      <c r="A734" s="144"/>
      <c r="B734" s="139"/>
      <c r="C734" s="139"/>
      <c r="D734" s="145"/>
      <c r="E734" s="139"/>
      <c r="F734" s="139"/>
      <c r="G734" s="139"/>
      <c r="H734" s="139"/>
      <c r="I734" s="139"/>
      <c r="J734" s="139"/>
      <c r="K734" s="139"/>
      <c r="L734" s="139"/>
      <c r="M734" s="145"/>
      <c r="N734" s="139"/>
      <c r="O734" s="139"/>
      <c r="P734" s="139"/>
      <c r="Q734" s="146"/>
      <c r="R734" s="139"/>
      <c r="S734" s="139"/>
      <c r="T734" s="139"/>
      <c r="U734" s="139"/>
      <c r="V734" s="139"/>
      <c r="W734" s="111"/>
      <c r="X734" s="139"/>
      <c r="Y734" s="139"/>
    </row>
    <row r="735" ht="15.75" customHeight="1">
      <c r="A735" s="144"/>
      <c r="B735" s="139"/>
      <c r="C735" s="139"/>
      <c r="D735" s="145"/>
      <c r="E735" s="139"/>
      <c r="F735" s="139"/>
      <c r="G735" s="139"/>
      <c r="H735" s="139"/>
      <c r="I735" s="139"/>
      <c r="J735" s="139"/>
      <c r="K735" s="139"/>
      <c r="L735" s="139"/>
      <c r="M735" s="145"/>
      <c r="N735" s="139"/>
      <c r="O735" s="139"/>
      <c r="P735" s="139"/>
      <c r="Q735" s="146"/>
      <c r="R735" s="139"/>
      <c r="S735" s="139"/>
      <c r="T735" s="139"/>
      <c r="U735" s="139"/>
      <c r="V735" s="139"/>
      <c r="W735" s="111"/>
      <c r="X735" s="139"/>
      <c r="Y735" s="139"/>
    </row>
    <row r="736" ht="15.75" customHeight="1">
      <c r="A736" s="144"/>
      <c r="B736" s="139"/>
      <c r="C736" s="139"/>
      <c r="D736" s="145"/>
      <c r="E736" s="139"/>
      <c r="F736" s="139"/>
      <c r="G736" s="139"/>
      <c r="H736" s="139"/>
      <c r="I736" s="139"/>
      <c r="J736" s="139"/>
      <c r="K736" s="139"/>
      <c r="L736" s="139"/>
      <c r="M736" s="145"/>
      <c r="N736" s="139"/>
      <c r="O736" s="139"/>
      <c r="P736" s="139"/>
      <c r="Q736" s="146"/>
      <c r="R736" s="139"/>
      <c r="S736" s="139"/>
      <c r="T736" s="139"/>
      <c r="U736" s="139"/>
      <c r="V736" s="139"/>
      <c r="W736" s="111"/>
      <c r="X736" s="139"/>
      <c r="Y736" s="139"/>
    </row>
    <row r="737" ht="15.75" customHeight="1">
      <c r="A737" s="144"/>
      <c r="B737" s="139"/>
      <c r="C737" s="139"/>
      <c r="D737" s="145"/>
      <c r="E737" s="139"/>
      <c r="F737" s="139"/>
      <c r="G737" s="139"/>
      <c r="H737" s="139"/>
      <c r="I737" s="139"/>
      <c r="J737" s="139"/>
      <c r="K737" s="139"/>
      <c r="L737" s="139"/>
      <c r="M737" s="145"/>
      <c r="N737" s="139"/>
      <c r="O737" s="139"/>
      <c r="P737" s="139"/>
      <c r="Q737" s="146"/>
      <c r="R737" s="139"/>
      <c r="S737" s="139"/>
      <c r="T737" s="139"/>
      <c r="U737" s="139"/>
      <c r="V737" s="139"/>
      <c r="W737" s="111"/>
      <c r="X737" s="139"/>
      <c r="Y737" s="139"/>
    </row>
    <row r="738" ht="15.75" customHeight="1">
      <c r="A738" s="144"/>
      <c r="B738" s="139"/>
      <c r="C738" s="139"/>
      <c r="D738" s="145"/>
      <c r="E738" s="139"/>
      <c r="F738" s="139"/>
      <c r="G738" s="139"/>
      <c r="H738" s="139"/>
      <c r="I738" s="139"/>
      <c r="J738" s="139"/>
      <c r="K738" s="139"/>
      <c r="L738" s="139"/>
      <c r="M738" s="145"/>
      <c r="N738" s="139"/>
      <c r="O738" s="139"/>
      <c r="P738" s="139"/>
      <c r="Q738" s="146"/>
      <c r="R738" s="139"/>
      <c r="S738" s="139"/>
      <c r="T738" s="139"/>
      <c r="U738" s="139"/>
      <c r="V738" s="139"/>
      <c r="W738" s="111"/>
      <c r="X738" s="139"/>
      <c r="Y738" s="139"/>
    </row>
    <row r="739" ht="15.75" customHeight="1">
      <c r="A739" s="144"/>
      <c r="B739" s="139"/>
      <c r="C739" s="139"/>
      <c r="D739" s="145"/>
      <c r="E739" s="139"/>
      <c r="F739" s="139"/>
      <c r="G739" s="139"/>
      <c r="H739" s="139"/>
      <c r="I739" s="139"/>
      <c r="J739" s="139"/>
      <c r="K739" s="139"/>
      <c r="L739" s="139"/>
      <c r="M739" s="145"/>
      <c r="N739" s="139"/>
      <c r="O739" s="139"/>
      <c r="P739" s="139"/>
      <c r="Q739" s="146"/>
      <c r="R739" s="139"/>
      <c r="S739" s="139"/>
      <c r="T739" s="139"/>
      <c r="U739" s="139"/>
      <c r="V739" s="139"/>
      <c r="W739" s="111"/>
      <c r="X739" s="139"/>
      <c r="Y739" s="139"/>
    </row>
    <row r="740" ht="15.75" customHeight="1">
      <c r="A740" s="144"/>
      <c r="B740" s="139"/>
      <c r="C740" s="139"/>
      <c r="D740" s="145"/>
      <c r="E740" s="139"/>
      <c r="F740" s="139"/>
      <c r="G740" s="139"/>
      <c r="H740" s="139"/>
      <c r="I740" s="139"/>
      <c r="J740" s="139"/>
      <c r="K740" s="139"/>
      <c r="L740" s="139"/>
      <c r="M740" s="145"/>
      <c r="N740" s="139"/>
      <c r="O740" s="139"/>
      <c r="P740" s="139"/>
      <c r="Q740" s="146"/>
      <c r="R740" s="139"/>
      <c r="S740" s="139"/>
      <c r="T740" s="139"/>
      <c r="U740" s="139"/>
      <c r="V740" s="139"/>
      <c r="W740" s="111"/>
      <c r="X740" s="139"/>
      <c r="Y740" s="139"/>
    </row>
    <row r="741" ht="15.75" customHeight="1">
      <c r="A741" s="144"/>
      <c r="B741" s="139"/>
      <c r="C741" s="139"/>
      <c r="D741" s="145"/>
      <c r="E741" s="139"/>
      <c r="F741" s="139"/>
      <c r="G741" s="139"/>
      <c r="H741" s="139"/>
      <c r="I741" s="139"/>
      <c r="J741" s="139"/>
      <c r="K741" s="139"/>
      <c r="L741" s="139"/>
      <c r="M741" s="145"/>
      <c r="N741" s="139"/>
      <c r="O741" s="139"/>
      <c r="P741" s="139"/>
      <c r="Q741" s="146"/>
      <c r="R741" s="139"/>
      <c r="S741" s="139"/>
      <c r="T741" s="139"/>
      <c r="U741" s="139"/>
      <c r="V741" s="139"/>
      <c r="W741" s="111"/>
      <c r="X741" s="139"/>
      <c r="Y741" s="139"/>
    </row>
    <row r="742" ht="15.75" customHeight="1">
      <c r="A742" s="144"/>
      <c r="B742" s="139"/>
      <c r="C742" s="139"/>
      <c r="D742" s="145"/>
      <c r="E742" s="139"/>
      <c r="F742" s="139"/>
      <c r="G742" s="139"/>
      <c r="H742" s="139"/>
      <c r="I742" s="139"/>
      <c r="J742" s="139"/>
      <c r="K742" s="139"/>
      <c r="L742" s="139"/>
      <c r="M742" s="145"/>
      <c r="N742" s="139"/>
      <c r="O742" s="139"/>
      <c r="P742" s="139"/>
      <c r="Q742" s="146"/>
      <c r="R742" s="139"/>
      <c r="S742" s="139"/>
      <c r="T742" s="139"/>
      <c r="U742" s="139"/>
      <c r="V742" s="139"/>
      <c r="W742" s="111"/>
      <c r="X742" s="139"/>
      <c r="Y742" s="139"/>
    </row>
    <row r="743" ht="15.75" customHeight="1">
      <c r="A743" s="144"/>
      <c r="B743" s="139"/>
      <c r="C743" s="139"/>
      <c r="D743" s="145"/>
      <c r="E743" s="139"/>
      <c r="F743" s="139"/>
      <c r="G743" s="139"/>
      <c r="H743" s="139"/>
      <c r="I743" s="139"/>
      <c r="J743" s="139"/>
      <c r="K743" s="139"/>
      <c r="L743" s="139"/>
      <c r="M743" s="145"/>
      <c r="N743" s="139"/>
      <c r="O743" s="139"/>
      <c r="P743" s="139"/>
      <c r="Q743" s="146"/>
      <c r="R743" s="139"/>
      <c r="S743" s="139"/>
      <c r="T743" s="139"/>
      <c r="U743" s="139"/>
      <c r="V743" s="139"/>
      <c r="W743" s="111"/>
      <c r="X743" s="139"/>
      <c r="Y743" s="139"/>
    </row>
    <row r="744" ht="15.75" customHeight="1">
      <c r="A744" s="144"/>
      <c r="B744" s="139"/>
      <c r="C744" s="139"/>
      <c r="D744" s="145"/>
      <c r="E744" s="139"/>
      <c r="F744" s="139"/>
      <c r="G744" s="139"/>
      <c r="H744" s="139"/>
      <c r="I744" s="139"/>
      <c r="J744" s="139"/>
      <c r="K744" s="139"/>
      <c r="L744" s="139"/>
      <c r="M744" s="145"/>
      <c r="N744" s="139"/>
      <c r="O744" s="139"/>
      <c r="P744" s="139"/>
      <c r="Q744" s="146"/>
      <c r="R744" s="139"/>
      <c r="S744" s="139"/>
      <c r="T744" s="139"/>
      <c r="U744" s="139"/>
      <c r="V744" s="139"/>
      <c r="W744" s="111"/>
      <c r="X744" s="139"/>
      <c r="Y744" s="139"/>
    </row>
    <row r="745" ht="15.75" customHeight="1">
      <c r="A745" s="144"/>
      <c r="B745" s="139"/>
      <c r="C745" s="139"/>
      <c r="D745" s="145"/>
      <c r="E745" s="139"/>
      <c r="F745" s="139"/>
      <c r="G745" s="139"/>
      <c r="H745" s="139"/>
      <c r="I745" s="139"/>
      <c r="J745" s="139"/>
      <c r="K745" s="139"/>
      <c r="L745" s="139"/>
      <c r="M745" s="145"/>
      <c r="N745" s="139"/>
      <c r="O745" s="139"/>
      <c r="P745" s="139"/>
      <c r="Q745" s="146"/>
      <c r="R745" s="139"/>
      <c r="S745" s="139"/>
      <c r="T745" s="139"/>
      <c r="U745" s="139"/>
      <c r="V745" s="139"/>
      <c r="W745" s="111"/>
      <c r="X745" s="139"/>
      <c r="Y745" s="139"/>
    </row>
    <row r="746" ht="15.75" customHeight="1">
      <c r="A746" s="144"/>
      <c r="B746" s="139"/>
      <c r="C746" s="139"/>
      <c r="D746" s="145"/>
      <c r="E746" s="139"/>
      <c r="F746" s="139"/>
      <c r="G746" s="139"/>
      <c r="H746" s="139"/>
      <c r="I746" s="139"/>
      <c r="J746" s="139"/>
      <c r="K746" s="139"/>
      <c r="L746" s="139"/>
      <c r="M746" s="145"/>
      <c r="N746" s="139"/>
      <c r="O746" s="139"/>
      <c r="P746" s="139"/>
      <c r="Q746" s="146"/>
      <c r="R746" s="139"/>
      <c r="S746" s="139"/>
      <c r="T746" s="139"/>
      <c r="U746" s="139"/>
      <c r="V746" s="139"/>
      <c r="W746" s="111"/>
      <c r="X746" s="139"/>
      <c r="Y746" s="139"/>
    </row>
    <row r="747" ht="15.75" customHeight="1">
      <c r="A747" s="144"/>
      <c r="B747" s="139"/>
      <c r="C747" s="139"/>
      <c r="D747" s="145"/>
      <c r="E747" s="139"/>
      <c r="F747" s="139"/>
      <c r="G747" s="139"/>
      <c r="H747" s="139"/>
      <c r="I747" s="139"/>
      <c r="J747" s="139"/>
      <c r="K747" s="139"/>
      <c r="L747" s="139"/>
      <c r="M747" s="145"/>
      <c r="N747" s="139"/>
      <c r="O747" s="139"/>
      <c r="P747" s="139"/>
      <c r="Q747" s="146"/>
      <c r="R747" s="139"/>
      <c r="S747" s="139"/>
      <c r="T747" s="139"/>
      <c r="U747" s="139"/>
      <c r="V747" s="139"/>
      <c r="W747" s="111"/>
      <c r="X747" s="139"/>
      <c r="Y747" s="139"/>
    </row>
    <row r="748" ht="15.75" customHeight="1">
      <c r="A748" s="144"/>
      <c r="B748" s="139"/>
      <c r="C748" s="139"/>
      <c r="D748" s="145"/>
      <c r="E748" s="139"/>
      <c r="F748" s="139"/>
      <c r="G748" s="139"/>
      <c r="H748" s="139"/>
      <c r="I748" s="139"/>
      <c r="J748" s="139"/>
      <c r="K748" s="139"/>
      <c r="L748" s="139"/>
      <c r="M748" s="145"/>
      <c r="N748" s="139"/>
      <c r="O748" s="139"/>
      <c r="P748" s="139"/>
      <c r="Q748" s="146"/>
      <c r="R748" s="139"/>
      <c r="S748" s="139"/>
      <c r="T748" s="139"/>
      <c r="U748" s="139"/>
      <c r="V748" s="139"/>
      <c r="W748" s="111"/>
      <c r="X748" s="139"/>
      <c r="Y748" s="139"/>
    </row>
    <row r="749" ht="15.75" customHeight="1">
      <c r="A749" s="144"/>
      <c r="B749" s="139"/>
      <c r="C749" s="139"/>
      <c r="D749" s="145"/>
      <c r="E749" s="139"/>
      <c r="F749" s="139"/>
      <c r="G749" s="139"/>
      <c r="H749" s="139"/>
      <c r="I749" s="139"/>
      <c r="J749" s="139"/>
      <c r="K749" s="139"/>
      <c r="L749" s="139"/>
      <c r="M749" s="145"/>
      <c r="N749" s="139"/>
      <c r="O749" s="139"/>
      <c r="P749" s="139"/>
      <c r="Q749" s="146"/>
      <c r="R749" s="139"/>
      <c r="S749" s="139"/>
      <c r="T749" s="139"/>
      <c r="U749" s="139"/>
      <c r="V749" s="139"/>
      <c r="W749" s="111"/>
      <c r="X749" s="139"/>
      <c r="Y749" s="139"/>
    </row>
    <row r="750" ht="15.75" customHeight="1">
      <c r="A750" s="144"/>
      <c r="B750" s="139"/>
      <c r="C750" s="139"/>
      <c r="D750" s="145"/>
      <c r="E750" s="139"/>
      <c r="F750" s="139"/>
      <c r="G750" s="139"/>
      <c r="H750" s="139"/>
      <c r="I750" s="139"/>
      <c r="J750" s="139"/>
      <c r="K750" s="139"/>
      <c r="L750" s="139"/>
      <c r="M750" s="145"/>
      <c r="N750" s="139"/>
      <c r="O750" s="139"/>
      <c r="P750" s="139"/>
      <c r="Q750" s="146"/>
      <c r="R750" s="139"/>
      <c r="S750" s="139"/>
      <c r="T750" s="139"/>
      <c r="U750" s="139"/>
      <c r="V750" s="139"/>
      <c r="W750" s="111"/>
      <c r="X750" s="139"/>
      <c r="Y750" s="139"/>
    </row>
    <row r="751" ht="15.75" customHeight="1">
      <c r="A751" s="144"/>
      <c r="B751" s="139"/>
      <c r="C751" s="139"/>
      <c r="D751" s="145"/>
      <c r="E751" s="139"/>
      <c r="F751" s="139"/>
      <c r="G751" s="139"/>
      <c r="H751" s="139"/>
      <c r="I751" s="139"/>
      <c r="J751" s="139"/>
      <c r="K751" s="139"/>
      <c r="L751" s="139"/>
      <c r="M751" s="145"/>
      <c r="N751" s="139"/>
      <c r="O751" s="139"/>
      <c r="P751" s="139"/>
      <c r="Q751" s="146"/>
      <c r="R751" s="139"/>
      <c r="S751" s="139"/>
      <c r="T751" s="139"/>
      <c r="U751" s="139"/>
      <c r="V751" s="139"/>
      <c r="W751" s="111"/>
      <c r="X751" s="139"/>
      <c r="Y751" s="139"/>
    </row>
    <row r="752" ht="15.75" customHeight="1">
      <c r="A752" s="144"/>
      <c r="B752" s="139"/>
      <c r="C752" s="139"/>
      <c r="D752" s="145"/>
      <c r="E752" s="139"/>
      <c r="F752" s="139"/>
      <c r="G752" s="139"/>
      <c r="H752" s="139"/>
      <c r="I752" s="139"/>
      <c r="J752" s="139"/>
      <c r="K752" s="139"/>
      <c r="L752" s="139"/>
      <c r="M752" s="145"/>
      <c r="N752" s="139"/>
      <c r="O752" s="139"/>
      <c r="P752" s="139"/>
      <c r="Q752" s="146"/>
      <c r="R752" s="139"/>
      <c r="S752" s="139"/>
      <c r="T752" s="139"/>
      <c r="U752" s="139"/>
      <c r="V752" s="139"/>
      <c r="W752" s="111"/>
      <c r="X752" s="139"/>
      <c r="Y752" s="139"/>
    </row>
    <row r="753" ht="15.75" customHeight="1">
      <c r="A753" s="144"/>
      <c r="B753" s="139"/>
      <c r="C753" s="139"/>
      <c r="D753" s="145"/>
      <c r="E753" s="139"/>
      <c r="F753" s="139"/>
      <c r="G753" s="139"/>
      <c r="H753" s="139"/>
      <c r="I753" s="139"/>
      <c r="J753" s="139"/>
      <c r="K753" s="139"/>
      <c r="L753" s="139"/>
      <c r="M753" s="145"/>
      <c r="N753" s="139"/>
      <c r="O753" s="139"/>
      <c r="P753" s="139"/>
      <c r="Q753" s="146"/>
      <c r="R753" s="139"/>
      <c r="S753" s="139"/>
      <c r="T753" s="139"/>
      <c r="U753" s="139"/>
      <c r="V753" s="139"/>
      <c r="W753" s="111"/>
      <c r="X753" s="139"/>
      <c r="Y753" s="139"/>
    </row>
    <row r="754" ht="15.75" customHeight="1">
      <c r="A754" s="144"/>
      <c r="B754" s="139"/>
      <c r="C754" s="139"/>
      <c r="D754" s="145"/>
      <c r="E754" s="139"/>
      <c r="F754" s="139"/>
      <c r="G754" s="139"/>
      <c r="H754" s="139"/>
      <c r="I754" s="139"/>
      <c r="J754" s="139"/>
      <c r="K754" s="139"/>
      <c r="L754" s="139"/>
      <c r="M754" s="145"/>
      <c r="N754" s="139"/>
      <c r="O754" s="139"/>
      <c r="P754" s="139"/>
      <c r="Q754" s="146"/>
      <c r="R754" s="139"/>
      <c r="S754" s="139"/>
      <c r="T754" s="139"/>
      <c r="U754" s="139"/>
      <c r="V754" s="139"/>
      <c r="W754" s="111"/>
      <c r="X754" s="139"/>
      <c r="Y754" s="139"/>
    </row>
    <row r="755" ht="15.75" customHeight="1">
      <c r="A755" s="144"/>
      <c r="B755" s="139"/>
      <c r="C755" s="139"/>
      <c r="D755" s="145"/>
      <c r="E755" s="139"/>
      <c r="F755" s="139"/>
      <c r="G755" s="139"/>
      <c r="H755" s="139"/>
      <c r="I755" s="139"/>
      <c r="J755" s="139"/>
      <c r="K755" s="139"/>
      <c r="L755" s="139"/>
      <c r="M755" s="145"/>
      <c r="N755" s="139"/>
      <c r="O755" s="139"/>
      <c r="P755" s="139"/>
      <c r="Q755" s="146"/>
      <c r="R755" s="139"/>
      <c r="S755" s="139"/>
      <c r="T755" s="139"/>
      <c r="U755" s="139"/>
      <c r="V755" s="139"/>
      <c r="W755" s="111"/>
      <c r="X755" s="139"/>
      <c r="Y755" s="139"/>
    </row>
    <row r="756" ht="15.75" customHeight="1">
      <c r="A756" s="144"/>
      <c r="B756" s="139"/>
      <c r="C756" s="139"/>
      <c r="D756" s="145"/>
      <c r="E756" s="139"/>
      <c r="F756" s="139"/>
      <c r="G756" s="139"/>
      <c r="H756" s="139"/>
      <c r="I756" s="139"/>
      <c r="J756" s="139"/>
      <c r="K756" s="139"/>
      <c r="L756" s="139"/>
      <c r="M756" s="145"/>
      <c r="N756" s="139"/>
      <c r="O756" s="139"/>
      <c r="P756" s="139"/>
      <c r="Q756" s="146"/>
      <c r="R756" s="139"/>
      <c r="S756" s="139"/>
      <c r="T756" s="139"/>
      <c r="U756" s="139"/>
      <c r="V756" s="139"/>
      <c r="W756" s="111"/>
      <c r="X756" s="139"/>
      <c r="Y756" s="139"/>
    </row>
    <row r="757" ht="15.75" customHeight="1">
      <c r="A757" s="144"/>
      <c r="B757" s="139"/>
      <c r="C757" s="139"/>
      <c r="D757" s="145"/>
      <c r="E757" s="139"/>
      <c r="F757" s="139"/>
      <c r="G757" s="139"/>
      <c r="H757" s="139"/>
      <c r="I757" s="139"/>
      <c r="J757" s="139"/>
      <c r="K757" s="139"/>
      <c r="L757" s="139"/>
      <c r="M757" s="145"/>
      <c r="N757" s="139"/>
      <c r="O757" s="139"/>
      <c r="P757" s="139"/>
      <c r="Q757" s="146"/>
      <c r="R757" s="139"/>
      <c r="S757" s="139"/>
      <c r="T757" s="139"/>
      <c r="U757" s="139"/>
      <c r="V757" s="139"/>
      <c r="W757" s="111"/>
      <c r="X757" s="139"/>
      <c r="Y757" s="139"/>
    </row>
    <row r="758" ht="15.75" customHeight="1">
      <c r="A758" s="144"/>
      <c r="B758" s="139"/>
      <c r="C758" s="139"/>
      <c r="D758" s="145"/>
      <c r="E758" s="139"/>
      <c r="F758" s="139"/>
      <c r="G758" s="139"/>
      <c r="H758" s="139"/>
      <c r="I758" s="139"/>
      <c r="J758" s="139"/>
      <c r="K758" s="139"/>
      <c r="L758" s="139"/>
      <c r="M758" s="145"/>
      <c r="N758" s="139"/>
      <c r="O758" s="139"/>
      <c r="P758" s="139"/>
      <c r="Q758" s="146"/>
      <c r="R758" s="139"/>
      <c r="S758" s="139"/>
      <c r="T758" s="139"/>
      <c r="U758" s="139"/>
      <c r="V758" s="139"/>
      <c r="W758" s="111"/>
      <c r="X758" s="139"/>
      <c r="Y758" s="139"/>
    </row>
    <row r="759" ht="15.75" customHeight="1">
      <c r="A759" s="144"/>
      <c r="B759" s="139"/>
      <c r="C759" s="139"/>
      <c r="D759" s="145"/>
      <c r="E759" s="139"/>
      <c r="F759" s="139"/>
      <c r="G759" s="139"/>
      <c r="H759" s="139"/>
      <c r="I759" s="139"/>
      <c r="J759" s="139"/>
      <c r="K759" s="139"/>
      <c r="L759" s="139"/>
      <c r="M759" s="145"/>
      <c r="N759" s="139"/>
      <c r="O759" s="139"/>
      <c r="P759" s="139"/>
      <c r="Q759" s="146"/>
      <c r="R759" s="139"/>
      <c r="S759" s="139"/>
      <c r="T759" s="139"/>
      <c r="U759" s="139"/>
      <c r="V759" s="139"/>
      <c r="W759" s="111"/>
      <c r="X759" s="139"/>
      <c r="Y759" s="139"/>
    </row>
    <row r="760" ht="15.75" customHeight="1">
      <c r="A760" s="144"/>
      <c r="B760" s="139"/>
      <c r="C760" s="139"/>
      <c r="D760" s="145"/>
      <c r="E760" s="139"/>
      <c r="F760" s="139"/>
      <c r="G760" s="139"/>
      <c r="H760" s="139"/>
      <c r="I760" s="139"/>
      <c r="J760" s="139"/>
      <c r="K760" s="139"/>
      <c r="L760" s="139"/>
      <c r="M760" s="145"/>
      <c r="N760" s="139"/>
      <c r="O760" s="139"/>
      <c r="P760" s="139"/>
      <c r="Q760" s="146"/>
      <c r="R760" s="139"/>
      <c r="S760" s="139"/>
      <c r="T760" s="139"/>
      <c r="U760" s="139"/>
      <c r="V760" s="139"/>
      <c r="W760" s="111"/>
      <c r="X760" s="139"/>
      <c r="Y760" s="139"/>
    </row>
    <row r="761" ht="15.75" customHeight="1">
      <c r="A761" s="144"/>
      <c r="B761" s="139"/>
      <c r="C761" s="139"/>
      <c r="D761" s="145"/>
      <c r="E761" s="139"/>
      <c r="F761" s="139"/>
      <c r="G761" s="139"/>
      <c r="H761" s="139"/>
      <c r="I761" s="139"/>
      <c r="J761" s="139"/>
      <c r="K761" s="139"/>
      <c r="L761" s="139"/>
      <c r="M761" s="145"/>
      <c r="N761" s="139"/>
      <c r="O761" s="139"/>
      <c r="P761" s="139"/>
      <c r="Q761" s="146"/>
      <c r="R761" s="139"/>
      <c r="S761" s="139"/>
      <c r="T761" s="139"/>
      <c r="U761" s="139"/>
      <c r="V761" s="139"/>
      <c r="W761" s="111"/>
      <c r="X761" s="139"/>
      <c r="Y761" s="139"/>
    </row>
    <row r="762" ht="15.75" customHeight="1">
      <c r="A762" s="144"/>
      <c r="B762" s="139"/>
      <c r="C762" s="139"/>
      <c r="D762" s="145"/>
      <c r="E762" s="139"/>
      <c r="F762" s="139"/>
      <c r="G762" s="139"/>
      <c r="H762" s="139"/>
      <c r="I762" s="139"/>
      <c r="J762" s="139"/>
      <c r="K762" s="139"/>
      <c r="L762" s="139"/>
      <c r="M762" s="145"/>
      <c r="N762" s="139"/>
      <c r="O762" s="139"/>
      <c r="P762" s="139"/>
      <c r="Q762" s="146"/>
      <c r="R762" s="139"/>
      <c r="S762" s="139"/>
      <c r="T762" s="139"/>
      <c r="U762" s="139"/>
      <c r="V762" s="139"/>
      <c r="W762" s="111"/>
      <c r="X762" s="139"/>
      <c r="Y762" s="139"/>
    </row>
    <row r="763" ht="15.75" customHeight="1">
      <c r="A763" s="144"/>
      <c r="B763" s="139"/>
      <c r="C763" s="139"/>
      <c r="D763" s="145"/>
      <c r="E763" s="139"/>
      <c r="F763" s="139"/>
      <c r="G763" s="139"/>
      <c r="H763" s="139"/>
      <c r="I763" s="139"/>
      <c r="J763" s="139"/>
      <c r="K763" s="139"/>
      <c r="L763" s="139"/>
      <c r="M763" s="145"/>
      <c r="N763" s="139"/>
      <c r="O763" s="139"/>
      <c r="P763" s="139"/>
      <c r="Q763" s="146"/>
      <c r="R763" s="139"/>
      <c r="S763" s="139"/>
      <c r="T763" s="139"/>
      <c r="U763" s="139"/>
      <c r="V763" s="139"/>
      <c r="W763" s="111"/>
      <c r="X763" s="139"/>
      <c r="Y763" s="139"/>
    </row>
    <row r="764" ht="15.75" customHeight="1">
      <c r="A764" s="144"/>
      <c r="B764" s="139"/>
      <c r="C764" s="139"/>
      <c r="D764" s="145"/>
      <c r="E764" s="139"/>
      <c r="F764" s="139"/>
      <c r="G764" s="139"/>
      <c r="H764" s="139"/>
      <c r="I764" s="139"/>
      <c r="J764" s="139"/>
      <c r="K764" s="139"/>
      <c r="L764" s="139"/>
      <c r="M764" s="145"/>
      <c r="N764" s="139"/>
      <c r="O764" s="139"/>
      <c r="P764" s="139"/>
      <c r="Q764" s="146"/>
      <c r="R764" s="139"/>
      <c r="S764" s="139"/>
      <c r="T764" s="139"/>
      <c r="U764" s="139"/>
      <c r="V764" s="139"/>
      <c r="W764" s="111"/>
      <c r="X764" s="139"/>
      <c r="Y764" s="139"/>
    </row>
    <row r="765" ht="15.75" customHeight="1">
      <c r="A765" s="144"/>
      <c r="B765" s="139"/>
      <c r="C765" s="139"/>
      <c r="D765" s="145"/>
      <c r="E765" s="139"/>
      <c r="F765" s="139"/>
      <c r="G765" s="139"/>
      <c r="H765" s="139"/>
      <c r="I765" s="139"/>
      <c r="J765" s="139"/>
      <c r="K765" s="139"/>
      <c r="L765" s="139"/>
      <c r="M765" s="145"/>
      <c r="N765" s="139"/>
      <c r="O765" s="139"/>
      <c r="P765" s="139"/>
      <c r="Q765" s="146"/>
      <c r="R765" s="139"/>
      <c r="S765" s="139"/>
      <c r="T765" s="139"/>
      <c r="U765" s="139"/>
      <c r="V765" s="139"/>
      <c r="W765" s="111"/>
      <c r="X765" s="139"/>
      <c r="Y765" s="139"/>
    </row>
    <row r="766" ht="15.75" customHeight="1">
      <c r="A766" s="144"/>
      <c r="B766" s="139"/>
      <c r="C766" s="139"/>
      <c r="D766" s="145"/>
      <c r="E766" s="139"/>
      <c r="F766" s="139"/>
      <c r="G766" s="139"/>
      <c r="H766" s="139"/>
      <c r="I766" s="139"/>
      <c r="J766" s="139"/>
      <c r="K766" s="139"/>
      <c r="L766" s="139"/>
      <c r="M766" s="145"/>
      <c r="N766" s="139"/>
      <c r="O766" s="139"/>
      <c r="P766" s="139"/>
      <c r="Q766" s="146"/>
      <c r="R766" s="139"/>
      <c r="S766" s="139"/>
      <c r="T766" s="139"/>
      <c r="U766" s="139"/>
      <c r="V766" s="139"/>
      <c r="W766" s="111"/>
      <c r="X766" s="139"/>
      <c r="Y766" s="139"/>
    </row>
    <row r="767" ht="15.75" customHeight="1">
      <c r="A767" s="144"/>
      <c r="B767" s="139"/>
      <c r="C767" s="139"/>
      <c r="D767" s="145"/>
      <c r="E767" s="139"/>
      <c r="F767" s="139"/>
      <c r="G767" s="139"/>
      <c r="H767" s="139"/>
      <c r="I767" s="139"/>
      <c r="J767" s="139"/>
      <c r="K767" s="139"/>
      <c r="L767" s="139"/>
      <c r="M767" s="145"/>
      <c r="N767" s="139"/>
      <c r="O767" s="139"/>
      <c r="P767" s="139"/>
      <c r="Q767" s="146"/>
      <c r="R767" s="139"/>
      <c r="S767" s="139"/>
      <c r="T767" s="139"/>
      <c r="U767" s="139"/>
      <c r="V767" s="139"/>
      <c r="W767" s="111"/>
      <c r="X767" s="139"/>
      <c r="Y767" s="139"/>
    </row>
    <row r="768" ht="15.75" customHeight="1">
      <c r="A768" s="144"/>
      <c r="B768" s="139"/>
      <c r="C768" s="139"/>
      <c r="D768" s="145"/>
      <c r="E768" s="139"/>
      <c r="F768" s="139"/>
      <c r="G768" s="139"/>
      <c r="H768" s="139"/>
      <c r="I768" s="139"/>
      <c r="J768" s="139"/>
      <c r="K768" s="139"/>
      <c r="L768" s="139"/>
      <c r="M768" s="145"/>
      <c r="N768" s="139"/>
      <c r="O768" s="139"/>
      <c r="P768" s="139"/>
      <c r="Q768" s="146"/>
      <c r="R768" s="139"/>
      <c r="S768" s="139"/>
      <c r="T768" s="139"/>
      <c r="U768" s="139"/>
      <c r="V768" s="139"/>
      <c r="W768" s="111"/>
      <c r="X768" s="139"/>
      <c r="Y768" s="139"/>
    </row>
    <row r="769" ht="15.75" customHeight="1">
      <c r="A769" s="144"/>
      <c r="B769" s="139"/>
      <c r="C769" s="139"/>
      <c r="D769" s="145"/>
      <c r="E769" s="139"/>
      <c r="F769" s="139"/>
      <c r="G769" s="139"/>
      <c r="H769" s="139"/>
      <c r="I769" s="139"/>
      <c r="J769" s="139"/>
      <c r="K769" s="139"/>
      <c r="L769" s="139"/>
      <c r="M769" s="145"/>
      <c r="N769" s="139"/>
      <c r="O769" s="139"/>
      <c r="P769" s="139"/>
      <c r="Q769" s="146"/>
      <c r="R769" s="139"/>
      <c r="S769" s="139"/>
      <c r="T769" s="139"/>
      <c r="U769" s="139"/>
      <c r="V769" s="139"/>
      <c r="W769" s="111"/>
      <c r="X769" s="139"/>
      <c r="Y769" s="139"/>
    </row>
    <row r="770" ht="15.75" customHeight="1">
      <c r="A770" s="144"/>
      <c r="B770" s="139"/>
      <c r="C770" s="139"/>
      <c r="D770" s="145"/>
      <c r="E770" s="139"/>
      <c r="F770" s="139"/>
      <c r="G770" s="139"/>
      <c r="H770" s="139"/>
      <c r="I770" s="139"/>
      <c r="J770" s="139"/>
      <c r="K770" s="139"/>
      <c r="L770" s="139"/>
      <c r="M770" s="145"/>
      <c r="N770" s="139"/>
      <c r="O770" s="139"/>
      <c r="P770" s="139"/>
      <c r="Q770" s="146"/>
      <c r="R770" s="139"/>
      <c r="S770" s="139"/>
      <c r="T770" s="139"/>
      <c r="U770" s="139"/>
      <c r="V770" s="139"/>
      <c r="W770" s="111"/>
      <c r="X770" s="139"/>
      <c r="Y770" s="139"/>
    </row>
    <row r="771" ht="15.75" customHeight="1">
      <c r="A771" s="144"/>
      <c r="B771" s="139"/>
      <c r="C771" s="139"/>
      <c r="D771" s="145"/>
      <c r="E771" s="139"/>
      <c r="F771" s="139"/>
      <c r="G771" s="139"/>
      <c r="H771" s="139"/>
      <c r="I771" s="139"/>
      <c r="J771" s="139"/>
      <c r="K771" s="139"/>
      <c r="L771" s="139"/>
      <c r="M771" s="145"/>
      <c r="N771" s="139"/>
      <c r="O771" s="139"/>
      <c r="P771" s="139"/>
      <c r="Q771" s="146"/>
      <c r="R771" s="139"/>
      <c r="S771" s="139"/>
      <c r="T771" s="139"/>
      <c r="U771" s="139"/>
      <c r="V771" s="139"/>
      <c r="W771" s="111"/>
      <c r="X771" s="139"/>
      <c r="Y771" s="139"/>
    </row>
    <row r="772" ht="15.75" customHeight="1">
      <c r="A772" s="144"/>
      <c r="B772" s="139"/>
      <c r="C772" s="139"/>
      <c r="D772" s="145"/>
      <c r="E772" s="139"/>
      <c r="F772" s="139"/>
      <c r="G772" s="139"/>
      <c r="H772" s="139"/>
      <c r="I772" s="139"/>
      <c r="J772" s="139"/>
      <c r="K772" s="139"/>
      <c r="L772" s="139"/>
      <c r="M772" s="145"/>
      <c r="N772" s="139"/>
      <c r="O772" s="139"/>
      <c r="P772" s="139"/>
      <c r="Q772" s="146"/>
      <c r="R772" s="139"/>
      <c r="S772" s="139"/>
      <c r="T772" s="139"/>
      <c r="U772" s="139"/>
      <c r="V772" s="139"/>
      <c r="W772" s="111"/>
      <c r="X772" s="139"/>
      <c r="Y772" s="139"/>
    </row>
    <row r="773" ht="15.75" customHeight="1">
      <c r="A773" s="144"/>
      <c r="B773" s="139"/>
      <c r="C773" s="139"/>
      <c r="D773" s="145"/>
      <c r="E773" s="139"/>
      <c r="F773" s="139"/>
      <c r="G773" s="139"/>
      <c r="H773" s="139"/>
      <c r="I773" s="139"/>
      <c r="J773" s="139"/>
      <c r="K773" s="139"/>
      <c r="L773" s="139"/>
      <c r="M773" s="145"/>
      <c r="N773" s="139"/>
      <c r="O773" s="139"/>
      <c r="P773" s="139"/>
      <c r="Q773" s="146"/>
      <c r="R773" s="139"/>
      <c r="S773" s="139"/>
      <c r="T773" s="139"/>
      <c r="U773" s="139"/>
      <c r="V773" s="139"/>
      <c r="W773" s="111"/>
      <c r="X773" s="139"/>
      <c r="Y773" s="139"/>
    </row>
    <row r="774" ht="15.75" customHeight="1">
      <c r="A774" s="144"/>
      <c r="B774" s="139"/>
      <c r="C774" s="139"/>
      <c r="D774" s="145"/>
      <c r="E774" s="139"/>
      <c r="F774" s="139"/>
      <c r="G774" s="139"/>
      <c r="H774" s="139"/>
      <c r="I774" s="139"/>
      <c r="J774" s="139"/>
      <c r="K774" s="139"/>
      <c r="L774" s="139"/>
      <c r="M774" s="145"/>
      <c r="N774" s="139"/>
      <c r="O774" s="139"/>
      <c r="P774" s="139"/>
      <c r="Q774" s="146"/>
      <c r="R774" s="139"/>
      <c r="S774" s="139"/>
      <c r="T774" s="139"/>
      <c r="U774" s="139"/>
      <c r="V774" s="139"/>
      <c r="W774" s="111"/>
      <c r="X774" s="139"/>
      <c r="Y774" s="139"/>
    </row>
    <row r="775" ht="15.75" customHeight="1">
      <c r="A775" s="144"/>
      <c r="B775" s="139"/>
      <c r="C775" s="139"/>
      <c r="D775" s="145"/>
      <c r="E775" s="139"/>
      <c r="F775" s="139"/>
      <c r="G775" s="139"/>
      <c r="H775" s="139"/>
      <c r="I775" s="139"/>
      <c r="J775" s="139"/>
      <c r="K775" s="139"/>
      <c r="L775" s="139"/>
      <c r="M775" s="145"/>
      <c r="N775" s="139"/>
      <c r="O775" s="139"/>
      <c r="P775" s="139"/>
      <c r="Q775" s="146"/>
      <c r="R775" s="139"/>
      <c r="S775" s="139"/>
      <c r="T775" s="139"/>
      <c r="U775" s="139"/>
      <c r="V775" s="139"/>
      <c r="W775" s="111"/>
      <c r="X775" s="139"/>
      <c r="Y775" s="139"/>
    </row>
    <row r="776" ht="15.75" customHeight="1">
      <c r="A776" s="144"/>
      <c r="B776" s="139"/>
      <c r="C776" s="139"/>
      <c r="D776" s="145"/>
      <c r="E776" s="139"/>
      <c r="F776" s="139"/>
      <c r="G776" s="139"/>
      <c r="H776" s="139"/>
      <c r="I776" s="139"/>
      <c r="J776" s="139"/>
      <c r="K776" s="139"/>
      <c r="L776" s="139"/>
      <c r="M776" s="145"/>
      <c r="N776" s="139"/>
      <c r="O776" s="139"/>
      <c r="P776" s="139"/>
      <c r="Q776" s="146"/>
      <c r="R776" s="139"/>
      <c r="S776" s="139"/>
      <c r="T776" s="139"/>
      <c r="U776" s="139"/>
      <c r="V776" s="139"/>
      <c r="W776" s="111"/>
      <c r="X776" s="139"/>
      <c r="Y776" s="139"/>
    </row>
    <row r="777" ht="15.75" customHeight="1">
      <c r="A777" s="144"/>
      <c r="B777" s="139"/>
      <c r="C777" s="139"/>
      <c r="D777" s="145"/>
      <c r="E777" s="139"/>
      <c r="F777" s="139"/>
      <c r="G777" s="139"/>
      <c r="H777" s="139"/>
      <c r="I777" s="139"/>
      <c r="J777" s="139"/>
      <c r="K777" s="139"/>
      <c r="L777" s="139"/>
      <c r="M777" s="145"/>
      <c r="N777" s="139"/>
      <c r="O777" s="139"/>
      <c r="P777" s="139"/>
      <c r="Q777" s="146"/>
      <c r="R777" s="139"/>
      <c r="S777" s="139"/>
      <c r="T777" s="139"/>
      <c r="U777" s="139"/>
      <c r="V777" s="139"/>
      <c r="W777" s="111"/>
      <c r="X777" s="139"/>
      <c r="Y777" s="139"/>
    </row>
    <row r="778" ht="15.75" customHeight="1">
      <c r="A778" s="144"/>
      <c r="B778" s="139"/>
      <c r="C778" s="139"/>
      <c r="D778" s="145"/>
      <c r="E778" s="139"/>
      <c r="F778" s="139"/>
      <c r="G778" s="139"/>
      <c r="H778" s="139"/>
      <c r="I778" s="139"/>
      <c r="J778" s="139"/>
      <c r="K778" s="139"/>
      <c r="L778" s="139"/>
      <c r="M778" s="145"/>
      <c r="N778" s="139"/>
      <c r="O778" s="139"/>
      <c r="P778" s="139"/>
      <c r="Q778" s="146"/>
      <c r="R778" s="139"/>
      <c r="S778" s="139"/>
      <c r="T778" s="139"/>
      <c r="U778" s="139"/>
      <c r="V778" s="139"/>
      <c r="W778" s="111"/>
      <c r="X778" s="139"/>
      <c r="Y778" s="139"/>
    </row>
    <row r="779" ht="15.75" customHeight="1">
      <c r="A779" s="144"/>
      <c r="B779" s="139"/>
      <c r="C779" s="139"/>
      <c r="D779" s="145"/>
      <c r="E779" s="139"/>
      <c r="F779" s="139"/>
      <c r="G779" s="139"/>
      <c r="H779" s="139"/>
      <c r="I779" s="139"/>
      <c r="J779" s="139"/>
      <c r="K779" s="139"/>
      <c r="L779" s="139"/>
      <c r="M779" s="145"/>
      <c r="N779" s="139"/>
      <c r="O779" s="139"/>
      <c r="P779" s="139"/>
      <c r="Q779" s="146"/>
      <c r="R779" s="139"/>
      <c r="S779" s="139"/>
      <c r="T779" s="139"/>
      <c r="U779" s="139"/>
      <c r="V779" s="139"/>
      <c r="W779" s="111"/>
      <c r="X779" s="139"/>
      <c r="Y779" s="139"/>
    </row>
    <row r="780" ht="15.75" customHeight="1">
      <c r="A780" s="144"/>
      <c r="B780" s="139"/>
      <c r="C780" s="139"/>
      <c r="D780" s="145"/>
      <c r="E780" s="139"/>
      <c r="F780" s="139"/>
      <c r="G780" s="139"/>
      <c r="H780" s="139"/>
      <c r="I780" s="139"/>
      <c r="J780" s="139"/>
      <c r="K780" s="139"/>
      <c r="L780" s="139"/>
      <c r="M780" s="145"/>
      <c r="N780" s="139"/>
      <c r="O780" s="139"/>
      <c r="P780" s="139"/>
      <c r="Q780" s="146"/>
      <c r="R780" s="139"/>
      <c r="S780" s="139"/>
      <c r="T780" s="139"/>
      <c r="U780" s="139"/>
      <c r="V780" s="139"/>
      <c r="W780" s="111"/>
      <c r="X780" s="139"/>
      <c r="Y780" s="139"/>
    </row>
    <row r="781" ht="15.75" customHeight="1">
      <c r="A781" s="144"/>
      <c r="B781" s="139"/>
      <c r="C781" s="139"/>
      <c r="D781" s="145"/>
      <c r="E781" s="139"/>
      <c r="F781" s="139"/>
      <c r="G781" s="139"/>
      <c r="H781" s="139"/>
      <c r="I781" s="139"/>
      <c r="J781" s="139"/>
      <c r="K781" s="139"/>
      <c r="L781" s="139"/>
      <c r="M781" s="145"/>
      <c r="N781" s="139"/>
      <c r="O781" s="139"/>
      <c r="P781" s="139"/>
      <c r="Q781" s="146"/>
      <c r="R781" s="139"/>
      <c r="S781" s="139"/>
      <c r="T781" s="139"/>
      <c r="U781" s="139"/>
      <c r="V781" s="139"/>
      <c r="W781" s="111"/>
      <c r="X781" s="139"/>
      <c r="Y781" s="139"/>
    </row>
    <row r="782" ht="15.75" customHeight="1">
      <c r="A782" s="144"/>
      <c r="B782" s="139"/>
      <c r="C782" s="139"/>
      <c r="D782" s="145"/>
      <c r="E782" s="139"/>
      <c r="F782" s="139"/>
      <c r="G782" s="139"/>
      <c r="H782" s="139"/>
      <c r="I782" s="139"/>
      <c r="J782" s="139"/>
      <c r="K782" s="139"/>
      <c r="L782" s="139"/>
      <c r="M782" s="145"/>
      <c r="N782" s="139"/>
      <c r="O782" s="139"/>
      <c r="P782" s="139"/>
      <c r="Q782" s="146"/>
      <c r="R782" s="139"/>
      <c r="S782" s="139"/>
      <c r="T782" s="139"/>
      <c r="U782" s="139"/>
      <c r="V782" s="139"/>
      <c r="W782" s="111"/>
      <c r="X782" s="139"/>
      <c r="Y782" s="139"/>
    </row>
    <row r="783" ht="15.75" customHeight="1">
      <c r="A783" s="144"/>
      <c r="B783" s="139"/>
      <c r="C783" s="139"/>
      <c r="D783" s="145"/>
      <c r="E783" s="139"/>
      <c r="F783" s="139"/>
      <c r="G783" s="139"/>
      <c r="H783" s="139"/>
      <c r="I783" s="139"/>
      <c r="J783" s="139"/>
      <c r="K783" s="139"/>
      <c r="L783" s="139"/>
      <c r="M783" s="145"/>
      <c r="N783" s="139"/>
      <c r="O783" s="139"/>
      <c r="P783" s="139"/>
      <c r="Q783" s="146"/>
      <c r="R783" s="139"/>
      <c r="S783" s="139"/>
      <c r="T783" s="139"/>
      <c r="U783" s="139"/>
      <c r="V783" s="139"/>
      <c r="W783" s="111"/>
      <c r="X783" s="139"/>
      <c r="Y783" s="139"/>
    </row>
    <row r="784" ht="15.75" customHeight="1">
      <c r="A784" s="144"/>
      <c r="B784" s="139"/>
      <c r="C784" s="139"/>
      <c r="D784" s="145"/>
      <c r="E784" s="139"/>
      <c r="F784" s="139"/>
      <c r="G784" s="139"/>
      <c r="H784" s="139"/>
      <c r="I784" s="139"/>
      <c r="J784" s="139"/>
      <c r="K784" s="139"/>
      <c r="L784" s="139"/>
      <c r="M784" s="145"/>
      <c r="N784" s="139"/>
      <c r="O784" s="139"/>
      <c r="P784" s="139"/>
      <c r="Q784" s="146"/>
      <c r="R784" s="139"/>
      <c r="S784" s="139"/>
      <c r="T784" s="139"/>
      <c r="U784" s="139"/>
      <c r="V784" s="139"/>
      <c r="W784" s="111"/>
      <c r="X784" s="139"/>
      <c r="Y784" s="139"/>
    </row>
    <row r="785" ht="15.75" customHeight="1">
      <c r="A785" s="144"/>
      <c r="B785" s="139"/>
      <c r="C785" s="139"/>
      <c r="D785" s="145"/>
      <c r="E785" s="139"/>
      <c r="F785" s="139"/>
      <c r="G785" s="139"/>
      <c r="H785" s="139"/>
      <c r="I785" s="139"/>
      <c r="J785" s="139"/>
      <c r="K785" s="139"/>
      <c r="L785" s="139"/>
      <c r="M785" s="145"/>
      <c r="N785" s="139"/>
      <c r="O785" s="139"/>
      <c r="P785" s="139"/>
      <c r="Q785" s="146"/>
      <c r="R785" s="139"/>
      <c r="S785" s="139"/>
      <c r="T785" s="139"/>
      <c r="U785" s="139"/>
      <c r="V785" s="139"/>
      <c r="W785" s="111"/>
      <c r="X785" s="139"/>
      <c r="Y785" s="139"/>
    </row>
    <row r="786" ht="15.75" customHeight="1">
      <c r="A786" s="144"/>
      <c r="B786" s="139"/>
      <c r="C786" s="139"/>
      <c r="D786" s="145"/>
      <c r="E786" s="139"/>
      <c r="F786" s="139"/>
      <c r="G786" s="139"/>
      <c r="H786" s="139"/>
      <c r="I786" s="139"/>
      <c r="J786" s="139"/>
      <c r="K786" s="139"/>
      <c r="L786" s="139"/>
      <c r="M786" s="145"/>
      <c r="N786" s="139"/>
      <c r="O786" s="139"/>
      <c r="P786" s="139"/>
      <c r="Q786" s="146"/>
      <c r="R786" s="139"/>
      <c r="S786" s="139"/>
      <c r="T786" s="139"/>
      <c r="U786" s="139"/>
      <c r="V786" s="139"/>
      <c r="W786" s="111"/>
      <c r="X786" s="139"/>
      <c r="Y786" s="139"/>
    </row>
    <row r="787" ht="15.75" customHeight="1">
      <c r="A787" s="144"/>
      <c r="B787" s="139"/>
      <c r="C787" s="139"/>
      <c r="D787" s="145"/>
      <c r="E787" s="139"/>
      <c r="F787" s="139"/>
      <c r="G787" s="139"/>
      <c r="H787" s="139"/>
      <c r="I787" s="139"/>
      <c r="J787" s="139"/>
      <c r="K787" s="139"/>
      <c r="L787" s="139"/>
      <c r="M787" s="145"/>
      <c r="N787" s="139"/>
      <c r="O787" s="139"/>
      <c r="P787" s="139"/>
      <c r="Q787" s="146"/>
      <c r="R787" s="139"/>
      <c r="S787" s="139"/>
      <c r="T787" s="139"/>
      <c r="U787" s="139"/>
      <c r="V787" s="139"/>
      <c r="W787" s="111"/>
      <c r="X787" s="139"/>
      <c r="Y787" s="139"/>
    </row>
    <row r="788" ht="15.75" customHeight="1">
      <c r="A788" s="144"/>
      <c r="B788" s="139"/>
      <c r="C788" s="139"/>
      <c r="D788" s="145"/>
      <c r="E788" s="139"/>
      <c r="F788" s="139"/>
      <c r="G788" s="139"/>
      <c r="H788" s="139"/>
      <c r="I788" s="139"/>
      <c r="J788" s="139"/>
      <c r="K788" s="139"/>
      <c r="L788" s="139"/>
      <c r="M788" s="145"/>
      <c r="N788" s="139"/>
      <c r="O788" s="139"/>
      <c r="P788" s="139"/>
      <c r="Q788" s="146"/>
      <c r="R788" s="139"/>
      <c r="S788" s="139"/>
      <c r="T788" s="139"/>
      <c r="U788" s="139"/>
      <c r="V788" s="139"/>
      <c r="W788" s="111"/>
      <c r="X788" s="139"/>
      <c r="Y788" s="139"/>
    </row>
    <row r="789" ht="15.75" customHeight="1">
      <c r="A789" s="144"/>
      <c r="B789" s="139"/>
      <c r="C789" s="139"/>
      <c r="D789" s="145"/>
      <c r="E789" s="139"/>
      <c r="F789" s="139"/>
      <c r="G789" s="139"/>
      <c r="H789" s="139"/>
      <c r="I789" s="139"/>
      <c r="J789" s="139"/>
      <c r="K789" s="139"/>
      <c r="L789" s="139"/>
      <c r="M789" s="145"/>
      <c r="N789" s="139"/>
      <c r="O789" s="139"/>
      <c r="P789" s="139"/>
      <c r="Q789" s="146"/>
      <c r="R789" s="139"/>
      <c r="S789" s="139"/>
      <c r="T789" s="139"/>
      <c r="U789" s="139"/>
      <c r="V789" s="139"/>
      <c r="W789" s="111"/>
      <c r="X789" s="139"/>
      <c r="Y789" s="139"/>
    </row>
    <row r="790" ht="15.75" customHeight="1">
      <c r="A790" s="144"/>
      <c r="B790" s="139"/>
      <c r="C790" s="139"/>
      <c r="D790" s="145"/>
      <c r="E790" s="139"/>
      <c r="F790" s="139"/>
      <c r="G790" s="139"/>
      <c r="H790" s="139"/>
      <c r="I790" s="139"/>
      <c r="J790" s="139"/>
      <c r="K790" s="139"/>
      <c r="L790" s="139"/>
      <c r="M790" s="145"/>
      <c r="N790" s="139"/>
      <c r="O790" s="139"/>
      <c r="P790" s="139"/>
      <c r="Q790" s="146"/>
      <c r="R790" s="139"/>
      <c r="S790" s="139"/>
      <c r="T790" s="139"/>
      <c r="U790" s="139"/>
      <c r="V790" s="139"/>
      <c r="W790" s="111"/>
      <c r="X790" s="139"/>
      <c r="Y790" s="139"/>
    </row>
    <row r="791" ht="15.75" customHeight="1">
      <c r="A791" s="144"/>
      <c r="B791" s="139"/>
      <c r="C791" s="139"/>
      <c r="D791" s="145"/>
      <c r="E791" s="139"/>
      <c r="F791" s="139"/>
      <c r="G791" s="139"/>
      <c r="H791" s="139"/>
      <c r="I791" s="139"/>
      <c r="J791" s="139"/>
      <c r="K791" s="139"/>
      <c r="L791" s="139"/>
      <c r="M791" s="145"/>
      <c r="N791" s="139"/>
      <c r="O791" s="139"/>
      <c r="P791" s="139"/>
      <c r="Q791" s="146"/>
      <c r="R791" s="139"/>
      <c r="S791" s="139"/>
      <c r="T791" s="139"/>
      <c r="U791" s="139"/>
      <c r="V791" s="139"/>
      <c r="W791" s="111"/>
      <c r="X791" s="139"/>
      <c r="Y791" s="139"/>
    </row>
    <row r="792" ht="15.75" customHeight="1">
      <c r="A792" s="144"/>
      <c r="B792" s="139"/>
      <c r="C792" s="139"/>
      <c r="D792" s="145"/>
      <c r="E792" s="139"/>
      <c r="F792" s="139"/>
      <c r="G792" s="139"/>
      <c r="H792" s="139"/>
      <c r="I792" s="139"/>
      <c r="J792" s="139"/>
      <c r="K792" s="139"/>
      <c r="L792" s="139"/>
      <c r="M792" s="145"/>
      <c r="N792" s="139"/>
      <c r="O792" s="139"/>
      <c r="P792" s="139"/>
      <c r="Q792" s="146"/>
      <c r="R792" s="139"/>
      <c r="S792" s="139"/>
      <c r="T792" s="139"/>
      <c r="U792" s="139"/>
      <c r="V792" s="139"/>
      <c r="W792" s="111"/>
      <c r="X792" s="139"/>
      <c r="Y792" s="139"/>
    </row>
    <row r="793" ht="15.75" customHeight="1">
      <c r="A793" s="144"/>
      <c r="B793" s="139"/>
      <c r="C793" s="139"/>
      <c r="D793" s="145"/>
      <c r="E793" s="139"/>
      <c r="F793" s="139"/>
      <c r="G793" s="139"/>
      <c r="H793" s="139"/>
      <c r="I793" s="139"/>
      <c r="J793" s="139"/>
      <c r="K793" s="139"/>
      <c r="L793" s="139"/>
      <c r="M793" s="145"/>
      <c r="N793" s="139"/>
      <c r="O793" s="139"/>
      <c r="P793" s="139"/>
      <c r="Q793" s="146"/>
      <c r="R793" s="139"/>
      <c r="S793" s="139"/>
      <c r="T793" s="139"/>
      <c r="U793" s="139"/>
      <c r="V793" s="139"/>
      <c r="W793" s="111"/>
      <c r="X793" s="139"/>
      <c r="Y793" s="139"/>
    </row>
    <row r="794" ht="15.75" customHeight="1">
      <c r="A794" s="144"/>
      <c r="B794" s="139"/>
      <c r="C794" s="139"/>
      <c r="D794" s="145"/>
      <c r="E794" s="139"/>
      <c r="F794" s="139"/>
      <c r="G794" s="139"/>
      <c r="H794" s="139"/>
      <c r="I794" s="139"/>
      <c r="J794" s="139"/>
      <c r="K794" s="139"/>
      <c r="L794" s="139"/>
      <c r="M794" s="145"/>
      <c r="N794" s="139"/>
      <c r="O794" s="139"/>
      <c r="P794" s="139"/>
      <c r="Q794" s="146"/>
      <c r="R794" s="139"/>
      <c r="S794" s="139"/>
      <c r="T794" s="139"/>
      <c r="U794" s="139"/>
      <c r="V794" s="139"/>
      <c r="W794" s="111"/>
      <c r="X794" s="139"/>
      <c r="Y794" s="139"/>
    </row>
    <row r="795" ht="15.75" customHeight="1">
      <c r="A795" s="144"/>
      <c r="B795" s="139"/>
      <c r="C795" s="139"/>
      <c r="D795" s="145"/>
      <c r="E795" s="139"/>
      <c r="F795" s="139"/>
      <c r="G795" s="139"/>
      <c r="H795" s="139"/>
      <c r="I795" s="139"/>
      <c r="J795" s="139"/>
      <c r="K795" s="139"/>
      <c r="L795" s="139"/>
      <c r="M795" s="145"/>
      <c r="N795" s="139"/>
      <c r="O795" s="139"/>
      <c r="P795" s="139"/>
      <c r="Q795" s="146"/>
      <c r="R795" s="139"/>
      <c r="S795" s="139"/>
      <c r="T795" s="139"/>
      <c r="U795" s="139"/>
      <c r="V795" s="139"/>
      <c r="W795" s="111"/>
      <c r="X795" s="139"/>
      <c r="Y795" s="139"/>
    </row>
    <row r="796" ht="15.75" customHeight="1">
      <c r="A796" s="144"/>
      <c r="B796" s="139"/>
      <c r="C796" s="139"/>
      <c r="D796" s="145"/>
      <c r="E796" s="139"/>
      <c r="F796" s="139"/>
      <c r="G796" s="139"/>
      <c r="H796" s="139"/>
      <c r="I796" s="139"/>
      <c r="J796" s="139"/>
      <c r="K796" s="139"/>
      <c r="L796" s="139"/>
      <c r="M796" s="145"/>
      <c r="N796" s="139"/>
      <c r="O796" s="139"/>
      <c r="P796" s="139"/>
      <c r="Q796" s="146"/>
      <c r="R796" s="139"/>
      <c r="S796" s="139"/>
      <c r="T796" s="139"/>
      <c r="U796" s="139"/>
      <c r="V796" s="139"/>
      <c r="W796" s="111"/>
      <c r="X796" s="139"/>
      <c r="Y796" s="139"/>
    </row>
    <row r="797" ht="15.75" customHeight="1">
      <c r="A797" s="144"/>
      <c r="B797" s="139"/>
      <c r="C797" s="139"/>
      <c r="D797" s="145"/>
      <c r="E797" s="139"/>
      <c r="F797" s="139"/>
      <c r="G797" s="139"/>
      <c r="H797" s="139"/>
      <c r="I797" s="139"/>
      <c r="J797" s="139"/>
      <c r="K797" s="139"/>
      <c r="L797" s="139"/>
      <c r="M797" s="145"/>
      <c r="N797" s="139"/>
      <c r="O797" s="139"/>
      <c r="P797" s="139"/>
      <c r="Q797" s="146"/>
      <c r="R797" s="139"/>
      <c r="S797" s="139"/>
      <c r="T797" s="139"/>
      <c r="U797" s="139"/>
      <c r="V797" s="139"/>
      <c r="W797" s="111"/>
      <c r="X797" s="139"/>
      <c r="Y797" s="139"/>
    </row>
    <row r="798" ht="15.75" customHeight="1">
      <c r="A798" s="144"/>
      <c r="B798" s="139"/>
      <c r="C798" s="139"/>
      <c r="D798" s="145"/>
      <c r="E798" s="139"/>
      <c r="F798" s="139"/>
      <c r="G798" s="139"/>
      <c r="H798" s="139"/>
      <c r="I798" s="139"/>
      <c r="J798" s="139"/>
      <c r="K798" s="139"/>
      <c r="L798" s="139"/>
      <c r="M798" s="145"/>
      <c r="N798" s="139"/>
      <c r="O798" s="139"/>
      <c r="P798" s="139"/>
      <c r="Q798" s="146"/>
      <c r="R798" s="139"/>
      <c r="S798" s="139"/>
      <c r="T798" s="139"/>
      <c r="U798" s="139"/>
      <c r="V798" s="139"/>
      <c r="W798" s="111"/>
      <c r="X798" s="139"/>
      <c r="Y798" s="139"/>
    </row>
    <row r="799" ht="15.75" customHeight="1">
      <c r="A799" s="144"/>
      <c r="B799" s="139"/>
      <c r="C799" s="139"/>
      <c r="D799" s="145"/>
      <c r="E799" s="139"/>
      <c r="F799" s="139"/>
      <c r="G799" s="139"/>
      <c r="H799" s="139"/>
      <c r="I799" s="139"/>
      <c r="J799" s="139"/>
      <c r="K799" s="139"/>
      <c r="L799" s="139"/>
      <c r="M799" s="145"/>
      <c r="N799" s="139"/>
      <c r="O799" s="139"/>
      <c r="P799" s="139"/>
      <c r="Q799" s="146"/>
      <c r="R799" s="139"/>
      <c r="S799" s="139"/>
      <c r="T799" s="139"/>
      <c r="U799" s="139"/>
      <c r="V799" s="139"/>
      <c r="W799" s="111"/>
      <c r="X799" s="139"/>
      <c r="Y799" s="139"/>
    </row>
    <row r="800" ht="15.75" customHeight="1">
      <c r="A800" s="144"/>
      <c r="B800" s="139"/>
      <c r="C800" s="139"/>
      <c r="D800" s="145"/>
      <c r="E800" s="139"/>
      <c r="F800" s="139"/>
      <c r="G800" s="139"/>
      <c r="H800" s="139"/>
      <c r="I800" s="139"/>
      <c r="J800" s="139"/>
      <c r="K800" s="139"/>
      <c r="L800" s="139"/>
      <c r="M800" s="145"/>
      <c r="N800" s="139"/>
      <c r="O800" s="139"/>
      <c r="P800" s="139"/>
      <c r="Q800" s="146"/>
      <c r="R800" s="139"/>
      <c r="S800" s="139"/>
      <c r="T800" s="139"/>
      <c r="U800" s="139"/>
      <c r="V800" s="139"/>
      <c r="W800" s="111"/>
      <c r="X800" s="139"/>
      <c r="Y800" s="139"/>
    </row>
    <row r="801" ht="15.75" customHeight="1">
      <c r="A801" s="144"/>
      <c r="B801" s="139"/>
      <c r="C801" s="139"/>
      <c r="D801" s="145"/>
      <c r="E801" s="139"/>
      <c r="F801" s="139"/>
      <c r="G801" s="139"/>
      <c r="H801" s="139"/>
      <c r="I801" s="139"/>
      <c r="J801" s="139"/>
      <c r="K801" s="139"/>
      <c r="L801" s="139"/>
      <c r="M801" s="145"/>
      <c r="N801" s="139"/>
      <c r="O801" s="139"/>
      <c r="P801" s="139"/>
      <c r="Q801" s="146"/>
      <c r="R801" s="139"/>
      <c r="S801" s="139"/>
      <c r="T801" s="139"/>
      <c r="U801" s="139"/>
      <c r="V801" s="139"/>
      <c r="W801" s="111"/>
      <c r="X801" s="139"/>
      <c r="Y801" s="139"/>
    </row>
    <row r="802" ht="15.75" customHeight="1">
      <c r="A802" s="144"/>
      <c r="B802" s="139"/>
      <c r="C802" s="139"/>
      <c r="D802" s="145"/>
      <c r="E802" s="139"/>
      <c r="F802" s="139"/>
      <c r="G802" s="139"/>
      <c r="H802" s="139"/>
      <c r="I802" s="139"/>
      <c r="J802" s="139"/>
      <c r="K802" s="139"/>
      <c r="L802" s="139"/>
      <c r="M802" s="145"/>
      <c r="N802" s="139"/>
      <c r="O802" s="139"/>
      <c r="P802" s="139"/>
      <c r="Q802" s="146"/>
      <c r="R802" s="139"/>
      <c r="S802" s="139"/>
      <c r="T802" s="139"/>
      <c r="U802" s="139"/>
      <c r="V802" s="139"/>
      <c r="W802" s="111"/>
      <c r="X802" s="139"/>
      <c r="Y802" s="139"/>
    </row>
    <row r="803" ht="15.75" customHeight="1">
      <c r="A803" s="144"/>
      <c r="B803" s="139"/>
      <c r="C803" s="139"/>
      <c r="D803" s="145"/>
      <c r="E803" s="139"/>
      <c r="F803" s="139"/>
      <c r="G803" s="139"/>
      <c r="H803" s="139"/>
      <c r="I803" s="139"/>
      <c r="J803" s="139"/>
      <c r="K803" s="139"/>
      <c r="L803" s="139"/>
      <c r="M803" s="145"/>
      <c r="N803" s="139"/>
      <c r="O803" s="139"/>
      <c r="P803" s="139"/>
      <c r="Q803" s="146"/>
      <c r="R803" s="139"/>
      <c r="S803" s="139"/>
      <c r="T803" s="139"/>
      <c r="U803" s="139"/>
      <c r="V803" s="139"/>
      <c r="W803" s="111"/>
      <c r="X803" s="139"/>
      <c r="Y803" s="139"/>
    </row>
    <row r="804" ht="15.75" customHeight="1">
      <c r="A804" s="144"/>
      <c r="B804" s="139"/>
      <c r="C804" s="139"/>
      <c r="D804" s="145"/>
      <c r="E804" s="139"/>
      <c r="F804" s="139"/>
      <c r="G804" s="139"/>
      <c r="H804" s="139"/>
      <c r="I804" s="139"/>
      <c r="J804" s="139"/>
      <c r="K804" s="139"/>
      <c r="L804" s="139"/>
      <c r="M804" s="145"/>
      <c r="N804" s="139"/>
      <c r="O804" s="139"/>
      <c r="P804" s="139"/>
      <c r="Q804" s="146"/>
      <c r="R804" s="139"/>
      <c r="S804" s="139"/>
      <c r="T804" s="139"/>
      <c r="U804" s="139"/>
      <c r="V804" s="139"/>
      <c r="W804" s="111"/>
      <c r="X804" s="139"/>
      <c r="Y804" s="139"/>
    </row>
    <row r="805" ht="15.75" customHeight="1">
      <c r="A805" s="144"/>
      <c r="B805" s="139"/>
      <c r="C805" s="139"/>
      <c r="D805" s="145"/>
      <c r="E805" s="139"/>
      <c r="F805" s="139"/>
      <c r="G805" s="139"/>
      <c r="H805" s="139"/>
      <c r="I805" s="139"/>
      <c r="J805" s="139"/>
      <c r="K805" s="139"/>
      <c r="L805" s="139"/>
      <c r="M805" s="145"/>
      <c r="N805" s="139"/>
      <c r="O805" s="139"/>
      <c r="P805" s="139"/>
      <c r="Q805" s="146"/>
      <c r="R805" s="139"/>
      <c r="S805" s="139"/>
      <c r="T805" s="139"/>
      <c r="U805" s="139"/>
      <c r="V805" s="139"/>
      <c r="W805" s="111"/>
      <c r="X805" s="139"/>
      <c r="Y805" s="139"/>
    </row>
    <row r="806" ht="15.75" customHeight="1">
      <c r="A806" s="144"/>
      <c r="B806" s="139"/>
      <c r="C806" s="139"/>
      <c r="D806" s="145"/>
      <c r="E806" s="139"/>
      <c r="F806" s="139"/>
      <c r="G806" s="139"/>
      <c r="H806" s="139"/>
      <c r="I806" s="139"/>
      <c r="J806" s="139"/>
      <c r="K806" s="139"/>
      <c r="L806" s="139"/>
      <c r="M806" s="145"/>
      <c r="N806" s="139"/>
      <c r="O806" s="139"/>
      <c r="P806" s="139"/>
      <c r="Q806" s="146"/>
      <c r="R806" s="139"/>
      <c r="S806" s="139"/>
      <c r="T806" s="139"/>
      <c r="U806" s="139"/>
      <c r="V806" s="139"/>
      <c r="W806" s="111"/>
      <c r="X806" s="139"/>
      <c r="Y806" s="139"/>
    </row>
    <row r="807" ht="15.75" customHeight="1">
      <c r="A807" s="144"/>
      <c r="B807" s="139"/>
      <c r="C807" s="139"/>
      <c r="D807" s="145"/>
      <c r="E807" s="139"/>
      <c r="F807" s="139"/>
      <c r="G807" s="139"/>
      <c r="H807" s="139"/>
      <c r="I807" s="139"/>
      <c r="J807" s="139"/>
      <c r="K807" s="139"/>
      <c r="L807" s="139"/>
      <c r="M807" s="145"/>
      <c r="N807" s="139"/>
      <c r="O807" s="139"/>
      <c r="P807" s="139"/>
      <c r="Q807" s="146"/>
      <c r="R807" s="139"/>
      <c r="S807" s="139"/>
      <c r="T807" s="139"/>
      <c r="U807" s="139"/>
      <c r="V807" s="139"/>
      <c r="W807" s="111"/>
      <c r="X807" s="139"/>
      <c r="Y807" s="139"/>
    </row>
    <row r="808" ht="15.75" customHeight="1">
      <c r="A808" s="144"/>
      <c r="B808" s="139"/>
      <c r="C808" s="139"/>
      <c r="D808" s="145"/>
      <c r="E808" s="139"/>
      <c r="F808" s="139"/>
      <c r="G808" s="139"/>
      <c r="H808" s="139"/>
      <c r="I808" s="139"/>
      <c r="J808" s="139"/>
      <c r="K808" s="139"/>
      <c r="L808" s="139"/>
      <c r="M808" s="145"/>
      <c r="N808" s="139"/>
      <c r="O808" s="139"/>
      <c r="P808" s="139"/>
      <c r="Q808" s="146"/>
      <c r="R808" s="139"/>
      <c r="S808" s="139"/>
      <c r="T808" s="139"/>
      <c r="U808" s="139"/>
      <c r="V808" s="139"/>
      <c r="W808" s="111"/>
      <c r="X808" s="139"/>
      <c r="Y808" s="139"/>
    </row>
    <row r="809" ht="15.75" customHeight="1">
      <c r="A809" s="144"/>
      <c r="B809" s="139"/>
      <c r="C809" s="139"/>
      <c r="D809" s="145"/>
      <c r="E809" s="139"/>
      <c r="F809" s="139"/>
      <c r="G809" s="139"/>
      <c r="H809" s="139"/>
      <c r="I809" s="139"/>
      <c r="J809" s="139"/>
      <c r="K809" s="139"/>
      <c r="L809" s="139"/>
      <c r="M809" s="145"/>
      <c r="N809" s="139"/>
      <c r="O809" s="139"/>
      <c r="P809" s="139"/>
      <c r="Q809" s="146"/>
      <c r="R809" s="139"/>
      <c r="S809" s="139"/>
      <c r="T809" s="139"/>
      <c r="U809" s="139"/>
      <c r="V809" s="139"/>
      <c r="W809" s="111"/>
      <c r="X809" s="139"/>
      <c r="Y809" s="139"/>
    </row>
    <row r="810" ht="15.75" customHeight="1">
      <c r="A810" s="144"/>
      <c r="B810" s="139"/>
      <c r="C810" s="139"/>
      <c r="D810" s="145"/>
      <c r="E810" s="139"/>
      <c r="F810" s="139"/>
      <c r="G810" s="139"/>
      <c r="H810" s="139"/>
      <c r="I810" s="139"/>
      <c r="J810" s="139"/>
      <c r="K810" s="139"/>
      <c r="L810" s="139"/>
      <c r="M810" s="145"/>
      <c r="N810" s="139"/>
      <c r="O810" s="139"/>
      <c r="P810" s="139"/>
      <c r="Q810" s="146"/>
      <c r="R810" s="139"/>
      <c r="S810" s="139"/>
      <c r="T810" s="139"/>
      <c r="U810" s="139"/>
      <c r="V810" s="139"/>
      <c r="W810" s="111"/>
      <c r="X810" s="139"/>
      <c r="Y810" s="139"/>
    </row>
    <row r="811" ht="15.75" customHeight="1">
      <c r="A811" s="144"/>
      <c r="B811" s="139"/>
      <c r="C811" s="139"/>
      <c r="D811" s="145"/>
      <c r="E811" s="139"/>
      <c r="F811" s="139"/>
      <c r="G811" s="139"/>
      <c r="H811" s="139"/>
      <c r="I811" s="139"/>
      <c r="J811" s="139"/>
      <c r="K811" s="139"/>
      <c r="L811" s="139"/>
      <c r="M811" s="145"/>
      <c r="N811" s="139"/>
      <c r="O811" s="139"/>
      <c r="P811" s="139"/>
      <c r="Q811" s="146"/>
      <c r="R811" s="139"/>
      <c r="S811" s="139"/>
      <c r="T811" s="139"/>
      <c r="U811" s="139"/>
      <c r="V811" s="139"/>
      <c r="W811" s="111"/>
      <c r="X811" s="139"/>
      <c r="Y811" s="139"/>
    </row>
    <row r="812" ht="15.75" customHeight="1">
      <c r="A812" s="144"/>
      <c r="B812" s="139"/>
      <c r="C812" s="139"/>
      <c r="D812" s="145"/>
      <c r="E812" s="139"/>
      <c r="F812" s="139"/>
      <c r="G812" s="139"/>
      <c r="H812" s="139"/>
      <c r="I812" s="139"/>
      <c r="J812" s="139"/>
      <c r="K812" s="139"/>
      <c r="L812" s="139"/>
      <c r="M812" s="145"/>
      <c r="N812" s="139"/>
      <c r="O812" s="139"/>
      <c r="P812" s="139"/>
      <c r="Q812" s="146"/>
      <c r="R812" s="139"/>
      <c r="S812" s="139"/>
      <c r="T812" s="139"/>
      <c r="U812" s="139"/>
      <c r="V812" s="139"/>
      <c r="W812" s="111"/>
      <c r="X812" s="139"/>
      <c r="Y812" s="139"/>
    </row>
    <row r="813" ht="15.75" customHeight="1">
      <c r="A813" s="144"/>
      <c r="B813" s="139"/>
      <c r="C813" s="139"/>
      <c r="D813" s="145"/>
      <c r="E813" s="139"/>
      <c r="F813" s="139"/>
      <c r="G813" s="139"/>
      <c r="H813" s="139"/>
      <c r="I813" s="139"/>
      <c r="J813" s="139"/>
      <c r="K813" s="139"/>
      <c r="L813" s="139"/>
      <c r="M813" s="145"/>
      <c r="N813" s="139"/>
      <c r="O813" s="139"/>
      <c r="P813" s="139"/>
      <c r="Q813" s="146"/>
      <c r="R813" s="139"/>
      <c r="S813" s="139"/>
      <c r="T813" s="139"/>
      <c r="U813" s="139"/>
      <c r="V813" s="139"/>
      <c r="W813" s="111"/>
      <c r="X813" s="139"/>
      <c r="Y813" s="139"/>
    </row>
    <row r="814" ht="15.75" customHeight="1">
      <c r="A814" s="144"/>
      <c r="B814" s="139"/>
      <c r="C814" s="139"/>
      <c r="D814" s="145"/>
      <c r="E814" s="139"/>
      <c r="F814" s="139"/>
      <c r="G814" s="139"/>
      <c r="H814" s="139"/>
      <c r="I814" s="139"/>
      <c r="J814" s="139"/>
      <c r="K814" s="139"/>
      <c r="L814" s="139"/>
      <c r="M814" s="145"/>
      <c r="N814" s="139"/>
      <c r="O814" s="139"/>
      <c r="P814" s="139"/>
      <c r="Q814" s="146"/>
      <c r="R814" s="139"/>
      <c r="S814" s="139"/>
      <c r="T814" s="139"/>
      <c r="U814" s="139"/>
      <c r="V814" s="139"/>
      <c r="W814" s="111"/>
      <c r="X814" s="139"/>
      <c r="Y814" s="139"/>
    </row>
    <row r="815" ht="15.75" customHeight="1">
      <c r="A815" s="144"/>
      <c r="B815" s="139"/>
      <c r="C815" s="139"/>
      <c r="D815" s="145"/>
      <c r="E815" s="139"/>
      <c r="F815" s="139"/>
      <c r="G815" s="139"/>
      <c r="H815" s="139"/>
      <c r="I815" s="139"/>
      <c r="J815" s="139"/>
      <c r="K815" s="139"/>
      <c r="L815" s="139"/>
      <c r="M815" s="145"/>
      <c r="N815" s="139"/>
      <c r="O815" s="139"/>
      <c r="P815" s="139"/>
      <c r="Q815" s="146"/>
      <c r="R815" s="139"/>
      <c r="S815" s="139"/>
      <c r="T815" s="139"/>
      <c r="U815" s="139"/>
      <c r="V815" s="139"/>
      <c r="W815" s="111"/>
      <c r="X815" s="139"/>
      <c r="Y815" s="139"/>
    </row>
    <row r="816" ht="15.75" customHeight="1">
      <c r="A816" s="144"/>
      <c r="B816" s="139"/>
      <c r="C816" s="139"/>
      <c r="D816" s="145"/>
      <c r="E816" s="139"/>
      <c r="F816" s="139"/>
      <c r="G816" s="139"/>
      <c r="H816" s="139"/>
      <c r="I816" s="139"/>
      <c r="J816" s="139"/>
      <c r="K816" s="139"/>
      <c r="L816" s="139"/>
      <c r="M816" s="145"/>
      <c r="N816" s="139"/>
      <c r="O816" s="139"/>
      <c r="P816" s="139"/>
      <c r="Q816" s="146"/>
      <c r="R816" s="139"/>
      <c r="S816" s="139"/>
      <c r="T816" s="139"/>
      <c r="U816" s="139"/>
      <c r="V816" s="139"/>
      <c r="W816" s="111"/>
      <c r="X816" s="139"/>
      <c r="Y816" s="139"/>
    </row>
    <row r="817" ht="15.75" customHeight="1">
      <c r="A817" s="144"/>
      <c r="B817" s="139"/>
      <c r="C817" s="139"/>
      <c r="D817" s="145"/>
      <c r="E817" s="139"/>
      <c r="F817" s="139"/>
      <c r="G817" s="139"/>
      <c r="H817" s="139"/>
      <c r="I817" s="139"/>
      <c r="J817" s="139"/>
      <c r="K817" s="139"/>
      <c r="L817" s="139"/>
      <c r="M817" s="145"/>
      <c r="N817" s="139"/>
      <c r="O817" s="139"/>
      <c r="P817" s="139"/>
      <c r="Q817" s="146"/>
      <c r="R817" s="139"/>
      <c r="S817" s="139"/>
      <c r="T817" s="139"/>
      <c r="U817" s="139"/>
      <c r="V817" s="139"/>
      <c r="W817" s="111"/>
      <c r="X817" s="139"/>
      <c r="Y817" s="139"/>
    </row>
    <row r="818" ht="15.75" customHeight="1">
      <c r="A818" s="144"/>
      <c r="B818" s="139"/>
      <c r="C818" s="139"/>
      <c r="D818" s="145"/>
      <c r="E818" s="139"/>
      <c r="F818" s="139"/>
      <c r="G818" s="139"/>
      <c r="H818" s="139"/>
      <c r="I818" s="139"/>
      <c r="J818" s="139"/>
      <c r="K818" s="139"/>
      <c r="L818" s="139"/>
      <c r="M818" s="145"/>
      <c r="N818" s="139"/>
      <c r="O818" s="139"/>
      <c r="P818" s="139"/>
      <c r="Q818" s="146"/>
      <c r="R818" s="139"/>
      <c r="S818" s="139"/>
      <c r="T818" s="139"/>
      <c r="U818" s="139"/>
      <c r="V818" s="139"/>
      <c r="W818" s="111"/>
      <c r="X818" s="139"/>
      <c r="Y818" s="139"/>
    </row>
    <row r="819" ht="15.75" customHeight="1">
      <c r="A819" s="144"/>
      <c r="B819" s="139"/>
      <c r="C819" s="139"/>
      <c r="D819" s="145"/>
      <c r="E819" s="139"/>
      <c r="F819" s="139"/>
      <c r="G819" s="139"/>
      <c r="H819" s="139"/>
      <c r="I819" s="139"/>
      <c r="J819" s="139"/>
      <c r="K819" s="139"/>
      <c r="L819" s="139"/>
      <c r="M819" s="145"/>
      <c r="N819" s="139"/>
      <c r="O819" s="139"/>
      <c r="P819" s="139"/>
      <c r="Q819" s="146"/>
      <c r="R819" s="139"/>
      <c r="S819" s="139"/>
      <c r="T819" s="139"/>
      <c r="U819" s="139"/>
      <c r="V819" s="139"/>
      <c r="W819" s="111"/>
      <c r="X819" s="139"/>
      <c r="Y819" s="139"/>
    </row>
    <row r="820" ht="15.75" customHeight="1">
      <c r="A820" s="144"/>
      <c r="B820" s="139"/>
      <c r="C820" s="139"/>
      <c r="D820" s="145"/>
      <c r="E820" s="139"/>
      <c r="F820" s="139"/>
      <c r="G820" s="139"/>
      <c r="H820" s="139"/>
      <c r="I820" s="139"/>
      <c r="J820" s="139"/>
      <c r="K820" s="139"/>
      <c r="L820" s="139"/>
      <c r="M820" s="145"/>
      <c r="N820" s="139"/>
      <c r="O820" s="139"/>
      <c r="P820" s="139"/>
      <c r="Q820" s="146"/>
      <c r="R820" s="139"/>
      <c r="S820" s="139"/>
      <c r="T820" s="139"/>
      <c r="U820" s="139"/>
      <c r="V820" s="139"/>
      <c r="W820" s="111"/>
      <c r="X820" s="139"/>
      <c r="Y820" s="139"/>
    </row>
    <row r="821" ht="15.75" customHeight="1">
      <c r="A821" s="144"/>
      <c r="B821" s="139"/>
      <c r="C821" s="139"/>
      <c r="D821" s="145"/>
      <c r="E821" s="139"/>
      <c r="F821" s="139"/>
      <c r="G821" s="139"/>
      <c r="H821" s="139"/>
      <c r="I821" s="139"/>
      <c r="J821" s="139"/>
      <c r="K821" s="139"/>
      <c r="L821" s="139"/>
      <c r="M821" s="145"/>
      <c r="N821" s="139"/>
      <c r="O821" s="139"/>
      <c r="P821" s="139"/>
      <c r="Q821" s="146"/>
      <c r="R821" s="139"/>
      <c r="S821" s="139"/>
      <c r="T821" s="139"/>
      <c r="U821" s="139"/>
      <c r="V821" s="139"/>
      <c r="W821" s="111"/>
      <c r="X821" s="139"/>
      <c r="Y821" s="139"/>
    </row>
    <row r="822" ht="15.75" customHeight="1">
      <c r="A822" s="144"/>
      <c r="B822" s="139"/>
      <c r="C822" s="139"/>
      <c r="D822" s="145"/>
      <c r="E822" s="139"/>
      <c r="F822" s="139"/>
      <c r="G822" s="139"/>
      <c r="H822" s="139"/>
      <c r="I822" s="139"/>
      <c r="J822" s="139"/>
      <c r="K822" s="139"/>
      <c r="L822" s="139"/>
      <c r="M822" s="145"/>
      <c r="N822" s="139"/>
      <c r="O822" s="139"/>
      <c r="P822" s="139"/>
      <c r="Q822" s="146"/>
      <c r="R822" s="139"/>
      <c r="S822" s="139"/>
      <c r="T822" s="139"/>
      <c r="U822" s="139"/>
      <c r="V822" s="139"/>
      <c r="W822" s="111"/>
      <c r="X822" s="139"/>
      <c r="Y822" s="139"/>
    </row>
    <row r="823" ht="15.75" customHeight="1">
      <c r="A823" s="144"/>
      <c r="B823" s="139"/>
      <c r="C823" s="139"/>
      <c r="D823" s="145"/>
      <c r="E823" s="139"/>
      <c r="F823" s="139"/>
      <c r="G823" s="139"/>
      <c r="H823" s="139"/>
      <c r="I823" s="139"/>
      <c r="J823" s="139"/>
      <c r="K823" s="139"/>
      <c r="L823" s="139"/>
      <c r="M823" s="145"/>
      <c r="N823" s="139"/>
      <c r="O823" s="139"/>
      <c r="P823" s="139"/>
      <c r="Q823" s="146"/>
      <c r="R823" s="139"/>
      <c r="S823" s="139"/>
      <c r="T823" s="139"/>
      <c r="U823" s="139"/>
      <c r="V823" s="139"/>
      <c r="W823" s="111"/>
      <c r="X823" s="139"/>
      <c r="Y823" s="139"/>
    </row>
    <row r="824" ht="15.75" customHeight="1">
      <c r="A824" s="144"/>
      <c r="B824" s="139"/>
      <c r="C824" s="139"/>
      <c r="D824" s="145"/>
      <c r="E824" s="139"/>
      <c r="F824" s="139"/>
      <c r="G824" s="139"/>
      <c r="H824" s="139"/>
      <c r="I824" s="139"/>
      <c r="J824" s="139"/>
      <c r="K824" s="139"/>
      <c r="L824" s="139"/>
      <c r="M824" s="145"/>
      <c r="N824" s="139"/>
      <c r="O824" s="139"/>
      <c r="P824" s="139"/>
      <c r="Q824" s="146"/>
      <c r="R824" s="139"/>
      <c r="S824" s="139"/>
      <c r="T824" s="139"/>
      <c r="U824" s="139"/>
      <c r="V824" s="139"/>
      <c r="W824" s="111"/>
      <c r="X824" s="139"/>
      <c r="Y824" s="139"/>
    </row>
    <row r="825" ht="15.75" customHeight="1">
      <c r="A825" s="144"/>
      <c r="B825" s="139"/>
      <c r="C825" s="139"/>
      <c r="D825" s="145"/>
      <c r="E825" s="139"/>
      <c r="F825" s="139"/>
      <c r="G825" s="139"/>
      <c r="H825" s="139"/>
      <c r="I825" s="139"/>
      <c r="J825" s="139"/>
      <c r="K825" s="139"/>
      <c r="L825" s="139"/>
      <c r="M825" s="145"/>
      <c r="N825" s="139"/>
      <c r="O825" s="139"/>
      <c r="P825" s="139"/>
      <c r="Q825" s="146"/>
      <c r="R825" s="139"/>
      <c r="S825" s="139"/>
      <c r="T825" s="139"/>
      <c r="U825" s="139"/>
      <c r="V825" s="139"/>
      <c r="W825" s="111"/>
      <c r="X825" s="139"/>
      <c r="Y825" s="139"/>
    </row>
    <row r="826" ht="15.75" customHeight="1">
      <c r="A826" s="144"/>
      <c r="B826" s="139"/>
      <c r="C826" s="139"/>
      <c r="D826" s="145"/>
      <c r="E826" s="139"/>
      <c r="F826" s="139"/>
      <c r="G826" s="139"/>
      <c r="H826" s="139"/>
      <c r="I826" s="139"/>
      <c r="J826" s="139"/>
      <c r="K826" s="139"/>
      <c r="L826" s="139"/>
      <c r="M826" s="145"/>
      <c r="N826" s="139"/>
      <c r="O826" s="139"/>
      <c r="P826" s="139"/>
      <c r="Q826" s="146"/>
      <c r="R826" s="139"/>
      <c r="S826" s="139"/>
      <c r="T826" s="139"/>
      <c r="U826" s="139"/>
      <c r="V826" s="139"/>
      <c r="W826" s="111"/>
      <c r="X826" s="139"/>
      <c r="Y826" s="139"/>
    </row>
    <row r="827" ht="15.75" customHeight="1">
      <c r="A827" s="144"/>
      <c r="B827" s="139"/>
      <c r="C827" s="139"/>
      <c r="D827" s="145"/>
      <c r="E827" s="139"/>
      <c r="F827" s="139"/>
      <c r="G827" s="139"/>
      <c r="H827" s="139"/>
      <c r="I827" s="139"/>
      <c r="J827" s="139"/>
      <c r="K827" s="139"/>
      <c r="L827" s="139"/>
      <c r="M827" s="145"/>
      <c r="N827" s="139"/>
      <c r="O827" s="139"/>
      <c r="P827" s="139"/>
      <c r="Q827" s="146"/>
      <c r="R827" s="139"/>
      <c r="S827" s="139"/>
      <c r="T827" s="139"/>
      <c r="U827" s="139"/>
      <c r="V827" s="139"/>
      <c r="W827" s="111"/>
      <c r="X827" s="139"/>
      <c r="Y827" s="139"/>
    </row>
    <row r="828" ht="15.75" customHeight="1">
      <c r="A828" s="144"/>
      <c r="B828" s="139"/>
      <c r="C828" s="139"/>
      <c r="D828" s="145"/>
      <c r="E828" s="139"/>
      <c r="F828" s="139"/>
      <c r="G828" s="139"/>
      <c r="H828" s="139"/>
      <c r="I828" s="139"/>
      <c r="J828" s="139"/>
      <c r="K828" s="139"/>
      <c r="L828" s="139"/>
      <c r="M828" s="145"/>
      <c r="N828" s="139"/>
      <c r="O828" s="139"/>
      <c r="P828" s="139"/>
      <c r="Q828" s="146"/>
      <c r="R828" s="139"/>
      <c r="S828" s="139"/>
      <c r="T828" s="139"/>
      <c r="U828" s="139"/>
      <c r="V828" s="139"/>
      <c r="W828" s="111"/>
      <c r="X828" s="139"/>
      <c r="Y828" s="139"/>
    </row>
    <row r="829" ht="15.75" customHeight="1">
      <c r="A829" s="144"/>
      <c r="B829" s="139"/>
      <c r="C829" s="139"/>
      <c r="D829" s="145"/>
      <c r="E829" s="139"/>
      <c r="F829" s="139"/>
      <c r="G829" s="139"/>
      <c r="H829" s="139"/>
      <c r="I829" s="139"/>
      <c r="J829" s="139"/>
      <c r="K829" s="139"/>
      <c r="L829" s="139"/>
      <c r="M829" s="145"/>
      <c r="N829" s="139"/>
      <c r="O829" s="139"/>
      <c r="P829" s="139"/>
      <c r="Q829" s="146"/>
      <c r="R829" s="139"/>
      <c r="S829" s="139"/>
      <c r="T829" s="139"/>
      <c r="U829" s="139"/>
      <c r="V829" s="139"/>
      <c r="W829" s="111"/>
      <c r="X829" s="139"/>
      <c r="Y829" s="139"/>
    </row>
    <row r="830" ht="15.75" customHeight="1">
      <c r="A830" s="144"/>
      <c r="B830" s="139"/>
      <c r="C830" s="139"/>
      <c r="D830" s="145"/>
      <c r="E830" s="139"/>
      <c r="F830" s="139"/>
      <c r="G830" s="139"/>
      <c r="H830" s="139"/>
      <c r="I830" s="139"/>
      <c r="J830" s="139"/>
      <c r="K830" s="139"/>
      <c r="L830" s="139"/>
      <c r="M830" s="145"/>
      <c r="N830" s="139"/>
      <c r="O830" s="139"/>
      <c r="P830" s="139"/>
      <c r="Q830" s="146"/>
      <c r="R830" s="139"/>
      <c r="S830" s="139"/>
      <c r="T830" s="139"/>
      <c r="U830" s="139"/>
      <c r="V830" s="139"/>
      <c r="W830" s="111"/>
      <c r="X830" s="139"/>
      <c r="Y830" s="139"/>
    </row>
    <row r="831" ht="15.75" customHeight="1">
      <c r="A831" s="144"/>
      <c r="B831" s="139"/>
      <c r="C831" s="139"/>
      <c r="D831" s="145"/>
      <c r="E831" s="139"/>
      <c r="F831" s="139"/>
      <c r="G831" s="139"/>
      <c r="H831" s="139"/>
      <c r="I831" s="139"/>
      <c r="J831" s="139"/>
      <c r="K831" s="139"/>
      <c r="L831" s="139"/>
      <c r="M831" s="145"/>
      <c r="N831" s="139"/>
      <c r="O831" s="139"/>
      <c r="P831" s="139"/>
      <c r="Q831" s="146"/>
      <c r="R831" s="139"/>
      <c r="S831" s="139"/>
      <c r="T831" s="139"/>
      <c r="U831" s="139"/>
      <c r="V831" s="139"/>
      <c r="W831" s="111"/>
      <c r="X831" s="139"/>
      <c r="Y831" s="139"/>
    </row>
    <row r="832" ht="15.75" customHeight="1">
      <c r="A832" s="144"/>
      <c r="B832" s="139"/>
      <c r="C832" s="139"/>
      <c r="D832" s="145"/>
      <c r="E832" s="139"/>
      <c r="F832" s="139"/>
      <c r="G832" s="139"/>
      <c r="H832" s="139"/>
      <c r="I832" s="139"/>
      <c r="J832" s="139"/>
      <c r="K832" s="139"/>
      <c r="L832" s="139"/>
      <c r="M832" s="145"/>
      <c r="N832" s="139"/>
      <c r="O832" s="139"/>
      <c r="P832" s="139"/>
      <c r="Q832" s="146"/>
      <c r="R832" s="139"/>
      <c r="S832" s="139"/>
      <c r="T832" s="139"/>
      <c r="U832" s="139"/>
      <c r="V832" s="139"/>
      <c r="W832" s="111"/>
      <c r="X832" s="139"/>
      <c r="Y832" s="139"/>
    </row>
    <row r="833" ht="15.75" customHeight="1">
      <c r="A833" s="144"/>
      <c r="B833" s="139"/>
      <c r="C833" s="139"/>
      <c r="D833" s="145"/>
      <c r="E833" s="139"/>
      <c r="F833" s="139"/>
      <c r="G833" s="139"/>
      <c r="H833" s="139"/>
      <c r="I833" s="139"/>
      <c r="J833" s="139"/>
      <c r="K833" s="139"/>
      <c r="L833" s="139"/>
      <c r="M833" s="145"/>
      <c r="N833" s="139"/>
      <c r="O833" s="139"/>
      <c r="P833" s="139"/>
      <c r="Q833" s="146"/>
      <c r="R833" s="139"/>
      <c r="S833" s="139"/>
      <c r="T833" s="139"/>
      <c r="U833" s="139"/>
      <c r="V833" s="139"/>
      <c r="W833" s="111"/>
      <c r="X833" s="139"/>
      <c r="Y833" s="139"/>
    </row>
    <row r="834" ht="15.75" customHeight="1">
      <c r="A834" s="144"/>
      <c r="B834" s="139"/>
      <c r="C834" s="139"/>
      <c r="D834" s="145"/>
      <c r="E834" s="139"/>
      <c r="F834" s="139"/>
      <c r="G834" s="139"/>
      <c r="H834" s="139"/>
      <c r="I834" s="139"/>
      <c r="J834" s="139"/>
      <c r="K834" s="139"/>
      <c r="L834" s="139"/>
      <c r="M834" s="145"/>
      <c r="N834" s="139"/>
      <c r="O834" s="139"/>
      <c r="P834" s="139"/>
      <c r="Q834" s="146"/>
      <c r="R834" s="139"/>
      <c r="S834" s="139"/>
      <c r="T834" s="139"/>
      <c r="U834" s="139"/>
      <c r="V834" s="139"/>
      <c r="W834" s="111"/>
      <c r="X834" s="139"/>
      <c r="Y834" s="139"/>
    </row>
    <row r="835" ht="15.75" customHeight="1">
      <c r="A835" s="144"/>
      <c r="B835" s="139"/>
      <c r="C835" s="139"/>
      <c r="D835" s="145"/>
      <c r="E835" s="139"/>
      <c r="F835" s="139"/>
      <c r="G835" s="139"/>
      <c r="H835" s="139"/>
      <c r="I835" s="139"/>
      <c r="J835" s="139"/>
      <c r="K835" s="139"/>
      <c r="L835" s="139"/>
      <c r="M835" s="145"/>
      <c r="N835" s="139"/>
      <c r="O835" s="139"/>
      <c r="P835" s="139"/>
      <c r="Q835" s="146"/>
      <c r="R835" s="139"/>
      <c r="S835" s="139"/>
      <c r="T835" s="139"/>
      <c r="U835" s="139"/>
      <c r="V835" s="139"/>
      <c r="W835" s="111"/>
      <c r="X835" s="139"/>
      <c r="Y835" s="139"/>
    </row>
    <row r="836" ht="15.75" customHeight="1">
      <c r="A836" s="144"/>
      <c r="B836" s="139"/>
      <c r="C836" s="139"/>
      <c r="D836" s="145"/>
      <c r="E836" s="139"/>
      <c r="F836" s="139"/>
      <c r="G836" s="139"/>
      <c r="H836" s="139"/>
      <c r="I836" s="139"/>
      <c r="J836" s="139"/>
      <c r="K836" s="139"/>
      <c r="L836" s="139"/>
      <c r="M836" s="145"/>
      <c r="N836" s="139"/>
      <c r="O836" s="139"/>
      <c r="P836" s="139"/>
      <c r="Q836" s="146"/>
      <c r="R836" s="139"/>
      <c r="S836" s="139"/>
      <c r="T836" s="139"/>
      <c r="U836" s="139"/>
      <c r="V836" s="139"/>
      <c r="W836" s="111"/>
      <c r="X836" s="139"/>
      <c r="Y836" s="139"/>
    </row>
    <row r="837" ht="15.75" customHeight="1">
      <c r="A837" s="144"/>
      <c r="B837" s="139"/>
      <c r="C837" s="139"/>
      <c r="D837" s="145"/>
      <c r="E837" s="139"/>
      <c r="F837" s="139"/>
      <c r="G837" s="139"/>
      <c r="H837" s="139"/>
      <c r="I837" s="139"/>
      <c r="J837" s="139"/>
      <c r="K837" s="139"/>
      <c r="L837" s="139"/>
      <c r="M837" s="145"/>
      <c r="N837" s="139"/>
      <c r="O837" s="139"/>
      <c r="P837" s="139"/>
      <c r="Q837" s="146"/>
      <c r="R837" s="139"/>
      <c r="S837" s="139"/>
      <c r="T837" s="139"/>
      <c r="U837" s="139"/>
      <c r="V837" s="139"/>
      <c r="W837" s="111"/>
      <c r="X837" s="139"/>
      <c r="Y837" s="139"/>
    </row>
    <row r="838" ht="15.75" customHeight="1">
      <c r="A838" s="144"/>
      <c r="B838" s="139"/>
      <c r="C838" s="139"/>
      <c r="D838" s="145"/>
      <c r="E838" s="139"/>
      <c r="F838" s="139"/>
      <c r="G838" s="139"/>
      <c r="H838" s="139"/>
      <c r="I838" s="139"/>
      <c r="J838" s="139"/>
      <c r="K838" s="139"/>
      <c r="L838" s="139"/>
      <c r="M838" s="145"/>
      <c r="N838" s="139"/>
      <c r="O838" s="139"/>
      <c r="P838" s="139"/>
      <c r="Q838" s="146"/>
      <c r="R838" s="139"/>
      <c r="S838" s="139"/>
      <c r="T838" s="139"/>
      <c r="U838" s="139"/>
      <c r="V838" s="139"/>
      <c r="W838" s="111"/>
      <c r="X838" s="139"/>
      <c r="Y838" s="139"/>
    </row>
    <row r="839" ht="15.75" customHeight="1">
      <c r="A839" s="144"/>
      <c r="B839" s="139"/>
      <c r="C839" s="139"/>
      <c r="D839" s="145"/>
      <c r="E839" s="139"/>
      <c r="F839" s="139"/>
      <c r="G839" s="139"/>
      <c r="H839" s="139"/>
      <c r="I839" s="139"/>
      <c r="J839" s="139"/>
      <c r="K839" s="139"/>
      <c r="L839" s="139"/>
      <c r="M839" s="145"/>
      <c r="N839" s="139"/>
      <c r="O839" s="139"/>
      <c r="P839" s="139"/>
      <c r="Q839" s="146"/>
      <c r="R839" s="139"/>
      <c r="S839" s="139"/>
      <c r="T839" s="139"/>
      <c r="U839" s="139"/>
      <c r="V839" s="139"/>
      <c r="W839" s="111"/>
      <c r="X839" s="139"/>
      <c r="Y839" s="139"/>
    </row>
    <row r="840" ht="15.75" customHeight="1">
      <c r="A840" s="144"/>
      <c r="B840" s="139"/>
      <c r="C840" s="139"/>
      <c r="D840" s="145"/>
      <c r="E840" s="139"/>
      <c r="F840" s="139"/>
      <c r="G840" s="139"/>
      <c r="H840" s="139"/>
      <c r="I840" s="139"/>
      <c r="J840" s="139"/>
      <c r="K840" s="139"/>
      <c r="L840" s="139"/>
      <c r="M840" s="145"/>
      <c r="N840" s="139"/>
      <c r="O840" s="139"/>
      <c r="P840" s="139"/>
      <c r="Q840" s="146"/>
      <c r="R840" s="139"/>
      <c r="S840" s="139"/>
      <c r="T840" s="139"/>
      <c r="U840" s="139"/>
      <c r="V840" s="139"/>
      <c r="W840" s="111"/>
      <c r="X840" s="139"/>
      <c r="Y840" s="139"/>
    </row>
    <row r="841" ht="15.75" customHeight="1">
      <c r="A841" s="144"/>
      <c r="B841" s="139"/>
      <c r="C841" s="139"/>
      <c r="D841" s="145"/>
      <c r="E841" s="139"/>
      <c r="F841" s="139"/>
      <c r="G841" s="139"/>
      <c r="H841" s="139"/>
      <c r="I841" s="139"/>
      <c r="J841" s="139"/>
      <c r="K841" s="139"/>
      <c r="L841" s="139"/>
      <c r="M841" s="145"/>
      <c r="N841" s="139"/>
      <c r="O841" s="139"/>
      <c r="P841" s="139"/>
      <c r="Q841" s="146"/>
      <c r="R841" s="139"/>
      <c r="S841" s="139"/>
      <c r="T841" s="139"/>
      <c r="U841" s="139"/>
      <c r="V841" s="139"/>
      <c r="W841" s="111"/>
      <c r="X841" s="139"/>
      <c r="Y841" s="139"/>
    </row>
    <row r="842" ht="15.75" customHeight="1">
      <c r="A842" s="144"/>
      <c r="B842" s="139"/>
      <c r="C842" s="139"/>
      <c r="D842" s="145"/>
      <c r="E842" s="139"/>
      <c r="F842" s="139"/>
      <c r="G842" s="139"/>
      <c r="H842" s="139"/>
      <c r="I842" s="139"/>
      <c r="J842" s="139"/>
      <c r="K842" s="139"/>
      <c r="L842" s="139"/>
      <c r="M842" s="145"/>
      <c r="N842" s="139"/>
      <c r="O842" s="139"/>
      <c r="P842" s="139"/>
      <c r="Q842" s="146"/>
      <c r="R842" s="139"/>
      <c r="S842" s="139"/>
      <c r="T842" s="139"/>
      <c r="U842" s="139"/>
      <c r="V842" s="139"/>
      <c r="W842" s="111"/>
      <c r="X842" s="139"/>
      <c r="Y842" s="139"/>
    </row>
    <row r="843" ht="15.75" customHeight="1">
      <c r="A843" s="144"/>
      <c r="B843" s="139"/>
      <c r="C843" s="139"/>
      <c r="D843" s="145"/>
      <c r="E843" s="139"/>
      <c r="F843" s="139"/>
      <c r="G843" s="139"/>
      <c r="H843" s="139"/>
      <c r="I843" s="139"/>
      <c r="J843" s="139"/>
      <c r="K843" s="139"/>
      <c r="L843" s="139"/>
      <c r="M843" s="145"/>
      <c r="N843" s="139"/>
      <c r="O843" s="139"/>
      <c r="P843" s="139"/>
      <c r="Q843" s="146"/>
      <c r="R843" s="139"/>
      <c r="S843" s="139"/>
      <c r="T843" s="139"/>
      <c r="U843" s="139"/>
      <c r="V843" s="139"/>
      <c r="W843" s="111"/>
      <c r="X843" s="139"/>
      <c r="Y843" s="139"/>
    </row>
    <row r="844" ht="15.75" customHeight="1">
      <c r="A844" s="144"/>
      <c r="B844" s="139"/>
      <c r="C844" s="139"/>
      <c r="D844" s="145"/>
      <c r="E844" s="139"/>
      <c r="F844" s="139"/>
      <c r="G844" s="139"/>
      <c r="H844" s="139"/>
      <c r="I844" s="139"/>
      <c r="J844" s="139"/>
      <c r="K844" s="139"/>
      <c r="L844" s="139"/>
      <c r="M844" s="145"/>
      <c r="N844" s="139"/>
      <c r="O844" s="139"/>
      <c r="P844" s="139"/>
      <c r="Q844" s="146"/>
      <c r="R844" s="139"/>
      <c r="S844" s="139"/>
      <c r="T844" s="139"/>
      <c r="U844" s="139"/>
      <c r="V844" s="139"/>
      <c r="W844" s="111"/>
      <c r="X844" s="139"/>
      <c r="Y844" s="139"/>
    </row>
    <row r="845" ht="15.75" customHeight="1">
      <c r="A845" s="144"/>
      <c r="B845" s="139"/>
      <c r="C845" s="139"/>
      <c r="D845" s="145"/>
      <c r="E845" s="139"/>
      <c r="F845" s="139"/>
      <c r="G845" s="139"/>
      <c r="H845" s="139"/>
      <c r="I845" s="139"/>
      <c r="J845" s="139"/>
      <c r="K845" s="139"/>
      <c r="L845" s="139"/>
      <c r="M845" s="145"/>
      <c r="N845" s="139"/>
      <c r="O845" s="139"/>
      <c r="P845" s="139"/>
      <c r="Q845" s="146"/>
      <c r="R845" s="139"/>
      <c r="S845" s="139"/>
      <c r="T845" s="139"/>
      <c r="U845" s="139"/>
      <c r="V845" s="139"/>
      <c r="W845" s="111"/>
      <c r="X845" s="139"/>
      <c r="Y845" s="139"/>
    </row>
    <row r="846" ht="15.75" customHeight="1">
      <c r="A846" s="144"/>
      <c r="B846" s="139"/>
      <c r="C846" s="139"/>
      <c r="D846" s="145"/>
      <c r="E846" s="139"/>
      <c r="F846" s="139"/>
      <c r="G846" s="139"/>
      <c r="H846" s="139"/>
      <c r="I846" s="139"/>
      <c r="J846" s="139"/>
      <c r="K846" s="139"/>
      <c r="L846" s="139"/>
      <c r="M846" s="145"/>
      <c r="N846" s="139"/>
      <c r="O846" s="139"/>
      <c r="P846" s="139"/>
      <c r="Q846" s="146"/>
      <c r="R846" s="139"/>
      <c r="S846" s="139"/>
      <c r="T846" s="139"/>
      <c r="U846" s="139"/>
      <c r="V846" s="139"/>
      <c r="W846" s="111"/>
      <c r="X846" s="139"/>
      <c r="Y846" s="139"/>
    </row>
    <row r="847" ht="15.75" customHeight="1">
      <c r="A847" s="144"/>
      <c r="B847" s="139"/>
      <c r="C847" s="139"/>
      <c r="D847" s="145"/>
      <c r="E847" s="139"/>
      <c r="F847" s="139"/>
      <c r="G847" s="139"/>
      <c r="H847" s="139"/>
      <c r="I847" s="139"/>
      <c r="J847" s="139"/>
      <c r="K847" s="139"/>
      <c r="L847" s="139"/>
      <c r="M847" s="145"/>
      <c r="N847" s="139"/>
      <c r="O847" s="139"/>
      <c r="P847" s="139"/>
      <c r="Q847" s="146"/>
      <c r="R847" s="139"/>
      <c r="S847" s="139"/>
      <c r="T847" s="139"/>
      <c r="U847" s="139"/>
      <c r="V847" s="139"/>
      <c r="W847" s="111"/>
      <c r="X847" s="139"/>
      <c r="Y847" s="139"/>
    </row>
    <row r="848" ht="15.75" customHeight="1">
      <c r="A848" s="144"/>
      <c r="B848" s="139"/>
      <c r="C848" s="139"/>
      <c r="D848" s="145"/>
      <c r="E848" s="139"/>
      <c r="F848" s="139"/>
      <c r="G848" s="139"/>
      <c r="H848" s="139"/>
      <c r="I848" s="139"/>
      <c r="J848" s="139"/>
      <c r="K848" s="139"/>
      <c r="L848" s="139"/>
      <c r="M848" s="145"/>
      <c r="N848" s="139"/>
      <c r="O848" s="139"/>
      <c r="P848" s="139"/>
      <c r="Q848" s="146"/>
      <c r="R848" s="139"/>
      <c r="S848" s="139"/>
      <c r="T848" s="139"/>
      <c r="U848" s="139"/>
      <c r="V848" s="139"/>
      <c r="W848" s="111"/>
      <c r="X848" s="139"/>
      <c r="Y848" s="139"/>
    </row>
    <row r="849" ht="15.75" customHeight="1">
      <c r="A849" s="144"/>
      <c r="B849" s="139"/>
      <c r="C849" s="139"/>
      <c r="D849" s="145"/>
      <c r="E849" s="139"/>
      <c r="F849" s="139"/>
      <c r="G849" s="139"/>
      <c r="H849" s="139"/>
      <c r="I849" s="139"/>
      <c r="J849" s="139"/>
      <c r="K849" s="139"/>
      <c r="L849" s="139"/>
      <c r="M849" s="145"/>
      <c r="N849" s="139"/>
      <c r="O849" s="139"/>
      <c r="P849" s="139"/>
      <c r="Q849" s="146"/>
      <c r="R849" s="139"/>
      <c r="S849" s="139"/>
      <c r="T849" s="139"/>
      <c r="U849" s="139"/>
      <c r="V849" s="139"/>
      <c r="W849" s="111"/>
      <c r="X849" s="139"/>
      <c r="Y849" s="139"/>
    </row>
    <row r="850" ht="15.75" customHeight="1">
      <c r="A850" s="144"/>
      <c r="B850" s="139"/>
      <c r="C850" s="139"/>
      <c r="D850" s="145"/>
      <c r="E850" s="139"/>
      <c r="F850" s="139"/>
      <c r="G850" s="139"/>
      <c r="H850" s="139"/>
      <c r="I850" s="139"/>
      <c r="J850" s="139"/>
      <c r="K850" s="139"/>
      <c r="L850" s="139"/>
      <c r="M850" s="145"/>
      <c r="N850" s="139"/>
      <c r="O850" s="139"/>
      <c r="P850" s="139"/>
      <c r="Q850" s="146"/>
      <c r="R850" s="139"/>
      <c r="S850" s="139"/>
      <c r="T850" s="139"/>
      <c r="U850" s="139"/>
      <c r="V850" s="139"/>
      <c r="W850" s="111"/>
      <c r="X850" s="139"/>
      <c r="Y850" s="139"/>
    </row>
    <row r="851" ht="15.75" customHeight="1">
      <c r="A851" s="144"/>
      <c r="B851" s="139"/>
      <c r="C851" s="139"/>
      <c r="D851" s="145"/>
      <c r="E851" s="139"/>
      <c r="F851" s="139"/>
      <c r="G851" s="139"/>
      <c r="H851" s="139"/>
      <c r="I851" s="139"/>
      <c r="J851" s="139"/>
      <c r="K851" s="139"/>
      <c r="L851" s="139"/>
      <c r="M851" s="145"/>
      <c r="N851" s="139"/>
      <c r="O851" s="139"/>
      <c r="P851" s="139"/>
      <c r="Q851" s="146"/>
      <c r="R851" s="139"/>
      <c r="S851" s="139"/>
      <c r="T851" s="139"/>
      <c r="U851" s="139"/>
      <c r="V851" s="139"/>
      <c r="W851" s="111"/>
      <c r="X851" s="139"/>
      <c r="Y851" s="139"/>
    </row>
    <row r="852" ht="15.75" customHeight="1">
      <c r="A852" s="144"/>
      <c r="B852" s="139"/>
      <c r="C852" s="139"/>
      <c r="D852" s="145"/>
      <c r="E852" s="139"/>
      <c r="F852" s="139"/>
      <c r="G852" s="139"/>
      <c r="H852" s="139"/>
      <c r="I852" s="139"/>
      <c r="J852" s="139"/>
      <c r="K852" s="139"/>
      <c r="L852" s="139"/>
      <c r="M852" s="145"/>
      <c r="N852" s="139"/>
      <c r="O852" s="139"/>
      <c r="P852" s="139"/>
      <c r="Q852" s="146"/>
      <c r="R852" s="139"/>
      <c r="S852" s="139"/>
      <c r="T852" s="139"/>
      <c r="U852" s="139"/>
      <c r="V852" s="139"/>
      <c r="W852" s="111"/>
      <c r="X852" s="139"/>
      <c r="Y852" s="139"/>
    </row>
    <row r="853" ht="15.75" customHeight="1">
      <c r="A853" s="144"/>
      <c r="B853" s="139"/>
      <c r="C853" s="139"/>
      <c r="D853" s="145"/>
      <c r="E853" s="139"/>
      <c r="F853" s="139"/>
      <c r="G853" s="139"/>
      <c r="H853" s="139"/>
      <c r="I853" s="139"/>
      <c r="J853" s="139"/>
      <c r="K853" s="139"/>
      <c r="L853" s="139"/>
      <c r="M853" s="145"/>
      <c r="N853" s="139"/>
      <c r="O853" s="139"/>
      <c r="P853" s="139"/>
      <c r="Q853" s="146"/>
      <c r="R853" s="139"/>
      <c r="S853" s="139"/>
      <c r="T853" s="139"/>
      <c r="U853" s="139"/>
      <c r="V853" s="139"/>
      <c r="W853" s="111"/>
      <c r="X853" s="139"/>
      <c r="Y853" s="139"/>
    </row>
    <row r="854" ht="15.75" customHeight="1">
      <c r="A854" s="144"/>
      <c r="B854" s="139"/>
      <c r="C854" s="139"/>
      <c r="D854" s="145"/>
      <c r="E854" s="139"/>
      <c r="F854" s="139"/>
      <c r="G854" s="139"/>
      <c r="H854" s="139"/>
      <c r="I854" s="139"/>
      <c r="J854" s="139"/>
      <c r="K854" s="139"/>
      <c r="L854" s="139"/>
      <c r="M854" s="145"/>
      <c r="N854" s="139"/>
      <c r="O854" s="139"/>
      <c r="P854" s="139"/>
      <c r="Q854" s="146"/>
      <c r="R854" s="139"/>
      <c r="S854" s="139"/>
      <c r="T854" s="139"/>
      <c r="U854" s="139"/>
      <c r="V854" s="139"/>
      <c r="W854" s="111"/>
      <c r="X854" s="139"/>
      <c r="Y854" s="139"/>
    </row>
    <row r="855" ht="15.75" customHeight="1">
      <c r="A855" s="144"/>
      <c r="B855" s="139"/>
      <c r="C855" s="139"/>
      <c r="D855" s="145"/>
      <c r="E855" s="139"/>
      <c r="F855" s="139"/>
      <c r="G855" s="139"/>
      <c r="H855" s="139"/>
      <c r="I855" s="139"/>
      <c r="J855" s="139"/>
      <c r="K855" s="139"/>
      <c r="L855" s="139"/>
      <c r="M855" s="145"/>
      <c r="N855" s="139"/>
      <c r="O855" s="139"/>
      <c r="P855" s="139"/>
      <c r="Q855" s="146"/>
      <c r="R855" s="139"/>
      <c r="S855" s="139"/>
      <c r="T855" s="139"/>
      <c r="U855" s="139"/>
      <c r="V855" s="139"/>
      <c r="W855" s="111"/>
      <c r="X855" s="139"/>
      <c r="Y855" s="139"/>
    </row>
    <row r="856" ht="15.75" customHeight="1">
      <c r="A856" s="144"/>
      <c r="B856" s="139"/>
      <c r="C856" s="139"/>
      <c r="D856" s="145"/>
      <c r="E856" s="139"/>
      <c r="F856" s="139"/>
      <c r="G856" s="139"/>
      <c r="H856" s="139"/>
      <c r="I856" s="139"/>
      <c r="J856" s="139"/>
      <c r="K856" s="139"/>
      <c r="L856" s="139"/>
      <c r="M856" s="145"/>
      <c r="N856" s="139"/>
      <c r="O856" s="139"/>
      <c r="P856" s="139"/>
      <c r="Q856" s="146"/>
      <c r="R856" s="139"/>
      <c r="S856" s="139"/>
      <c r="T856" s="139"/>
      <c r="U856" s="139"/>
      <c r="V856" s="139"/>
      <c r="W856" s="111"/>
      <c r="X856" s="139"/>
      <c r="Y856" s="139"/>
    </row>
    <row r="857" ht="15.75" customHeight="1">
      <c r="A857" s="144"/>
      <c r="B857" s="139"/>
      <c r="C857" s="139"/>
      <c r="D857" s="145"/>
      <c r="E857" s="139"/>
      <c r="F857" s="139"/>
      <c r="G857" s="139"/>
      <c r="H857" s="139"/>
      <c r="I857" s="139"/>
      <c r="J857" s="139"/>
      <c r="K857" s="139"/>
      <c r="L857" s="139"/>
      <c r="M857" s="145"/>
      <c r="N857" s="139"/>
      <c r="O857" s="139"/>
      <c r="P857" s="139"/>
      <c r="Q857" s="146"/>
      <c r="R857" s="139"/>
      <c r="S857" s="139"/>
      <c r="T857" s="139"/>
      <c r="U857" s="139"/>
      <c r="V857" s="139"/>
      <c r="W857" s="111"/>
      <c r="X857" s="139"/>
      <c r="Y857" s="139"/>
    </row>
    <row r="858" ht="15.75" customHeight="1">
      <c r="A858" s="144"/>
      <c r="B858" s="139"/>
      <c r="C858" s="139"/>
      <c r="D858" s="145"/>
      <c r="E858" s="139"/>
      <c r="F858" s="139"/>
      <c r="G858" s="139"/>
      <c r="H858" s="139"/>
      <c r="I858" s="139"/>
      <c r="J858" s="139"/>
      <c r="K858" s="139"/>
      <c r="L858" s="139"/>
      <c r="M858" s="145"/>
      <c r="N858" s="139"/>
      <c r="O858" s="139"/>
      <c r="P858" s="139"/>
      <c r="Q858" s="146"/>
      <c r="R858" s="139"/>
      <c r="S858" s="139"/>
      <c r="T858" s="139"/>
      <c r="U858" s="139"/>
      <c r="V858" s="139"/>
      <c r="W858" s="111"/>
      <c r="X858" s="139"/>
      <c r="Y858" s="139"/>
    </row>
    <row r="859" ht="15.75" customHeight="1">
      <c r="A859" s="144"/>
      <c r="B859" s="139"/>
      <c r="C859" s="139"/>
      <c r="D859" s="145"/>
      <c r="E859" s="139"/>
      <c r="F859" s="139"/>
      <c r="G859" s="139"/>
      <c r="H859" s="139"/>
      <c r="I859" s="139"/>
      <c r="J859" s="139"/>
      <c r="K859" s="139"/>
      <c r="L859" s="139"/>
      <c r="M859" s="145"/>
      <c r="N859" s="139"/>
      <c r="O859" s="139"/>
      <c r="P859" s="139"/>
      <c r="Q859" s="146"/>
      <c r="R859" s="139"/>
      <c r="S859" s="139"/>
      <c r="T859" s="139"/>
      <c r="U859" s="139"/>
      <c r="V859" s="139"/>
      <c r="W859" s="111"/>
      <c r="X859" s="139"/>
      <c r="Y859" s="139"/>
    </row>
    <row r="860" ht="15.75" customHeight="1">
      <c r="A860" s="144"/>
      <c r="B860" s="139"/>
      <c r="C860" s="139"/>
      <c r="D860" s="145"/>
      <c r="E860" s="139"/>
      <c r="F860" s="139"/>
      <c r="G860" s="139"/>
      <c r="H860" s="139"/>
      <c r="I860" s="139"/>
      <c r="J860" s="139"/>
      <c r="K860" s="139"/>
      <c r="L860" s="139"/>
      <c r="M860" s="145"/>
      <c r="N860" s="139"/>
      <c r="O860" s="139"/>
      <c r="P860" s="139"/>
      <c r="Q860" s="146"/>
      <c r="R860" s="139"/>
      <c r="S860" s="139"/>
      <c r="T860" s="139"/>
      <c r="U860" s="139"/>
      <c r="V860" s="139"/>
      <c r="W860" s="111"/>
      <c r="X860" s="139"/>
      <c r="Y860" s="139"/>
    </row>
    <row r="861" ht="15.75" customHeight="1">
      <c r="A861" s="144"/>
      <c r="B861" s="139"/>
      <c r="C861" s="139"/>
      <c r="D861" s="145"/>
      <c r="E861" s="139"/>
      <c r="F861" s="139"/>
      <c r="G861" s="139"/>
      <c r="H861" s="139"/>
      <c r="I861" s="139"/>
      <c r="J861" s="139"/>
      <c r="K861" s="139"/>
      <c r="L861" s="139"/>
      <c r="M861" s="145"/>
      <c r="N861" s="139"/>
      <c r="O861" s="139"/>
      <c r="P861" s="139"/>
      <c r="Q861" s="146"/>
      <c r="R861" s="139"/>
      <c r="S861" s="139"/>
      <c r="T861" s="139"/>
      <c r="U861" s="139"/>
      <c r="V861" s="139"/>
      <c r="W861" s="111"/>
      <c r="X861" s="139"/>
      <c r="Y861" s="139"/>
    </row>
    <row r="862" ht="15.75" customHeight="1">
      <c r="A862" s="144"/>
      <c r="B862" s="139"/>
      <c r="C862" s="139"/>
      <c r="D862" s="145"/>
      <c r="E862" s="139"/>
      <c r="F862" s="139"/>
      <c r="G862" s="139"/>
      <c r="H862" s="139"/>
      <c r="I862" s="139"/>
      <c r="J862" s="139"/>
      <c r="K862" s="139"/>
      <c r="L862" s="139"/>
      <c r="M862" s="145"/>
      <c r="N862" s="139"/>
      <c r="O862" s="139"/>
      <c r="P862" s="139"/>
      <c r="Q862" s="146"/>
      <c r="R862" s="139"/>
      <c r="S862" s="139"/>
      <c r="T862" s="139"/>
      <c r="U862" s="139"/>
      <c r="V862" s="139"/>
      <c r="W862" s="111"/>
      <c r="X862" s="139"/>
      <c r="Y862" s="139"/>
    </row>
    <row r="863" ht="15.75" customHeight="1">
      <c r="A863" s="144"/>
      <c r="B863" s="139"/>
      <c r="C863" s="139"/>
      <c r="D863" s="145"/>
      <c r="E863" s="139"/>
      <c r="F863" s="139"/>
      <c r="G863" s="139"/>
      <c r="H863" s="139"/>
      <c r="I863" s="139"/>
      <c r="J863" s="139"/>
      <c r="K863" s="139"/>
      <c r="L863" s="139"/>
      <c r="M863" s="145"/>
      <c r="N863" s="139"/>
      <c r="O863" s="139"/>
      <c r="P863" s="139"/>
      <c r="Q863" s="146"/>
      <c r="R863" s="139"/>
      <c r="S863" s="139"/>
      <c r="T863" s="139"/>
      <c r="U863" s="139"/>
      <c r="V863" s="139"/>
      <c r="W863" s="111"/>
      <c r="X863" s="139"/>
      <c r="Y863" s="139"/>
    </row>
    <row r="864" ht="15.75" customHeight="1">
      <c r="A864" s="144"/>
      <c r="B864" s="139"/>
      <c r="C864" s="139"/>
      <c r="D864" s="145"/>
      <c r="E864" s="139"/>
      <c r="F864" s="139"/>
      <c r="G864" s="139"/>
      <c r="H864" s="139"/>
      <c r="I864" s="139"/>
      <c r="J864" s="139"/>
      <c r="K864" s="139"/>
      <c r="L864" s="139"/>
      <c r="M864" s="145"/>
      <c r="N864" s="139"/>
      <c r="O864" s="139"/>
      <c r="P864" s="139"/>
      <c r="Q864" s="146"/>
      <c r="R864" s="139"/>
      <c r="S864" s="139"/>
      <c r="T864" s="139"/>
      <c r="U864" s="139"/>
      <c r="V864" s="139"/>
      <c r="W864" s="111"/>
      <c r="X864" s="139"/>
      <c r="Y864" s="139"/>
    </row>
    <row r="865" ht="15.75" customHeight="1">
      <c r="A865" s="144"/>
      <c r="B865" s="139"/>
      <c r="C865" s="139"/>
      <c r="D865" s="145"/>
      <c r="E865" s="139"/>
      <c r="F865" s="139"/>
      <c r="G865" s="139"/>
      <c r="H865" s="139"/>
      <c r="I865" s="139"/>
      <c r="J865" s="139"/>
      <c r="K865" s="139"/>
      <c r="L865" s="139"/>
      <c r="M865" s="145"/>
      <c r="N865" s="139"/>
      <c r="O865" s="139"/>
      <c r="P865" s="139"/>
      <c r="Q865" s="146"/>
      <c r="R865" s="139"/>
      <c r="S865" s="139"/>
      <c r="T865" s="139"/>
      <c r="U865" s="139"/>
      <c r="V865" s="139"/>
      <c r="W865" s="111"/>
      <c r="X865" s="139"/>
      <c r="Y865" s="139"/>
    </row>
    <row r="866" ht="15.75" customHeight="1">
      <c r="A866" s="144"/>
      <c r="B866" s="139"/>
      <c r="C866" s="139"/>
      <c r="D866" s="145"/>
      <c r="E866" s="139"/>
      <c r="F866" s="139"/>
      <c r="G866" s="139"/>
      <c r="H866" s="139"/>
      <c r="I866" s="139"/>
      <c r="J866" s="139"/>
      <c r="K866" s="139"/>
      <c r="L866" s="139"/>
      <c r="M866" s="145"/>
      <c r="N866" s="139"/>
      <c r="O866" s="139"/>
      <c r="P866" s="139"/>
      <c r="Q866" s="146"/>
      <c r="R866" s="139"/>
      <c r="S866" s="139"/>
      <c r="T866" s="139"/>
      <c r="U866" s="139"/>
      <c r="V866" s="139"/>
      <c r="W866" s="111"/>
      <c r="X866" s="139"/>
      <c r="Y866" s="139"/>
    </row>
    <row r="867" ht="15.75" customHeight="1">
      <c r="A867" s="144"/>
      <c r="B867" s="139"/>
      <c r="C867" s="139"/>
      <c r="D867" s="145"/>
      <c r="E867" s="139"/>
      <c r="F867" s="139"/>
      <c r="G867" s="139"/>
      <c r="H867" s="139"/>
      <c r="I867" s="139"/>
      <c r="J867" s="139"/>
      <c r="K867" s="139"/>
      <c r="L867" s="139"/>
      <c r="M867" s="145"/>
      <c r="N867" s="139"/>
      <c r="O867" s="139"/>
      <c r="P867" s="139"/>
      <c r="Q867" s="146"/>
      <c r="R867" s="139"/>
      <c r="S867" s="139"/>
      <c r="T867" s="139"/>
      <c r="U867" s="139"/>
      <c r="V867" s="139"/>
      <c r="W867" s="111"/>
      <c r="X867" s="139"/>
      <c r="Y867" s="139"/>
    </row>
    <row r="868" ht="15.75" customHeight="1">
      <c r="A868" s="144"/>
      <c r="B868" s="139"/>
      <c r="C868" s="139"/>
      <c r="D868" s="145"/>
      <c r="E868" s="139"/>
      <c r="F868" s="139"/>
      <c r="G868" s="139"/>
      <c r="H868" s="139"/>
      <c r="I868" s="139"/>
      <c r="J868" s="139"/>
      <c r="K868" s="139"/>
      <c r="L868" s="139"/>
      <c r="M868" s="145"/>
      <c r="N868" s="139"/>
      <c r="O868" s="139"/>
      <c r="P868" s="139"/>
      <c r="Q868" s="146"/>
      <c r="R868" s="139"/>
      <c r="S868" s="139"/>
      <c r="T868" s="139"/>
      <c r="U868" s="139"/>
      <c r="V868" s="139"/>
      <c r="W868" s="111"/>
      <c r="X868" s="139"/>
      <c r="Y868" s="139"/>
    </row>
    <row r="869" ht="15.75" customHeight="1">
      <c r="A869" s="144"/>
      <c r="B869" s="139"/>
      <c r="C869" s="139"/>
      <c r="D869" s="145"/>
      <c r="E869" s="139"/>
      <c r="F869" s="139"/>
      <c r="G869" s="139"/>
      <c r="H869" s="139"/>
      <c r="I869" s="139"/>
      <c r="J869" s="139"/>
      <c r="K869" s="139"/>
      <c r="L869" s="139"/>
      <c r="M869" s="145"/>
      <c r="N869" s="139"/>
      <c r="O869" s="139"/>
      <c r="P869" s="139"/>
      <c r="Q869" s="146"/>
      <c r="R869" s="139"/>
      <c r="S869" s="139"/>
      <c r="T869" s="139"/>
      <c r="U869" s="139"/>
      <c r="V869" s="139"/>
      <c r="W869" s="111"/>
      <c r="X869" s="139"/>
      <c r="Y869" s="139"/>
    </row>
    <row r="870" ht="15.75" customHeight="1">
      <c r="A870" s="144"/>
      <c r="B870" s="139"/>
      <c r="C870" s="139"/>
      <c r="D870" s="145"/>
      <c r="E870" s="139"/>
      <c r="F870" s="139"/>
      <c r="G870" s="139"/>
      <c r="H870" s="139"/>
      <c r="I870" s="139"/>
      <c r="J870" s="139"/>
      <c r="K870" s="139"/>
      <c r="L870" s="139"/>
      <c r="M870" s="145"/>
      <c r="N870" s="139"/>
      <c r="O870" s="139"/>
      <c r="P870" s="139"/>
      <c r="Q870" s="146"/>
      <c r="R870" s="139"/>
      <c r="S870" s="139"/>
      <c r="T870" s="139"/>
      <c r="U870" s="139"/>
      <c r="V870" s="139"/>
      <c r="W870" s="111"/>
      <c r="X870" s="139"/>
      <c r="Y870" s="139"/>
    </row>
    <row r="871" ht="15.75" customHeight="1">
      <c r="A871" s="144"/>
      <c r="B871" s="139"/>
      <c r="C871" s="139"/>
      <c r="D871" s="145"/>
      <c r="E871" s="139"/>
      <c r="F871" s="139"/>
      <c r="G871" s="139"/>
      <c r="H871" s="139"/>
      <c r="I871" s="139"/>
      <c r="J871" s="139"/>
      <c r="K871" s="139"/>
      <c r="L871" s="139"/>
      <c r="M871" s="145"/>
      <c r="N871" s="139"/>
      <c r="O871" s="139"/>
      <c r="P871" s="139"/>
      <c r="Q871" s="146"/>
      <c r="R871" s="139"/>
      <c r="S871" s="139"/>
      <c r="T871" s="139"/>
      <c r="U871" s="139"/>
      <c r="V871" s="139"/>
      <c r="W871" s="111"/>
      <c r="X871" s="139"/>
      <c r="Y871" s="139"/>
    </row>
    <row r="872" ht="15.75" customHeight="1">
      <c r="A872" s="144"/>
      <c r="B872" s="139"/>
      <c r="C872" s="139"/>
      <c r="D872" s="145"/>
      <c r="E872" s="139"/>
      <c r="F872" s="139"/>
      <c r="G872" s="139"/>
      <c r="H872" s="139"/>
      <c r="I872" s="139"/>
      <c r="J872" s="139"/>
      <c r="K872" s="139"/>
      <c r="L872" s="139"/>
      <c r="M872" s="145"/>
      <c r="N872" s="139"/>
      <c r="O872" s="139"/>
      <c r="P872" s="139"/>
      <c r="Q872" s="146"/>
      <c r="R872" s="139"/>
      <c r="S872" s="139"/>
      <c r="T872" s="139"/>
      <c r="U872" s="139"/>
      <c r="V872" s="139"/>
      <c r="W872" s="111"/>
      <c r="X872" s="139"/>
      <c r="Y872" s="139"/>
    </row>
    <row r="873" ht="15.75" customHeight="1">
      <c r="A873" s="144"/>
      <c r="B873" s="139"/>
      <c r="C873" s="139"/>
      <c r="D873" s="145"/>
      <c r="E873" s="139"/>
      <c r="F873" s="139"/>
      <c r="G873" s="139"/>
      <c r="H873" s="139"/>
      <c r="I873" s="139"/>
      <c r="J873" s="139"/>
      <c r="K873" s="139"/>
      <c r="L873" s="139"/>
      <c r="M873" s="145"/>
      <c r="N873" s="139"/>
      <c r="O873" s="139"/>
      <c r="P873" s="139"/>
      <c r="Q873" s="146"/>
      <c r="R873" s="139"/>
      <c r="S873" s="139"/>
      <c r="T873" s="139"/>
      <c r="U873" s="139"/>
      <c r="V873" s="139"/>
      <c r="W873" s="111"/>
      <c r="X873" s="139"/>
      <c r="Y873" s="139"/>
    </row>
    <row r="874" ht="15.75" customHeight="1">
      <c r="A874" s="144"/>
      <c r="B874" s="139"/>
      <c r="C874" s="139"/>
      <c r="D874" s="145"/>
      <c r="E874" s="139"/>
      <c r="F874" s="139"/>
      <c r="G874" s="139"/>
      <c r="H874" s="139"/>
      <c r="I874" s="139"/>
      <c r="J874" s="139"/>
      <c r="K874" s="139"/>
      <c r="L874" s="139"/>
      <c r="M874" s="145"/>
      <c r="N874" s="139"/>
      <c r="O874" s="139"/>
      <c r="P874" s="139"/>
      <c r="Q874" s="146"/>
      <c r="R874" s="139"/>
      <c r="S874" s="139"/>
      <c r="T874" s="139"/>
      <c r="U874" s="139"/>
      <c r="V874" s="139"/>
      <c r="W874" s="111"/>
      <c r="X874" s="139"/>
      <c r="Y874" s="139"/>
    </row>
    <row r="875" ht="15.75" customHeight="1">
      <c r="A875" s="144"/>
      <c r="B875" s="139"/>
      <c r="C875" s="139"/>
      <c r="D875" s="145"/>
      <c r="E875" s="139"/>
      <c r="F875" s="139"/>
      <c r="G875" s="139"/>
      <c r="H875" s="139"/>
      <c r="I875" s="139"/>
      <c r="J875" s="139"/>
      <c r="K875" s="139"/>
      <c r="L875" s="139"/>
      <c r="M875" s="145"/>
      <c r="N875" s="139"/>
      <c r="O875" s="139"/>
      <c r="P875" s="139"/>
      <c r="Q875" s="146"/>
      <c r="R875" s="139"/>
      <c r="S875" s="139"/>
      <c r="T875" s="139"/>
      <c r="U875" s="139"/>
      <c r="V875" s="139"/>
      <c r="W875" s="111"/>
      <c r="X875" s="139"/>
      <c r="Y875" s="139"/>
    </row>
    <row r="876" ht="15.75" customHeight="1">
      <c r="A876" s="144"/>
      <c r="B876" s="139"/>
      <c r="C876" s="139"/>
      <c r="D876" s="145"/>
      <c r="E876" s="139"/>
      <c r="F876" s="139"/>
      <c r="G876" s="139"/>
      <c r="H876" s="139"/>
      <c r="I876" s="139"/>
      <c r="J876" s="139"/>
      <c r="K876" s="139"/>
      <c r="L876" s="139"/>
      <c r="M876" s="145"/>
      <c r="N876" s="139"/>
      <c r="O876" s="139"/>
      <c r="P876" s="139"/>
      <c r="Q876" s="146"/>
      <c r="R876" s="139"/>
      <c r="S876" s="139"/>
      <c r="T876" s="139"/>
      <c r="U876" s="139"/>
      <c r="V876" s="139"/>
      <c r="W876" s="111"/>
      <c r="X876" s="139"/>
      <c r="Y876" s="139"/>
    </row>
    <row r="877" ht="15.75" customHeight="1">
      <c r="A877" s="144"/>
      <c r="B877" s="139"/>
      <c r="C877" s="139"/>
      <c r="D877" s="145"/>
      <c r="E877" s="139"/>
      <c r="F877" s="139"/>
      <c r="G877" s="139"/>
      <c r="H877" s="139"/>
      <c r="I877" s="139"/>
      <c r="J877" s="139"/>
      <c r="K877" s="139"/>
      <c r="L877" s="139"/>
      <c r="M877" s="145"/>
      <c r="N877" s="139"/>
      <c r="O877" s="139"/>
      <c r="P877" s="139"/>
      <c r="Q877" s="146"/>
      <c r="R877" s="139"/>
      <c r="S877" s="139"/>
      <c r="T877" s="139"/>
      <c r="U877" s="139"/>
      <c r="V877" s="139"/>
      <c r="W877" s="111"/>
      <c r="X877" s="139"/>
      <c r="Y877" s="139"/>
    </row>
    <row r="878" ht="15.75" customHeight="1">
      <c r="A878" s="144"/>
      <c r="B878" s="139"/>
      <c r="C878" s="139"/>
      <c r="D878" s="145"/>
      <c r="E878" s="139"/>
      <c r="F878" s="139"/>
      <c r="G878" s="139"/>
      <c r="H878" s="139"/>
      <c r="I878" s="139"/>
      <c r="J878" s="139"/>
      <c r="K878" s="139"/>
      <c r="L878" s="139"/>
      <c r="M878" s="145"/>
      <c r="N878" s="139"/>
      <c r="O878" s="139"/>
      <c r="P878" s="139"/>
      <c r="Q878" s="146"/>
      <c r="R878" s="139"/>
      <c r="S878" s="139"/>
      <c r="T878" s="139"/>
      <c r="U878" s="139"/>
      <c r="V878" s="139"/>
      <c r="W878" s="111"/>
      <c r="X878" s="139"/>
      <c r="Y878" s="139"/>
    </row>
    <row r="879" ht="15.75" customHeight="1">
      <c r="A879" s="144"/>
      <c r="B879" s="139"/>
      <c r="C879" s="139"/>
      <c r="D879" s="145"/>
      <c r="E879" s="139"/>
      <c r="F879" s="139"/>
      <c r="G879" s="139"/>
      <c r="H879" s="139"/>
      <c r="I879" s="139"/>
      <c r="J879" s="139"/>
      <c r="K879" s="139"/>
      <c r="L879" s="139"/>
      <c r="M879" s="145"/>
      <c r="N879" s="139"/>
      <c r="O879" s="139"/>
      <c r="P879" s="139"/>
      <c r="Q879" s="146"/>
      <c r="R879" s="139"/>
      <c r="S879" s="139"/>
      <c r="T879" s="139"/>
      <c r="U879" s="139"/>
      <c r="V879" s="139"/>
      <c r="W879" s="111"/>
      <c r="X879" s="139"/>
      <c r="Y879" s="139"/>
    </row>
    <row r="880" ht="15.75" customHeight="1">
      <c r="A880" s="144"/>
      <c r="B880" s="139"/>
      <c r="C880" s="139"/>
      <c r="D880" s="145"/>
      <c r="E880" s="139"/>
      <c r="F880" s="139"/>
      <c r="G880" s="139"/>
      <c r="H880" s="139"/>
      <c r="I880" s="139"/>
      <c r="J880" s="139"/>
      <c r="K880" s="139"/>
      <c r="L880" s="139"/>
      <c r="M880" s="145"/>
      <c r="N880" s="139"/>
      <c r="O880" s="139"/>
      <c r="P880" s="139"/>
      <c r="Q880" s="146"/>
      <c r="R880" s="139"/>
      <c r="S880" s="139"/>
      <c r="T880" s="139"/>
      <c r="U880" s="139"/>
      <c r="V880" s="139"/>
      <c r="W880" s="111"/>
      <c r="X880" s="139"/>
      <c r="Y880" s="139"/>
    </row>
    <row r="881" ht="15.75" customHeight="1">
      <c r="A881" s="144"/>
      <c r="B881" s="139"/>
      <c r="C881" s="139"/>
      <c r="D881" s="145"/>
      <c r="E881" s="139"/>
      <c r="F881" s="139"/>
      <c r="G881" s="139"/>
      <c r="H881" s="139"/>
      <c r="I881" s="139"/>
      <c r="J881" s="139"/>
      <c r="K881" s="139"/>
      <c r="L881" s="139"/>
      <c r="M881" s="145"/>
      <c r="N881" s="139"/>
      <c r="O881" s="139"/>
      <c r="P881" s="139"/>
      <c r="Q881" s="146"/>
      <c r="R881" s="139"/>
      <c r="S881" s="139"/>
      <c r="T881" s="139"/>
      <c r="U881" s="139"/>
      <c r="V881" s="139"/>
      <c r="W881" s="111"/>
      <c r="X881" s="139"/>
      <c r="Y881" s="139"/>
    </row>
    <row r="882" ht="15.75" customHeight="1">
      <c r="A882" s="144"/>
      <c r="B882" s="139"/>
      <c r="C882" s="139"/>
      <c r="D882" s="145"/>
      <c r="E882" s="139"/>
      <c r="F882" s="139"/>
      <c r="G882" s="139"/>
      <c r="H882" s="139"/>
      <c r="I882" s="139"/>
      <c r="J882" s="139"/>
      <c r="K882" s="139"/>
      <c r="L882" s="139"/>
      <c r="M882" s="145"/>
      <c r="N882" s="139"/>
      <c r="O882" s="139"/>
      <c r="P882" s="139"/>
      <c r="Q882" s="146"/>
      <c r="R882" s="139"/>
      <c r="S882" s="139"/>
      <c r="T882" s="139"/>
      <c r="U882" s="139"/>
      <c r="V882" s="139"/>
      <c r="W882" s="111"/>
      <c r="X882" s="139"/>
      <c r="Y882" s="139"/>
    </row>
    <row r="883" ht="15.75" customHeight="1">
      <c r="A883" s="144"/>
      <c r="B883" s="139"/>
      <c r="C883" s="139"/>
      <c r="D883" s="145"/>
      <c r="E883" s="139"/>
      <c r="F883" s="139"/>
      <c r="G883" s="139"/>
      <c r="H883" s="139"/>
      <c r="I883" s="139"/>
      <c r="J883" s="139"/>
      <c r="K883" s="139"/>
      <c r="L883" s="139"/>
      <c r="M883" s="145"/>
      <c r="N883" s="139"/>
      <c r="O883" s="139"/>
      <c r="P883" s="139"/>
      <c r="Q883" s="146"/>
      <c r="R883" s="139"/>
      <c r="S883" s="139"/>
      <c r="T883" s="139"/>
      <c r="U883" s="139"/>
      <c r="V883" s="139"/>
      <c r="W883" s="111"/>
      <c r="X883" s="139"/>
      <c r="Y883" s="139"/>
    </row>
    <row r="884" ht="15.75" customHeight="1">
      <c r="A884" s="144"/>
      <c r="B884" s="139"/>
      <c r="C884" s="139"/>
      <c r="D884" s="145"/>
      <c r="E884" s="139"/>
      <c r="F884" s="139"/>
      <c r="G884" s="139"/>
      <c r="H884" s="139"/>
      <c r="I884" s="139"/>
      <c r="J884" s="139"/>
      <c r="K884" s="139"/>
      <c r="L884" s="139"/>
      <c r="M884" s="145"/>
      <c r="N884" s="139"/>
      <c r="O884" s="139"/>
      <c r="P884" s="139"/>
      <c r="Q884" s="146"/>
      <c r="R884" s="139"/>
      <c r="S884" s="139"/>
      <c r="T884" s="139"/>
      <c r="U884" s="139"/>
      <c r="V884" s="139"/>
      <c r="W884" s="111"/>
      <c r="X884" s="139"/>
      <c r="Y884" s="139"/>
    </row>
    <row r="885" ht="15.75" customHeight="1">
      <c r="A885" s="144"/>
      <c r="B885" s="139"/>
      <c r="C885" s="139"/>
      <c r="D885" s="145"/>
      <c r="E885" s="139"/>
      <c r="F885" s="139"/>
      <c r="G885" s="139"/>
      <c r="H885" s="139"/>
      <c r="I885" s="139"/>
      <c r="J885" s="139"/>
      <c r="K885" s="139"/>
      <c r="L885" s="139"/>
      <c r="M885" s="145"/>
      <c r="N885" s="139"/>
      <c r="O885" s="139"/>
      <c r="P885" s="139"/>
      <c r="Q885" s="146"/>
      <c r="R885" s="139"/>
      <c r="S885" s="139"/>
      <c r="T885" s="139"/>
      <c r="U885" s="139"/>
      <c r="V885" s="139"/>
      <c r="W885" s="111"/>
      <c r="X885" s="139"/>
      <c r="Y885" s="139"/>
    </row>
    <row r="886" ht="15.75" customHeight="1">
      <c r="A886" s="144"/>
      <c r="B886" s="139"/>
      <c r="C886" s="139"/>
      <c r="D886" s="145"/>
      <c r="E886" s="139"/>
      <c r="F886" s="139"/>
      <c r="G886" s="139"/>
      <c r="H886" s="139"/>
      <c r="I886" s="139"/>
      <c r="J886" s="139"/>
      <c r="K886" s="139"/>
      <c r="L886" s="139"/>
      <c r="M886" s="145"/>
      <c r="N886" s="139"/>
      <c r="O886" s="139"/>
      <c r="P886" s="139"/>
      <c r="Q886" s="146"/>
      <c r="R886" s="139"/>
      <c r="S886" s="139"/>
      <c r="T886" s="139"/>
      <c r="U886" s="139"/>
      <c r="V886" s="139"/>
      <c r="W886" s="111"/>
      <c r="X886" s="139"/>
      <c r="Y886" s="139"/>
    </row>
    <row r="887" ht="15.75" customHeight="1">
      <c r="A887" s="144"/>
      <c r="B887" s="139"/>
      <c r="C887" s="139"/>
      <c r="D887" s="145"/>
      <c r="E887" s="139"/>
      <c r="F887" s="139"/>
      <c r="G887" s="139"/>
      <c r="H887" s="139"/>
      <c r="I887" s="139"/>
      <c r="J887" s="139"/>
      <c r="K887" s="139"/>
      <c r="L887" s="139"/>
      <c r="M887" s="145"/>
      <c r="N887" s="139"/>
      <c r="O887" s="139"/>
      <c r="P887" s="139"/>
      <c r="Q887" s="146"/>
      <c r="R887" s="139"/>
      <c r="S887" s="139"/>
      <c r="T887" s="139"/>
      <c r="U887" s="139"/>
      <c r="V887" s="139"/>
      <c r="W887" s="111"/>
      <c r="X887" s="139"/>
      <c r="Y887" s="139"/>
    </row>
    <row r="888" ht="15.75" customHeight="1">
      <c r="A888" s="144"/>
      <c r="B888" s="139"/>
      <c r="C888" s="139"/>
      <c r="D888" s="145"/>
      <c r="E888" s="139"/>
      <c r="F888" s="139"/>
      <c r="G888" s="139"/>
      <c r="H888" s="139"/>
      <c r="I888" s="139"/>
      <c r="J888" s="139"/>
      <c r="K888" s="139"/>
      <c r="L888" s="139"/>
      <c r="M888" s="145"/>
      <c r="N888" s="139"/>
      <c r="O888" s="139"/>
      <c r="P888" s="139"/>
      <c r="Q888" s="146"/>
      <c r="R888" s="139"/>
      <c r="S888" s="139"/>
      <c r="T888" s="139"/>
      <c r="U888" s="139"/>
      <c r="V888" s="139"/>
      <c r="W888" s="111"/>
      <c r="X888" s="139"/>
      <c r="Y888" s="139"/>
    </row>
    <row r="889" ht="15.75" customHeight="1">
      <c r="A889" s="144"/>
      <c r="B889" s="139"/>
      <c r="C889" s="139"/>
      <c r="D889" s="145"/>
      <c r="E889" s="139"/>
      <c r="F889" s="139"/>
      <c r="G889" s="139"/>
      <c r="H889" s="139"/>
      <c r="I889" s="139"/>
      <c r="J889" s="139"/>
      <c r="K889" s="139"/>
      <c r="L889" s="139"/>
      <c r="M889" s="145"/>
      <c r="N889" s="139"/>
      <c r="O889" s="139"/>
      <c r="P889" s="139"/>
      <c r="Q889" s="146"/>
      <c r="R889" s="139"/>
      <c r="S889" s="139"/>
      <c r="T889" s="139"/>
      <c r="U889" s="139"/>
      <c r="V889" s="139"/>
      <c r="W889" s="111"/>
      <c r="X889" s="139"/>
      <c r="Y889" s="139"/>
    </row>
    <row r="890" ht="15.75" customHeight="1">
      <c r="A890" s="144"/>
      <c r="B890" s="139"/>
      <c r="C890" s="139"/>
      <c r="D890" s="145"/>
      <c r="E890" s="139"/>
      <c r="F890" s="139"/>
      <c r="G890" s="139"/>
      <c r="H890" s="139"/>
      <c r="I890" s="139"/>
      <c r="J890" s="139"/>
      <c r="K890" s="139"/>
      <c r="L890" s="139"/>
      <c r="M890" s="145"/>
      <c r="N890" s="139"/>
      <c r="O890" s="139"/>
      <c r="P890" s="139"/>
      <c r="Q890" s="146"/>
      <c r="R890" s="139"/>
      <c r="S890" s="139"/>
      <c r="T890" s="139"/>
      <c r="U890" s="139"/>
      <c r="V890" s="139"/>
      <c r="W890" s="111"/>
      <c r="X890" s="139"/>
      <c r="Y890" s="139"/>
    </row>
    <row r="891" ht="15.75" customHeight="1">
      <c r="A891" s="144"/>
      <c r="B891" s="139"/>
      <c r="C891" s="139"/>
      <c r="D891" s="145"/>
      <c r="E891" s="139"/>
      <c r="F891" s="139"/>
      <c r="G891" s="139"/>
      <c r="H891" s="139"/>
      <c r="I891" s="139"/>
      <c r="J891" s="139"/>
      <c r="K891" s="139"/>
      <c r="L891" s="139"/>
      <c r="M891" s="145"/>
      <c r="N891" s="139"/>
      <c r="O891" s="139"/>
      <c r="P891" s="139"/>
      <c r="Q891" s="146"/>
      <c r="R891" s="139"/>
      <c r="S891" s="139"/>
      <c r="T891" s="139"/>
      <c r="U891" s="139"/>
      <c r="V891" s="139"/>
      <c r="W891" s="111"/>
      <c r="X891" s="139"/>
      <c r="Y891" s="139"/>
    </row>
    <row r="892" ht="15.75" customHeight="1">
      <c r="A892" s="144"/>
      <c r="B892" s="139"/>
      <c r="C892" s="139"/>
      <c r="D892" s="145"/>
      <c r="E892" s="139"/>
      <c r="F892" s="139"/>
      <c r="G892" s="139"/>
      <c r="H892" s="139"/>
      <c r="I892" s="139"/>
      <c r="J892" s="139"/>
      <c r="K892" s="139"/>
      <c r="L892" s="139"/>
      <c r="M892" s="145"/>
      <c r="N892" s="139"/>
      <c r="O892" s="139"/>
      <c r="P892" s="139"/>
      <c r="Q892" s="146"/>
      <c r="R892" s="139"/>
      <c r="S892" s="139"/>
      <c r="T892" s="139"/>
      <c r="U892" s="139"/>
      <c r="V892" s="139"/>
      <c r="W892" s="111"/>
      <c r="X892" s="139"/>
      <c r="Y892" s="139"/>
    </row>
    <row r="893" ht="15.75" customHeight="1">
      <c r="A893" s="144"/>
      <c r="B893" s="139"/>
      <c r="C893" s="139"/>
      <c r="D893" s="145"/>
      <c r="E893" s="139"/>
      <c r="F893" s="139"/>
      <c r="G893" s="139"/>
      <c r="H893" s="139"/>
      <c r="I893" s="139"/>
      <c r="J893" s="139"/>
      <c r="K893" s="139"/>
      <c r="L893" s="139"/>
      <c r="M893" s="145"/>
      <c r="N893" s="139"/>
      <c r="O893" s="139"/>
      <c r="P893" s="139"/>
      <c r="Q893" s="146"/>
      <c r="R893" s="139"/>
      <c r="S893" s="139"/>
      <c r="T893" s="139"/>
      <c r="U893" s="139"/>
      <c r="V893" s="139"/>
      <c r="W893" s="111"/>
      <c r="X893" s="139"/>
      <c r="Y893" s="139"/>
    </row>
    <row r="894" ht="15.75" customHeight="1">
      <c r="A894" s="144"/>
      <c r="B894" s="139"/>
      <c r="C894" s="139"/>
      <c r="D894" s="145"/>
      <c r="E894" s="139"/>
      <c r="F894" s="139"/>
      <c r="G894" s="139"/>
      <c r="H894" s="139"/>
      <c r="I894" s="139"/>
      <c r="J894" s="139"/>
      <c r="K894" s="139"/>
      <c r="L894" s="139"/>
      <c r="M894" s="145"/>
      <c r="N894" s="139"/>
      <c r="O894" s="139"/>
      <c r="P894" s="139"/>
      <c r="Q894" s="146"/>
      <c r="R894" s="139"/>
      <c r="S894" s="139"/>
      <c r="T894" s="139"/>
      <c r="U894" s="139"/>
      <c r="V894" s="139"/>
      <c r="W894" s="111"/>
      <c r="X894" s="139"/>
      <c r="Y894" s="139"/>
    </row>
    <row r="895" ht="15.75" customHeight="1">
      <c r="A895" s="144"/>
      <c r="B895" s="139"/>
      <c r="C895" s="139"/>
      <c r="D895" s="145"/>
      <c r="E895" s="139"/>
      <c r="F895" s="139"/>
      <c r="G895" s="139"/>
      <c r="H895" s="139"/>
      <c r="I895" s="139"/>
      <c r="J895" s="139"/>
      <c r="K895" s="139"/>
      <c r="L895" s="139"/>
      <c r="M895" s="145"/>
      <c r="N895" s="139"/>
      <c r="O895" s="139"/>
      <c r="P895" s="139"/>
      <c r="Q895" s="146"/>
      <c r="R895" s="139"/>
      <c r="S895" s="139"/>
      <c r="T895" s="139"/>
      <c r="U895" s="139"/>
      <c r="V895" s="139"/>
      <c r="W895" s="111"/>
      <c r="X895" s="139"/>
      <c r="Y895" s="139"/>
    </row>
    <row r="896" ht="15.75" customHeight="1">
      <c r="A896" s="144"/>
      <c r="B896" s="139"/>
      <c r="C896" s="139"/>
      <c r="D896" s="145"/>
      <c r="E896" s="139"/>
      <c r="F896" s="139"/>
      <c r="G896" s="139"/>
      <c r="H896" s="139"/>
      <c r="I896" s="139"/>
      <c r="J896" s="139"/>
      <c r="K896" s="139"/>
      <c r="L896" s="139"/>
      <c r="M896" s="145"/>
      <c r="N896" s="139"/>
      <c r="O896" s="139"/>
      <c r="P896" s="139"/>
      <c r="Q896" s="146"/>
      <c r="R896" s="139"/>
      <c r="S896" s="139"/>
      <c r="T896" s="139"/>
      <c r="U896" s="139"/>
      <c r="V896" s="139"/>
      <c r="W896" s="111"/>
      <c r="X896" s="139"/>
      <c r="Y896" s="139"/>
    </row>
    <row r="897" ht="15.75" customHeight="1">
      <c r="A897" s="144"/>
      <c r="B897" s="139"/>
      <c r="C897" s="139"/>
      <c r="D897" s="145"/>
      <c r="E897" s="139"/>
      <c r="F897" s="139"/>
      <c r="G897" s="139"/>
      <c r="H897" s="139"/>
      <c r="I897" s="139"/>
      <c r="J897" s="139"/>
      <c r="K897" s="139"/>
      <c r="L897" s="139"/>
      <c r="M897" s="145"/>
      <c r="N897" s="139"/>
      <c r="O897" s="139"/>
      <c r="P897" s="139"/>
      <c r="Q897" s="146"/>
      <c r="R897" s="139"/>
      <c r="S897" s="139"/>
      <c r="T897" s="139"/>
      <c r="U897" s="139"/>
      <c r="V897" s="139"/>
      <c r="W897" s="111"/>
      <c r="X897" s="139"/>
      <c r="Y897" s="139"/>
    </row>
    <row r="898" ht="15.75" customHeight="1">
      <c r="A898" s="144"/>
      <c r="B898" s="139"/>
      <c r="C898" s="139"/>
      <c r="D898" s="145"/>
      <c r="E898" s="139"/>
      <c r="F898" s="139"/>
      <c r="G898" s="139"/>
      <c r="H898" s="139"/>
      <c r="I898" s="139"/>
      <c r="J898" s="139"/>
      <c r="K898" s="139"/>
      <c r="L898" s="139"/>
      <c r="M898" s="145"/>
      <c r="N898" s="139"/>
      <c r="O898" s="139"/>
      <c r="P898" s="139"/>
      <c r="Q898" s="146"/>
      <c r="R898" s="139"/>
      <c r="S898" s="139"/>
      <c r="T898" s="139"/>
      <c r="U898" s="139"/>
      <c r="V898" s="139"/>
      <c r="W898" s="111"/>
      <c r="X898" s="139"/>
      <c r="Y898" s="139"/>
    </row>
    <row r="899" ht="15.75" customHeight="1">
      <c r="A899" s="144"/>
      <c r="B899" s="139"/>
      <c r="C899" s="139"/>
      <c r="D899" s="145"/>
      <c r="E899" s="139"/>
      <c r="F899" s="139"/>
      <c r="G899" s="139"/>
      <c r="H899" s="139"/>
      <c r="I899" s="139"/>
      <c r="J899" s="139"/>
      <c r="K899" s="139"/>
      <c r="L899" s="139"/>
      <c r="M899" s="145"/>
      <c r="N899" s="139"/>
      <c r="O899" s="139"/>
      <c r="P899" s="139"/>
      <c r="Q899" s="146"/>
      <c r="R899" s="139"/>
      <c r="S899" s="139"/>
      <c r="T899" s="139"/>
      <c r="U899" s="139"/>
      <c r="V899" s="139"/>
      <c r="W899" s="111"/>
      <c r="X899" s="139"/>
      <c r="Y899" s="139"/>
    </row>
    <row r="900" ht="15.75" customHeight="1">
      <c r="A900" s="144"/>
      <c r="B900" s="139"/>
      <c r="C900" s="139"/>
      <c r="D900" s="145"/>
      <c r="E900" s="139"/>
      <c r="F900" s="139"/>
      <c r="G900" s="139"/>
      <c r="H900" s="139"/>
      <c r="I900" s="139"/>
      <c r="J900" s="139"/>
      <c r="K900" s="139"/>
      <c r="L900" s="139"/>
      <c r="M900" s="145"/>
      <c r="N900" s="139"/>
      <c r="O900" s="139"/>
      <c r="P900" s="139"/>
      <c r="Q900" s="146"/>
      <c r="R900" s="139"/>
      <c r="S900" s="139"/>
      <c r="T900" s="139"/>
      <c r="U900" s="139"/>
      <c r="V900" s="139"/>
      <c r="W900" s="111"/>
      <c r="X900" s="139"/>
      <c r="Y900" s="139"/>
    </row>
    <row r="901" ht="15.75" customHeight="1">
      <c r="A901" s="144"/>
      <c r="B901" s="139"/>
      <c r="C901" s="139"/>
      <c r="D901" s="145"/>
      <c r="E901" s="139"/>
      <c r="F901" s="139"/>
      <c r="G901" s="139"/>
      <c r="H901" s="139"/>
      <c r="I901" s="139"/>
      <c r="J901" s="139"/>
      <c r="K901" s="139"/>
      <c r="L901" s="139"/>
      <c r="M901" s="145"/>
      <c r="N901" s="139"/>
      <c r="O901" s="139"/>
      <c r="P901" s="139"/>
      <c r="Q901" s="146"/>
      <c r="R901" s="139"/>
      <c r="S901" s="139"/>
      <c r="T901" s="139"/>
      <c r="U901" s="139"/>
      <c r="V901" s="139"/>
      <c r="W901" s="111"/>
      <c r="X901" s="139"/>
      <c r="Y901" s="139"/>
    </row>
    <row r="902" ht="15.75" customHeight="1">
      <c r="A902" s="144"/>
      <c r="B902" s="139"/>
      <c r="C902" s="139"/>
      <c r="D902" s="145"/>
      <c r="E902" s="139"/>
      <c r="F902" s="139"/>
      <c r="G902" s="139"/>
      <c r="H902" s="139"/>
      <c r="I902" s="139"/>
      <c r="J902" s="139"/>
      <c r="K902" s="139"/>
      <c r="L902" s="139"/>
      <c r="M902" s="145"/>
      <c r="N902" s="139"/>
      <c r="O902" s="139"/>
      <c r="P902" s="139"/>
      <c r="Q902" s="146"/>
      <c r="R902" s="139"/>
      <c r="S902" s="139"/>
      <c r="T902" s="139"/>
      <c r="U902" s="139"/>
      <c r="V902" s="139"/>
      <c r="W902" s="111"/>
      <c r="X902" s="139"/>
      <c r="Y902" s="139"/>
    </row>
    <row r="903" ht="15.75" customHeight="1">
      <c r="A903" s="144"/>
      <c r="B903" s="139"/>
      <c r="C903" s="139"/>
      <c r="D903" s="145"/>
      <c r="E903" s="139"/>
      <c r="F903" s="139"/>
      <c r="G903" s="139"/>
      <c r="H903" s="139"/>
      <c r="I903" s="139"/>
      <c r="J903" s="139"/>
      <c r="K903" s="139"/>
      <c r="L903" s="139"/>
      <c r="M903" s="145"/>
      <c r="N903" s="139"/>
      <c r="O903" s="139"/>
      <c r="P903" s="139"/>
      <c r="Q903" s="146"/>
      <c r="R903" s="139"/>
      <c r="S903" s="139"/>
      <c r="T903" s="139"/>
      <c r="U903" s="139"/>
      <c r="V903" s="139"/>
      <c r="W903" s="111"/>
      <c r="X903" s="139"/>
      <c r="Y903" s="139"/>
    </row>
    <row r="904" ht="15.75" customHeight="1">
      <c r="A904" s="144"/>
      <c r="B904" s="139"/>
      <c r="C904" s="139"/>
      <c r="D904" s="145"/>
      <c r="E904" s="139"/>
      <c r="F904" s="139"/>
      <c r="G904" s="139"/>
      <c r="H904" s="139"/>
      <c r="I904" s="139"/>
      <c r="J904" s="139"/>
      <c r="K904" s="139"/>
      <c r="L904" s="139"/>
      <c r="M904" s="145"/>
      <c r="N904" s="139"/>
      <c r="O904" s="139"/>
      <c r="P904" s="139"/>
      <c r="Q904" s="146"/>
      <c r="R904" s="139"/>
      <c r="S904" s="139"/>
      <c r="T904" s="139"/>
      <c r="U904" s="139"/>
      <c r="V904" s="139"/>
      <c r="W904" s="111"/>
      <c r="X904" s="139"/>
      <c r="Y904" s="139"/>
    </row>
    <row r="905" ht="15.75" customHeight="1">
      <c r="A905" s="144"/>
      <c r="B905" s="139"/>
      <c r="C905" s="139"/>
      <c r="D905" s="145"/>
      <c r="E905" s="139"/>
      <c r="F905" s="139"/>
      <c r="G905" s="139"/>
      <c r="H905" s="139"/>
      <c r="I905" s="139"/>
      <c r="J905" s="139"/>
      <c r="K905" s="139"/>
      <c r="L905" s="139"/>
      <c r="M905" s="145"/>
      <c r="N905" s="139"/>
      <c r="O905" s="139"/>
      <c r="P905" s="139"/>
      <c r="Q905" s="146"/>
      <c r="R905" s="139"/>
      <c r="S905" s="139"/>
      <c r="T905" s="139"/>
      <c r="U905" s="139"/>
      <c r="V905" s="139"/>
      <c r="W905" s="111"/>
      <c r="X905" s="139"/>
      <c r="Y905" s="139"/>
    </row>
    <row r="906" ht="15.75" customHeight="1">
      <c r="A906" s="144"/>
      <c r="B906" s="139"/>
      <c r="C906" s="139"/>
      <c r="D906" s="145"/>
      <c r="E906" s="139"/>
      <c r="F906" s="139"/>
      <c r="G906" s="139"/>
      <c r="H906" s="139"/>
      <c r="I906" s="139"/>
      <c r="J906" s="139"/>
      <c r="K906" s="139"/>
      <c r="L906" s="139"/>
      <c r="M906" s="145"/>
      <c r="N906" s="139"/>
      <c r="O906" s="139"/>
      <c r="P906" s="139"/>
      <c r="Q906" s="146"/>
      <c r="R906" s="139"/>
      <c r="S906" s="139"/>
      <c r="T906" s="139"/>
      <c r="U906" s="139"/>
      <c r="V906" s="139"/>
      <c r="W906" s="111"/>
      <c r="X906" s="139"/>
      <c r="Y906" s="139"/>
    </row>
    <row r="907" ht="15.75" customHeight="1">
      <c r="A907" s="144"/>
      <c r="B907" s="139"/>
      <c r="C907" s="139"/>
      <c r="D907" s="145"/>
      <c r="E907" s="139"/>
      <c r="F907" s="139"/>
      <c r="G907" s="139"/>
      <c r="H907" s="139"/>
      <c r="I907" s="139"/>
      <c r="J907" s="139"/>
      <c r="K907" s="139"/>
      <c r="L907" s="139"/>
      <c r="M907" s="145"/>
      <c r="N907" s="139"/>
      <c r="O907" s="139"/>
      <c r="P907" s="139"/>
      <c r="Q907" s="146"/>
      <c r="R907" s="139"/>
      <c r="S907" s="139"/>
      <c r="T907" s="139"/>
      <c r="U907" s="139"/>
      <c r="V907" s="139"/>
      <c r="W907" s="111"/>
      <c r="X907" s="139"/>
      <c r="Y907" s="139"/>
    </row>
    <row r="908" ht="15.75" customHeight="1">
      <c r="A908" s="144"/>
      <c r="B908" s="139"/>
      <c r="C908" s="139"/>
      <c r="D908" s="145"/>
      <c r="E908" s="139"/>
      <c r="F908" s="139"/>
      <c r="G908" s="139"/>
      <c r="H908" s="139"/>
      <c r="I908" s="139"/>
      <c r="J908" s="139"/>
      <c r="K908" s="139"/>
      <c r="L908" s="139"/>
      <c r="M908" s="145"/>
      <c r="N908" s="139"/>
      <c r="O908" s="139"/>
      <c r="P908" s="139"/>
      <c r="Q908" s="146"/>
      <c r="R908" s="139"/>
      <c r="S908" s="139"/>
      <c r="T908" s="139"/>
      <c r="U908" s="139"/>
      <c r="V908" s="139"/>
      <c r="W908" s="111"/>
      <c r="X908" s="139"/>
      <c r="Y908" s="139"/>
    </row>
    <row r="909" ht="15.75" customHeight="1">
      <c r="A909" s="144"/>
      <c r="B909" s="139"/>
      <c r="C909" s="139"/>
      <c r="D909" s="145"/>
      <c r="E909" s="139"/>
      <c r="F909" s="139"/>
      <c r="G909" s="139"/>
      <c r="H909" s="139"/>
      <c r="I909" s="139"/>
      <c r="J909" s="139"/>
      <c r="K909" s="139"/>
      <c r="L909" s="139"/>
      <c r="M909" s="145"/>
      <c r="N909" s="139"/>
      <c r="O909" s="139"/>
      <c r="P909" s="139"/>
      <c r="Q909" s="146"/>
      <c r="R909" s="139"/>
      <c r="S909" s="139"/>
      <c r="T909" s="139"/>
      <c r="U909" s="139"/>
      <c r="V909" s="139"/>
      <c r="W909" s="111"/>
      <c r="X909" s="139"/>
      <c r="Y909" s="139"/>
    </row>
    <row r="910" ht="15.75" customHeight="1">
      <c r="A910" s="144"/>
      <c r="B910" s="139"/>
      <c r="C910" s="139"/>
      <c r="D910" s="145"/>
      <c r="E910" s="139"/>
      <c r="F910" s="139"/>
      <c r="G910" s="139"/>
      <c r="H910" s="139"/>
      <c r="I910" s="139"/>
      <c r="J910" s="139"/>
      <c r="K910" s="139"/>
      <c r="L910" s="139"/>
      <c r="M910" s="145"/>
      <c r="N910" s="139"/>
      <c r="O910" s="139"/>
      <c r="P910" s="139"/>
      <c r="Q910" s="146"/>
      <c r="R910" s="139"/>
      <c r="S910" s="139"/>
      <c r="T910" s="139"/>
      <c r="U910" s="139"/>
      <c r="V910" s="139"/>
      <c r="W910" s="111"/>
      <c r="X910" s="139"/>
      <c r="Y910" s="139"/>
    </row>
    <row r="911" ht="15.75" customHeight="1">
      <c r="A911" s="144"/>
      <c r="B911" s="139"/>
      <c r="C911" s="139"/>
      <c r="D911" s="145"/>
      <c r="E911" s="139"/>
      <c r="F911" s="139"/>
      <c r="G911" s="139"/>
      <c r="H911" s="139"/>
      <c r="I911" s="139"/>
      <c r="J911" s="139"/>
      <c r="K911" s="139"/>
      <c r="L911" s="139"/>
      <c r="M911" s="145"/>
      <c r="N911" s="139"/>
      <c r="O911" s="139"/>
      <c r="P911" s="139"/>
      <c r="Q911" s="146"/>
      <c r="R911" s="139"/>
      <c r="S911" s="139"/>
      <c r="T911" s="139"/>
      <c r="U911" s="139"/>
      <c r="V911" s="139"/>
      <c r="W911" s="111"/>
      <c r="X911" s="139"/>
      <c r="Y911" s="139"/>
    </row>
    <row r="912" ht="15.75" customHeight="1">
      <c r="A912" s="144"/>
      <c r="B912" s="139"/>
      <c r="C912" s="139"/>
      <c r="D912" s="145"/>
      <c r="E912" s="139"/>
      <c r="F912" s="139"/>
      <c r="G912" s="139"/>
      <c r="H912" s="139"/>
      <c r="I912" s="139"/>
      <c r="J912" s="139"/>
      <c r="K912" s="139"/>
      <c r="L912" s="139"/>
      <c r="M912" s="145"/>
      <c r="N912" s="139"/>
      <c r="O912" s="139"/>
      <c r="P912" s="139"/>
      <c r="Q912" s="146"/>
      <c r="R912" s="139"/>
      <c r="S912" s="139"/>
      <c r="T912" s="139"/>
      <c r="U912" s="139"/>
      <c r="V912" s="139"/>
      <c r="W912" s="111"/>
      <c r="X912" s="139"/>
      <c r="Y912" s="139"/>
    </row>
    <row r="913" ht="15.75" customHeight="1">
      <c r="A913" s="144"/>
      <c r="B913" s="139"/>
      <c r="C913" s="139"/>
      <c r="D913" s="145"/>
      <c r="E913" s="139"/>
      <c r="F913" s="139"/>
      <c r="G913" s="139"/>
      <c r="H913" s="139"/>
      <c r="I913" s="139"/>
      <c r="J913" s="139"/>
      <c r="K913" s="139"/>
      <c r="L913" s="139"/>
      <c r="M913" s="145"/>
      <c r="N913" s="139"/>
      <c r="O913" s="139"/>
      <c r="P913" s="139"/>
      <c r="Q913" s="146"/>
      <c r="R913" s="139"/>
      <c r="S913" s="139"/>
      <c r="T913" s="139"/>
      <c r="U913" s="139"/>
      <c r="V913" s="139"/>
      <c r="W913" s="111"/>
      <c r="X913" s="139"/>
      <c r="Y913" s="139"/>
    </row>
    <row r="914" ht="15.75" customHeight="1">
      <c r="A914" s="144"/>
      <c r="B914" s="139"/>
      <c r="C914" s="139"/>
      <c r="D914" s="145"/>
      <c r="E914" s="139"/>
      <c r="F914" s="139"/>
      <c r="G914" s="139"/>
      <c r="H914" s="139"/>
      <c r="I914" s="139"/>
      <c r="J914" s="139"/>
      <c r="K914" s="139"/>
      <c r="L914" s="139"/>
      <c r="M914" s="145"/>
      <c r="N914" s="139"/>
      <c r="O914" s="139"/>
      <c r="P914" s="139"/>
      <c r="Q914" s="146"/>
      <c r="R914" s="139"/>
      <c r="S914" s="139"/>
      <c r="T914" s="139"/>
      <c r="U914" s="139"/>
      <c r="V914" s="139"/>
      <c r="W914" s="111"/>
      <c r="X914" s="139"/>
      <c r="Y914" s="139"/>
    </row>
    <row r="915" ht="15.75" customHeight="1">
      <c r="A915" s="144"/>
      <c r="B915" s="139"/>
      <c r="C915" s="139"/>
      <c r="D915" s="145"/>
      <c r="E915" s="139"/>
      <c r="F915" s="139"/>
      <c r="G915" s="139"/>
      <c r="H915" s="139"/>
      <c r="I915" s="139"/>
      <c r="J915" s="139"/>
      <c r="K915" s="139"/>
      <c r="L915" s="139"/>
      <c r="M915" s="145"/>
      <c r="N915" s="139"/>
      <c r="O915" s="139"/>
      <c r="P915" s="139"/>
      <c r="Q915" s="146"/>
      <c r="R915" s="139"/>
      <c r="S915" s="139"/>
      <c r="T915" s="139"/>
      <c r="U915" s="139"/>
      <c r="V915" s="139"/>
      <c r="W915" s="111"/>
      <c r="X915" s="139"/>
      <c r="Y915" s="139"/>
    </row>
    <row r="916" ht="15.75" customHeight="1">
      <c r="A916" s="144"/>
      <c r="B916" s="139"/>
      <c r="C916" s="139"/>
      <c r="D916" s="145"/>
      <c r="E916" s="139"/>
      <c r="F916" s="139"/>
      <c r="G916" s="139"/>
      <c r="H916" s="139"/>
      <c r="I916" s="139"/>
      <c r="J916" s="139"/>
      <c r="K916" s="139"/>
      <c r="L916" s="139"/>
      <c r="M916" s="145"/>
      <c r="N916" s="139"/>
      <c r="O916" s="139"/>
      <c r="P916" s="139"/>
      <c r="Q916" s="146"/>
      <c r="R916" s="139"/>
      <c r="S916" s="139"/>
      <c r="T916" s="139"/>
      <c r="U916" s="139"/>
      <c r="V916" s="139"/>
      <c r="W916" s="111"/>
      <c r="X916" s="139"/>
      <c r="Y916" s="139"/>
    </row>
    <row r="917" ht="15.75" customHeight="1">
      <c r="A917" s="144"/>
      <c r="B917" s="139"/>
      <c r="C917" s="139"/>
      <c r="D917" s="145"/>
      <c r="E917" s="139"/>
      <c r="F917" s="139"/>
      <c r="G917" s="139"/>
      <c r="H917" s="139"/>
      <c r="I917" s="139"/>
      <c r="J917" s="139"/>
      <c r="K917" s="139"/>
      <c r="L917" s="139"/>
      <c r="M917" s="145"/>
      <c r="N917" s="139"/>
      <c r="O917" s="139"/>
      <c r="P917" s="139"/>
      <c r="Q917" s="146"/>
      <c r="R917" s="139"/>
      <c r="S917" s="139"/>
      <c r="T917" s="139"/>
      <c r="U917" s="139"/>
      <c r="V917" s="139"/>
      <c r="W917" s="111"/>
      <c r="X917" s="139"/>
      <c r="Y917" s="139"/>
    </row>
    <row r="918" ht="15.75" customHeight="1">
      <c r="A918" s="144"/>
      <c r="B918" s="139"/>
      <c r="C918" s="139"/>
      <c r="D918" s="145"/>
      <c r="E918" s="139"/>
      <c r="F918" s="139"/>
      <c r="G918" s="139"/>
      <c r="H918" s="139"/>
      <c r="I918" s="139"/>
      <c r="J918" s="139"/>
      <c r="K918" s="139"/>
      <c r="L918" s="139"/>
      <c r="M918" s="145"/>
      <c r="N918" s="139"/>
      <c r="O918" s="139"/>
      <c r="P918" s="139"/>
      <c r="Q918" s="146"/>
      <c r="R918" s="139"/>
      <c r="S918" s="139"/>
      <c r="T918" s="139"/>
      <c r="U918" s="139"/>
      <c r="V918" s="139"/>
      <c r="W918" s="111"/>
      <c r="X918" s="139"/>
      <c r="Y918" s="139"/>
    </row>
    <row r="919" ht="15.75" customHeight="1">
      <c r="A919" s="144"/>
      <c r="B919" s="139"/>
      <c r="C919" s="139"/>
      <c r="D919" s="145"/>
      <c r="E919" s="139"/>
      <c r="F919" s="139"/>
      <c r="G919" s="139"/>
      <c r="H919" s="139"/>
      <c r="I919" s="139"/>
      <c r="J919" s="139"/>
      <c r="K919" s="139"/>
      <c r="L919" s="139"/>
      <c r="M919" s="145"/>
      <c r="N919" s="139"/>
      <c r="O919" s="139"/>
      <c r="P919" s="139"/>
      <c r="Q919" s="146"/>
      <c r="R919" s="139"/>
      <c r="S919" s="139"/>
      <c r="T919" s="139"/>
      <c r="U919" s="139"/>
      <c r="V919" s="139"/>
      <c r="W919" s="111"/>
      <c r="X919" s="139"/>
      <c r="Y919" s="139"/>
    </row>
    <row r="920" ht="15.75" customHeight="1">
      <c r="A920" s="144"/>
      <c r="B920" s="139"/>
      <c r="C920" s="139"/>
      <c r="D920" s="145"/>
      <c r="E920" s="139"/>
      <c r="F920" s="139"/>
      <c r="G920" s="139"/>
      <c r="H920" s="139"/>
      <c r="I920" s="139"/>
      <c r="J920" s="139"/>
      <c r="K920" s="139"/>
      <c r="L920" s="139"/>
      <c r="M920" s="145"/>
      <c r="N920" s="139"/>
      <c r="O920" s="139"/>
      <c r="P920" s="139"/>
      <c r="Q920" s="146"/>
      <c r="R920" s="139"/>
      <c r="S920" s="139"/>
      <c r="T920" s="139"/>
      <c r="U920" s="139"/>
      <c r="V920" s="139"/>
      <c r="W920" s="111"/>
      <c r="X920" s="139"/>
      <c r="Y920" s="139"/>
    </row>
    <row r="921" ht="15.75" customHeight="1">
      <c r="A921" s="144"/>
      <c r="B921" s="139"/>
      <c r="C921" s="139"/>
      <c r="D921" s="145"/>
      <c r="E921" s="139"/>
      <c r="F921" s="139"/>
      <c r="G921" s="139"/>
      <c r="H921" s="139"/>
      <c r="I921" s="139"/>
      <c r="J921" s="139"/>
      <c r="K921" s="139"/>
      <c r="L921" s="139"/>
      <c r="M921" s="145"/>
      <c r="N921" s="139"/>
      <c r="O921" s="139"/>
      <c r="P921" s="139"/>
      <c r="Q921" s="146"/>
      <c r="R921" s="139"/>
      <c r="S921" s="139"/>
      <c r="T921" s="139"/>
      <c r="U921" s="139"/>
      <c r="V921" s="139"/>
      <c r="W921" s="111"/>
      <c r="X921" s="139"/>
      <c r="Y921" s="139"/>
    </row>
    <row r="922" ht="15.75" customHeight="1">
      <c r="A922" s="144"/>
      <c r="B922" s="139"/>
      <c r="C922" s="139"/>
      <c r="D922" s="145"/>
      <c r="E922" s="139"/>
      <c r="F922" s="139"/>
      <c r="G922" s="139"/>
      <c r="H922" s="139"/>
      <c r="I922" s="139"/>
      <c r="J922" s="139"/>
      <c r="K922" s="139"/>
      <c r="L922" s="139"/>
      <c r="M922" s="145"/>
      <c r="N922" s="139"/>
      <c r="O922" s="139"/>
      <c r="P922" s="139"/>
      <c r="Q922" s="146"/>
      <c r="R922" s="139"/>
      <c r="S922" s="139"/>
      <c r="T922" s="139"/>
      <c r="U922" s="139"/>
      <c r="V922" s="139"/>
      <c r="W922" s="111"/>
      <c r="X922" s="139"/>
      <c r="Y922" s="139"/>
    </row>
    <row r="923" ht="15.75" customHeight="1">
      <c r="A923" s="144"/>
      <c r="B923" s="139"/>
      <c r="C923" s="139"/>
      <c r="D923" s="145"/>
      <c r="E923" s="139"/>
      <c r="F923" s="139"/>
      <c r="G923" s="139"/>
      <c r="H923" s="139"/>
      <c r="I923" s="139"/>
      <c r="J923" s="139"/>
      <c r="K923" s="139"/>
      <c r="L923" s="139"/>
      <c r="M923" s="145"/>
      <c r="N923" s="139"/>
      <c r="O923" s="139"/>
      <c r="P923" s="139"/>
      <c r="Q923" s="146"/>
      <c r="R923" s="139"/>
      <c r="S923" s="139"/>
      <c r="T923" s="139"/>
      <c r="U923" s="139"/>
      <c r="V923" s="139"/>
      <c r="W923" s="111"/>
      <c r="X923" s="139"/>
      <c r="Y923" s="139"/>
    </row>
    <row r="924" ht="15.75" customHeight="1">
      <c r="A924" s="144"/>
      <c r="B924" s="139"/>
      <c r="C924" s="139"/>
      <c r="D924" s="145"/>
      <c r="E924" s="139"/>
      <c r="F924" s="139"/>
      <c r="G924" s="139"/>
      <c r="H924" s="139"/>
      <c r="I924" s="139"/>
      <c r="J924" s="139"/>
      <c r="K924" s="139"/>
      <c r="L924" s="139"/>
      <c r="M924" s="145"/>
      <c r="N924" s="139"/>
      <c r="O924" s="139"/>
      <c r="P924" s="139"/>
      <c r="Q924" s="146"/>
      <c r="R924" s="139"/>
      <c r="S924" s="139"/>
      <c r="T924" s="139"/>
      <c r="U924" s="139"/>
      <c r="V924" s="139"/>
      <c r="W924" s="111"/>
      <c r="X924" s="139"/>
      <c r="Y924" s="139"/>
    </row>
    <row r="925" ht="15.75" customHeight="1">
      <c r="A925" s="144"/>
      <c r="B925" s="139"/>
      <c r="C925" s="139"/>
      <c r="D925" s="145"/>
      <c r="E925" s="139"/>
      <c r="F925" s="139"/>
      <c r="G925" s="139"/>
      <c r="H925" s="139"/>
      <c r="I925" s="139"/>
      <c r="J925" s="139"/>
      <c r="K925" s="139"/>
      <c r="L925" s="139"/>
      <c r="M925" s="145"/>
      <c r="N925" s="139"/>
      <c r="O925" s="139"/>
      <c r="P925" s="139"/>
      <c r="Q925" s="146"/>
      <c r="R925" s="139"/>
      <c r="S925" s="139"/>
      <c r="T925" s="139"/>
      <c r="U925" s="139"/>
      <c r="V925" s="139"/>
      <c r="W925" s="111"/>
      <c r="X925" s="139"/>
      <c r="Y925" s="139"/>
    </row>
    <row r="926" ht="15.75" customHeight="1">
      <c r="A926" s="144"/>
      <c r="B926" s="139"/>
      <c r="C926" s="139"/>
      <c r="D926" s="145"/>
      <c r="E926" s="139"/>
      <c r="F926" s="139"/>
      <c r="G926" s="139"/>
      <c r="H926" s="139"/>
      <c r="I926" s="139"/>
      <c r="J926" s="139"/>
      <c r="K926" s="139"/>
      <c r="L926" s="139"/>
      <c r="M926" s="145"/>
      <c r="N926" s="139"/>
      <c r="O926" s="139"/>
      <c r="P926" s="139"/>
      <c r="Q926" s="146"/>
      <c r="R926" s="139"/>
      <c r="S926" s="139"/>
      <c r="T926" s="139"/>
      <c r="U926" s="139"/>
      <c r="V926" s="139"/>
      <c r="W926" s="111"/>
      <c r="X926" s="139"/>
      <c r="Y926" s="139"/>
    </row>
    <row r="927" ht="15.75" customHeight="1">
      <c r="A927" s="144"/>
      <c r="B927" s="139"/>
      <c r="C927" s="139"/>
      <c r="D927" s="145"/>
      <c r="E927" s="139"/>
      <c r="F927" s="139"/>
      <c r="G927" s="139"/>
      <c r="H927" s="139"/>
      <c r="I927" s="139"/>
      <c r="J927" s="139"/>
      <c r="K927" s="139"/>
      <c r="L927" s="139"/>
      <c r="M927" s="145"/>
      <c r="N927" s="139"/>
      <c r="O927" s="139"/>
      <c r="P927" s="139"/>
      <c r="Q927" s="146"/>
      <c r="R927" s="139"/>
      <c r="S927" s="139"/>
      <c r="T927" s="139"/>
      <c r="U927" s="139"/>
      <c r="V927" s="139"/>
      <c r="W927" s="111"/>
      <c r="X927" s="139"/>
      <c r="Y927" s="139"/>
    </row>
    <row r="928" ht="15.75" customHeight="1">
      <c r="A928" s="144"/>
      <c r="B928" s="139"/>
      <c r="C928" s="139"/>
      <c r="D928" s="145"/>
      <c r="E928" s="139"/>
      <c r="F928" s="139"/>
      <c r="G928" s="139"/>
      <c r="H928" s="139"/>
      <c r="I928" s="139"/>
      <c r="J928" s="139"/>
      <c r="K928" s="139"/>
      <c r="L928" s="139"/>
      <c r="M928" s="145"/>
      <c r="N928" s="139"/>
      <c r="O928" s="139"/>
      <c r="P928" s="139"/>
      <c r="Q928" s="146"/>
      <c r="R928" s="139"/>
      <c r="S928" s="139"/>
      <c r="T928" s="139"/>
      <c r="U928" s="139"/>
      <c r="V928" s="139"/>
      <c r="W928" s="111"/>
      <c r="X928" s="139"/>
      <c r="Y928" s="139"/>
    </row>
    <row r="929" ht="15.75" customHeight="1">
      <c r="A929" s="144"/>
      <c r="B929" s="139"/>
      <c r="C929" s="139"/>
      <c r="D929" s="145"/>
      <c r="E929" s="139"/>
      <c r="F929" s="139"/>
      <c r="G929" s="139"/>
      <c r="H929" s="139"/>
      <c r="I929" s="139"/>
      <c r="J929" s="139"/>
      <c r="K929" s="139"/>
      <c r="L929" s="139"/>
      <c r="M929" s="145"/>
      <c r="N929" s="139"/>
      <c r="O929" s="139"/>
      <c r="P929" s="139"/>
      <c r="Q929" s="146"/>
      <c r="R929" s="139"/>
      <c r="S929" s="139"/>
      <c r="T929" s="139"/>
      <c r="U929" s="139"/>
      <c r="V929" s="139"/>
      <c r="W929" s="111"/>
      <c r="X929" s="139"/>
      <c r="Y929" s="139"/>
    </row>
    <row r="930" ht="15.75" customHeight="1">
      <c r="A930" s="144"/>
      <c r="B930" s="139"/>
      <c r="C930" s="139"/>
      <c r="D930" s="145"/>
      <c r="E930" s="139"/>
      <c r="F930" s="139"/>
      <c r="G930" s="139"/>
      <c r="H930" s="139"/>
      <c r="I930" s="139"/>
      <c r="J930" s="139"/>
      <c r="K930" s="139"/>
      <c r="L930" s="139"/>
      <c r="M930" s="145"/>
      <c r="N930" s="139"/>
      <c r="O930" s="139"/>
      <c r="P930" s="139"/>
      <c r="Q930" s="146"/>
      <c r="R930" s="139"/>
      <c r="S930" s="139"/>
      <c r="T930" s="139"/>
      <c r="U930" s="139"/>
      <c r="V930" s="139"/>
      <c r="W930" s="111"/>
      <c r="X930" s="139"/>
      <c r="Y930" s="139"/>
    </row>
    <row r="931" ht="15.75" customHeight="1">
      <c r="A931" s="144"/>
      <c r="B931" s="139"/>
      <c r="C931" s="139"/>
      <c r="D931" s="145"/>
      <c r="E931" s="139"/>
      <c r="F931" s="139"/>
      <c r="G931" s="139"/>
      <c r="H931" s="139"/>
      <c r="I931" s="139"/>
      <c r="J931" s="139"/>
      <c r="K931" s="139"/>
      <c r="L931" s="139"/>
      <c r="M931" s="145"/>
      <c r="N931" s="139"/>
      <c r="O931" s="139"/>
      <c r="P931" s="139"/>
      <c r="Q931" s="146"/>
      <c r="R931" s="139"/>
      <c r="S931" s="139"/>
      <c r="T931" s="139"/>
      <c r="U931" s="139"/>
      <c r="V931" s="139"/>
      <c r="W931" s="111"/>
      <c r="X931" s="139"/>
      <c r="Y931" s="139"/>
    </row>
    <row r="932" ht="15.75" customHeight="1">
      <c r="A932" s="144"/>
      <c r="B932" s="139"/>
      <c r="C932" s="139"/>
      <c r="D932" s="145"/>
      <c r="E932" s="139"/>
      <c r="F932" s="139"/>
      <c r="G932" s="139"/>
      <c r="H932" s="139"/>
      <c r="I932" s="139"/>
      <c r="J932" s="139"/>
      <c r="K932" s="139"/>
      <c r="L932" s="139"/>
      <c r="M932" s="145"/>
      <c r="N932" s="139"/>
      <c r="O932" s="139"/>
      <c r="P932" s="139"/>
      <c r="Q932" s="146"/>
      <c r="R932" s="139"/>
      <c r="S932" s="139"/>
      <c r="T932" s="139"/>
      <c r="U932" s="139"/>
      <c r="V932" s="139"/>
      <c r="W932" s="111"/>
      <c r="X932" s="139"/>
      <c r="Y932" s="139"/>
    </row>
    <row r="933" ht="15.75" customHeight="1">
      <c r="A933" s="144"/>
      <c r="B933" s="139"/>
      <c r="C933" s="139"/>
      <c r="D933" s="145"/>
      <c r="E933" s="139"/>
      <c r="F933" s="139"/>
      <c r="G933" s="139"/>
      <c r="H933" s="139"/>
      <c r="I933" s="139"/>
      <c r="J933" s="139"/>
      <c r="K933" s="139"/>
      <c r="L933" s="139"/>
      <c r="M933" s="145"/>
      <c r="N933" s="139"/>
      <c r="O933" s="139"/>
      <c r="P933" s="139"/>
      <c r="Q933" s="146"/>
      <c r="R933" s="139"/>
      <c r="S933" s="139"/>
      <c r="T933" s="139"/>
      <c r="U933" s="139"/>
      <c r="V933" s="139"/>
      <c r="W933" s="111"/>
      <c r="X933" s="139"/>
      <c r="Y933" s="139"/>
    </row>
    <row r="934" ht="15.75" customHeight="1">
      <c r="A934" s="144"/>
      <c r="B934" s="139"/>
      <c r="C934" s="139"/>
      <c r="D934" s="145"/>
      <c r="E934" s="139"/>
      <c r="F934" s="139"/>
      <c r="G934" s="139"/>
      <c r="H934" s="139"/>
      <c r="I934" s="139"/>
      <c r="J934" s="139"/>
      <c r="K934" s="139"/>
      <c r="L934" s="139"/>
      <c r="M934" s="145"/>
      <c r="N934" s="139"/>
      <c r="O934" s="139"/>
      <c r="P934" s="139"/>
      <c r="Q934" s="146"/>
      <c r="R934" s="139"/>
      <c r="S934" s="139"/>
      <c r="T934" s="139"/>
      <c r="U934" s="139"/>
      <c r="V934" s="139"/>
      <c r="W934" s="111"/>
      <c r="X934" s="139"/>
      <c r="Y934" s="139"/>
    </row>
    <row r="935" ht="15.75" customHeight="1">
      <c r="A935" s="144"/>
      <c r="B935" s="139"/>
      <c r="C935" s="139"/>
      <c r="D935" s="145"/>
      <c r="E935" s="139"/>
      <c r="F935" s="139"/>
      <c r="G935" s="139"/>
      <c r="H935" s="139"/>
      <c r="I935" s="139"/>
      <c r="J935" s="139"/>
      <c r="K935" s="139"/>
      <c r="L935" s="139"/>
      <c r="M935" s="145"/>
      <c r="N935" s="139"/>
      <c r="O935" s="139"/>
      <c r="P935" s="139"/>
      <c r="Q935" s="146"/>
      <c r="R935" s="139"/>
      <c r="S935" s="139"/>
      <c r="T935" s="139"/>
      <c r="U935" s="139"/>
      <c r="V935" s="139"/>
      <c r="W935" s="111"/>
      <c r="X935" s="139"/>
      <c r="Y935" s="139"/>
    </row>
    <row r="936" ht="15.75" customHeight="1">
      <c r="A936" s="144"/>
      <c r="B936" s="139"/>
      <c r="C936" s="139"/>
      <c r="D936" s="145"/>
      <c r="E936" s="139"/>
      <c r="F936" s="139"/>
      <c r="G936" s="139"/>
      <c r="H936" s="139"/>
      <c r="I936" s="139"/>
      <c r="J936" s="139"/>
      <c r="K936" s="139"/>
      <c r="L936" s="139"/>
      <c r="M936" s="145"/>
      <c r="N936" s="139"/>
      <c r="O936" s="139"/>
      <c r="P936" s="139"/>
      <c r="Q936" s="146"/>
      <c r="R936" s="139"/>
      <c r="S936" s="139"/>
      <c r="T936" s="139"/>
      <c r="U936" s="139"/>
      <c r="V936" s="139"/>
      <c r="W936" s="111"/>
      <c r="X936" s="139"/>
      <c r="Y936" s="139"/>
    </row>
    <row r="937" ht="15.75" customHeight="1">
      <c r="A937" s="144"/>
      <c r="B937" s="139"/>
      <c r="C937" s="139"/>
      <c r="D937" s="145"/>
      <c r="E937" s="139"/>
      <c r="F937" s="139"/>
      <c r="G937" s="139"/>
      <c r="H937" s="139"/>
      <c r="I937" s="139"/>
      <c r="J937" s="139"/>
      <c r="K937" s="139"/>
      <c r="L937" s="139"/>
      <c r="M937" s="145"/>
      <c r="N937" s="139"/>
      <c r="O937" s="139"/>
      <c r="P937" s="139"/>
      <c r="Q937" s="146"/>
      <c r="R937" s="139"/>
      <c r="S937" s="139"/>
      <c r="T937" s="139"/>
      <c r="U937" s="139"/>
      <c r="V937" s="139"/>
      <c r="W937" s="111"/>
      <c r="X937" s="139"/>
      <c r="Y937" s="139"/>
    </row>
    <row r="938" ht="15.75" customHeight="1">
      <c r="A938" s="144"/>
      <c r="B938" s="139"/>
      <c r="C938" s="139"/>
      <c r="D938" s="145"/>
      <c r="E938" s="139"/>
      <c r="F938" s="139"/>
      <c r="G938" s="139"/>
      <c r="H938" s="139"/>
      <c r="I938" s="139"/>
      <c r="J938" s="139"/>
      <c r="K938" s="139"/>
      <c r="L938" s="139"/>
      <c r="M938" s="145"/>
      <c r="N938" s="139"/>
      <c r="O938" s="139"/>
      <c r="P938" s="139"/>
      <c r="Q938" s="146"/>
      <c r="R938" s="139"/>
      <c r="S938" s="139"/>
      <c r="T938" s="139"/>
      <c r="U938" s="139"/>
      <c r="V938" s="139"/>
      <c r="W938" s="111"/>
      <c r="X938" s="139"/>
      <c r="Y938" s="139"/>
    </row>
    <row r="939" ht="15.75" customHeight="1">
      <c r="A939" s="144"/>
      <c r="B939" s="139"/>
      <c r="C939" s="139"/>
      <c r="D939" s="145"/>
      <c r="E939" s="139"/>
      <c r="F939" s="139"/>
      <c r="G939" s="139"/>
      <c r="H939" s="139"/>
      <c r="I939" s="139"/>
      <c r="J939" s="139"/>
      <c r="K939" s="139"/>
      <c r="L939" s="139"/>
      <c r="M939" s="145"/>
      <c r="N939" s="139"/>
      <c r="O939" s="139"/>
      <c r="P939" s="139"/>
      <c r="Q939" s="146"/>
      <c r="R939" s="139"/>
      <c r="S939" s="139"/>
      <c r="T939" s="139"/>
      <c r="U939" s="139"/>
      <c r="V939" s="139"/>
      <c r="W939" s="111"/>
      <c r="X939" s="139"/>
      <c r="Y939" s="139"/>
    </row>
    <row r="940" ht="15.75" customHeight="1">
      <c r="A940" s="144"/>
      <c r="B940" s="139"/>
      <c r="C940" s="139"/>
      <c r="D940" s="145"/>
      <c r="E940" s="139"/>
      <c r="F940" s="139"/>
      <c r="G940" s="139"/>
      <c r="H940" s="139"/>
      <c r="I940" s="139"/>
      <c r="J940" s="139"/>
      <c r="K940" s="139"/>
      <c r="L940" s="139"/>
      <c r="M940" s="145"/>
      <c r="N940" s="139"/>
      <c r="O940" s="139"/>
      <c r="P940" s="139"/>
      <c r="Q940" s="146"/>
      <c r="R940" s="139"/>
      <c r="S940" s="139"/>
      <c r="T940" s="139"/>
      <c r="U940" s="139"/>
      <c r="V940" s="139"/>
      <c r="W940" s="111"/>
      <c r="X940" s="139"/>
      <c r="Y940" s="139"/>
    </row>
    <row r="941" ht="15.75" customHeight="1">
      <c r="A941" s="144"/>
      <c r="B941" s="139"/>
      <c r="C941" s="139"/>
      <c r="D941" s="145"/>
      <c r="E941" s="139"/>
      <c r="F941" s="139"/>
      <c r="G941" s="139"/>
      <c r="H941" s="139"/>
      <c r="I941" s="139"/>
      <c r="J941" s="139"/>
      <c r="K941" s="139"/>
      <c r="L941" s="139"/>
      <c r="M941" s="145"/>
      <c r="N941" s="139"/>
      <c r="O941" s="139"/>
      <c r="P941" s="139"/>
      <c r="Q941" s="146"/>
      <c r="R941" s="139"/>
      <c r="S941" s="139"/>
      <c r="T941" s="139"/>
      <c r="U941" s="139"/>
      <c r="V941" s="139"/>
      <c r="W941" s="111"/>
      <c r="X941" s="139"/>
      <c r="Y941" s="139"/>
    </row>
    <row r="942" ht="15.75" customHeight="1">
      <c r="A942" s="144"/>
      <c r="B942" s="139"/>
      <c r="C942" s="139"/>
      <c r="D942" s="145"/>
      <c r="E942" s="139"/>
      <c r="F942" s="139"/>
      <c r="G942" s="139"/>
      <c r="H942" s="139"/>
      <c r="I942" s="139"/>
      <c r="J942" s="139"/>
      <c r="K942" s="139"/>
      <c r="L942" s="139"/>
      <c r="M942" s="145"/>
      <c r="N942" s="139"/>
      <c r="O942" s="139"/>
      <c r="P942" s="139"/>
      <c r="Q942" s="146"/>
      <c r="R942" s="139"/>
      <c r="S942" s="139"/>
      <c r="T942" s="139"/>
      <c r="U942" s="139"/>
      <c r="V942" s="139"/>
      <c r="W942" s="111"/>
      <c r="X942" s="139"/>
      <c r="Y942" s="139"/>
    </row>
    <row r="943" ht="15.75" customHeight="1">
      <c r="A943" s="144"/>
      <c r="B943" s="139"/>
      <c r="C943" s="139"/>
      <c r="D943" s="145"/>
      <c r="E943" s="139"/>
      <c r="F943" s="139"/>
      <c r="G943" s="139"/>
      <c r="H943" s="139"/>
      <c r="I943" s="139"/>
      <c r="J943" s="139"/>
      <c r="K943" s="139"/>
      <c r="L943" s="139"/>
      <c r="M943" s="145"/>
      <c r="N943" s="139"/>
      <c r="O943" s="139"/>
      <c r="P943" s="139"/>
      <c r="Q943" s="146"/>
      <c r="R943" s="139"/>
      <c r="S943" s="139"/>
      <c r="T943" s="139"/>
      <c r="U943" s="139"/>
      <c r="V943" s="139"/>
      <c r="W943" s="111"/>
      <c r="X943" s="139"/>
      <c r="Y943" s="139"/>
    </row>
    <row r="944" ht="15.75" customHeight="1">
      <c r="A944" s="144"/>
      <c r="B944" s="139"/>
      <c r="C944" s="139"/>
      <c r="D944" s="145"/>
      <c r="E944" s="139"/>
      <c r="F944" s="139"/>
      <c r="G944" s="139"/>
      <c r="H944" s="139"/>
      <c r="I944" s="139"/>
      <c r="J944" s="139"/>
      <c r="K944" s="139"/>
      <c r="L944" s="139"/>
      <c r="M944" s="145"/>
      <c r="N944" s="139"/>
      <c r="O944" s="139"/>
      <c r="P944" s="139"/>
      <c r="Q944" s="146"/>
      <c r="R944" s="139"/>
      <c r="S944" s="139"/>
      <c r="T944" s="139"/>
      <c r="U944" s="139"/>
      <c r="V944" s="139"/>
      <c r="W944" s="111"/>
      <c r="X944" s="139"/>
      <c r="Y944" s="139"/>
    </row>
    <row r="945" ht="15.75" customHeight="1">
      <c r="A945" s="144"/>
      <c r="B945" s="139"/>
      <c r="C945" s="139"/>
      <c r="D945" s="145"/>
      <c r="E945" s="139"/>
      <c r="F945" s="139"/>
      <c r="G945" s="139"/>
      <c r="H945" s="139"/>
      <c r="I945" s="139"/>
      <c r="J945" s="139"/>
      <c r="K945" s="139"/>
      <c r="L945" s="139"/>
      <c r="M945" s="145"/>
      <c r="N945" s="139"/>
      <c r="O945" s="139"/>
      <c r="P945" s="139"/>
      <c r="Q945" s="146"/>
      <c r="R945" s="139"/>
      <c r="S945" s="139"/>
      <c r="T945" s="139"/>
      <c r="U945" s="139"/>
      <c r="V945" s="139"/>
      <c r="W945" s="111"/>
      <c r="X945" s="139"/>
      <c r="Y945" s="139"/>
    </row>
    <row r="946" ht="15.75" customHeight="1">
      <c r="A946" s="144"/>
      <c r="B946" s="139"/>
      <c r="C946" s="139"/>
      <c r="D946" s="145"/>
      <c r="E946" s="139"/>
      <c r="F946" s="139"/>
      <c r="G946" s="139"/>
      <c r="H946" s="139"/>
      <c r="I946" s="139"/>
      <c r="J946" s="139"/>
      <c r="K946" s="139"/>
      <c r="L946" s="139"/>
      <c r="M946" s="145"/>
      <c r="N946" s="139"/>
      <c r="O946" s="139"/>
      <c r="P946" s="139"/>
      <c r="Q946" s="146"/>
      <c r="R946" s="139"/>
      <c r="S946" s="139"/>
      <c r="T946" s="139"/>
      <c r="U946" s="139"/>
      <c r="V946" s="139"/>
      <c r="W946" s="111"/>
      <c r="X946" s="139"/>
      <c r="Y946" s="139"/>
    </row>
    <row r="947" ht="15.75" customHeight="1">
      <c r="A947" s="144"/>
      <c r="B947" s="139"/>
      <c r="C947" s="139"/>
      <c r="D947" s="145"/>
      <c r="E947" s="139"/>
      <c r="F947" s="139"/>
      <c r="G947" s="139"/>
      <c r="H947" s="139"/>
      <c r="I947" s="139"/>
      <c r="J947" s="139"/>
      <c r="K947" s="139"/>
      <c r="L947" s="139"/>
      <c r="M947" s="145"/>
      <c r="N947" s="139"/>
      <c r="O947" s="139"/>
      <c r="P947" s="139"/>
      <c r="Q947" s="146"/>
      <c r="R947" s="139"/>
      <c r="S947" s="139"/>
      <c r="T947" s="139"/>
      <c r="U947" s="139"/>
      <c r="V947" s="139"/>
      <c r="W947" s="111"/>
      <c r="X947" s="139"/>
      <c r="Y947" s="139"/>
    </row>
    <row r="948" ht="15.75" customHeight="1">
      <c r="A948" s="144"/>
      <c r="B948" s="139"/>
      <c r="C948" s="139"/>
      <c r="D948" s="145"/>
      <c r="E948" s="139"/>
      <c r="F948" s="139"/>
      <c r="G948" s="139"/>
      <c r="H948" s="139"/>
      <c r="I948" s="139"/>
      <c r="J948" s="139"/>
      <c r="K948" s="139"/>
      <c r="L948" s="139"/>
      <c r="M948" s="145"/>
      <c r="N948" s="139"/>
      <c r="O948" s="139"/>
      <c r="P948" s="139"/>
      <c r="Q948" s="146"/>
      <c r="R948" s="139"/>
      <c r="S948" s="139"/>
      <c r="T948" s="139"/>
      <c r="U948" s="139"/>
      <c r="V948" s="139"/>
      <c r="W948" s="111"/>
      <c r="X948" s="139"/>
      <c r="Y948" s="139"/>
    </row>
    <row r="949" ht="15.75" customHeight="1">
      <c r="A949" s="144"/>
      <c r="B949" s="139"/>
      <c r="C949" s="139"/>
      <c r="D949" s="145"/>
      <c r="E949" s="139"/>
      <c r="F949" s="139"/>
      <c r="G949" s="139"/>
      <c r="H949" s="139"/>
      <c r="I949" s="139"/>
      <c r="J949" s="139"/>
      <c r="K949" s="139"/>
      <c r="L949" s="139"/>
      <c r="M949" s="145"/>
      <c r="N949" s="139"/>
      <c r="O949" s="139"/>
      <c r="P949" s="139"/>
      <c r="Q949" s="146"/>
      <c r="R949" s="139"/>
      <c r="S949" s="139"/>
      <c r="T949" s="139"/>
      <c r="U949" s="139"/>
      <c r="V949" s="139"/>
      <c r="W949" s="111"/>
      <c r="X949" s="139"/>
      <c r="Y949" s="139"/>
    </row>
    <row r="950" ht="15.75" customHeight="1">
      <c r="A950" s="144"/>
      <c r="B950" s="139"/>
      <c r="C950" s="139"/>
      <c r="D950" s="145"/>
      <c r="E950" s="139"/>
      <c r="F950" s="139"/>
      <c r="G950" s="139"/>
      <c r="H950" s="139"/>
      <c r="I950" s="139"/>
      <c r="J950" s="139"/>
      <c r="K950" s="139"/>
      <c r="L950" s="139"/>
      <c r="M950" s="145"/>
      <c r="N950" s="139"/>
      <c r="O950" s="139"/>
      <c r="P950" s="139"/>
      <c r="Q950" s="146"/>
      <c r="R950" s="139"/>
      <c r="S950" s="139"/>
      <c r="T950" s="139"/>
      <c r="U950" s="139"/>
      <c r="V950" s="139"/>
      <c r="W950" s="111"/>
      <c r="X950" s="139"/>
      <c r="Y950" s="139"/>
    </row>
    <row r="951" ht="15.75" customHeight="1">
      <c r="A951" s="144"/>
      <c r="B951" s="139"/>
      <c r="C951" s="139"/>
      <c r="D951" s="145"/>
      <c r="E951" s="139"/>
      <c r="F951" s="139"/>
      <c r="G951" s="139"/>
      <c r="H951" s="139"/>
      <c r="I951" s="139"/>
      <c r="J951" s="139"/>
      <c r="K951" s="139"/>
      <c r="L951" s="139"/>
      <c r="M951" s="145"/>
      <c r="N951" s="139"/>
      <c r="O951" s="139"/>
      <c r="P951" s="139"/>
      <c r="Q951" s="146"/>
      <c r="R951" s="139"/>
      <c r="S951" s="139"/>
      <c r="T951" s="139"/>
      <c r="U951" s="139"/>
      <c r="V951" s="139"/>
      <c r="W951" s="111"/>
      <c r="X951" s="139"/>
      <c r="Y951" s="139"/>
    </row>
    <row r="952" ht="15.75" customHeight="1">
      <c r="A952" s="144"/>
      <c r="B952" s="139"/>
      <c r="C952" s="139"/>
      <c r="D952" s="145"/>
      <c r="E952" s="139"/>
      <c r="F952" s="139"/>
      <c r="G952" s="139"/>
      <c r="H952" s="139"/>
      <c r="I952" s="139"/>
      <c r="J952" s="139"/>
      <c r="K952" s="139"/>
      <c r="L952" s="139"/>
      <c r="M952" s="145"/>
      <c r="N952" s="139"/>
      <c r="O952" s="139"/>
      <c r="P952" s="139"/>
      <c r="Q952" s="146"/>
      <c r="R952" s="139"/>
      <c r="S952" s="139"/>
      <c r="T952" s="139"/>
      <c r="U952" s="139"/>
      <c r="V952" s="139"/>
      <c r="W952" s="111"/>
      <c r="X952" s="139"/>
      <c r="Y952" s="139"/>
    </row>
    <row r="953" ht="15.75" customHeight="1">
      <c r="A953" s="144"/>
      <c r="B953" s="139"/>
      <c r="C953" s="139"/>
      <c r="D953" s="145"/>
      <c r="E953" s="139"/>
      <c r="F953" s="139"/>
      <c r="G953" s="139"/>
      <c r="H953" s="139"/>
      <c r="I953" s="139"/>
      <c r="J953" s="139"/>
      <c r="K953" s="139"/>
      <c r="L953" s="139"/>
      <c r="M953" s="145"/>
      <c r="N953" s="139"/>
      <c r="O953" s="139"/>
      <c r="P953" s="139"/>
      <c r="Q953" s="146"/>
      <c r="R953" s="139"/>
      <c r="S953" s="139"/>
      <c r="T953" s="139"/>
      <c r="U953" s="139"/>
      <c r="V953" s="139"/>
      <c r="W953" s="111"/>
      <c r="X953" s="139"/>
      <c r="Y953" s="139"/>
    </row>
    <row r="954" ht="15.75" customHeight="1">
      <c r="A954" s="144"/>
      <c r="B954" s="139"/>
      <c r="C954" s="139"/>
      <c r="D954" s="145"/>
      <c r="E954" s="139"/>
      <c r="F954" s="139"/>
      <c r="G954" s="139"/>
      <c r="H954" s="139"/>
      <c r="I954" s="139"/>
      <c r="J954" s="139"/>
      <c r="K954" s="139"/>
      <c r="L954" s="139"/>
      <c r="M954" s="145"/>
      <c r="N954" s="139"/>
      <c r="O954" s="139"/>
      <c r="P954" s="139"/>
      <c r="Q954" s="146"/>
      <c r="R954" s="139"/>
      <c r="S954" s="139"/>
      <c r="T954" s="139"/>
      <c r="U954" s="139"/>
      <c r="V954" s="139"/>
      <c r="W954" s="111"/>
      <c r="X954" s="139"/>
      <c r="Y954" s="139"/>
    </row>
    <row r="955" ht="15.75" customHeight="1">
      <c r="A955" s="144"/>
      <c r="B955" s="139"/>
      <c r="C955" s="139"/>
      <c r="D955" s="145"/>
      <c r="E955" s="139"/>
      <c r="F955" s="139"/>
      <c r="G955" s="139"/>
      <c r="H955" s="139"/>
      <c r="I955" s="139"/>
      <c r="J955" s="139"/>
      <c r="K955" s="139"/>
      <c r="L955" s="139"/>
      <c r="M955" s="145"/>
      <c r="N955" s="139"/>
      <c r="O955" s="139"/>
      <c r="P955" s="139"/>
      <c r="Q955" s="146"/>
      <c r="R955" s="139"/>
      <c r="S955" s="139"/>
      <c r="T955" s="139"/>
      <c r="U955" s="139"/>
      <c r="V955" s="139"/>
      <c r="W955" s="111"/>
      <c r="X955" s="139"/>
      <c r="Y955" s="139"/>
    </row>
    <row r="956" ht="15.75" customHeight="1">
      <c r="A956" s="144"/>
      <c r="B956" s="139"/>
      <c r="C956" s="139"/>
      <c r="D956" s="145"/>
      <c r="E956" s="139"/>
      <c r="F956" s="139"/>
      <c r="G956" s="139"/>
      <c r="H956" s="139"/>
      <c r="I956" s="139"/>
      <c r="J956" s="139"/>
      <c r="K956" s="139"/>
      <c r="L956" s="139"/>
      <c r="M956" s="145"/>
      <c r="N956" s="139"/>
      <c r="O956" s="139"/>
      <c r="P956" s="139"/>
      <c r="Q956" s="146"/>
      <c r="R956" s="139"/>
      <c r="S956" s="139"/>
      <c r="T956" s="139"/>
      <c r="U956" s="139"/>
      <c r="V956" s="139"/>
      <c r="W956" s="111"/>
      <c r="X956" s="139"/>
      <c r="Y956" s="139"/>
    </row>
    <row r="957" ht="15.75" customHeight="1">
      <c r="A957" s="144"/>
      <c r="B957" s="139"/>
      <c r="C957" s="139"/>
      <c r="D957" s="145"/>
      <c r="E957" s="139"/>
      <c r="F957" s="139"/>
      <c r="G957" s="139"/>
      <c r="H957" s="139"/>
      <c r="I957" s="139"/>
      <c r="J957" s="139"/>
      <c r="K957" s="139"/>
      <c r="L957" s="139"/>
      <c r="M957" s="145"/>
      <c r="N957" s="139"/>
      <c r="O957" s="139"/>
      <c r="P957" s="139"/>
      <c r="Q957" s="146"/>
      <c r="R957" s="139"/>
      <c r="S957" s="139"/>
      <c r="T957" s="139"/>
      <c r="U957" s="139"/>
      <c r="V957" s="139"/>
      <c r="W957" s="111"/>
      <c r="X957" s="139"/>
      <c r="Y957" s="139"/>
    </row>
    <row r="958" ht="15.75" customHeight="1">
      <c r="A958" s="144"/>
      <c r="B958" s="139"/>
      <c r="C958" s="139"/>
      <c r="D958" s="145"/>
      <c r="E958" s="139"/>
      <c r="F958" s="139"/>
      <c r="G958" s="139"/>
      <c r="H958" s="139"/>
      <c r="I958" s="139"/>
      <c r="J958" s="139"/>
      <c r="K958" s="139"/>
      <c r="L958" s="139"/>
      <c r="M958" s="145"/>
      <c r="N958" s="139"/>
      <c r="O958" s="139"/>
      <c r="P958" s="139"/>
      <c r="Q958" s="146"/>
      <c r="R958" s="139"/>
      <c r="S958" s="139"/>
      <c r="T958" s="139"/>
      <c r="U958" s="139"/>
      <c r="V958" s="139"/>
      <c r="W958" s="111"/>
      <c r="X958" s="139"/>
      <c r="Y958" s="139"/>
    </row>
    <row r="959" ht="15.75" customHeight="1">
      <c r="A959" s="144"/>
      <c r="B959" s="139"/>
      <c r="C959" s="139"/>
      <c r="D959" s="145"/>
      <c r="E959" s="139"/>
      <c r="F959" s="139"/>
      <c r="G959" s="139"/>
      <c r="H959" s="139"/>
      <c r="I959" s="139"/>
      <c r="J959" s="139"/>
      <c r="K959" s="139"/>
      <c r="L959" s="139"/>
      <c r="M959" s="145"/>
      <c r="N959" s="139"/>
      <c r="O959" s="139"/>
      <c r="P959" s="139"/>
      <c r="Q959" s="146"/>
      <c r="R959" s="139"/>
      <c r="S959" s="139"/>
      <c r="T959" s="139"/>
      <c r="U959" s="139"/>
      <c r="V959" s="139"/>
      <c r="W959" s="111"/>
      <c r="X959" s="139"/>
      <c r="Y959" s="139"/>
    </row>
    <row r="960" ht="15.75" customHeight="1">
      <c r="A960" s="144"/>
      <c r="B960" s="139"/>
      <c r="C960" s="139"/>
      <c r="D960" s="145"/>
      <c r="E960" s="139"/>
      <c r="F960" s="139"/>
      <c r="G960" s="139"/>
      <c r="H960" s="139"/>
      <c r="I960" s="139"/>
      <c r="J960" s="139"/>
      <c r="K960" s="139"/>
      <c r="L960" s="139"/>
      <c r="M960" s="145"/>
      <c r="N960" s="139"/>
      <c r="O960" s="139"/>
      <c r="P960" s="139"/>
      <c r="Q960" s="146"/>
      <c r="R960" s="139"/>
      <c r="S960" s="139"/>
      <c r="T960" s="139"/>
      <c r="U960" s="139"/>
      <c r="V960" s="139"/>
      <c r="W960" s="111"/>
      <c r="X960" s="139"/>
      <c r="Y960" s="139"/>
    </row>
    <row r="961" ht="15.75" customHeight="1">
      <c r="A961" s="144"/>
      <c r="B961" s="139"/>
      <c r="C961" s="139"/>
      <c r="D961" s="145"/>
      <c r="E961" s="139"/>
      <c r="F961" s="139"/>
      <c r="G961" s="139"/>
      <c r="H961" s="139"/>
      <c r="I961" s="139"/>
      <c r="J961" s="139"/>
      <c r="K961" s="139"/>
      <c r="L961" s="139"/>
      <c r="M961" s="145"/>
      <c r="N961" s="139"/>
      <c r="O961" s="139"/>
      <c r="P961" s="139"/>
      <c r="Q961" s="146"/>
      <c r="R961" s="139"/>
      <c r="S961" s="139"/>
      <c r="T961" s="139"/>
      <c r="U961" s="139"/>
      <c r="V961" s="139"/>
      <c r="W961" s="111"/>
      <c r="X961" s="139"/>
      <c r="Y961" s="139"/>
    </row>
    <row r="962" ht="15.75" customHeight="1">
      <c r="A962" s="144"/>
      <c r="B962" s="139"/>
      <c r="C962" s="139"/>
      <c r="D962" s="145"/>
      <c r="E962" s="139"/>
      <c r="F962" s="139"/>
      <c r="G962" s="139"/>
      <c r="H962" s="139"/>
      <c r="I962" s="139"/>
      <c r="J962" s="139"/>
      <c r="K962" s="139"/>
      <c r="L962" s="139"/>
      <c r="M962" s="145"/>
      <c r="N962" s="139"/>
      <c r="O962" s="139"/>
      <c r="P962" s="139"/>
      <c r="Q962" s="146"/>
      <c r="R962" s="139"/>
      <c r="S962" s="139"/>
      <c r="T962" s="139"/>
      <c r="U962" s="139"/>
      <c r="V962" s="139"/>
      <c r="W962" s="111"/>
      <c r="X962" s="139"/>
      <c r="Y962" s="139"/>
    </row>
    <row r="963" ht="15.75" customHeight="1">
      <c r="A963" s="144"/>
      <c r="B963" s="139"/>
      <c r="C963" s="139"/>
      <c r="D963" s="145"/>
      <c r="E963" s="139"/>
      <c r="F963" s="139"/>
      <c r="G963" s="139"/>
      <c r="H963" s="139"/>
      <c r="I963" s="139"/>
      <c r="J963" s="139"/>
      <c r="K963" s="139"/>
      <c r="L963" s="139"/>
      <c r="M963" s="145"/>
      <c r="N963" s="139"/>
      <c r="O963" s="139"/>
      <c r="P963" s="139"/>
      <c r="Q963" s="146"/>
      <c r="R963" s="139"/>
      <c r="S963" s="139"/>
      <c r="T963" s="139"/>
      <c r="U963" s="139"/>
      <c r="V963" s="139"/>
      <c r="W963" s="111"/>
      <c r="X963" s="139"/>
      <c r="Y963" s="139"/>
    </row>
    <row r="964" ht="15.75" customHeight="1">
      <c r="A964" s="144"/>
      <c r="B964" s="139"/>
      <c r="C964" s="139"/>
      <c r="D964" s="145"/>
      <c r="E964" s="139"/>
      <c r="F964" s="139"/>
      <c r="G964" s="139"/>
      <c r="H964" s="139"/>
      <c r="I964" s="139"/>
      <c r="J964" s="139"/>
      <c r="K964" s="139"/>
      <c r="L964" s="139"/>
      <c r="M964" s="145"/>
      <c r="N964" s="139"/>
      <c r="O964" s="139"/>
      <c r="P964" s="139"/>
      <c r="Q964" s="146"/>
      <c r="R964" s="139"/>
      <c r="S964" s="139"/>
      <c r="T964" s="139"/>
      <c r="U964" s="139"/>
      <c r="V964" s="139"/>
      <c r="W964" s="111"/>
      <c r="X964" s="139"/>
      <c r="Y964" s="139"/>
    </row>
    <row r="965" ht="15.75" customHeight="1">
      <c r="A965" s="144"/>
      <c r="B965" s="139"/>
      <c r="C965" s="139"/>
      <c r="D965" s="145"/>
      <c r="E965" s="139"/>
      <c r="F965" s="139"/>
      <c r="G965" s="139"/>
      <c r="H965" s="139"/>
      <c r="I965" s="139"/>
      <c r="J965" s="139"/>
      <c r="K965" s="139"/>
      <c r="L965" s="139"/>
      <c r="M965" s="145"/>
      <c r="N965" s="139"/>
      <c r="O965" s="139"/>
      <c r="P965" s="139"/>
      <c r="Q965" s="146"/>
      <c r="R965" s="139"/>
      <c r="S965" s="139"/>
      <c r="T965" s="139"/>
      <c r="U965" s="139"/>
      <c r="V965" s="139"/>
      <c r="W965" s="111"/>
      <c r="X965" s="139"/>
      <c r="Y965" s="139"/>
    </row>
    <row r="966" ht="15.75" customHeight="1">
      <c r="A966" s="144"/>
      <c r="B966" s="139"/>
      <c r="C966" s="139"/>
      <c r="D966" s="145"/>
      <c r="E966" s="139"/>
      <c r="F966" s="139"/>
      <c r="G966" s="139"/>
      <c r="H966" s="139"/>
      <c r="I966" s="139"/>
      <c r="J966" s="139"/>
      <c r="K966" s="139"/>
      <c r="L966" s="139"/>
      <c r="M966" s="145"/>
      <c r="N966" s="139"/>
      <c r="O966" s="139"/>
      <c r="P966" s="139"/>
      <c r="Q966" s="146"/>
      <c r="R966" s="139"/>
      <c r="S966" s="139"/>
      <c r="T966" s="139"/>
      <c r="U966" s="139"/>
      <c r="V966" s="139"/>
      <c r="W966" s="111"/>
      <c r="X966" s="139"/>
      <c r="Y966" s="139"/>
    </row>
    <row r="967" ht="15.75" customHeight="1">
      <c r="A967" s="144"/>
      <c r="B967" s="139"/>
      <c r="C967" s="139"/>
      <c r="D967" s="145"/>
      <c r="E967" s="139"/>
      <c r="F967" s="139"/>
      <c r="G967" s="139"/>
      <c r="H967" s="139"/>
      <c r="I967" s="139"/>
      <c r="J967" s="139"/>
      <c r="K967" s="139"/>
      <c r="L967" s="139"/>
      <c r="M967" s="145"/>
      <c r="N967" s="139"/>
      <c r="O967" s="139"/>
      <c r="P967" s="139"/>
      <c r="Q967" s="146"/>
      <c r="R967" s="139"/>
      <c r="S967" s="139"/>
      <c r="T967" s="139"/>
      <c r="U967" s="139"/>
      <c r="V967" s="139"/>
      <c r="W967" s="111"/>
      <c r="X967" s="139"/>
      <c r="Y967" s="139"/>
    </row>
    <row r="968" ht="15.75" customHeight="1">
      <c r="A968" s="144"/>
      <c r="B968" s="139"/>
      <c r="C968" s="139"/>
      <c r="D968" s="145"/>
      <c r="E968" s="139"/>
      <c r="F968" s="139"/>
      <c r="G968" s="139"/>
      <c r="H968" s="139"/>
      <c r="I968" s="139"/>
      <c r="J968" s="139"/>
      <c r="K968" s="139"/>
      <c r="L968" s="139"/>
      <c r="M968" s="145"/>
      <c r="N968" s="139"/>
      <c r="O968" s="139"/>
      <c r="P968" s="139"/>
      <c r="Q968" s="146"/>
      <c r="R968" s="139"/>
      <c r="S968" s="139"/>
      <c r="T968" s="139"/>
      <c r="U968" s="139"/>
      <c r="V968" s="139"/>
      <c r="W968" s="111"/>
      <c r="X968" s="139"/>
      <c r="Y968" s="139"/>
    </row>
    <row r="969" ht="15.75" customHeight="1">
      <c r="A969" s="144"/>
      <c r="B969" s="139"/>
      <c r="C969" s="139"/>
      <c r="D969" s="145"/>
      <c r="E969" s="139"/>
      <c r="F969" s="139"/>
      <c r="G969" s="139"/>
      <c r="H969" s="139"/>
      <c r="I969" s="139"/>
      <c r="J969" s="139"/>
      <c r="K969" s="139"/>
      <c r="L969" s="139"/>
      <c r="M969" s="145"/>
      <c r="N969" s="139"/>
      <c r="O969" s="139"/>
      <c r="P969" s="139"/>
      <c r="Q969" s="146"/>
      <c r="R969" s="139"/>
      <c r="S969" s="139"/>
      <c r="T969" s="139"/>
      <c r="U969" s="139"/>
      <c r="V969" s="139"/>
      <c r="W969" s="111"/>
      <c r="X969" s="139"/>
      <c r="Y969" s="139"/>
    </row>
    <row r="970" ht="15.75" customHeight="1">
      <c r="A970" s="144"/>
      <c r="B970" s="139"/>
      <c r="C970" s="139"/>
      <c r="D970" s="145"/>
      <c r="E970" s="139"/>
      <c r="F970" s="139"/>
      <c r="G970" s="139"/>
      <c r="H970" s="139"/>
      <c r="I970" s="139"/>
      <c r="J970" s="139"/>
      <c r="K970" s="139"/>
      <c r="L970" s="139"/>
      <c r="M970" s="145"/>
      <c r="N970" s="139"/>
      <c r="O970" s="139"/>
      <c r="P970" s="139"/>
      <c r="Q970" s="146"/>
      <c r="R970" s="139"/>
      <c r="S970" s="139"/>
      <c r="T970" s="139"/>
      <c r="U970" s="139"/>
      <c r="V970" s="139"/>
      <c r="W970" s="111"/>
      <c r="X970" s="139"/>
      <c r="Y970" s="139"/>
    </row>
    <row r="971" ht="15.75" customHeight="1">
      <c r="A971" s="144"/>
      <c r="B971" s="139"/>
      <c r="C971" s="139"/>
      <c r="D971" s="145"/>
      <c r="E971" s="139"/>
      <c r="F971" s="139"/>
      <c r="G971" s="139"/>
      <c r="H971" s="139"/>
      <c r="I971" s="139"/>
      <c r="J971" s="139"/>
      <c r="K971" s="139"/>
      <c r="L971" s="139"/>
      <c r="M971" s="145"/>
      <c r="N971" s="139"/>
      <c r="O971" s="139"/>
      <c r="P971" s="139"/>
      <c r="Q971" s="146"/>
      <c r="R971" s="139"/>
      <c r="S971" s="139"/>
      <c r="T971" s="139"/>
      <c r="U971" s="139"/>
      <c r="V971" s="139"/>
      <c r="W971" s="111"/>
      <c r="X971" s="139"/>
      <c r="Y971" s="139"/>
    </row>
    <row r="972" ht="15.75" customHeight="1">
      <c r="A972" s="144"/>
      <c r="B972" s="139"/>
      <c r="C972" s="139"/>
      <c r="D972" s="145"/>
      <c r="E972" s="139"/>
      <c r="F972" s="139"/>
      <c r="G972" s="139"/>
      <c r="H972" s="139"/>
      <c r="I972" s="139"/>
      <c r="J972" s="139"/>
      <c r="K972" s="139"/>
      <c r="L972" s="139"/>
      <c r="M972" s="145"/>
      <c r="N972" s="139"/>
      <c r="O972" s="139"/>
      <c r="P972" s="139"/>
      <c r="Q972" s="146"/>
      <c r="R972" s="139"/>
      <c r="S972" s="139"/>
      <c r="T972" s="139"/>
      <c r="U972" s="139"/>
      <c r="V972" s="139"/>
      <c r="W972" s="111"/>
      <c r="X972" s="139"/>
      <c r="Y972" s="139"/>
    </row>
    <row r="973" ht="15.75" customHeight="1">
      <c r="A973" s="144"/>
      <c r="B973" s="139"/>
      <c r="C973" s="139"/>
      <c r="D973" s="145"/>
      <c r="E973" s="139"/>
      <c r="F973" s="139"/>
      <c r="G973" s="139"/>
      <c r="H973" s="139"/>
      <c r="I973" s="139"/>
      <c r="J973" s="139"/>
      <c r="K973" s="139"/>
      <c r="L973" s="139"/>
      <c r="M973" s="145"/>
      <c r="N973" s="139"/>
      <c r="O973" s="139"/>
      <c r="P973" s="139"/>
      <c r="Q973" s="146"/>
      <c r="R973" s="139"/>
      <c r="S973" s="139"/>
      <c r="T973" s="139"/>
      <c r="U973" s="139"/>
      <c r="V973" s="139"/>
      <c r="W973" s="111"/>
      <c r="X973" s="139"/>
      <c r="Y973" s="139"/>
    </row>
    <row r="974" ht="15.75" customHeight="1">
      <c r="A974" s="144"/>
      <c r="B974" s="139"/>
      <c r="C974" s="139"/>
      <c r="D974" s="145"/>
      <c r="E974" s="139"/>
      <c r="F974" s="139"/>
      <c r="G974" s="139"/>
      <c r="H974" s="139"/>
      <c r="I974" s="139"/>
      <c r="J974" s="139"/>
      <c r="K974" s="139"/>
      <c r="L974" s="139"/>
      <c r="M974" s="145"/>
      <c r="N974" s="139"/>
      <c r="O974" s="139"/>
      <c r="P974" s="139"/>
      <c r="Q974" s="146"/>
      <c r="R974" s="139"/>
      <c r="S974" s="139"/>
      <c r="T974" s="139"/>
      <c r="U974" s="139"/>
      <c r="V974" s="139"/>
      <c r="W974" s="111"/>
      <c r="X974" s="139"/>
      <c r="Y974" s="139"/>
    </row>
    <row r="975" ht="15.75" customHeight="1">
      <c r="A975" s="144"/>
      <c r="B975" s="139"/>
      <c r="C975" s="139"/>
      <c r="D975" s="145"/>
      <c r="E975" s="139"/>
      <c r="F975" s="139"/>
      <c r="G975" s="139"/>
      <c r="H975" s="139"/>
      <c r="I975" s="139"/>
      <c r="J975" s="139"/>
      <c r="K975" s="139"/>
      <c r="L975" s="139"/>
      <c r="M975" s="145"/>
      <c r="N975" s="139"/>
      <c r="O975" s="139"/>
      <c r="P975" s="139"/>
      <c r="Q975" s="146"/>
      <c r="R975" s="139"/>
      <c r="S975" s="139"/>
      <c r="T975" s="139"/>
      <c r="U975" s="139"/>
      <c r="V975" s="139"/>
      <c r="W975" s="111"/>
      <c r="X975" s="139"/>
      <c r="Y975" s="139"/>
    </row>
    <row r="976" ht="15.75" customHeight="1">
      <c r="A976" s="144"/>
      <c r="B976" s="139"/>
      <c r="C976" s="139"/>
      <c r="D976" s="145"/>
      <c r="E976" s="139"/>
      <c r="F976" s="139"/>
      <c r="G976" s="139"/>
      <c r="H976" s="139"/>
      <c r="I976" s="139"/>
      <c r="J976" s="139"/>
      <c r="K976" s="139"/>
      <c r="L976" s="139"/>
      <c r="M976" s="145"/>
      <c r="N976" s="139"/>
      <c r="O976" s="139"/>
      <c r="P976" s="139"/>
      <c r="Q976" s="146"/>
      <c r="R976" s="139"/>
      <c r="S976" s="139"/>
      <c r="T976" s="139"/>
      <c r="U976" s="139"/>
      <c r="V976" s="139"/>
      <c r="W976" s="111"/>
      <c r="X976" s="139"/>
      <c r="Y976" s="139"/>
    </row>
    <row r="977" ht="15.75" customHeight="1">
      <c r="A977" s="144"/>
      <c r="B977" s="139"/>
      <c r="C977" s="139"/>
      <c r="D977" s="145"/>
      <c r="E977" s="139"/>
      <c r="F977" s="139"/>
      <c r="G977" s="139"/>
      <c r="H977" s="139"/>
      <c r="I977" s="139"/>
      <c r="J977" s="139"/>
      <c r="K977" s="139"/>
      <c r="L977" s="139"/>
      <c r="M977" s="145"/>
      <c r="N977" s="139"/>
      <c r="O977" s="139"/>
      <c r="P977" s="139"/>
      <c r="Q977" s="146"/>
      <c r="R977" s="139"/>
      <c r="S977" s="139"/>
      <c r="T977" s="139"/>
      <c r="U977" s="139"/>
      <c r="V977" s="139"/>
      <c r="W977" s="111"/>
      <c r="X977" s="139"/>
      <c r="Y977" s="139"/>
    </row>
    <row r="978" ht="15.75" customHeight="1">
      <c r="A978" s="144"/>
      <c r="B978" s="139"/>
      <c r="C978" s="139"/>
      <c r="D978" s="145"/>
      <c r="E978" s="139"/>
      <c r="F978" s="139"/>
      <c r="G978" s="139"/>
      <c r="H978" s="139"/>
      <c r="I978" s="139"/>
      <c r="J978" s="139"/>
      <c r="K978" s="139"/>
      <c r="L978" s="139"/>
      <c r="M978" s="145"/>
      <c r="N978" s="139"/>
      <c r="O978" s="139"/>
      <c r="P978" s="139"/>
      <c r="Q978" s="146"/>
      <c r="R978" s="139"/>
      <c r="S978" s="139"/>
      <c r="T978" s="139"/>
      <c r="U978" s="139"/>
      <c r="V978" s="139"/>
      <c r="W978" s="111"/>
      <c r="X978" s="139"/>
      <c r="Y978" s="139"/>
    </row>
    <row r="979" ht="15.75" customHeight="1">
      <c r="A979" s="144"/>
      <c r="B979" s="139"/>
      <c r="C979" s="139"/>
      <c r="D979" s="145"/>
      <c r="E979" s="139"/>
      <c r="F979" s="139"/>
      <c r="G979" s="139"/>
      <c r="H979" s="139"/>
      <c r="I979" s="139"/>
      <c r="J979" s="139"/>
      <c r="K979" s="139"/>
      <c r="L979" s="139"/>
      <c r="M979" s="145"/>
      <c r="N979" s="139"/>
      <c r="O979" s="139"/>
      <c r="P979" s="139"/>
      <c r="Q979" s="146"/>
      <c r="R979" s="139"/>
      <c r="S979" s="139"/>
      <c r="T979" s="139"/>
      <c r="U979" s="139"/>
      <c r="V979" s="139"/>
      <c r="W979" s="111"/>
      <c r="X979" s="139"/>
      <c r="Y979" s="139"/>
    </row>
    <row r="980" ht="15.75" customHeight="1">
      <c r="A980" s="144"/>
      <c r="B980" s="139"/>
      <c r="C980" s="139"/>
      <c r="D980" s="145"/>
      <c r="E980" s="139"/>
      <c r="F980" s="139"/>
      <c r="G980" s="139"/>
      <c r="H980" s="139"/>
      <c r="I980" s="139"/>
      <c r="J980" s="139"/>
      <c r="K980" s="139"/>
      <c r="L980" s="139"/>
      <c r="M980" s="145"/>
      <c r="N980" s="139"/>
      <c r="O980" s="139"/>
      <c r="P980" s="139"/>
      <c r="Q980" s="146"/>
      <c r="R980" s="139"/>
      <c r="S980" s="139"/>
      <c r="T980" s="139"/>
      <c r="U980" s="139"/>
      <c r="V980" s="139"/>
      <c r="W980" s="111"/>
      <c r="X980" s="139"/>
      <c r="Y980" s="139"/>
    </row>
    <row r="981" ht="15.75" customHeight="1">
      <c r="A981" s="144"/>
      <c r="B981" s="139"/>
      <c r="C981" s="139"/>
      <c r="D981" s="145"/>
      <c r="E981" s="139"/>
      <c r="F981" s="139"/>
      <c r="G981" s="139"/>
      <c r="H981" s="139"/>
      <c r="I981" s="139"/>
      <c r="J981" s="139"/>
      <c r="K981" s="139"/>
      <c r="L981" s="139"/>
      <c r="M981" s="145"/>
      <c r="N981" s="139"/>
      <c r="O981" s="139"/>
      <c r="P981" s="139"/>
      <c r="Q981" s="146"/>
      <c r="R981" s="139"/>
      <c r="S981" s="139"/>
      <c r="T981" s="139"/>
      <c r="U981" s="139"/>
      <c r="V981" s="139"/>
      <c r="W981" s="111"/>
      <c r="X981" s="139"/>
      <c r="Y981" s="139"/>
    </row>
    <row r="982" ht="15.75" customHeight="1">
      <c r="A982" s="144"/>
      <c r="B982" s="139"/>
      <c r="C982" s="139"/>
      <c r="D982" s="145"/>
      <c r="E982" s="139"/>
      <c r="F982" s="139"/>
      <c r="G982" s="139"/>
      <c r="H982" s="139"/>
      <c r="I982" s="139"/>
      <c r="J982" s="139"/>
      <c r="K982" s="139"/>
      <c r="L982" s="139"/>
      <c r="M982" s="145"/>
      <c r="N982" s="139"/>
      <c r="O982" s="139"/>
      <c r="P982" s="139"/>
      <c r="Q982" s="146"/>
      <c r="R982" s="139"/>
      <c r="S982" s="139"/>
      <c r="T982" s="139"/>
      <c r="U982" s="139"/>
      <c r="V982" s="139"/>
      <c r="W982" s="111"/>
      <c r="X982" s="139"/>
      <c r="Y982" s="139"/>
    </row>
    <row r="983" ht="15.75" customHeight="1">
      <c r="A983" s="144"/>
      <c r="B983" s="139"/>
      <c r="C983" s="139"/>
      <c r="D983" s="145"/>
      <c r="E983" s="139"/>
      <c r="F983" s="139"/>
      <c r="G983" s="139"/>
      <c r="H983" s="139"/>
      <c r="I983" s="139"/>
      <c r="J983" s="139"/>
      <c r="K983" s="139"/>
      <c r="L983" s="139"/>
      <c r="M983" s="145"/>
      <c r="N983" s="139"/>
      <c r="O983" s="139"/>
      <c r="P983" s="139"/>
      <c r="Q983" s="146"/>
      <c r="R983" s="139"/>
      <c r="S983" s="139"/>
      <c r="T983" s="139"/>
      <c r="U983" s="139"/>
      <c r="V983" s="139"/>
      <c r="W983" s="111"/>
      <c r="X983" s="139"/>
      <c r="Y983" s="139"/>
    </row>
    <row r="984" ht="15.75" customHeight="1">
      <c r="A984" s="144"/>
      <c r="B984" s="139"/>
      <c r="C984" s="139"/>
      <c r="D984" s="145"/>
      <c r="E984" s="139"/>
      <c r="F984" s="139"/>
      <c r="G984" s="139"/>
      <c r="H984" s="139"/>
      <c r="I984" s="139"/>
      <c r="J984" s="139"/>
      <c r="K984" s="139"/>
      <c r="L984" s="139"/>
      <c r="M984" s="145"/>
      <c r="N984" s="139"/>
      <c r="O984" s="139"/>
      <c r="P984" s="139"/>
      <c r="Q984" s="146"/>
      <c r="R984" s="139"/>
      <c r="S984" s="139"/>
      <c r="T984" s="139"/>
      <c r="U984" s="139"/>
      <c r="V984" s="139"/>
      <c r="W984" s="111"/>
      <c r="X984" s="139"/>
      <c r="Y984" s="139"/>
    </row>
    <row r="985" ht="15.75" customHeight="1">
      <c r="A985" s="144"/>
      <c r="B985" s="139"/>
      <c r="C985" s="139"/>
      <c r="D985" s="145"/>
      <c r="E985" s="139"/>
      <c r="F985" s="139"/>
      <c r="G985" s="139"/>
      <c r="H985" s="139"/>
      <c r="I985" s="139"/>
      <c r="J985" s="139"/>
      <c r="K985" s="139"/>
      <c r="L985" s="139"/>
      <c r="M985" s="145"/>
      <c r="N985" s="139"/>
      <c r="O985" s="139"/>
      <c r="P985" s="139"/>
      <c r="Q985" s="146"/>
      <c r="R985" s="139"/>
      <c r="S985" s="139"/>
      <c r="T985" s="139"/>
      <c r="U985" s="139"/>
      <c r="V985" s="139"/>
      <c r="W985" s="111"/>
      <c r="X985" s="139"/>
      <c r="Y985" s="139"/>
    </row>
    <row r="986" ht="15.75" customHeight="1">
      <c r="A986" s="144"/>
      <c r="B986" s="139"/>
      <c r="C986" s="139"/>
      <c r="D986" s="145"/>
      <c r="E986" s="139"/>
      <c r="F986" s="139"/>
      <c r="G986" s="139"/>
      <c r="H986" s="139"/>
      <c r="I986" s="139"/>
      <c r="J986" s="139"/>
      <c r="K986" s="139"/>
      <c r="L986" s="139"/>
      <c r="M986" s="145"/>
      <c r="N986" s="139"/>
      <c r="O986" s="139"/>
      <c r="P986" s="139"/>
      <c r="Q986" s="146"/>
      <c r="R986" s="139"/>
      <c r="S986" s="139"/>
      <c r="T986" s="139"/>
      <c r="U986" s="139"/>
      <c r="V986" s="139"/>
      <c r="W986" s="111"/>
      <c r="X986" s="139"/>
      <c r="Y986" s="139"/>
    </row>
    <row r="987" ht="15.75" customHeight="1">
      <c r="A987" s="144"/>
      <c r="B987" s="139"/>
      <c r="C987" s="139"/>
      <c r="D987" s="145"/>
      <c r="E987" s="139"/>
      <c r="F987" s="139"/>
      <c r="G987" s="139"/>
      <c r="H987" s="139"/>
      <c r="I987" s="139"/>
      <c r="J987" s="139"/>
      <c r="K987" s="139"/>
      <c r="L987" s="139"/>
      <c r="M987" s="145"/>
      <c r="N987" s="139"/>
      <c r="O987" s="139"/>
      <c r="P987" s="139"/>
      <c r="Q987" s="146"/>
      <c r="R987" s="139"/>
      <c r="S987" s="139"/>
      <c r="T987" s="139"/>
      <c r="U987" s="139"/>
      <c r="V987" s="139"/>
      <c r="W987" s="111"/>
      <c r="X987" s="139"/>
      <c r="Y987" s="139"/>
    </row>
    <row r="988" ht="15.75" customHeight="1">
      <c r="A988" s="144"/>
      <c r="B988" s="139"/>
      <c r="C988" s="139"/>
      <c r="D988" s="145"/>
      <c r="E988" s="139"/>
      <c r="F988" s="139"/>
      <c r="G988" s="139"/>
      <c r="H988" s="139"/>
      <c r="I988" s="139"/>
      <c r="J988" s="139"/>
      <c r="K988" s="139"/>
      <c r="L988" s="139"/>
      <c r="M988" s="145"/>
      <c r="N988" s="139"/>
      <c r="O988" s="139"/>
      <c r="P988" s="139"/>
      <c r="Q988" s="146"/>
      <c r="R988" s="139"/>
      <c r="S988" s="139"/>
      <c r="T988" s="139"/>
      <c r="U988" s="139"/>
      <c r="V988" s="139"/>
      <c r="W988" s="111"/>
      <c r="X988" s="139"/>
      <c r="Y988" s="139"/>
    </row>
    <row r="989" ht="15.75" customHeight="1">
      <c r="A989" s="144"/>
      <c r="B989" s="139"/>
      <c r="C989" s="139"/>
      <c r="D989" s="145"/>
      <c r="E989" s="139"/>
      <c r="F989" s="139"/>
      <c r="G989" s="139"/>
      <c r="H989" s="139"/>
      <c r="I989" s="139"/>
      <c r="J989" s="139"/>
      <c r="K989" s="139"/>
      <c r="L989" s="139"/>
      <c r="M989" s="145"/>
      <c r="N989" s="139"/>
      <c r="O989" s="139"/>
      <c r="P989" s="139"/>
      <c r="Q989" s="146"/>
      <c r="R989" s="139"/>
      <c r="S989" s="139"/>
      <c r="T989" s="139"/>
      <c r="U989" s="139"/>
      <c r="V989" s="139"/>
      <c r="W989" s="111"/>
      <c r="X989" s="139"/>
      <c r="Y989" s="139"/>
    </row>
    <row r="990" ht="15.75" customHeight="1">
      <c r="A990" s="144"/>
      <c r="B990" s="139"/>
      <c r="C990" s="139"/>
      <c r="D990" s="145"/>
      <c r="E990" s="139"/>
      <c r="F990" s="139"/>
      <c r="G990" s="139"/>
      <c r="H990" s="139"/>
      <c r="I990" s="139"/>
      <c r="J990" s="139"/>
      <c r="K990" s="139"/>
      <c r="L990" s="139"/>
      <c r="M990" s="145"/>
      <c r="N990" s="139"/>
      <c r="O990" s="139"/>
      <c r="P990" s="139"/>
      <c r="Q990" s="146"/>
      <c r="R990" s="139"/>
      <c r="S990" s="139"/>
      <c r="T990" s="139"/>
      <c r="U990" s="139"/>
      <c r="V990" s="139"/>
      <c r="W990" s="111"/>
      <c r="X990" s="139"/>
      <c r="Y990" s="139"/>
    </row>
    <row r="991" ht="15.75" customHeight="1">
      <c r="A991" s="144"/>
      <c r="B991" s="139"/>
      <c r="C991" s="139"/>
      <c r="D991" s="145"/>
      <c r="E991" s="139"/>
      <c r="F991" s="139"/>
      <c r="G991" s="139"/>
      <c r="H991" s="139"/>
      <c r="I991" s="139"/>
      <c r="J991" s="139"/>
      <c r="K991" s="139"/>
      <c r="L991" s="139"/>
      <c r="M991" s="145"/>
      <c r="N991" s="139"/>
      <c r="O991" s="139"/>
      <c r="P991" s="139"/>
      <c r="Q991" s="146"/>
      <c r="R991" s="139"/>
      <c r="S991" s="139"/>
      <c r="T991" s="139"/>
      <c r="U991" s="139"/>
      <c r="V991" s="139"/>
      <c r="W991" s="111"/>
      <c r="X991" s="139"/>
      <c r="Y991" s="139"/>
    </row>
    <row r="992" ht="15.75" customHeight="1">
      <c r="A992" s="144"/>
      <c r="B992" s="139"/>
      <c r="C992" s="139"/>
      <c r="D992" s="145"/>
      <c r="E992" s="139"/>
      <c r="F992" s="139"/>
      <c r="G992" s="139"/>
      <c r="H992" s="139"/>
      <c r="I992" s="139"/>
      <c r="J992" s="139"/>
      <c r="K992" s="139"/>
      <c r="L992" s="139"/>
      <c r="M992" s="145"/>
      <c r="N992" s="139"/>
      <c r="O992" s="139"/>
      <c r="P992" s="139"/>
      <c r="Q992" s="146"/>
      <c r="R992" s="139"/>
      <c r="S992" s="139"/>
      <c r="T992" s="139"/>
      <c r="U992" s="139"/>
      <c r="V992" s="139"/>
      <c r="W992" s="111"/>
      <c r="X992" s="139"/>
      <c r="Y992" s="139"/>
    </row>
    <row r="993" ht="15.75" customHeight="1">
      <c r="A993" s="144"/>
      <c r="B993" s="139"/>
      <c r="C993" s="139"/>
      <c r="D993" s="145"/>
      <c r="E993" s="139"/>
      <c r="F993" s="139"/>
      <c r="G993" s="139"/>
      <c r="H993" s="139"/>
      <c r="I993" s="139"/>
      <c r="J993" s="139"/>
      <c r="K993" s="139"/>
      <c r="L993" s="139"/>
      <c r="M993" s="145"/>
      <c r="N993" s="139"/>
      <c r="O993" s="139"/>
      <c r="P993" s="139"/>
      <c r="Q993" s="146"/>
      <c r="R993" s="139"/>
      <c r="S993" s="139"/>
      <c r="T993" s="139"/>
      <c r="U993" s="139"/>
      <c r="V993" s="139"/>
      <c r="W993" s="111"/>
      <c r="X993" s="139"/>
      <c r="Y993" s="139"/>
    </row>
    <row r="994" ht="15.75" customHeight="1">
      <c r="A994" s="144"/>
      <c r="B994" s="139"/>
      <c r="C994" s="139"/>
      <c r="D994" s="145"/>
      <c r="E994" s="139"/>
      <c r="F994" s="139"/>
      <c r="G994" s="139"/>
      <c r="H994" s="139"/>
      <c r="I994" s="139"/>
      <c r="J994" s="139"/>
      <c r="K994" s="139"/>
      <c r="L994" s="139"/>
      <c r="M994" s="145"/>
      <c r="N994" s="139"/>
      <c r="O994" s="139"/>
      <c r="P994" s="139"/>
      <c r="Q994" s="146"/>
      <c r="R994" s="139"/>
      <c r="S994" s="139"/>
      <c r="T994" s="139"/>
      <c r="U994" s="139"/>
      <c r="V994" s="139"/>
      <c r="W994" s="111"/>
      <c r="X994" s="139"/>
      <c r="Y994" s="139"/>
    </row>
    <row r="995" ht="15.75" customHeight="1">
      <c r="A995" s="144"/>
      <c r="B995" s="139"/>
      <c r="C995" s="139"/>
      <c r="D995" s="145"/>
      <c r="E995" s="139"/>
      <c r="F995" s="139"/>
      <c r="G995" s="139"/>
      <c r="H995" s="139"/>
      <c r="I995" s="139"/>
      <c r="J995" s="139"/>
      <c r="K995" s="139"/>
      <c r="L995" s="139"/>
      <c r="M995" s="145"/>
      <c r="N995" s="139"/>
      <c r="O995" s="139"/>
      <c r="P995" s="139"/>
      <c r="Q995" s="146"/>
      <c r="R995" s="139"/>
      <c r="S995" s="139"/>
      <c r="T995" s="139"/>
      <c r="U995" s="139"/>
      <c r="V995" s="139"/>
      <c r="W995" s="111"/>
      <c r="X995" s="139"/>
      <c r="Y995" s="139"/>
    </row>
    <row r="996" ht="15.75" customHeight="1">
      <c r="A996" s="144"/>
      <c r="B996" s="139"/>
      <c r="C996" s="139"/>
      <c r="D996" s="145"/>
      <c r="E996" s="139"/>
      <c r="F996" s="139"/>
      <c r="G996" s="139"/>
      <c r="H996" s="139"/>
      <c r="I996" s="139"/>
      <c r="J996" s="139"/>
      <c r="K996" s="139"/>
      <c r="L996" s="139"/>
      <c r="M996" s="145"/>
      <c r="N996" s="139"/>
      <c r="O996" s="139"/>
      <c r="P996" s="139"/>
      <c r="Q996" s="146"/>
      <c r="R996" s="139"/>
      <c r="S996" s="139"/>
      <c r="T996" s="139"/>
      <c r="U996" s="139"/>
      <c r="V996" s="139"/>
      <c r="W996" s="111"/>
      <c r="X996" s="139"/>
      <c r="Y996" s="139"/>
    </row>
    <row r="997" ht="15.75" customHeight="1">
      <c r="A997" s="144"/>
      <c r="B997" s="139"/>
      <c r="C997" s="139"/>
      <c r="D997" s="145"/>
      <c r="E997" s="139"/>
      <c r="F997" s="139"/>
      <c r="G997" s="139"/>
      <c r="H997" s="139"/>
      <c r="I997" s="139"/>
      <c r="J997" s="139"/>
      <c r="K997" s="139"/>
      <c r="L997" s="139"/>
      <c r="M997" s="145"/>
      <c r="N997" s="139"/>
      <c r="O997" s="139"/>
      <c r="P997" s="139"/>
      <c r="Q997" s="146"/>
      <c r="R997" s="139"/>
      <c r="S997" s="139"/>
      <c r="T997" s="139"/>
      <c r="U997" s="139"/>
      <c r="V997" s="139"/>
      <c r="W997" s="111"/>
      <c r="X997" s="139"/>
      <c r="Y997" s="139"/>
    </row>
    <row r="998" ht="15.75" customHeight="1">
      <c r="A998" s="144"/>
      <c r="B998" s="139"/>
      <c r="C998" s="139"/>
      <c r="D998" s="145"/>
      <c r="E998" s="139"/>
      <c r="F998" s="139"/>
      <c r="G998" s="139"/>
      <c r="H998" s="139"/>
      <c r="I998" s="139"/>
      <c r="J998" s="139"/>
      <c r="K998" s="139"/>
      <c r="L998" s="139"/>
      <c r="M998" s="145"/>
      <c r="N998" s="139"/>
      <c r="O998" s="139"/>
      <c r="P998" s="139"/>
      <c r="Q998" s="146"/>
      <c r="R998" s="139"/>
      <c r="S998" s="139"/>
      <c r="T998" s="139"/>
      <c r="U998" s="139"/>
      <c r="V998" s="139"/>
      <c r="W998" s="111"/>
      <c r="X998" s="139"/>
      <c r="Y998" s="139"/>
    </row>
    <row r="999" ht="15.75" customHeight="1">
      <c r="A999" s="144"/>
      <c r="B999" s="139"/>
      <c r="C999" s="139"/>
      <c r="D999" s="145"/>
      <c r="E999" s="139"/>
      <c r="F999" s="139"/>
      <c r="G999" s="139"/>
      <c r="H999" s="139"/>
      <c r="I999" s="139"/>
      <c r="J999" s="139"/>
      <c r="K999" s="139"/>
      <c r="L999" s="139"/>
      <c r="M999" s="145"/>
      <c r="N999" s="139"/>
      <c r="O999" s="139"/>
      <c r="P999" s="139"/>
      <c r="Q999" s="146"/>
      <c r="R999" s="139"/>
      <c r="S999" s="139"/>
      <c r="T999" s="139"/>
      <c r="U999" s="139"/>
      <c r="V999" s="139"/>
      <c r="W999" s="111"/>
      <c r="X999" s="139"/>
      <c r="Y999" s="139"/>
    </row>
    <row r="1000" ht="15.75" customHeight="1">
      <c r="A1000" s="144"/>
      <c r="B1000" s="139"/>
      <c r="C1000" s="139"/>
      <c r="D1000" s="145"/>
      <c r="E1000" s="139"/>
      <c r="F1000" s="139"/>
      <c r="G1000" s="139"/>
      <c r="H1000" s="139"/>
      <c r="I1000" s="139"/>
      <c r="J1000" s="139"/>
      <c r="K1000" s="139"/>
      <c r="L1000" s="139"/>
      <c r="M1000" s="145"/>
      <c r="N1000" s="139"/>
      <c r="O1000" s="139"/>
      <c r="P1000" s="139"/>
      <c r="Q1000" s="146"/>
      <c r="R1000" s="139"/>
      <c r="S1000" s="139"/>
      <c r="T1000" s="139"/>
      <c r="U1000" s="139"/>
      <c r="V1000" s="139"/>
      <c r="W1000" s="111"/>
      <c r="X1000" s="139"/>
      <c r="Y1000" s="139"/>
    </row>
    <row r="1001" ht="15.75" customHeight="1">
      <c r="A1001" s="144"/>
      <c r="B1001" s="139"/>
      <c r="C1001" s="139"/>
      <c r="D1001" s="145"/>
      <c r="E1001" s="139"/>
      <c r="F1001" s="139"/>
      <c r="G1001" s="139"/>
      <c r="H1001" s="139"/>
      <c r="I1001" s="139"/>
      <c r="J1001" s="139"/>
      <c r="K1001" s="139"/>
      <c r="L1001" s="139"/>
      <c r="M1001" s="145"/>
      <c r="N1001" s="139"/>
      <c r="O1001" s="139"/>
      <c r="P1001" s="139"/>
      <c r="Q1001" s="146"/>
      <c r="R1001" s="139"/>
      <c r="S1001" s="139"/>
      <c r="T1001" s="139"/>
      <c r="U1001" s="139"/>
      <c r="V1001" s="139"/>
      <c r="W1001" s="111"/>
      <c r="X1001" s="139"/>
      <c r="Y1001" s="139"/>
    </row>
    <row r="1002" ht="15.75" customHeight="1">
      <c r="A1002" s="144"/>
      <c r="B1002" s="139"/>
      <c r="C1002" s="139"/>
      <c r="D1002" s="145"/>
      <c r="E1002" s="139"/>
      <c r="F1002" s="139"/>
      <c r="G1002" s="139"/>
      <c r="H1002" s="139"/>
      <c r="I1002" s="139"/>
      <c r="J1002" s="139"/>
      <c r="K1002" s="139"/>
      <c r="L1002" s="139"/>
      <c r="M1002" s="145"/>
      <c r="N1002" s="139"/>
      <c r="O1002" s="139"/>
      <c r="P1002" s="139"/>
      <c r="Q1002" s="146"/>
      <c r="R1002" s="139"/>
      <c r="S1002" s="139"/>
      <c r="T1002" s="139"/>
      <c r="U1002" s="139"/>
      <c r="V1002" s="139"/>
      <c r="W1002" s="111"/>
      <c r="X1002" s="139"/>
      <c r="Y1002" s="139"/>
    </row>
    <row r="1003" ht="15.75" customHeight="1">
      <c r="A1003" s="144"/>
      <c r="B1003" s="139"/>
      <c r="C1003" s="139"/>
      <c r="D1003" s="145"/>
      <c r="E1003" s="139"/>
      <c r="F1003" s="139"/>
      <c r="G1003" s="139"/>
      <c r="H1003" s="139"/>
      <c r="I1003" s="139"/>
      <c r="J1003" s="139"/>
      <c r="K1003" s="139"/>
      <c r="L1003" s="139"/>
      <c r="M1003" s="145"/>
      <c r="N1003" s="139"/>
      <c r="O1003" s="139"/>
      <c r="P1003" s="139"/>
      <c r="Q1003" s="146"/>
      <c r="R1003" s="139"/>
      <c r="S1003" s="139"/>
      <c r="T1003" s="139"/>
      <c r="U1003" s="139"/>
      <c r="V1003" s="139"/>
      <c r="W1003" s="111"/>
      <c r="X1003" s="139"/>
      <c r="Y1003" s="139"/>
    </row>
    <row r="1004" ht="15.75" customHeight="1">
      <c r="A1004" s="144"/>
      <c r="B1004" s="139"/>
      <c r="C1004" s="139"/>
      <c r="D1004" s="145"/>
      <c r="E1004" s="139"/>
      <c r="F1004" s="139"/>
      <c r="G1004" s="139"/>
      <c r="H1004" s="139"/>
      <c r="I1004" s="139"/>
      <c r="J1004" s="139"/>
      <c r="K1004" s="139"/>
      <c r="L1004" s="139"/>
      <c r="M1004" s="145"/>
      <c r="N1004" s="139"/>
      <c r="O1004" s="139"/>
      <c r="P1004" s="139"/>
      <c r="Q1004" s="146"/>
      <c r="R1004" s="139"/>
      <c r="S1004" s="139"/>
      <c r="T1004" s="139"/>
      <c r="U1004" s="139"/>
      <c r="V1004" s="139"/>
      <c r="W1004" s="111"/>
      <c r="X1004" s="139"/>
      <c r="Y1004" s="139"/>
    </row>
    <row r="1005" ht="15.75" customHeight="1">
      <c r="A1005" s="144"/>
      <c r="B1005" s="139"/>
      <c r="C1005" s="139"/>
      <c r="D1005" s="145"/>
      <c r="E1005" s="139"/>
      <c r="F1005" s="139"/>
      <c r="G1005" s="139"/>
      <c r="H1005" s="139"/>
      <c r="I1005" s="139"/>
      <c r="J1005" s="139"/>
      <c r="K1005" s="139"/>
      <c r="L1005" s="139"/>
      <c r="M1005" s="145"/>
      <c r="N1005" s="139"/>
      <c r="O1005" s="139"/>
      <c r="P1005" s="139"/>
      <c r="Q1005" s="146"/>
      <c r="R1005" s="139"/>
      <c r="S1005" s="139"/>
      <c r="T1005" s="139"/>
      <c r="U1005" s="139"/>
      <c r="V1005" s="139"/>
      <c r="W1005" s="111"/>
      <c r="X1005" s="139"/>
      <c r="Y1005" s="139"/>
    </row>
    <row r="1006" ht="15.75" customHeight="1">
      <c r="A1006" s="144"/>
      <c r="B1006" s="139"/>
      <c r="C1006" s="139"/>
      <c r="D1006" s="145"/>
      <c r="E1006" s="139"/>
      <c r="F1006" s="139"/>
      <c r="G1006" s="139"/>
      <c r="H1006" s="139"/>
      <c r="I1006" s="139"/>
      <c r="J1006" s="139"/>
      <c r="K1006" s="139"/>
      <c r="L1006" s="139"/>
      <c r="M1006" s="145"/>
      <c r="N1006" s="139"/>
      <c r="O1006" s="139"/>
      <c r="P1006" s="139"/>
      <c r="Q1006" s="146"/>
      <c r="R1006" s="139"/>
      <c r="S1006" s="139"/>
      <c r="T1006" s="139"/>
      <c r="U1006" s="139"/>
      <c r="V1006" s="139"/>
      <c r="W1006" s="111"/>
      <c r="X1006" s="139"/>
      <c r="Y1006" s="139"/>
    </row>
    <row r="1007" ht="15.75" customHeight="1">
      <c r="A1007" s="144"/>
      <c r="B1007" s="139"/>
      <c r="C1007" s="139"/>
      <c r="D1007" s="145"/>
      <c r="E1007" s="139"/>
      <c r="F1007" s="139"/>
      <c r="G1007" s="139"/>
      <c r="H1007" s="139"/>
      <c r="I1007" s="139"/>
      <c r="J1007" s="139"/>
      <c r="K1007" s="139"/>
      <c r="L1007" s="139"/>
      <c r="M1007" s="145"/>
      <c r="N1007" s="139"/>
      <c r="O1007" s="139"/>
      <c r="P1007" s="139"/>
      <c r="Q1007" s="146"/>
      <c r="R1007" s="139"/>
      <c r="S1007" s="139"/>
      <c r="T1007" s="139"/>
      <c r="U1007" s="139"/>
      <c r="V1007" s="139"/>
      <c r="W1007" s="111"/>
      <c r="X1007" s="139"/>
      <c r="Y1007" s="139"/>
    </row>
    <row r="1008" ht="15.75" customHeight="1">
      <c r="A1008" s="144"/>
      <c r="B1008" s="139"/>
      <c r="C1008" s="139"/>
      <c r="D1008" s="145"/>
      <c r="E1008" s="139"/>
      <c r="F1008" s="139"/>
      <c r="G1008" s="139"/>
      <c r="H1008" s="139"/>
      <c r="I1008" s="139"/>
      <c r="J1008" s="139"/>
      <c r="K1008" s="139"/>
      <c r="L1008" s="139"/>
      <c r="M1008" s="145"/>
      <c r="N1008" s="139"/>
      <c r="O1008" s="139"/>
      <c r="P1008" s="139"/>
      <c r="Q1008" s="146"/>
      <c r="R1008" s="139"/>
      <c r="S1008" s="139"/>
      <c r="T1008" s="139"/>
      <c r="U1008" s="139"/>
      <c r="V1008" s="139"/>
      <c r="W1008" s="111"/>
      <c r="X1008" s="139"/>
      <c r="Y1008" s="139"/>
    </row>
    <row r="1009" ht="15.75" customHeight="1">
      <c r="A1009" s="144"/>
      <c r="B1009" s="139"/>
      <c r="C1009" s="139"/>
      <c r="D1009" s="145"/>
      <c r="E1009" s="139"/>
      <c r="F1009" s="139"/>
      <c r="G1009" s="139"/>
      <c r="H1009" s="139"/>
      <c r="I1009" s="139"/>
      <c r="J1009" s="139"/>
      <c r="K1009" s="139"/>
      <c r="L1009" s="139"/>
      <c r="M1009" s="145"/>
      <c r="N1009" s="139"/>
      <c r="O1009" s="139"/>
      <c r="P1009" s="139"/>
      <c r="Q1009" s="146"/>
      <c r="R1009" s="139"/>
      <c r="S1009" s="139"/>
      <c r="T1009" s="139"/>
      <c r="U1009" s="139"/>
      <c r="V1009" s="139"/>
      <c r="W1009" s="111"/>
      <c r="X1009" s="139"/>
      <c r="Y1009" s="139"/>
    </row>
    <row r="1010" ht="15.75" customHeight="1">
      <c r="A1010" s="144"/>
      <c r="B1010" s="139"/>
      <c r="C1010" s="139"/>
      <c r="D1010" s="145"/>
      <c r="E1010" s="139"/>
      <c r="F1010" s="139"/>
      <c r="G1010" s="139"/>
      <c r="H1010" s="139"/>
      <c r="I1010" s="139"/>
      <c r="J1010" s="139"/>
      <c r="K1010" s="139"/>
      <c r="L1010" s="139"/>
      <c r="M1010" s="145"/>
      <c r="N1010" s="139"/>
      <c r="O1010" s="139"/>
      <c r="P1010" s="139"/>
      <c r="Q1010" s="146"/>
      <c r="R1010" s="139"/>
      <c r="S1010" s="139"/>
      <c r="T1010" s="139"/>
      <c r="U1010" s="139"/>
      <c r="V1010" s="139"/>
      <c r="W1010" s="111"/>
      <c r="X1010" s="139"/>
      <c r="Y1010" s="139"/>
    </row>
    <row r="1011" ht="15.75" customHeight="1">
      <c r="A1011" s="144"/>
      <c r="B1011" s="139"/>
      <c r="C1011" s="139"/>
      <c r="D1011" s="145"/>
      <c r="E1011" s="139"/>
      <c r="F1011" s="139"/>
      <c r="G1011" s="139"/>
      <c r="H1011" s="139"/>
      <c r="I1011" s="139"/>
      <c r="J1011" s="139"/>
      <c r="K1011" s="139"/>
      <c r="L1011" s="139"/>
      <c r="M1011" s="145"/>
      <c r="N1011" s="139"/>
      <c r="O1011" s="139"/>
      <c r="P1011" s="139"/>
      <c r="Q1011" s="146"/>
      <c r="R1011" s="139"/>
      <c r="S1011" s="139"/>
      <c r="T1011" s="139"/>
      <c r="U1011" s="139"/>
      <c r="V1011" s="139"/>
      <c r="W1011" s="111"/>
      <c r="X1011" s="139"/>
      <c r="Y1011" s="139"/>
    </row>
    <row r="1012" ht="15.75" customHeight="1">
      <c r="A1012" s="144"/>
      <c r="B1012" s="139"/>
      <c r="C1012" s="139"/>
      <c r="D1012" s="145"/>
      <c r="E1012" s="139"/>
      <c r="F1012" s="139"/>
      <c r="G1012" s="139"/>
      <c r="H1012" s="139"/>
      <c r="I1012" s="139"/>
      <c r="J1012" s="139"/>
      <c r="K1012" s="139"/>
      <c r="L1012" s="139"/>
      <c r="M1012" s="145"/>
      <c r="N1012" s="139"/>
      <c r="O1012" s="139"/>
      <c r="P1012" s="139"/>
      <c r="Q1012" s="146"/>
      <c r="R1012" s="139"/>
      <c r="S1012" s="139"/>
      <c r="T1012" s="139"/>
      <c r="U1012" s="139"/>
      <c r="V1012" s="139"/>
      <c r="W1012" s="111"/>
      <c r="X1012" s="139"/>
      <c r="Y1012" s="139"/>
    </row>
    <row r="1013" ht="15.75" customHeight="1">
      <c r="A1013" s="144"/>
      <c r="B1013" s="139"/>
      <c r="C1013" s="139"/>
      <c r="D1013" s="145"/>
      <c r="E1013" s="139"/>
      <c r="F1013" s="139"/>
      <c r="G1013" s="139"/>
      <c r="H1013" s="139"/>
      <c r="I1013" s="139"/>
      <c r="J1013" s="139"/>
      <c r="K1013" s="139"/>
      <c r="L1013" s="139"/>
      <c r="M1013" s="145"/>
      <c r="N1013" s="139"/>
      <c r="O1013" s="139"/>
      <c r="P1013" s="139"/>
      <c r="Q1013" s="146"/>
      <c r="R1013" s="139"/>
      <c r="S1013" s="139"/>
      <c r="T1013" s="139"/>
      <c r="U1013" s="139"/>
      <c r="V1013" s="139"/>
      <c r="W1013" s="111"/>
      <c r="X1013" s="139"/>
      <c r="Y1013" s="139"/>
    </row>
    <row r="1014" ht="15.75" customHeight="1">
      <c r="A1014" s="144"/>
      <c r="B1014" s="139"/>
      <c r="C1014" s="139"/>
      <c r="D1014" s="145"/>
      <c r="E1014" s="139"/>
      <c r="F1014" s="139"/>
      <c r="G1014" s="139"/>
      <c r="H1014" s="139"/>
      <c r="I1014" s="139"/>
      <c r="J1014" s="139"/>
      <c r="K1014" s="139"/>
      <c r="L1014" s="139"/>
      <c r="M1014" s="145"/>
      <c r="N1014" s="139"/>
      <c r="O1014" s="139"/>
      <c r="P1014" s="139"/>
      <c r="Q1014" s="146"/>
      <c r="R1014" s="139"/>
      <c r="S1014" s="139"/>
      <c r="T1014" s="139"/>
      <c r="U1014" s="139"/>
      <c r="V1014" s="139"/>
      <c r="W1014" s="111"/>
      <c r="X1014" s="139"/>
      <c r="Y1014" s="139"/>
    </row>
    <row r="1015" ht="15.75" customHeight="1">
      <c r="A1015" s="144"/>
      <c r="B1015" s="139"/>
      <c r="C1015" s="139"/>
      <c r="D1015" s="145"/>
      <c r="E1015" s="139"/>
      <c r="F1015" s="139"/>
      <c r="G1015" s="139"/>
      <c r="H1015" s="139"/>
      <c r="I1015" s="139"/>
      <c r="J1015" s="139"/>
      <c r="K1015" s="139"/>
      <c r="L1015" s="139"/>
      <c r="M1015" s="145"/>
      <c r="N1015" s="139"/>
      <c r="O1015" s="139"/>
      <c r="P1015" s="139"/>
      <c r="Q1015" s="146"/>
      <c r="R1015" s="139"/>
      <c r="S1015" s="139"/>
      <c r="T1015" s="139"/>
      <c r="U1015" s="139"/>
      <c r="V1015" s="139"/>
      <c r="W1015" s="111"/>
      <c r="X1015" s="139"/>
      <c r="Y1015" s="139"/>
    </row>
    <row r="1016" ht="15.75" customHeight="1">
      <c r="A1016" s="144"/>
      <c r="B1016" s="139"/>
      <c r="C1016" s="139"/>
      <c r="D1016" s="145"/>
      <c r="E1016" s="139"/>
      <c r="F1016" s="139"/>
      <c r="G1016" s="139"/>
      <c r="H1016" s="139"/>
      <c r="I1016" s="139"/>
      <c r="J1016" s="139"/>
      <c r="K1016" s="139"/>
      <c r="L1016" s="139"/>
      <c r="M1016" s="145"/>
      <c r="N1016" s="139"/>
      <c r="O1016" s="139"/>
      <c r="P1016" s="139"/>
      <c r="Q1016" s="146"/>
      <c r="R1016" s="139"/>
      <c r="S1016" s="139"/>
      <c r="T1016" s="139"/>
      <c r="U1016" s="139"/>
      <c r="V1016" s="139"/>
      <c r="W1016" s="111"/>
      <c r="X1016" s="139"/>
      <c r="Y1016" s="139"/>
    </row>
    <row r="1017" ht="15.75" customHeight="1">
      <c r="A1017" s="144"/>
      <c r="B1017" s="139"/>
      <c r="C1017" s="139"/>
      <c r="D1017" s="145"/>
      <c r="E1017" s="139"/>
      <c r="F1017" s="139"/>
      <c r="G1017" s="139"/>
      <c r="H1017" s="139"/>
      <c r="I1017" s="139"/>
      <c r="J1017" s="139"/>
      <c r="K1017" s="139"/>
      <c r="L1017" s="139"/>
      <c r="M1017" s="145"/>
      <c r="N1017" s="139"/>
      <c r="O1017" s="139"/>
      <c r="P1017" s="139"/>
      <c r="Q1017" s="146"/>
      <c r="R1017" s="139"/>
      <c r="S1017" s="139"/>
      <c r="T1017" s="139"/>
      <c r="U1017" s="139"/>
      <c r="V1017" s="139"/>
      <c r="W1017" s="111"/>
      <c r="X1017" s="139"/>
      <c r="Y1017" s="139"/>
    </row>
    <row r="1018" ht="15.75" customHeight="1">
      <c r="A1018" s="144"/>
      <c r="B1018" s="139"/>
      <c r="C1018" s="139"/>
      <c r="D1018" s="145"/>
      <c r="E1018" s="139"/>
      <c r="F1018" s="139"/>
      <c r="G1018" s="139"/>
      <c r="H1018" s="139"/>
      <c r="I1018" s="139"/>
      <c r="J1018" s="139"/>
      <c r="K1018" s="139"/>
      <c r="L1018" s="139"/>
      <c r="M1018" s="145"/>
      <c r="N1018" s="139"/>
      <c r="O1018" s="139"/>
      <c r="P1018" s="139"/>
      <c r="Q1018" s="146"/>
      <c r="R1018" s="139"/>
      <c r="S1018" s="139"/>
      <c r="T1018" s="139"/>
      <c r="U1018" s="139"/>
      <c r="V1018" s="139"/>
      <c r="W1018" s="111"/>
      <c r="X1018" s="139"/>
      <c r="Y1018" s="139"/>
    </row>
    <row r="1019" ht="15.75" customHeight="1">
      <c r="A1019" s="144"/>
      <c r="B1019" s="139"/>
      <c r="C1019" s="139"/>
      <c r="D1019" s="145"/>
      <c r="E1019" s="139"/>
      <c r="F1019" s="139"/>
      <c r="G1019" s="139"/>
      <c r="H1019" s="139"/>
      <c r="I1019" s="139"/>
      <c r="J1019" s="139"/>
      <c r="K1019" s="139"/>
      <c r="L1019" s="139"/>
      <c r="M1019" s="145"/>
      <c r="N1019" s="139"/>
      <c r="O1019" s="139"/>
      <c r="P1019" s="139"/>
      <c r="Q1019" s="146"/>
      <c r="R1019" s="139"/>
      <c r="S1019" s="139"/>
      <c r="T1019" s="139"/>
      <c r="U1019" s="139"/>
      <c r="V1019" s="139"/>
      <c r="W1019" s="111"/>
      <c r="X1019" s="139"/>
      <c r="Y1019" s="139"/>
    </row>
    <row r="1020" ht="15.75" customHeight="1">
      <c r="A1020" s="144"/>
      <c r="B1020" s="139"/>
      <c r="C1020" s="139"/>
      <c r="D1020" s="145"/>
      <c r="E1020" s="139"/>
      <c r="F1020" s="139"/>
      <c r="G1020" s="139"/>
      <c r="H1020" s="139"/>
      <c r="I1020" s="139"/>
      <c r="J1020" s="139"/>
      <c r="K1020" s="139"/>
      <c r="L1020" s="139"/>
      <c r="M1020" s="145"/>
      <c r="N1020" s="139"/>
      <c r="O1020" s="139"/>
      <c r="P1020" s="139"/>
      <c r="Q1020" s="146"/>
      <c r="R1020" s="139"/>
      <c r="S1020" s="139"/>
      <c r="T1020" s="139"/>
      <c r="U1020" s="139"/>
      <c r="V1020" s="139"/>
      <c r="W1020" s="111"/>
      <c r="X1020" s="139"/>
      <c r="Y1020" s="139"/>
    </row>
    <row r="1021" ht="15.75" customHeight="1">
      <c r="A1021" s="144"/>
      <c r="B1021" s="139"/>
      <c r="C1021" s="139"/>
      <c r="D1021" s="145"/>
      <c r="E1021" s="139"/>
      <c r="F1021" s="139"/>
      <c r="G1021" s="139"/>
      <c r="H1021" s="139"/>
      <c r="I1021" s="139"/>
      <c r="J1021" s="139"/>
      <c r="K1021" s="139"/>
      <c r="L1021" s="139"/>
      <c r="M1021" s="145"/>
      <c r="N1021" s="139"/>
      <c r="O1021" s="139"/>
      <c r="P1021" s="139"/>
      <c r="Q1021" s="146"/>
      <c r="R1021" s="139"/>
      <c r="S1021" s="139"/>
      <c r="T1021" s="139"/>
      <c r="U1021" s="139"/>
      <c r="V1021" s="139"/>
      <c r="W1021" s="111"/>
      <c r="X1021" s="139"/>
      <c r="Y1021" s="139"/>
    </row>
    <row r="1022" ht="15.75" customHeight="1">
      <c r="A1022" s="144"/>
      <c r="B1022" s="139"/>
      <c r="C1022" s="139"/>
      <c r="D1022" s="145"/>
      <c r="E1022" s="139"/>
      <c r="F1022" s="139"/>
      <c r="G1022" s="139"/>
      <c r="H1022" s="139"/>
      <c r="I1022" s="139"/>
      <c r="J1022" s="139"/>
      <c r="K1022" s="139"/>
      <c r="L1022" s="139"/>
      <c r="M1022" s="145"/>
      <c r="N1022" s="139"/>
      <c r="O1022" s="139"/>
      <c r="P1022" s="139"/>
      <c r="Q1022" s="146"/>
      <c r="R1022" s="139"/>
      <c r="S1022" s="139"/>
      <c r="T1022" s="139"/>
      <c r="U1022" s="139"/>
      <c r="V1022" s="139"/>
      <c r="W1022" s="111"/>
      <c r="X1022" s="139"/>
      <c r="Y1022" s="139"/>
    </row>
    <row r="1023" ht="15.75" customHeight="1">
      <c r="A1023" s="144"/>
      <c r="B1023" s="139"/>
      <c r="C1023" s="139"/>
      <c r="D1023" s="145"/>
      <c r="E1023" s="139"/>
      <c r="F1023" s="139"/>
      <c r="G1023" s="139"/>
      <c r="H1023" s="139"/>
      <c r="I1023" s="139"/>
      <c r="J1023" s="139"/>
      <c r="K1023" s="139"/>
      <c r="L1023" s="139"/>
      <c r="M1023" s="145"/>
      <c r="N1023" s="139"/>
      <c r="O1023" s="139"/>
      <c r="P1023" s="139"/>
      <c r="Q1023" s="146"/>
      <c r="R1023" s="139"/>
      <c r="S1023" s="139"/>
      <c r="T1023" s="139"/>
      <c r="U1023" s="139"/>
      <c r="V1023" s="139"/>
      <c r="W1023" s="111"/>
      <c r="X1023" s="139"/>
      <c r="Y1023" s="139"/>
    </row>
    <row r="1024" ht="15.75" customHeight="1">
      <c r="A1024" s="144"/>
      <c r="B1024" s="139"/>
      <c r="C1024" s="139"/>
      <c r="D1024" s="145"/>
      <c r="E1024" s="139"/>
      <c r="F1024" s="139"/>
      <c r="G1024" s="139"/>
      <c r="H1024" s="139"/>
      <c r="I1024" s="139"/>
      <c r="J1024" s="139"/>
      <c r="K1024" s="139"/>
      <c r="L1024" s="139"/>
      <c r="M1024" s="145"/>
      <c r="N1024" s="139"/>
      <c r="O1024" s="139"/>
      <c r="P1024" s="139"/>
      <c r="Q1024" s="146"/>
      <c r="R1024" s="139"/>
      <c r="S1024" s="139"/>
      <c r="T1024" s="139"/>
      <c r="U1024" s="139"/>
      <c r="V1024" s="139"/>
      <c r="W1024" s="111"/>
      <c r="X1024" s="139"/>
      <c r="Y1024" s="139"/>
    </row>
    <row r="1025" ht="15.75" customHeight="1">
      <c r="A1025" s="144"/>
      <c r="B1025" s="139"/>
      <c r="C1025" s="139"/>
      <c r="D1025" s="145"/>
      <c r="E1025" s="139"/>
      <c r="F1025" s="139"/>
      <c r="G1025" s="139"/>
      <c r="H1025" s="139"/>
      <c r="I1025" s="139"/>
      <c r="J1025" s="139"/>
      <c r="K1025" s="139"/>
      <c r="L1025" s="139"/>
      <c r="M1025" s="145"/>
      <c r="N1025" s="139"/>
      <c r="O1025" s="139"/>
      <c r="P1025" s="139"/>
      <c r="Q1025" s="146"/>
      <c r="R1025" s="139"/>
      <c r="S1025" s="139"/>
      <c r="T1025" s="139"/>
      <c r="U1025" s="139"/>
      <c r="V1025" s="139"/>
      <c r="W1025" s="111"/>
      <c r="X1025" s="139"/>
      <c r="Y1025" s="139"/>
    </row>
    <row r="1026" ht="15.75" customHeight="1">
      <c r="A1026" s="144"/>
      <c r="B1026" s="139"/>
      <c r="C1026" s="139"/>
      <c r="D1026" s="145"/>
      <c r="E1026" s="139"/>
      <c r="F1026" s="139"/>
      <c r="G1026" s="139"/>
      <c r="H1026" s="139"/>
      <c r="I1026" s="139"/>
      <c r="J1026" s="139"/>
      <c r="K1026" s="139"/>
      <c r="L1026" s="139"/>
      <c r="M1026" s="145"/>
      <c r="N1026" s="139"/>
      <c r="O1026" s="139"/>
      <c r="P1026" s="139"/>
      <c r="Q1026" s="146"/>
      <c r="R1026" s="139"/>
      <c r="S1026" s="139"/>
      <c r="T1026" s="139"/>
      <c r="U1026" s="139"/>
      <c r="V1026" s="139"/>
      <c r="W1026" s="111"/>
      <c r="X1026" s="139"/>
      <c r="Y1026" s="139"/>
    </row>
    <row r="1027" ht="15.75" customHeight="1">
      <c r="A1027" s="144"/>
      <c r="B1027" s="139"/>
      <c r="C1027" s="139"/>
      <c r="D1027" s="145"/>
      <c r="E1027" s="139"/>
      <c r="F1027" s="139"/>
      <c r="G1027" s="139"/>
      <c r="H1027" s="139"/>
      <c r="I1027" s="139"/>
      <c r="J1027" s="139"/>
      <c r="K1027" s="139"/>
      <c r="L1027" s="139"/>
      <c r="M1027" s="145"/>
      <c r="N1027" s="139"/>
      <c r="O1027" s="139"/>
      <c r="P1027" s="139"/>
      <c r="Q1027" s="146"/>
      <c r="R1027" s="139"/>
      <c r="S1027" s="139"/>
      <c r="T1027" s="139"/>
      <c r="U1027" s="139"/>
      <c r="V1027" s="139"/>
      <c r="W1027" s="111"/>
      <c r="X1027" s="139"/>
      <c r="Y1027" s="139"/>
    </row>
    <row r="1028" ht="15.75" customHeight="1">
      <c r="A1028" s="144"/>
      <c r="B1028" s="139"/>
      <c r="C1028" s="139"/>
      <c r="D1028" s="145"/>
      <c r="E1028" s="139"/>
      <c r="F1028" s="139"/>
      <c r="G1028" s="139"/>
      <c r="H1028" s="139"/>
      <c r="I1028" s="139"/>
      <c r="J1028" s="139"/>
      <c r="K1028" s="139"/>
      <c r="L1028" s="139"/>
      <c r="M1028" s="145"/>
      <c r="N1028" s="139"/>
      <c r="O1028" s="139"/>
      <c r="P1028" s="139"/>
      <c r="Q1028" s="146"/>
      <c r="R1028" s="139"/>
      <c r="S1028" s="139"/>
      <c r="T1028" s="139"/>
      <c r="U1028" s="139"/>
      <c r="V1028" s="139"/>
      <c r="W1028" s="111"/>
      <c r="X1028" s="139"/>
      <c r="Y1028" s="139"/>
    </row>
    <row r="1029" ht="15.75" customHeight="1">
      <c r="A1029" s="144"/>
      <c r="B1029" s="139"/>
      <c r="C1029" s="139"/>
      <c r="D1029" s="145"/>
      <c r="E1029" s="139"/>
      <c r="F1029" s="139"/>
      <c r="G1029" s="139"/>
      <c r="H1029" s="139"/>
      <c r="I1029" s="139"/>
      <c r="J1029" s="139"/>
      <c r="K1029" s="139"/>
      <c r="L1029" s="139"/>
      <c r="M1029" s="145"/>
      <c r="N1029" s="139"/>
      <c r="O1029" s="139"/>
      <c r="P1029" s="139"/>
      <c r="Q1029" s="146"/>
      <c r="R1029" s="139"/>
      <c r="S1029" s="139"/>
      <c r="T1029" s="139"/>
      <c r="U1029" s="139"/>
      <c r="V1029" s="139"/>
      <c r="W1029" s="111"/>
      <c r="X1029" s="139"/>
      <c r="Y1029" s="139"/>
    </row>
    <row r="1030" ht="15.75" customHeight="1">
      <c r="A1030" s="144"/>
      <c r="B1030" s="139"/>
      <c r="C1030" s="139"/>
      <c r="D1030" s="145"/>
      <c r="E1030" s="139"/>
      <c r="F1030" s="139"/>
      <c r="G1030" s="139"/>
      <c r="H1030" s="139"/>
      <c r="I1030" s="139"/>
      <c r="J1030" s="139"/>
      <c r="K1030" s="139"/>
      <c r="L1030" s="139"/>
      <c r="M1030" s="145"/>
      <c r="N1030" s="139"/>
      <c r="O1030" s="139"/>
      <c r="P1030" s="139"/>
      <c r="Q1030" s="146"/>
      <c r="R1030" s="139"/>
      <c r="S1030" s="139"/>
      <c r="T1030" s="139"/>
      <c r="U1030" s="139"/>
      <c r="V1030" s="139"/>
      <c r="W1030" s="111"/>
      <c r="X1030" s="139"/>
      <c r="Y1030" s="139"/>
    </row>
    <row r="1031" ht="15.75" customHeight="1">
      <c r="A1031" s="144"/>
      <c r="B1031" s="139"/>
      <c r="C1031" s="139"/>
      <c r="D1031" s="145"/>
      <c r="E1031" s="139"/>
      <c r="F1031" s="139"/>
      <c r="G1031" s="139"/>
      <c r="H1031" s="139"/>
      <c r="I1031" s="139"/>
      <c r="J1031" s="139"/>
      <c r="K1031" s="139"/>
      <c r="L1031" s="139"/>
      <c r="M1031" s="145"/>
      <c r="N1031" s="139"/>
      <c r="O1031" s="139"/>
      <c r="P1031" s="139"/>
      <c r="Q1031" s="146"/>
      <c r="R1031" s="139"/>
      <c r="S1031" s="139"/>
      <c r="T1031" s="139"/>
      <c r="U1031" s="139"/>
      <c r="V1031" s="139"/>
      <c r="W1031" s="111"/>
      <c r="X1031" s="139"/>
      <c r="Y1031" s="139"/>
    </row>
    <row r="1032" ht="15.75" customHeight="1">
      <c r="A1032" s="144"/>
      <c r="B1032" s="139"/>
      <c r="C1032" s="139"/>
      <c r="D1032" s="145"/>
      <c r="E1032" s="139"/>
      <c r="F1032" s="139"/>
      <c r="G1032" s="139"/>
      <c r="H1032" s="139"/>
      <c r="I1032" s="139"/>
      <c r="J1032" s="139"/>
      <c r="K1032" s="139"/>
      <c r="L1032" s="139"/>
      <c r="M1032" s="145"/>
      <c r="N1032" s="139"/>
      <c r="O1032" s="139"/>
      <c r="P1032" s="139"/>
      <c r="Q1032" s="146"/>
      <c r="R1032" s="139"/>
      <c r="S1032" s="139"/>
      <c r="T1032" s="139"/>
      <c r="U1032" s="139"/>
      <c r="V1032" s="139"/>
      <c r="W1032" s="111"/>
      <c r="X1032" s="139"/>
      <c r="Y1032" s="139"/>
    </row>
    <row r="1033" ht="15.75" customHeight="1">
      <c r="A1033" s="144"/>
      <c r="B1033" s="139"/>
      <c r="C1033" s="139"/>
      <c r="D1033" s="145"/>
      <c r="E1033" s="139"/>
      <c r="F1033" s="139"/>
      <c r="G1033" s="139"/>
      <c r="H1033" s="139"/>
      <c r="I1033" s="139"/>
      <c r="J1033" s="139"/>
      <c r="K1033" s="139"/>
      <c r="L1033" s="139"/>
      <c r="M1033" s="145"/>
      <c r="N1033" s="139"/>
      <c r="O1033" s="139"/>
      <c r="P1033" s="139"/>
      <c r="Q1033" s="146"/>
      <c r="R1033" s="139"/>
      <c r="S1033" s="139"/>
      <c r="T1033" s="139"/>
      <c r="U1033" s="139"/>
      <c r="V1033" s="139"/>
      <c r="W1033" s="111"/>
      <c r="X1033" s="139"/>
      <c r="Y1033" s="139"/>
    </row>
    <row r="1034" ht="15.75" customHeight="1">
      <c r="A1034" s="144"/>
      <c r="B1034" s="139"/>
      <c r="C1034" s="139"/>
      <c r="D1034" s="145"/>
      <c r="E1034" s="139"/>
      <c r="F1034" s="139"/>
      <c r="G1034" s="139"/>
      <c r="H1034" s="139"/>
      <c r="I1034" s="139"/>
      <c r="J1034" s="139"/>
      <c r="K1034" s="139"/>
      <c r="L1034" s="139"/>
      <c r="M1034" s="145"/>
      <c r="N1034" s="139"/>
      <c r="O1034" s="139"/>
      <c r="P1034" s="139"/>
      <c r="Q1034" s="146"/>
      <c r="R1034" s="139"/>
      <c r="S1034" s="139"/>
      <c r="T1034" s="139"/>
      <c r="U1034" s="139"/>
      <c r="V1034" s="139"/>
      <c r="W1034" s="111"/>
      <c r="X1034" s="139"/>
      <c r="Y1034" s="139"/>
    </row>
    <row r="1035" ht="15.75" customHeight="1">
      <c r="A1035" s="144"/>
      <c r="B1035" s="139"/>
      <c r="C1035" s="139"/>
      <c r="D1035" s="145"/>
      <c r="E1035" s="139"/>
      <c r="F1035" s="139"/>
      <c r="G1035" s="139"/>
      <c r="H1035" s="139"/>
      <c r="I1035" s="139"/>
      <c r="J1035" s="139"/>
      <c r="K1035" s="139"/>
      <c r="L1035" s="139"/>
      <c r="M1035" s="145"/>
      <c r="N1035" s="139"/>
      <c r="O1035" s="139"/>
      <c r="P1035" s="139"/>
      <c r="Q1035" s="146"/>
      <c r="R1035" s="139"/>
      <c r="S1035" s="139"/>
      <c r="T1035" s="139"/>
      <c r="U1035" s="139"/>
      <c r="V1035" s="139"/>
      <c r="W1035" s="111"/>
      <c r="X1035" s="139"/>
      <c r="Y1035" s="139"/>
    </row>
    <row r="1036" ht="15.75" customHeight="1">
      <c r="A1036" s="144"/>
      <c r="B1036" s="139"/>
      <c r="C1036" s="139"/>
      <c r="D1036" s="145"/>
      <c r="E1036" s="139"/>
      <c r="F1036" s="139"/>
      <c r="G1036" s="139"/>
      <c r="H1036" s="139"/>
      <c r="I1036" s="139"/>
      <c r="J1036" s="139"/>
      <c r="K1036" s="139"/>
      <c r="L1036" s="139"/>
      <c r="M1036" s="145"/>
      <c r="N1036" s="139"/>
      <c r="O1036" s="139"/>
      <c r="P1036" s="139"/>
      <c r="Q1036" s="146"/>
      <c r="R1036" s="139"/>
      <c r="S1036" s="139"/>
      <c r="T1036" s="139"/>
      <c r="U1036" s="139"/>
      <c r="V1036" s="139"/>
      <c r="W1036" s="111"/>
      <c r="X1036" s="139"/>
      <c r="Y1036" s="139"/>
    </row>
    <row r="1037" ht="15.75" customHeight="1">
      <c r="A1037" s="144"/>
      <c r="B1037" s="139"/>
      <c r="C1037" s="139"/>
      <c r="D1037" s="145"/>
      <c r="E1037" s="139"/>
      <c r="F1037" s="139"/>
      <c r="G1037" s="139"/>
      <c r="H1037" s="139"/>
      <c r="I1037" s="139"/>
      <c r="J1037" s="139"/>
      <c r="K1037" s="139"/>
      <c r="L1037" s="139"/>
      <c r="M1037" s="145"/>
      <c r="N1037" s="139"/>
      <c r="O1037" s="139"/>
      <c r="P1037" s="139"/>
      <c r="Q1037" s="146"/>
      <c r="R1037" s="139"/>
      <c r="S1037" s="139"/>
      <c r="T1037" s="139"/>
      <c r="U1037" s="139"/>
      <c r="V1037" s="139"/>
      <c r="W1037" s="111"/>
      <c r="X1037" s="139"/>
      <c r="Y1037" s="139"/>
    </row>
    <row r="1038" ht="15.75" customHeight="1">
      <c r="A1038" s="144"/>
      <c r="B1038" s="139"/>
      <c r="C1038" s="139"/>
      <c r="D1038" s="145"/>
      <c r="E1038" s="139"/>
      <c r="F1038" s="139"/>
      <c r="G1038" s="139"/>
      <c r="H1038" s="139"/>
      <c r="I1038" s="139"/>
      <c r="J1038" s="139"/>
      <c r="K1038" s="139"/>
      <c r="L1038" s="139"/>
      <c r="M1038" s="145"/>
      <c r="N1038" s="139"/>
      <c r="O1038" s="139"/>
      <c r="P1038" s="139"/>
      <c r="Q1038" s="146"/>
      <c r="R1038" s="139"/>
      <c r="S1038" s="139"/>
      <c r="T1038" s="139"/>
      <c r="U1038" s="139"/>
      <c r="V1038" s="139"/>
      <c r="W1038" s="111"/>
      <c r="X1038" s="139"/>
      <c r="Y1038" s="139"/>
    </row>
    <row r="1039" ht="15.75" customHeight="1">
      <c r="A1039" s="144"/>
      <c r="B1039" s="139"/>
      <c r="C1039" s="139"/>
      <c r="D1039" s="145"/>
      <c r="E1039" s="139"/>
      <c r="F1039" s="139"/>
      <c r="G1039" s="139"/>
      <c r="H1039" s="139"/>
      <c r="I1039" s="139"/>
      <c r="J1039" s="139"/>
      <c r="K1039" s="139"/>
      <c r="L1039" s="139"/>
      <c r="M1039" s="145"/>
      <c r="N1039" s="139"/>
      <c r="O1039" s="139"/>
      <c r="P1039" s="139"/>
      <c r="Q1039" s="146"/>
      <c r="R1039" s="139"/>
      <c r="S1039" s="139"/>
      <c r="T1039" s="139"/>
      <c r="U1039" s="139"/>
      <c r="V1039" s="139"/>
      <c r="W1039" s="111"/>
      <c r="X1039" s="139"/>
      <c r="Y1039" s="139"/>
    </row>
    <row r="1040" ht="15.75" customHeight="1">
      <c r="A1040" s="144"/>
      <c r="B1040" s="139"/>
      <c r="C1040" s="139"/>
      <c r="D1040" s="145"/>
      <c r="E1040" s="139"/>
      <c r="F1040" s="139"/>
      <c r="G1040" s="139"/>
      <c r="H1040" s="139"/>
      <c r="I1040" s="139"/>
      <c r="J1040" s="139"/>
      <c r="K1040" s="139"/>
      <c r="L1040" s="139"/>
      <c r="M1040" s="145"/>
      <c r="N1040" s="139"/>
      <c r="O1040" s="139"/>
      <c r="P1040" s="139"/>
      <c r="Q1040" s="146"/>
      <c r="R1040" s="139"/>
      <c r="S1040" s="139"/>
      <c r="T1040" s="139"/>
      <c r="U1040" s="139"/>
      <c r="V1040" s="139"/>
      <c r="W1040" s="111"/>
      <c r="X1040" s="139"/>
      <c r="Y1040" s="139"/>
    </row>
    <row r="1041" ht="15.75" customHeight="1">
      <c r="A1041" s="144"/>
      <c r="B1041" s="139"/>
      <c r="C1041" s="139"/>
      <c r="D1041" s="145"/>
      <c r="E1041" s="139"/>
      <c r="F1041" s="139"/>
      <c r="G1041" s="139"/>
      <c r="H1041" s="139"/>
      <c r="I1041" s="139"/>
      <c r="J1041" s="139"/>
      <c r="K1041" s="139"/>
      <c r="L1041" s="139"/>
      <c r="M1041" s="145"/>
      <c r="N1041" s="139"/>
      <c r="O1041" s="139"/>
      <c r="P1041" s="139"/>
      <c r="Q1041" s="146"/>
      <c r="R1041" s="139"/>
      <c r="S1041" s="139"/>
      <c r="T1041" s="139"/>
      <c r="U1041" s="139"/>
      <c r="V1041" s="139"/>
      <c r="W1041" s="111"/>
      <c r="X1041" s="139"/>
      <c r="Y1041" s="139"/>
    </row>
    <row r="1042" ht="15.75" customHeight="1">
      <c r="A1042" s="144"/>
      <c r="B1042" s="139"/>
      <c r="C1042" s="139"/>
      <c r="D1042" s="145"/>
      <c r="E1042" s="139"/>
      <c r="F1042" s="139"/>
      <c r="G1042" s="139"/>
      <c r="H1042" s="139"/>
      <c r="I1042" s="139"/>
      <c r="J1042" s="139"/>
      <c r="K1042" s="139"/>
      <c r="L1042" s="139"/>
      <c r="M1042" s="145"/>
      <c r="N1042" s="139"/>
      <c r="O1042" s="139"/>
      <c r="P1042" s="139"/>
      <c r="Q1042" s="146"/>
      <c r="R1042" s="139"/>
      <c r="S1042" s="139"/>
      <c r="T1042" s="139"/>
      <c r="U1042" s="139"/>
      <c r="V1042" s="139"/>
      <c r="W1042" s="111"/>
      <c r="X1042" s="139"/>
      <c r="Y1042" s="139"/>
    </row>
    <row r="1043" ht="15.75" customHeight="1">
      <c r="A1043" s="144"/>
      <c r="B1043" s="139"/>
      <c r="C1043" s="139"/>
      <c r="D1043" s="145"/>
      <c r="E1043" s="139"/>
      <c r="F1043" s="139"/>
      <c r="G1043" s="139"/>
      <c r="H1043" s="139"/>
      <c r="I1043" s="139"/>
      <c r="J1043" s="139"/>
      <c r="K1043" s="139"/>
      <c r="L1043" s="139"/>
      <c r="M1043" s="145"/>
      <c r="N1043" s="139"/>
      <c r="O1043" s="139"/>
      <c r="P1043" s="139"/>
      <c r="Q1043" s="146"/>
      <c r="R1043" s="139"/>
      <c r="S1043" s="139"/>
      <c r="T1043" s="139"/>
      <c r="U1043" s="139"/>
      <c r="V1043" s="139"/>
      <c r="W1043" s="111"/>
      <c r="X1043" s="139"/>
      <c r="Y1043" s="139"/>
    </row>
    <row r="1044" ht="15.75" customHeight="1">
      <c r="A1044" s="144"/>
      <c r="B1044" s="139"/>
      <c r="C1044" s="139"/>
      <c r="D1044" s="145"/>
      <c r="E1044" s="139"/>
      <c r="F1044" s="139"/>
      <c r="G1044" s="139"/>
      <c r="H1044" s="139"/>
      <c r="I1044" s="139"/>
      <c r="J1044" s="139"/>
      <c r="K1044" s="139"/>
      <c r="L1044" s="139"/>
      <c r="M1044" s="145"/>
      <c r="N1044" s="139"/>
      <c r="O1044" s="139"/>
      <c r="P1044" s="139"/>
      <c r="Q1044" s="146"/>
      <c r="R1044" s="139"/>
      <c r="S1044" s="139"/>
      <c r="T1044" s="139"/>
      <c r="U1044" s="139"/>
      <c r="V1044" s="139"/>
      <c r="W1044" s="111"/>
      <c r="X1044" s="139"/>
      <c r="Y1044" s="139"/>
    </row>
    <row r="1045" ht="15.75" customHeight="1">
      <c r="A1045" s="144"/>
      <c r="B1045" s="139"/>
      <c r="C1045" s="139"/>
      <c r="D1045" s="145"/>
      <c r="E1045" s="139"/>
      <c r="F1045" s="139"/>
      <c r="G1045" s="139"/>
      <c r="H1045" s="139"/>
      <c r="I1045" s="139"/>
      <c r="J1045" s="139"/>
      <c r="K1045" s="139"/>
      <c r="L1045" s="139"/>
      <c r="M1045" s="145"/>
      <c r="N1045" s="139"/>
      <c r="O1045" s="139"/>
      <c r="P1045" s="139"/>
      <c r="Q1045" s="146"/>
      <c r="R1045" s="139"/>
      <c r="S1045" s="139"/>
      <c r="T1045" s="139"/>
      <c r="U1045" s="139"/>
      <c r="V1045" s="139"/>
      <c r="W1045" s="111"/>
      <c r="X1045" s="139"/>
      <c r="Y1045" s="139"/>
    </row>
    <row r="1046" ht="15.75" customHeight="1">
      <c r="A1046" s="144"/>
      <c r="B1046" s="139"/>
      <c r="C1046" s="139"/>
      <c r="D1046" s="145"/>
      <c r="E1046" s="139"/>
      <c r="F1046" s="139"/>
      <c r="G1046" s="139"/>
      <c r="H1046" s="139"/>
      <c r="I1046" s="139"/>
      <c r="J1046" s="139"/>
      <c r="K1046" s="139"/>
      <c r="L1046" s="139"/>
      <c r="M1046" s="145"/>
      <c r="N1046" s="139"/>
      <c r="O1046" s="139"/>
      <c r="P1046" s="139"/>
      <c r="Q1046" s="146"/>
      <c r="R1046" s="139"/>
      <c r="S1046" s="139"/>
      <c r="T1046" s="139"/>
      <c r="U1046" s="139"/>
      <c r="V1046" s="139"/>
      <c r="W1046" s="111"/>
      <c r="X1046" s="139"/>
      <c r="Y1046" s="139"/>
    </row>
    <row r="1047" ht="15.75" customHeight="1">
      <c r="A1047" s="144"/>
      <c r="B1047" s="139"/>
      <c r="C1047" s="139"/>
      <c r="D1047" s="145"/>
      <c r="E1047" s="139"/>
      <c r="F1047" s="139"/>
      <c r="G1047" s="139"/>
      <c r="H1047" s="139"/>
      <c r="I1047" s="139"/>
      <c r="J1047" s="139"/>
      <c r="K1047" s="139"/>
      <c r="L1047" s="139"/>
      <c r="M1047" s="145"/>
      <c r="N1047" s="139"/>
      <c r="O1047" s="139"/>
      <c r="P1047" s="139"/>
      <c r="Q1047" s="146"/>
      <c r="R1047" s="139"/>
      <c r="S1047" s="139"/>
      <c r="T1047" s="139"/>
      <c r="U1047" s="139"/>
      <c r="V1047" s="139"/>
      <c r="W1047" s="111"/>
      <c r="X1047" s="139"/>
      <c r="Y1047" s="139"/>
    </row>
    <row r="1048" ht="15.75" customHeight="1">
      <c r="A1048" s="144"/>
      <c r="B1048" s="139"/>
      <c r="C1048" s="139"/>
      <c r="D1048" s="145"/>
      <c r="E1048" s="139"/>
      <c r="F1048" s="139"/>
      <c r="G1048" s="139"/>
      <c r="H1048" s="139"/>
      <c r="I1048" s="139"/>
      <c r="J1048" s="139"/>
      <c r="K1048" s="139"/>
      <c r="L1048" s="139"/>
      <c r="M1048" s="145"/>
      <c r="N1048" s="139"/>
      <c r="O1048" s="139"/>
      <c r="P1048" s="139"/>
      <c r="Q1048" s="146"/>
      <c r="R1048" s="139"/>
      <c r="S1048" s="139"/>
      <c r="T1048" s="139"/>
      <c r="U1048" s="139"/>
      <c r="V1048" s="139"/>
      <c r="W1048" s="111"/>
      <c r="X1048" s="139"/>
      <c r="Y1048" s="139"/>
    </row>
    <row r="1049" ht="15.75" customHeight="1">
      <c r="A1049" s="144"/>
      <c r="B1049" s="139"/>
      <c r="C1049" s="139"/>
      <c r="D1049" s="145"/>
      <c r="E1049" s="139"/>
      <c r="F1049" s="139"/>
      <c r="G1049" s="139"/>
      <c r="H1049" s="139"/>
      <c r="I1049" s="139"/>
      <c r="J1049" s="139"/>
      <c r="K1049" s="139"/>
      <c r="L1049" s="139"/>
      <c r="M1049" s="145"/>
      <c r="N1049" s="139"/>
      <c r="O1049" s="139"/>
      <c r="P1049" s="139"/>
      <c r="Q1049" s="146"/>
      <c r="R1049" s="139"/>
      <c r="S1049" s="139"/>
      <c r="T1049" s="139"/>
      <c r="U1049" s="139"/>
      <c r="V1049" s="139"/>
      <c r="W1049" s="111"/>
      <c r="X1049" s="139"/>
      <c r="Y1049" s="139"/>
    </row>
    <row r="1050" ht="15.75" customHeight="1">
      <c r="A1050" s="144"/>
      <c r="B1050" s="139"/>
      <c r="C1050" s="139"/>
      <c r="D1050" s="145"/>
      <c r="E1050" s="139"/>
      <c r="F1050" s="139"/>
      <c r="G1050" s="139"/>
      <c r="H1050" s="139"/>
      <c r="I1050" s="139"/>
      <c r="J1050" s="139"/>
      <c r="K1050" s="139"/>
      <c r="L1050" s="139"/>
      <c r="M1050" s="145"/>
      <c r="N1050" s="139"/>
      <c r="O1050" s="139"/>
      <c r="P1050" s="139"/>
      <c r="Q1050" s="146"/>
      <c r="R1050" s="139"/>
      <c r="S1050" s="139"/>
      <c r="T1050" s="139"/>
      <c r="U1050" s="139"/>
      <c r="V1050" s="139"/>
      <c r="W1050" s="111"/>
      <c r="X1050" s="139"/>
      <c r="Y1050" s="139"/>
    </row>
    <row r="1051" ht="15.75" customHeight="1">
      <c r="A1051" s="144"/>
      <c r="B1051" s="139"/>
      <c r="C1051" s="139"/>
      <c r="D1051" s="145"/>
      <c r="E1051" s="139"/>
      <c r="F1051" s="139"/>
      <c r="G1051" s="139"/>
      <c r="H1051" s="139"/>
      <c r="I1051" s="139"/>
      <c r="J1051" s="139"/>
      <c r="K1051" s="139"/>
      <c r="L1051" s="139"/>
      <c r="M1051" s="145"/>
      <c r="N1051" s="139"/>
      <c r="O1051" s="139"/>
      <c r="P1051" s="139"/>
      <c r="Q1051" s="146"/>
      <c r="R1051" s="139"/>
      <c r="S1051" s="139"/>
      <c r="T1051" s="139"/>
      <c r="U1051" s="139"/>
      <c r="V1051" s="139"/>
      <c r="W1051" s="111"/>
      <c r="X1051" s="139"/>
      <c r="Y1051" s="139"/>
    </row>
    <row r="1052" ht="15.75" customHeight="1">
      <c r="A1052" s="144"/>
      <c r="B1052" s="139"/>
      <c r="C1052" s="139"/>
      <c r="D1052" s="145"/>
      <c r="E1052" s="139"/>
      <c r="F1052" s="139"/>
      <c r="G1052" s="139"/>
      <c r="H1052" s="139"/>
      <c r="I1052" s="139"/>
      <c r="J1052" s="139"/>
      <c r="K1052" s="139"/>
      <c r="L1052" s="139"/>
      <c r="M1052" s="145"/>
      <c r="N1052" s="139"/>
      <c r="O1052" s="139"/>
      <c r="P1052" s="139"/>
      <c r="Q1052" s="146"/>
      <c r="R1052" s="139"/>
      <c r="S1052" s="139"/>
      <c r="T1052" s="139"/>
      <c r="U1052" s="139"/>
      <c r="V1052" s="139"/>
      <c r="W1052" s="111"/>
      <c r="X1052" s="139"/>
      <c r="Y1052" s="139"/>
    </row>
    <row r="1053" ht="15.75" customHeight="1">
      <c r="A1053" s="144"/>
      <c r="B1053" s="139"/>
      <c r="C1053" s="139"/>
      <c r="D1053" s="145"/>
      <c r="E1053" s="139"/>
      <c r="F1053" s="139"/>
      <c r="G1053" s="139"/>
      <c r="H1053" s="139"/>
      <c r="I1053" s="139"/>
      <c r="J1053" s="139"/>
      <c r="K1053" s="139"/>
      <c r="L1053" s="139"/>
      <c r="M1053" s="145"/>
      <c r="N1053" s="139"/>
      <c r="O1053" s="139"/>
      <c r="P1053" s="139"/>
      <c r="Q1053" s="146"/>
      <c r="R1053" s="139"/>
      <c r="S1053" s="139"/>
      <c r="T1053" s="139"/>
      <c r="U1053" s="139"/>
      <c r="V1053" s="139"/>
      <c r="W1053" s="111"/>
      <c r="X1053" s="139"/>
      <c r="Y1053" s="139"/>
    </row>
    <row r="1054" ht="15.75" customHeight="1">
      <c r="A1054" s="144"/>
      <c r="B1054" s="139"/>
      <c r="C1054" s="139"/>
      <c r="D1054" s="145"/>
      <c r="E1054" s="139"/>
      <c r="F1054" s="139"/>
      <c r="G1054" s="139"/>
      <c r="H1054" s="139"/>
      <c r="I1054" s="139"/>
      <c r="J1054" s="139"/>
      <c r="K1054" s="139"/>
      <c r="L1054" s="139"/>
      <c r="M1054" s="145"/>
      <c r="N1054" s="139"/>
      <c r="O1054" s="139"/>
      <c r="P1054" s="139"/>
      <c r="Q1054" s="146"/>
      <c r="R1054" s="139"/>
      <c r="S1054" s="139"/>
      <c r="T1054" s="139"/>
      <c r="U1054" s="139"/>
      <c r="V1054" s="139"/>
      <c r="W1054" s="111"/>
      <c r="X1054" s="139"/>
      <c r="Y1054" s="139"/>
    </row>
    <row r="1055" ht="15.75" customHeight="1">
      <c r="A1055" s="144"/>
      <c r="B1055" s="139"/>
      <c r="C1055" s="139"/>
      <c r="D1055" s="145"/>
      <c r="E1055" s="139"/>
      <c r="F1055" s="139"/>
      <c r="G1055" s="139"/>
      <c r="H1055" s="139"/>
      <c r="I1055" s="139"/>
      <c r="J1055" s="139"/>
      <c r="K1055" s="139"/>
      <c r="L1055" s="139"/>
      <c r="M1055" s="145"/>
      <c r="N1055" s="139"/>
      <c r="O1055" s="139"/>
      <c r="P1055" s="139"/>
      <c r="Q1055" s="146"/>
      <c r="R1055" s="139"/>
      <c r="S1055" s="139"/>
      <c r="T1055" s="139"/>
      <c r="U1055" s="139"/>
      <c r="V1055" s="139"/>
      <c r="W1055" s="111"/>
      <c r="X1055" s="139"/>
      <c r="Y1055" s="139"/>
    </row>
    <row r="1056" ht="15.75" customHeight="1">
      <c r="A1056" s="144"/>
      <c r="B1056" s="139"/>
      <c r="C1056" s="139"/>
      <c r="D1056" s="145"/>
      <c r="E1056" s="139"/>
      <c r="F1056" s="139"/>
      <c r="G1056" s="139"/>
      <c r="H1056" s="139"/>
      <c r="I1056" s="139"/>
      <c r="J1056" s="139"/>
      <c r="K1056" s="139"/>
      <c r="L1056" s="139"/>
      <c r="M1056" s="145"/>
      <c r="N1056" s="139"/>
      <c r="O1056" s="139"/>
      <c r="P1056" s="139"/>
      <c r="Q1056" s="146"/>
      <c r="R1056" s="139"/>
      <c r="S1056" s="139"/>
      <c r="T1056" s="139"/>
      <c r="U1056" s="139"/>
      <c r="V1056" s="139"/>
      <c r="W1056" s="111"/>
      <c r="X1056" s="139"/>
      <c r="Y1056" s="139"/>
    </row>
    <row r="1057" ht="15.75" customHeight="1">
      <c r="A1057" s="144"/>
      <c r="B1057" s="139"/>
      <c r="C1057" s="139"/>
      <c r="D1057" s="145"/>
      <c r="E1057" s="139"/>
      <c r="F1057" s="139"/>
      <c r="G1057" s="139"/>
      <c r="H1057" s="139"/>
      <c r="I1057" s="139"/>
      <c r="J1057" s="139"/>
      <c r="K1057" s="139"/>
      <c r="L1057" s="139"/>
      <c r="M1057" s="145"/>
      <c r="N1057" s="139"/>
      <c r="O1057" s="139"/>
      <c r="P1057" s="139"/>
      <c r="Q1057" s="146"/>
      <c r="R1057" s="139"/>
      <c r="S1057" s="139"/>
      <c r="T1057" s="139"/>
      <c r="U1057" s="139"/>
      <c r="V1057" s="139"/>
      <c r="W1057" s="111"/>
      <c r="X1057" s="139"/>
      <c r="Y1057" s="139"/>
    </row>
    <row r="1058" ht="15.75" customHeight="1">
      <c r="A1058" s="144"/>
      <c r="B1058" s="139"/>
      <c r="C1058" s="139"/>
      <c r="D1058" s="145"/>
      <c r="E1058" s="139"/>
      <c r="F1058" s="139"/>
      <c r="G1058" s="139"/>
      <c r="H1058" s="139"/>
      <c r="I1058" s="139"/>
      <c r="J1058" s="139"/>
      <c r="K1058" s="139"/>
      <c r="L1058" s="139"/>
      <c r="M1058" s="145"/>
      <c r="N1058" s="139"/>
      <c r="O1058" s="139"/>
      <c r="P1058" s="139"/>
      <c r="Q1058" s="146"/>
      <c r="R1058" s="139"/>
      <c r="S1058" s="139"/>
      <c r="T1058" s="139"/>
      <c r="U1058" s="139"/>
      <c r="V1058" s="139"/>
      <c r="W1058" s="111"/>
      <c r="X1058" s="139"/>
      <c r="Y1058" s="139"/>
    </row>
    <row r="1059" ht="15.75" customHeight="1">
      <c r="A1059" s="144"/>
      <c r="B1059" s="139"/>
      <c r="C1059" s="139"/>
      <c r="D1059" s="145"/>
      <c r="E1059" s="139"/>
      <c r="F1059" s="139"/>
      <c r="G1059" s="139"/>
      <c r="H1059" s="139"/>
      <c r="I1059" s="139"/>
      <c r="J1059" s="139"/>
      <c r="K1059" s="139"/>
      <c r="L1059" s="139"/>
      <c r="M1059" s="145"/>
      <c r="N1059" s="139"/>
      <c r="O1059" s="139"/>
      <c r="P1059" s="139"/>
      <c r="Q1059" s="146"/>
      <c r="R1059" s="139"/>
      <c r="S1059" s="139"/>
      <c r="T1059" s="139"/>
      <c r="U1059" s="139"/>
      <c r="V1059" s="139"/>
      <c r="W1059" s="111"/>
      <c r="X1059" s="139"/>
      <c r="Y1059" s="139"/>
    </row>
    <row r="1060" ht="15.75" customHeight="1">
      <c r="A1060" s="144"/>
      <c r="B1060" s="139"/>
      <c r="C1060" s="139"/>
      <c r="D1060" s="145"/>
      <c r="E1060" s="139"/>
      <c r="F1060" s="139"/>
      <c r="G1060" s="139"/>
      <c r="H1060" s="139"/>
      <c r="I1060" s="139"/>
      <c r="J1060" s="139"/>
      <c r="K1060" s="139"/>
      <c r="L1060" s="139"/>
      <c r="M1060" s="145"/>
      <c r="N1060" s="139"/>
      <c r="O1060" s="139"/>
      <c r="P1060" s="139"/>
      <c r="Q1060" s="146"/>
      <c r="R1060" s="139"/>
      <c r="S1060" s="139"/>
      <c r="T1060" s="139"/>
      <c r="U1060" s="139"/>
      <c r="V1060" s="139"/>
      <c r="W1060" s="111"/>
      <c r="X1060" s="139"/>
      <c r="Y1060" s="139"/>
    </row>
    <row r="1061" ht="15.75" customHeight="1">
      <c r="A1061" s="144"/>
      <c r="B1061" s="139"/>
      <c r="C1061" s="139"/>
      <c r="D1061" s="145"/>
      <c r="E1061" s="139"/>
      <c r="F1061" s="139"/>
      <c r="G1061" s="139"/>
      <c r="H1061" s="139"/>
      <c r="I1061" s="139"/>
      <c r="J1061" s="139"/>
      <c r="K1061" s="139"/>
      <c r="L1061" s="139"/>
      <c r="M1061" s="145"/>
      <c r="N1061" s="139"/>
      <c r="O1061" s="139"/>
      <c r="P1061" s="139"/>
      <c r="Q1061" s="146"/>
      <c r="R1061" s="139"/>
      <c r="S1061" s="139"/>
      <c r="T1061" s="139"/>
      <c r="U1061" s="139"/>
      <c r="V1061" s="139"/>
      <c r="W1061" s="111"/>
      <c r="X1061" s="139"/>
      <c r="Y1061" s="139"/>
    </row>
    <row r="1062" ht="15.75" customHeight="1">
      <c r="A1062" s="144"/>
      <c r="B1062" s="139"/>
      <c r="C1062" s="139"/>
      <c r="D1062" s="145"/>
      <c r="E1062" s="139"/>
      <c r="F1062" s="139"/>
      <c r="G1062" s="139"/>
      <c r="H1062" s="139"/>
      <c r="I1062" s="139"/>
      <c r="J1062" s="139"/>
      <c r="K1062" s="139"/>
      <c r="L1062" s="139"/>
      <c r="M1062" s="145"/>
      <c r="N1062" s="139"/>
      <c r="O1062" s="139"/>
      <c r="P1062" s="139"/>
      <c r="Q1062" s="146"/>
      <c r="R1062" s="139"/>
      <c r="S1062" s="139"/>
      <c r="T1062" s="139"/>
      <c r="U1062" s="139"/>
      <c r="V1062" s="139"/>
      <c r="W1062" s="111"/>
      <c r="X1062" s="139"/>
      <c r="Y1062" s="139"/>
    </row>
    <row r="1063" ht="15.75" customHeight="1">
      <c r="A1063" s="144"/>
      <c r="B1063" s="139"/>
      <c r="C1063" s="139"/>
      <c r="D1063" s="145"/>
      <c r="E1063" s="139"/>
      <c r="F1063" s="139"/>
      <c r="G1063" s="139"/>
      <c r="H1063" s="139"/>
      <c r="I1063" s="139"/>
      <c r="J1063" s="139"/>
      <c r="K1063" s="139"/>
      <c r="L1063" s="139"/>
      <c r="M1063" s="145"/>
      <c r="N1063" s="139"/>
      <c r="O1063" s="139"/>
      <c r="P1063" s="139"/>
      <c r="Q1063" s="146"/>
      <c r="R1063" s="139"/>
      <c r="S1063" s="139"/>
      <c r="T1063" s="139"/>
      <c r="U1063" s="139"/>
      <c r="V1063" s="139"/>
      <c r="W1063" s="111"/>
      <c r="X1063" s="139"/>
      <c r="Y1063" s="139"/>
    </row>
    <row r="1064" ht="15.75" customHeight="1">
      <c r="A1064" s="144"/>
      <c r="B1064" s="139"/>
      <c r="C1064" s="139"/>
      <c r="D1064" s="145"/>
      <c r="E1064" s="139"/>
      <c r="F1064" s="139"/>
      <c r="G1064" s="139"/>
      <c r="H1064" s="139"/>
      <c r="I1064" s="139"/>
      <c r="J1064" s="139"/>
      <c r="K1064" s="139"/>
      <c r="L1064" s="139"/>
      <c r="M1064" s="145"/>
      <c r="N1064" s="139"/>
      <c r="O1064" s="139"/>
      <c r="P1064" s="139"/>
      <c r="Q1064" s="146"/>
      <c r="R1064" s="139"/>
      <c r="S1064" s="139"/>
      <c r="T1064" s="139"/>
      <c r="U1064" s="139"/>
      <c r="V1064" s="139"/>
      <c r="W1064" s="111"/>
      <c r="X1064" s="139"/>
      <c r="Y1064" s="139"/>
    </row>
    <row r="1065" ht="15.75" customHeight="1">
      <c r="A1065" s="144"/>
      <c r="B1065" s="139"/>
      <c r="C1065" s="139"/>
      <c r="D1065" s="145"/>
      <c r="E1065" s="139"/>
      <c r="F1065" s="139"/>
      <c r="G1065" s="139"/>
      <c r="H1065" s="139"/>
      <c r="I1065" s="139"/>
      <c r="J1065" s="139"/>
      <c r="K1065" s="139"/>
      <c r="L1065" s="139"/>
      <c r="M1065" s="145"/>
      <c r="N1065" s="139"/>
      <c r="O1065" s="139"/>
      <c r="P1065" s="139"/>
      <c r="Q1065" s="146"/>
      <c r="R1065" s="139"/>
      <c r="S1065" s="139"/>
      <c r="T1065" s="139"/>
      <c r="U1065" s="139"/>
      <c r="V1065" s="139"/>
      <c r="W1065" s="111"/>
      <c r="X1065" s="139"/>
      <c r="Y1065" s="139"/>
    </row>
    <row r="1066" ht="15.75" customHeight="1">
      <c r="A1066" s="144"/>
      <c r="B1066" s="139"/>
      <c r="C1066" s="139"/>
      <c r="D1066" s="145"/>
      <c r="E1066" s="139"/>
      <c r="F1066" s="139"/>
      <c r="G1066" s="139"/>
      <c r="H1066" s="139"/>
      <c r="I1066" s="139"/>
      <c r="J1066" s="139"/>
      <c r="K1066" s="139"/>
      <c r="L1066" s="139"/>
      <c r="M1066" s="145"/>
      <c r="N1066" s="139"/>
      <c r="O1066" s="139"/>
      <c r="P1066" s="139"/>
      <c r="Q1066" s="146"/>
      <c r="R1066" s="139"/>
      <c r="S1066" s="139"/>
      <c r="T1066" s="139"/>
      <c r="U1066" s="139"/>
      <c r="V1066" s="139"/>
      <c r="W1066" s="111"/>
      <c r="X1066" s="139"/>
      <c r="Y1066" s="139"/>
    </row>
    <row r="1067" ht="15.75" customHeight="1">
      <c r="A1067" s="144"/>
      <c r="B1067" s="139"/>
      <c r="C1067" s="139"/>
      <c r="D1067" s="145"/>
      <c r="E1067" s="139"/>
      <c r="F1067" s="139"/>
      <c r="G1067" s="139"/>
      <c r="H1067" s="139"/>
      <c r="I1067" s="139"/>
      <c r="J1067" s="139"/>
      <c r="K1067" s="139"/>
      <c r="L1067" s="139"/>
      <c r="M1067" s="145"/>
      <c r="N1067" s="139"/>
      <c r="O1067" s="139"/>
      <c r="P1067" s="139"/>
      <c r="Q1067" s="146"/>
      <c r="R1067" s="139"/>
      <c r="S1067" s="139"/>
      <c r="T1067" s="139"/>
      <c r="U1067" s="139"/>
      <c r="V1067" s="139"/>
      <c r="W1067" s="111"/>
      <c r="X1067" s="139"/>
      <c r="Y1067" s="139"/>
    </row>
    <row r="1068" ht="15.75" customHeight="1">
      <c r="A1068" s="144"/>
      <c r="B1068" s="139"/>
      <c r="C1068" s="139"/>
      <c r="D1068" s="145"/>
      <c r="E1068" s="139"/>
      <c r="F1068" s="139"/>
      <c r="G1068" s="139"/>
      <c r="H1068" s="139"/>
      <c r="I1068" s="139"/>
      <c r="J1068" s="139"/>
      <c r="K1068" s="139"/>
      <c r="L1068" s="139"/>
      <c r="M1068" s="145"/>
      <c r="N1068" s="139"/>
      <c r="O1068" s="139"/>
      <c r="P1068" s="139"/>
      <c r="Q1068" s="146"/>
      <c r="R1068" s="139"/>
      <c r="S1068" s="139"/>
      <c r="T1068" s="139"/>
      <c r="U1068" s="139"/>
      <c r="V1068" s="139"/>
      <c r="W1068" s="111"/>
      <c r="X1068" s="139"/>
      <c r="Y1068" s="139"/>
    </row>
    <row r="1069" ht="15.75" customHeight="1">
      <c r="A1069" s="144"/>
      <c r="B1069" s="139"/>
      <c r="C1069" s="139"/>
      <c r="D1069" s="145"/>
      <c r="E1069" s="139"/>
      <c r="F1069" s="139"/>
      <c r="G1069" s="139"/>
      <c r="H1069" s="139"/>
      <c r="I1069" s="139"/>
      <c r="J1069" s="139"/>
      <c r="K1069" s="139"/>
      <c r="L1069" s="139"/>
      <c r="M1069" s="145"/>
      <c r="N1069" s="139"/>
      <c r="O1069" s="139"/>
      <c r="P1069" s="139"/>
      <c r="Q1069" s="146"/>
      <c r="R1069" s="139"/>
      <c r="S1069" s="139"/>
      <c r="T1069" s="139"/>
      <c r="U1069" s="139"/>
      <c r="V1069" s="139"/>
      <c r="W1069" s="111"/>
      <c r="X1069" s="139"/>
      <c r="Y1069" s="139"/>
    </row>
    <row r="1070" ht="15.75" customHeight="1">
      <c r="A1070" s="144"/>
      <c r="B1070" s="139"/>
      <c r="C1070" s="139"/>
      <c r="D1070" s="145"/>
      <c r="E1070" s="139"/>
      <c r="F1070" s="139"/>
      <c r="G1070" s="139"/>
      <c r="H1070" s="139"/>
      <c r="I1070" s="139"/>
      <c r="J1070" s="139"/>
      <c r="K1070" s="139"/>
      <c r="L1070" s="139"/>
      <c r="M1070" s="145"/>
      <c r="N1070" s="139"/>
      <c r="O1070" s="139"/>
      <c r="P1070" s="139"/>
      <c r="Q1070" s="146"/>
      <c r="R1070" s="139"/>
      <c r="S1070" s="139"/>
      <c r="T1070" s="139"/>
      <c r="U1070" s="139"/>
      <c r="V1070" s="139"/>
      <c r="W1070" s="111"/>
      <c r="X1070" s="139"/>
      <c r="Y1070" s="139"/>
    </row>
    <row r="1071" ht="15.75" customHeight="1">
      <c r="A1071" s="144"/>
      <c r="B1071" s="139"/>
      <c r="C1071" s="139"/>
      <c r="D1071" s="145"/>
      <c r="E1071" s="139"/>
      <c r="F1071" s="139"/>
      <c r="G1071" s="139"/>
      <c r="H1071" s="139"/>
      <c r="I1071" s="139"/>
      <c r="J1071" s="139"/>
      <c r="K1071" s="139"/>
      <c r="L1071" s="139"/>
      <c r="M1071" s="145"/>
      <c r="N1071" s="139"/>
      <c r="O1071" s="139"/>
      <c r="P1071" s="139"/>
      <c r="Q1071" s="146"/>
      <c r="R1071" s="139"/>
      <c r="S1071" s="139"/>
      <c r="T1071" s="139"/>
      <c r="U1071" s="139"/>
      <c r="V1071" s="139"/>
      <c r="W1071" s="111"/>
      <c r="X1071" s="139"/>
      <c r="Y1071" s="139"/>
    </row>
    <row r="1072" ht="15.75" customHeight="1">
      <c r="A1072" s="144"/>
      <c r="B1072" s="139"/>
      <c r="C1072" s="139"/>
      <c r="D1072" s="145"/>
      <c r="E1072" s="139"/>
      <c r="F1072" s="139"/>
      <c r="G1072" s="139"/>
      <c r="H1072" s="139"/>
      <c r="I1072" s="139"/>
      <c r="J1072" s="139"/>
      <c r="K1072" s="139"/>
      <c r="L1072" s="139"/>
      <c r="M1072" s="145"/>
      <c r="N1072" s="139"/>
      <c r="O1072" s="139"/>
      <c r="P1072" s="139"/>
      <c r="Q1072" s="146"/>
      <c r="R1072" s="139"/>
      <c r="S1072" s="139"/>
      <c r="T1072" s="139"/>
      <c r="U1072" s="139"/>
      <c r="V1072" s="139"/>
      <c r="W1072" s="111"/>
      <c r="X1072" s="139"/>
      <c r="Y1072" s="139"/>
    </row>
    <row r="1073" ht="15.75" customHeight="1">
      <c r="A1073" s="144"/>
      <c r="B1073" s="139"/>
      <c r="C1073" s="139"/>
      <c r="D1073" s="145"/>
      <c r="E1073" s="139"/>
      <c r="F1073" s="139"/>
      <c r="G1073" s="139"/>
      <c r="H1073" s="139"/>
      <c r="I1073" s="139"/>
      <c r="J1073" s="139"/>
      <c r="K1073" s="139"/>
      <c r="L1073" s="139"/>
      <c r="M1073" s="145"/>
      <c r="N1073" s="139"/>
      <c r="O1073" s="139"/>
      <c r="P1073" s="139"/>
      <c r="Q1073" s="146"/>
      <c r="R1073" s="139"/>
      <c r="S1073" s="139"/>
      <c r="T1073" s="139"/>
      <c r="U1073" s="139"/>
      <c r="V1073" s="139"/>
      <c r="W1073" s="111"/>
      <c r="X1073" s="139"/>
      <c r="Y1073" s="139"/>
    </row>
    <row r="1074" ht="15.75" customHeight="1">
      <c r="A1074" s="144"/>
      <c r="B1074" s="139"/>
      <c r="C1074" s="139"/>
      <c r="D1074" s="145"/>
      <c r="E1074" s="139"/>
      <c r="F1074" s="139"/>
      <c r="G1074" s="139"/>
      <c r="H1074" s="139"/>
      <c r="I1074" s="139"/>
      <c r="J1074" s="139"/>
      <c r="K1074" s="139"/>
      <c r="L1074" s="139"/>
      <c r="M1074" s="145"/>
      <c r="N1074" s="139"/>
      <c r="O1074" s="139"/>
      <c r="P1074" s="139"/>
      <c r="Q1074" s="146"/>
      <c r="R1074" s="139"/>
      <c r="S1074" s="139"/>
      <c r="T1074" s="139"/>
      <c r="U1074" s="139"/>
      <c r="V1074" s="139"/>
      <c r="W1074" s="111"/>
      <c r="X1074" s="139"/>
      <c r="Y1074" s="139"/>
    </row>
    <row r="1075" ht="15.75" customHeight="1">
      <c r="A1075" s="144"/>
      <c r="B1075" s="139"/>
      <c r="C1075" s="139"/>
      <c r="D1075" s="145"/>
      <c r="E1075" s="139"/>
      <c r="F1075" s="139"/>
      <c r="G1075" s="139"/>
      <c r="H1075" s="139"/>
      <c r="I1075" s="139"/>
      <c r="J1075" s="139"/>
      <c r="K1075" s="139"/>
      <c r="L1075" s="139"/>
      <c r="M1075" s="145"/>
      <c r="N1075" s="139"/>
      <c r="O1075" s="139"/>
      <c r="P1075" s="139"/>
      <c r="Q1075" s="146"/>
      <c r="R1075" s="139"/>
      <c r="S1075" s="139"/>
      <c r="T1075" s="139"/>
      <c r="U1075" s="139"/>
      <c r="V1075" s="139"/>
      <c r="W1075" s="111"/>
      <c r="X1075" s="139"/>
      <c r="Y1075" s="139"/>
    </row>
    <row r="1076" ht="15.75" customHeight="1">
      <c r="A1076" s="144"/>
      <c r="B1076" s="139"/>
      <c r="C1076" s="139"/>
      <c r="D1076" s="145"/>
      <c r="E1076" s="139"/>
      <c r="F1076" s="139"/>
      <c r="G1076" s="139"/>
      <c r="H1076" s="139"/>
      <c r="I1076" s="139"/>
      <c r="J1076" s="139"/>
      <c r="K1076" s="139"/>
      <c r="L1076" s="139"/>
      <c r="M1076" s="145"/>
      <c r="N1076" s="139"/>
      <c r="O1076" s="139"/>
      <c r="P1076" s="139"/>
      <c r="Q1076" s="146"/>
      <c r="R1076" s="139"/>
      <c r="S1076" s="139"/>
      <c r="T1076" s="139"/>
      <c r="U1076" s="139"/>
      <c r="V1076" s="139"/>
      <c r="W1076" s="111"/>
      <c r="X1076" s="139"/>
      <c r="Y1076" s="139"/>
    </row>
    <row r="1077" ht="15.75" customHeight="1">
      <c r="A1077" s="144"/>
      <c r="B1077" s="139"/>
      <c r="C1077" s="139"/>
      <c r="D1077" s="145"/>
      <c r="E1077" s="139"/>
      <c r="F1077" s="139"/>
      <c r="G1077" s="139"/>
      <c r="H1077" s="139"/>
      <c r="I1077" s="139"/>
      <c r="J1077" s="139"/>
      <c r="K1077" s="139"/>
      <c r="L1077" s="139"/>
      <c r="M1077" s="145"/>
      <c r="N1077" s="139"/>
      <c r="O1077" s="139"/>
      <c r="P1077" s="139"/>
      <c r="Q1077" s="146"/>
      <c r="R1077" s="139"/>
      <c r="S1077" s="139"/>
      <c r="T1077" s="139"/>
      <c r="U1077" s="139"/>
      <c r="V1077" s="139"/>
      <c r="W1077" s="111"/>
      <c r="X1077" s="139"/>
      <c r="Y1077" s="139"/>
    </row>
    <row r="1078" ht="15.75" customHeight="1">
      <c r="A1078" s="144"/>
      <c r="B1078" s="139"/>
      <c r="C1078" s="139"/>
      <c r="D1078" s="145"/>
      <c r="E1078" s="139"/>
      <c r="F1078" s="139"/>
      <c r="G1078" s="139"/>
      <c r="H1078" s="139"/>
      <c r="I1078" s="139"/>
      <c r="J1078" s="139"/>
      <c r="K1078" s="139"/>
      <c r="L1078" s="139"/>
      <c r="M1078" s="145"/>
      <c r="N1078" s="139"/>
      <c r="O1078" s="139"/>
      <c r="P1078" s="139"/>
      <c r="Q1078" s="146"/>
      <c r="R1078" s="139"/>
      <c r="S1078" s="139"/>
      <c r="T1078" s="139"/>
      <c r="U1078" s="139"/>
      <c r="V1078" s="139"/>
      <c r="W1078" s="111"/>
      <c r="X1078" s="139"/>
      <c r="Y1078" s="139"/>
    </row>
    <row r="1079" ht="15.75" customHeight="1">
      <c r="A1079" s="144"/>
      <c r="B1079" s="139"/>
      <c r="C1079" s="139"/>
      <c r="D1079" s="145"/>
      <c r="E1079" s="139"/>
      <c r="F1079" s="139"/>
      <c r="G1079" s="139"/>
      <c r="H1079" s="139"/>
      <c r="I1079" s="139"/>
      <c r="J1079" s="139"/>
      <c r="K1079" s="139"/>
      <c r="L1079" s="139"/>
      <c r="M1079" s="145"/>
      <c r="N1079" s="139"/>
      <c r="O1079" s="139"/>
      <c r="P1079" s="139"/>
      <c r="Q1079" s="146"/>
      <c r="R1079" s="139"/>
      <c r="S1079" s="139"/>
      <c r="T1079" s="139"/>
      <c r="U1079" s="139"/>
      <c r="V1079" s="139"/>
      <c r="W1079" s="111"/>
      <c r="X1079" s="139"/>
      <c r="Y1079" s="139"/>
    </row>
    <row r="1080" ht="15.75" customHeight="1">
      <c r="A1080" s="144"/>
      <c r="B1080" s="139"/>
      <c r="C1080" s="139"/>
      <c r="D1080" s="145"/>
      <c r="E1080" s="139"/>
      <c r="F1080" s="139"/>
      <c r="G1080" s="139"/>
      <c r="H1080" s="139"/>
      <c r="I1080" s="139"/>
      <c r="J1080" s="139"/>
      <c r="K1080" s="139"/>
      <c r="L1080" s="139"/>
      <c r="M1080" s="145"/>
      <c r="N1080" s="139"/>
      <c r="O1080" s="139"/>
      <c r="P1080" s="139"/>
      <c r="Q1080" s="146"/>
      <c r="R1080" s="139"/>
      <c r="S1080" s="139"/>
      <c r="T1080" s="139"/>
      <c r="U1080" s="139"/>
      <c r="V1080" s="139"/>
      <c r="W1080" s="111"/>
      <c r="X1080" s="139"/>
      <c r="Y1080" s="139"/>
    </row>
    <row r="1081" ht="15.75" customHeight="1">
      <c r="A1081" s="144"/>
      <c r="B1081" s="139"/>
      <c r="C1081" s="139"/>
      <c r="D1081" s="145"/>
      <c r="E1081" s="139"/>
      <c r="F1081" s="139"/>
      <c r="G1081" s="139"/>
      <c r="H1081" s="139"/>
      <c r="I1081" s="139"/>
      <c r="J1081" s="139"/>
      <c r="K1081" s="139"/>
      <c r="L1081" s="139"/>
      <c r="M1081" s="145"/>
      <c r="N1081" s="139"/>
      <c r="O1081" s="139"/>
      <c r="P1081" s="139"/>
      <c r="Q1081" s="146"/>
      <c r="R1081" s="139"/>
      <c r="S1081" s="139"/>
      <c r="T1081" s="139"/>
      <c r="U1081" s="139"/>
      <c r="V1081" s="139"/>
      <c r="W1081" s="111"/>
      <c r="X1081" s="139"/>
      <c r="Y1081" s="139"/>
    </row>
    <row r="1082" ht="15.75" customHeight="1">
      <c r="A1082" s="144"/>
      <c r="B1082" s="139"/>
      <c r="C1082" s="139"/>
      <c r="D1082" s="145"/>
      <c r="E1082" s="139"/>
      <c r="F1082" s="139"/>
      <c r="G1082" s="139"/>
      <c r="H1082" s="139"/>
      <c r="I1082" s="139"/>
      <c r="J1082" s="139"/>
      <c r="K1082" s="139"/>
      <c r="L1082" s="139"/>
      <c r="M1082" s="145"/>
      <c r="N1082" s="139"/>
      <c r="O1082" s="139"/>
      <c r="P1082" s="139"/>
      <c r="Q1082" s="146"/>
      <c r="R1082" s="139"/>
      <c r="S1082" s="139"/>
      <c r="T1082" s="139"/>
      <c r="U1082" s="139"/>
      <c r="V1082" s="139"/>
      <c r="W1082" s="111"/>
      <c r="X1082" s="139"/>
      <c r="Y1082" s="139"/>
    </row>
    <row r="1083" ht="15.75" customHeight="1">
      <c r="A1083" s="144"/>
      <c r="B1083" s="139"/>
      <c r="C1083" s="139"/>
      <c r="D1083" s="145"/>
      <c r="E1083" s="139"/>
      <c r="F1083" s="139"/>
      <c r="G1083" s="139"/>
      <c r="H1083" s="139"/>
      <c r="I1083" s="139"/>
      <c r="J1083" s="139"/>
      <c r="K1083" s="139"/>
      <c r="L1083" s="139"/>
      <c r="M1083" s="145"/>
      <c r="N1083" s="139"/>
      <c r="O1083" s="139"/>
      <c r="P1083" s="139"/>
      <c r="Q1083" s="146"/>
      <c r="R1083" s="139"/>
      <c r="S1083" s="139"/>
      <c r="T1083" s="139"/>
      <c r="U1083" s="139"/>
      <c r="V1083" s="139"/>
      <c r="W1083" s="111"/>
      <c r="X1083" s="139"/>
      <c r="Y1083" s="139"/>
    </row>
    <row r="1084" ht="15.75" customHeight="1">
      <c r="A1084" s="144"/>
      <c r="B1084" s="139"/>
      <c r="C1084" s="139"/>
      <c r="D1084" s="145"/>
      <c r="E1084" s="139"/>
      <c r="F1084" s="139"/>
      <c r="G1084" s="139"/>
      <c r="H1084" s="139"/>
      <c r="I1084" s="139"/>
      <c r="J1084" s="139"/>
      <c r="K1084" s="139"/>
      <c r="L1084" s="139"/>
      <c r="M1084" s="145"/>
      <c r="N1084" s="139"/>
      <c r="O1084" s="139"/>
      <c r="P1084" s="139"/>
      <c r="Q1084" s="146"/>
      <c r="R1084" s="139"/>
      <c r="S1084" s="139"/>
      <c r="T1084" s="139"/>
      <c r="U1084" s="139"/>
      <c r="V1084" s="139"/>
      <c r="W1084" s="111"/>
      <c r="X1084" s="139"/>
      <c r="Y1084" s="139"/>
    </row>
    <row r="1085" ht="15.75" customHeight="1">
      <c r="A1085" s="144"/>
      <c r="B1085" s="139"/>
      <c r="C1085" s="139"/>
      <c r="D1085" s="145"/>
      <c r="E1085" s="139"/>
      <c r="F1085" s="139"/>
      <c r="G1085" s="139"/>
      <c r="H1085" s="139"/>
      <c r="I1085" s="139"/>
      <c r="J1085" s="139"/>
      <c r="K1085" s="139"/>
      <c r="L1085" s="139"/>
      <c r="M1085" s="145"/>
      <c r="N1085" s="139"/>
      <c r="O1085" s="139"/>
      <c r="P1085" s="139"/>
      <c r="Q1085" s="146"/>
      <c r="R1085" s="139"/>
      <c r="S1085" s="139"/>
      <c r="T1085" s="139"/>
      <c r="U1085" s="139"/>
      <c r="V1085" s="139"/>
      <c r="W1085" s="111"/>
      <c r="X1085" s="139"/>
      <c r="Y1085" s="139"/>
    </row>
    <row r="1086" ht="15.75" customHeight="1">
      <c r="A1086" s="144"/>
      <c r="B1086" s="139"/>
      <c r="C1086" s="139"/>
      <c r="D1086" s="145"/>
      <c r="E1086" s="139"/>
      <c r="F1086" s="139"/>
      <c r="G1086" s="139"/>
      <c r="H1086" s="139"/>
      <c r="I1086" s="139"/>
      <c r="J1086" s="139"/>
      <c r="K1086" s="139"/>
      <c r="L1086" s="139"/>
      <c r="M1086" s="145"/>
      <c r="N1086" s="139"/>
      <c r="O1086" s="139"/>
      <c r="P1086" s="139"/>
      <c r="Q1086" s="146"/>
      <c r="R1086" s="139"/>
      <c r="S1086" s="139"/>
      <c r="T1086" s="139"/>
      <c r="U1086" s="139"/>
      <c r="V1086" s="139"/>
      <c r="W1086" s="111"/>
      <c r="X1086" s="139"/>
      <c r="Y1086" s="139"/>
    </row>
    <row r="1087" ht="15.75" customHeight="1">
      <c r="A1087" s="144"/>
      <c r="B1087" s="139"/>
      <c r="C1087" s="139"/>
      <c r="D1087" s="145"/>
      <c r="E1087" s="139"/>
      <c r="F1087" s="139"/>
      <c r="G1087" s="139"/>
      <c r="H1087" s="139"/>
      <c r="I1087" s="139"/>
      <c r="J1087" s="139"/>
      <c r="K1087" s="139"/>
      <c r="L1087" s="139"/>
      <c r="M1087" s="145"/>
      <c r="N1087" s="139"/>
      <c r="O1087" s="139"/>
      <c r="P1087" s="139"/>
      <c r="Q1087" s="146"/>
      <c r="R1087" s="139"/>
      <c r="S1087" s="139"/>
      <c r="T1087" s="139"/>
      <c r="U1087" s="139"/>
      <c r="V1087" s="139"/>
      <c r="W1087" s="111"/>
      <c r="X1087" s="139"/>
      <c r="Y1087" s="139"/>
    </row>
    <row r="1088" ht="15.75" customHeight="1">
      <c r="A1088" s="144"/>
      <c r="B1088" s="139"/>
      <c r="C1088" s="139"/>
      <c r="D1088" s="145"/>
      <c r="E1088" s="139"/>
      <c r="F1088" s="139"/>
      <c r="G1088" s="139"/>
      <c r="H1088" s="139"/>
      <c r="I1088" s="139"/>
      <c r="J1088" s="139"/>
      <c r="K1088" s="139"/>
      <c r="L1088" s="139"/>
      <c r="M1088" s="145"/>
      <c r="N1088" s="139"/>
      <c r="O1088" s="139"/>
      <c r="P1088" s="139"/>
      <c r="Q1088" s="146"/>
      <c r="R1088" s="139"/>
      <c r="S1088" s="139"/>
      <c r="T1088" s="139"/>
      <c r="U1088" s="139"/>
      <c r="V1088" s="139"/>
      <c r="W1088" s="111"/>
      <c r="X1088" s="139"/>
      <c r="Y1088" s="139"/>
    </row>
    <row r="1089" ht="15.75" customHeight="1">
      <c r="A1089" s="144"/>
      <c r="B1089" s="139"/>
      <c r="C1089" s="139"/>
      <c r="D1089" s="145"/>
      <c r="E1089" s="139"/>
      <c r="F1089" s="139"/>
      <c r="G1089" s="139"/>
      <c r="H1089" s="139"/>
      <c r="I1089" s="139"/>
      <c r="J1089" s="139"/>
      <c r="K1089" s="139"/>
      <c r="L1089" s="139"/>
      <c r="M1089" s="145"/>
      <c r="N1089" s="139"/>
      <c r="O1089" s="139"/>
      <c r="P1089" s="139"/>
      <c r="Q1089" s="146"/>
      <c r="R1089" s="139"/>
      <c r="S1089" s="139"/>
      <c r="T1089" s="139"/>
      <c r="U1089" s="139"/>
      <c r="V1089" s="139"/>
      <c r="W1089" s="111"/>
      <c r="X1089" s="139"/>
      <c r="Y1089" s="139"/>
    </row>
    <row r="1090" ht="15.75" customHeight="1">
      <c r="A1090" s="144"/>
      <c r="B1090" s="139"/>
      <c r="C1090" s="139"/>
      <c r="D1090" s="145"/>
      <c r="E1090" s="139"/>
      <c r="F1090" s="139"/>
      <c r="G1090" s="139"/>
      <c r="H1090" s="139"/>
      <c r="I1090" s="139"/>
      <c r="J1090" s="139"/>
      <c r="K1090" s="139"/>
      <c r="L1090" s="139"/>
      <c r="M1090" s="145"/>
      <c r="N1090" s="139"/>
      <c r="O1090" s="139"/>
      <c r="P1090" s="139"/>
      <c r="Q1090" s="146"/>
      <c r="R1090" s="139"/>
      <c r="S1090" s="139"/>
      <c r="T1090" s="139"/>
      <c r="U1090" s="139"/>
      <c r="V1090" s="139"/>
      <c r="W1090" s="111"/>
      <c r="X1090" s="139"/>
      <c r="Y1090" s="139"/>
    </row>
    <row r="1091" ht="15.75" customHeight="1">
      <c r="A1091" s="144"/>
      <c r="B1091" s="139"/>
      <c r="C1091" s="139"/>
      <c r="D1091" s="145"/>
      <c r="E1091" s="139"/>
      <c r="F1091" s="139"/>
      <c r="G1091" s="139"/>
      <c r="H1091" s="139"/>
      <c r="I1091" s="139"/>
      <c r="J1091" s="139"/>
      <c r="K1091" s="139"/>
      <c r="L1091" s="139"/>
      <c r="M1091" s="145"/>
      <c r="N1091" s="139"/>
      <c r="O1091" s="139"/>
      <c r="P1091" s="139"/>
      <c r="Q1091" s="146"/>
      <c r="R1091" s="139"/>
      <c r="S1091" s="139"/>
      <c r="T1091" s="139"/>
      <c r="U1091" s="139"/>
      <c r="V1091" s="139"/>
      <c r="W1091" s="111"/>
      <c r="X1091" s="139"/>
      <c r="Y1091" s="139"/>
    </row>
    <row r="1092" ht="15.75" customHeight="1">
      <c r="A1092" s="144"/>
      <c r="B1092" s="139"/>
      <c r="C1092" s="139"/>
      <c r="D1092" s="145"/>
      <c r="E1092" s="139"/>
      <c r="F1092" s="139"/>
      <c r="G1092" s="139"/>
      <c r="H1092" s="139"/>
      <c r="I1092" s="139"/>
      <c r="J1092" s="139"/>
      <c r="K1092" s="139"/>
      <c r="L1092" s="139"/>
      <c r="M1092" s="145"/>
      <c r="N1092" s="139"/>
      <c r="O1092" s="139"/>
      <c r="P1092" s="139"/>
      <c r="Q1092" s="146"/>
      <c r="R1092" s="139"/>
      <c r="S1092" s="139"/>
      <c r="T1092" s="139"/>
      <c r="U1092" s="139"/>
      <c r="V1092" s="139"/>
      <c r="W1092" s="111"/>
      <c r="X1092" s="139"/>
      <c r="Y1092" s="139"/>
    </row>
    <row r="1093" ht="15.75" customHeight="1">
      <c r="A1093" s="144"/>
      <c r="B1093" s="139"/>
      <c r="C1093" s="139"/>
      <c r="D1093" s="145"/>
      <c r="E1093" s="139"/>
      <c r="F1093" s="139"/>
      <c r="G1093" s="139"/>
      <c r="H1093" s="139"/>
      <c r="I1093" s="139"/>
      <c r="J1093" s="139"/>
      <c r="K1093" s="139"/>
      <c r="L1093" s="139"/>
      <c r="M1093" s="145"/>
      <c r="N1093" s="139"/>
      <c r="O1093" s="139"/>
      <c r="P1093" s="139"/>
      <c r="Q1093" s="146"/>
      <c r="R1093" s="139"/>
      <c r="S1093" s="139"/>
      <c r="T1093" s="139"/>
      <c r="U1093" s="139"/>
      <c r="V1093" s="139"/>
      <c r="W1093" s="111"/>
      <c r="X1093" s="139"/>
      <c r="Y1093" s="139"/>
    </row>
    <row r="1094" ht="15.75" customHeight="1">
      <c r="A1094" s="144"/>
      <c r="B1094" s="139"/>
      <c r="C1094" s="139"/>
      <c r="D1094" s="145"/>
      <c r="E1094" s="139"/>
      <c r="F1094" s="139"/>
      <c r="G1094" s="139"/>
      <c r="H1094" s="139"/>
      <c r="I1094" s="139"/>
      <c r="J1094" s="139"/>
      <c r="K1094" s="139"/>
      <c r="L1094" s="139"/>
      <c r="M1094" s="145"/>
      <c r="N1094" s="139"/>
      <c r="O1094" s="139"/>
      <c r="P1094" s="139"/>
      <c r="Q1094" s="146"/>
      <c r="R1094" s="139"/>
      <c r="S1094" s="139"/>
      <c r="T1094" s="139"/>
      <c r="U1094" s="139"/>
      <c r="V1094" s="139"/>
      <c r="W1094" s="111"/>
      <c r="X1094" s="139"/>
      <c r="Y1094" s="139"/>
    </row>
    <row r="1095" ht="15.75" customHeight="1">
      <c r="A1095" s="144"/>
      <c r="B1095" s="139"/>
      <c r="C1095" s="139"/>
      <c r="D1095" s="145"/>
      <c r="E1095" s="139"/>
      <c r="F1095" s="139"/>
      <c r="G1095" s="139"/>
      <c r="H1095" s="139"/>
      <c r="I1095" s="139"/>
      <c r="J1095" s="139"/>
      <c r="K1095" s="139"/>
      <c r="L1095" s="139"/>
      <c r="M1095" s="145"/>
      <c r="N1095" s="139"/>
      <c r="O1095" s="139"/>
      <c r="P1095" s="139"/>
      <c r="Q1095" s="146"/>
      <c r="R1095" s="139"/>
      <c r="S1095" s="139"/>
      <c r="T1095" s="139"/>
      <c r="U1095" s="139"/>
      <c r="V1095" s="139"/>
      <c r="W1095" s="111"/>
      <c r="X1095" s="139"/>
      <c r="Y1095" s="139"/>
    </row>
    <row r="1096" ht="15.75" customHeight="1">
      <c r="A1096" s="144"/>
      <c r="B1096" s="139"/>
      <c r="C1096" s="139"/>
      <c r="D1096" s="145"/>
      <c r="E1096" s="139"/>
      <c r="F1096" s="139"/>
      <c r="G1096" s="139"/>
      <c r="H1096" s="139"/>
      <c r="I1096" s="139"/>
      <c r="J1096" s="139"/>
      <c r="K1096" s="139"/>
      <c r="L1096" s="139"/>
      <c r="M1096" s="145"/>
      <c r="N1096" s="139"/>
      <c r="O1096" s="139"/>
      <c r="P1096" s="139"/>
      <c r="Q1096" s="146"/>
      <c r="R1096" s="139"/>
      <c r="S1096" s="139"/>
      <c r="T1096" s="139"/>
      <c r="U1096" s="139"/>
      <c r="V1096" s="139"/>
      <c r="W1096" s="111"/>
      <c r="X1096" s="139"/>
      <c r="Y1096" s="139"/>
    </row>
    <row r="1097" ht="15.75" customHeight="1">
      <c r="A1097" s="144"/>
      <c r="B1097" s="139"/>
      <c r="C1097" s="139"/>
      <c r="D1097" s="145"/>
      <c r="E1097" s="139"/>
      <c r="F1097" s="139"/>
      <c r="G1097" s="139"/>
      <c r="H1097" s="139"/>
      <c r="I1097" s="139"/>
      <c r="J1097" s="139"/>
      <c r="K1097" s="139"/>
      <c r="L1097" s="139"/>
      <c r="M1097" s="145"/>
      <c r="N1097" s="139"/>
      <c r="O1097" s="139"/>
      <c r="P1097" s="139"/>
      <c r="Q1097" s="146"/>
      <c r="R1097" s="139"/>
      <c r="S1097" s="139"/>
      <c r="T1097" s="139"/>
      <c r="U1097" s="139"/>
      <c r="V1097" s="139"/>
      <c r="W1097" s="111"/>
      <c r="X1097" s="139"/>
      <c r="Y1097" s="139"/>
    </row>
    <row r="1098" ht="15.75" customHeight="1">
      <c r="A1098" s="144"/>
      <c r="B1098" s="139"/>
      <c r="C1098" s="139"/>
      <c r="D1098" s="145"/>
      <c r="E1098" s="139"/>
      <c r="F1098" s="139"/>
      <c r="G1098" s="139"/>
      <c r="H1098" s="139"/>
      <c r="I1098" s="139"/>
      <c r="J1098" s="139"/>
      <c r="K1098" s="139"/>
      <c r="L1098" s="139"/>
      <c r="M1098" s="145"/>
      <c r="N1098" s="139"/>
      <c r="O1098" s="139"/>
      <c r="P1098" s="139"/>
      <c r="Q1098" s="146"/>
      <c r="R1098" s="139"/>
      <c r="S1098" s="139"/>
      <c r="T1098" s="139"/>
      <c r="U1098" s="139"/>
      <c r="V1098" s="139"/>
      <c r="W1098" s="111"/>
      <c r="X1098" s="139"/>
      <c r="Y1098" s="139"/>
    </row>
    <row r="1099" ht="15.75" customHeight="1">
      <c r="A1099" s="144"/>
      <c r="B1099" s="139"/>
      <c r="C1099" s="139"/>
      <c r="D1099" s="145"/>
      <c r="E1099" s="139"/>
      <c r="F1099" s="139"/>
      <c r="G1099" s="139"/>
      <c r="H1099" s="139"/>
      <c r="I1099" s="139"/>
      <c r="J1099" s="139"/>
      <c r="K1099" s="139"/>
      <c r="L1099" s="139"/>
      <c r="M1099" s="145"/>
      <c r="N1099" s="139"/>
      <c r="O1099" s="139"/>
      <c r="P1099" s="139"/>
      <c r="Q1099" s="146"/>
      <c r="R1099" s="139"/>
      <c r="S1099" s="139"/>
      <c r="T1099" s="139"/>
      <c r="U1099" s="139"/>
      <c r="V1099" s="139"/>
      <c r="W1099" s="111"/>
      <c r="X1099" s="139"/>
      <c r="Y1099" s="139"/>
    </row>
    <row r="1100" ht="15.75" customHeight="1">
      <c r="A1100" s="144"/>
      <c r="B1100" s="139"/>
      <c r="C1100" s="139"/>
      <c r="D1100" s="145"/>
      <c r="E1100" s="139"/>
      <c r="F1100" s="139"/>
      <c r="G1100" s="139"/>
      <c r="H1100" s="139"/>
      <c r="I1100" s="139"/>
      <c r="J1100" s="139"/>
      <c r="K1100" s="139"/>
      <c r="L1100" s="139"/>
      <c r="M1100" s="145"/>
      <c r="N1100" s="139"/>
      <c r="O1100" s="139"/>
      <c r="P1100" s="139"/>
      <c r="Q1100" s="146"/>
      <c r="R1100" s="139"/>
      <c r="S1100" s="139"/>
      <c r="T1100" s="139"/>
      <c r="U1100" s="139"/>
      <c r="V1100" s="139"/>
      <c r="W1100" s="111"/>
      <c r="X1100" s="139"/>
      <c r="Y1100" s="139"/>
    </row>
    <row r="1101" ht="15.75" customHeight="1">
      <c r="A1101" s="144"/>
      <c r="B1101" s="139"/>
      <c r="C1101" s="139"/>
      <c r="D1101" s="145"/>
      <c r="E1101" s="139"/>
      <c r="F1101" s="139"/>
      <c r="G1101" s="139"/>
      <c r="H1101" s="139"/>
      <c r="I1101" s="139"/>
      <c r="J1101" s="139"/>
      <c r="K1101" s="139"/>
      <c r="L1101" s="139"/>
      <c r="M1101" s="145"/>
      <c r="N1101" s="139"/>
      <c r="O1101" s="139"/>
      <c r="P1101" s="139"/>
      <c r="Q1101" s="146"/>
      <c r="R1101" s="139"/>
      <c r="S1101" s="139"/>
      <c r="T1101" s="139"/>
      <c r="U1101" s="139"/>
      <c r="V1101" s="139"/>
      <c r="W1101" s="111"/>
      <c r="X1101" s="139"/>
      <c r="Y1101" s="139"/>
    </row>
    <row r="1102" ht="15.75" customHeight="1">
      <c r="A1102" s="144"/>
      <c r="B1102" s="139"/>
      <c r="C1102" s="139"/>
      <c r="D1102" s="145"/>
      <c r="E1102" s="139"/>
      <c r="F1102" s="139"/>
      <c r="G1102" s="139"/>
      <c r="H1102" s="139"/>
      <c r="I1102" s="139"/>
      <c r="J1102" s="139"/>
      <c r="K1102" s="139"/>
      <c r="L1102" s="139"/>
      <c r="M1102" s="145"/>
      <c r="N1102" s="139"/>
      <c r="O1102" s="139"/>
      <c r="P1102" s="139"/>
      <c r="Q1102" s="146"/>
      <c r="R1102" s="139"/>
      <c r="S1102" s="139"/>
      <c r="T1102" s="139"/>
      <c r="U1102" s="139"/>
      <c r="V1102" s="139"/>
      <c r="W1102" s="111"/>
      <c r="X1102" s="139"/>
      <c r="Y1102" s="139"/>
    </row>
    <row r="1103" ht="15.75" customHeight="1">
      <c r="A1103" s="144"/>
      <c r="B1103" s="139"/>
      <c r="C1103" s="139"/>
      <c r="D1103" s="145"/>
      <c r="E1103" s="139"/>
      <c r="F1103" s="139"/>
      <c r="G1103" s="139"/>
      <c r="H1103" s="139"/>
      <c r="I1103" s="139"/>
      <c r="J1103" s="139"/>
      <c r="K1103" s="139"/>
      <c r="L1103" s="139"/>
      <c r="M1103" s="145"/>
      <c r="N1103" s="139"/>
      <c r="O1103" s="139"/>
      <c r="P1103" s="139"/>
      <c r="Q1103" s="146"/>
      <c r="R1103" s="139"/>
      <c r="S1103" s="139"/>
      <c r="T1103" s="139"/>
      <c r="U1103" s="139"/>
      <c r="V1103" s="139"/>
      <c r="W1103" s="111"/>
      <c r="X1103" s="139"/>
      <c r="Y1103" s="139"/>
    </row>
    <row r="1104" ht="15.75" customHeight="1">
      <c r="A1104" s="144"/>
      <c r="B1104" s="139"/>
      <c r="C1104" s="139"/>
      <c r="D1104" s="145"/>
      <c r="E1104" s="139"/>
      <c r="F1104" s="139"/>
      <c r="G1104" s="139"/>
      <c r="H1104" s="139"/>
      <c r="I1104" s="139"/>
      <c r="J1104" s="139"/>
      <c r="K1104" s="139"/>
      <c r="L1104" s="139"/>
      <c r="M1104" s="145"/>
      <c r="N1104" s="139"/>
      <c r="O1104" s="139"/>
      <c r="P1104" s="139"/>
      <c r="Q1104" s="146"/>
      <c r="R1104" s="139"/>
      <c r="S1104" s="139"/>
      <c r="T1104" s="139"/>
      <c r="U1104" s="139"/>
      <c r="V1104" s="139"/>
      <c r="W1104" s="111"/>
      <c r="X1104" s="139"/>
      <c r="Y1104" s="139"/>
    </row>
    <row r="1105" ht="15.75" customHeight="1">
      <c r="A1105" s="144"/>
      <c r="B1105" s="139"/>
      <c r="C1105" s="139"/>
      <c r="D1105" s="145"/>
      <c r="E1105" s="139"/>
      <c r="F1105" s="139"/>
      <c r="G1105" s="139"/>
      <c r="H1105" s="139"/>
      <c r="I1105" s="139"/>
      <c r="J1105" s="139"/>
      <c r="K1105" s="139"/>
      <c r="L1105" s="139"/>
      <c r="M1105" s="145"/>
      <c r="N1105" s="139"/>
      <c r="O1105" s="139"/>
      <c r="P1105" s="139"/>
      <c r="Q1105" s="146"/>
      <c r="R1105" s="139"/>
      <c r="S1105" s="139"/>
      <c r="T1105" s="139"/>
      <c r="U1105" s="139"/>
      <c r="V1105" s="139"/>
      <c r="W1105" s="111"/>
      <c r="X1105" s="139"/>
      <c r="Y1105" s="139"/>
    </row>
    <row r="1106" ht="15.75" customHeight="1">
      <c r="A1106" s="144"/>
      <c r="B1106" s="139"/>
      <c r="C1106" s="139"/>
      <c r="D1106" s="145"/>
      <c r="E1106" s="139"/>
      <c r="F1106" s="139"/>
      <c r="G1106" s="139"/>
      <c r="H1106" s="139"/>
      <c r="I1106" s="139"/>
      <c r="J1106" s="139"/>
      <c r="K1106" s="139"/>
      <c r="L1106" s="139"/>
      <c r="M1106" s="145"/>
      <c r="N1106" s="139"/>
      <c r="O1106" s="139"/>
      <c r="P1106" s="139"/>
      <c r="Q1106" s="146"/>
      <c r="R1106" s="139"/>
      <c r="S1106" s="139"/>
      <c r="T1106" s="139"/>
      <c r="U1106" s="139"/>
      <c r="V1106" s="139"/>
      <c r="W1106" s="111"/>
      <c r="X1106" s="139"/>
      <c r="Y1106" s="139"/>
    </row>
    <row r="1107" ht="15.75" customHeight="1">
      <c r="A1107" s="144"/>
      <c r="B1107" s="139"/>
      <c r="C1107" s="139"/>
      <c r="D1107" s="145"/>
      <c r="E1107" s="139"/>
      <c r="F1107" s="139"/>
      <c r="G1107" s="139"/>
      <c r="H1107" s="139"/>
      <c r="I1107" s="139"/>
      <c r="J1107" s="139"/>
      <c r="K1107" s="139"/>
      <c r="L1107" s="139"/>
      <c r="M1107" s="145"/>
      <c r="N1107" s="139"/>
      <c r="O1107" s="139"/>
      <c r="P1107" s="139"/>
      <c r="Q1107" s="146"/>
      <c r="R1107" s="139"/>
      <c r="S1107" s="139"/>
      <c r="T1107" s="139"/>
      <c r="U1107" s="139"/>
      <c r="V1107" s="139"/>
      <c r="W1107" s="111"/>
      <c r="X1107" s="139"/>
      <c r="Y1107" s="139"/>
    </row>
    <row r="1108" ht="15.75" customHeight="1">
      <c r="A1108" s="144"/>
      <c r="B1108" s="139"/>
      <c r="C1108" s="139"/>
      <c r="D1108" s="145"/>
      <c r="E1108" s="139"/>
      <c r="F1108" s="139"/>
      <c r="G1108" s="139"/>
      <c r="H1108" s="139"/>
      <c r="I1108" s="139"/>
      <c r="J1108" s="139"/>
      <c r="K1108" s="139"/>
      <c r="L1108" s="139"/>
      <c r="M1108" s="145"/>
      <c r="N1108" s="139"/>
      <c r="O1108" s="139"/>
      <c r="P1108" s="139"/>
      <c r="Q1108" s="146"/>
      <c r="R1108" s="139"/>
      <c r="S1108" s="139"/>
      <c r="T1108" s="139"/>
      <c r="U1108" s="139"/>
      <c r="V1108" s="139"/>
      <c r="W1108" s="111"/>
      <c r="X1108" s="139"/>
      <c r="Y1108" s="139"/>
    </row>
    <row r="1109" ht="15.75" customHeight="1">
      <c r="A1109" s="144"/>
      <c r="B1109" s="139"/>
      <c r="C1109" s="139"/>
      <c r="D1109" s="145"/>
      <c r="E1109" s="139"/>
      <c r="F1109" s="139"/>
      <c r="G1109" s="139"/>
      <c r="H1109" s="139"/>
      <c r="I1109" s="139"/>
      <c r="J1109" s="139"/>
      <c r="K1109" s="139"/>
      <c r="L1109" s="139"/>
      <c r="M1109" s="145"/>
      <c r="N1109" s="139"/>
      <c r="O1109" s="139"/>
      <c r="P1109" s="139"/>
      <c r="Q1109" s="146"/>
      <c r="R1109" s="139"/>
      <c r="S1109" s="139"/>
      <c r="T1109" s="139"/>
      <c r="U1109" s="139"/>
      <c r="V1109" s="139"/>
      <c r="W1109" s="111"/>
      <c r="X1109" s="139"/>
      <c r="Y1109" s="139"/>
    </row>
    <row r="1110" ht="15.75" customHeight="1">
      <c r="A1110" s="144"/>
      <c r="B1110" s="139"/>
      <c r="C1110" s="139"/>
      <c r="D1110" s="145"/>
      <c r="E1110" s="139"/>
      <c r="F1110" s="139"/>
      <c r="G1110" s="139"/>
      <c r="H1110" s="139"/>
      <c r="I1110" s="139"/>
      <c r="J1110" s="139"/>
      <c r="K1110" s="139"/>
      <c r="L1110" s="139"/>
      <c r="M1110" s="145"/>
      <c r="N1110" s="139"/>
      <c r="O1110" s="139"/>
      <c r="P1110" s="139"/>
      <c r="Q1110" s="146"/>
      <c r="R1110" s="139"/>
      <c r="S1110" s="139"/>
      <c r="T1110" s="139"/>
      <c r="U1110" s="139"/>
      <c r="V1110" s="139"/>
      <c r="W1110" s="111"/>
      <c r="X1110" s="139"/>
      <c r="Y1110" s="139"/>
    </row>
    <row r="1111" ht="15.75" customHeight="1">
      <c r="A1111" s="144"/>
      <c r="B1111" s="139"/>
      <c r="C1111" s="139"/>
      <c r="D1111" s="145"/>
      <c r="E1111" s="139"/>
      <c r="F1111" s="139"/>
      <c r="G1111" s="139"/>
      <c r="H1111" s="139"/>
      <c r="I1111" s="139"/>
      <c r="J1111" s="139"/>
      <c r="K1111" s="139"/>
      <c r="L1111" s="139"/>
      <c r="M1111" s="145"/>
      <c r="N1111" s="139"/>
      <c r="O1111" s="139"/>
      <c r="P1111" s="139"/>
      <c r="Q1111" s="146"/>
      <c r="R1111" s="139"/>
      <c r="S1111" s="139"/>
      <c r="T1111" s="139"/>
      <c r="U1111" s="139"/>
      <c r="V1111" s="139"/>
      <c r="W1111" s="111"/>
      <c r="X1111" s="139"/>
      <c r="Y1111" s="139"/>
    </row>
    <row r="1112" ht="15.75" customHeight="1">
      <c r="A1112" s="144"/>
      <c r="B1112" s="139"/>
      <c r="C1112" s="139"/>
      <c r="D1112" s="145"/>
      <c r="E1112" s="139"/>
      <c r="F1112" s="139"/>
      <c r="G1112" s="139"/>
      <c r="H1112" s="139"/>
      <c r="I1112" s="139"/>
      <c r="J1112" s="139"/>
      <c r="K1112" s="139"/>
      <c r="L1112" s="139"/>
      <c r="M1112" s="145"/>
      <c r="N1112" s="139"/>
      <c r="O1112" s="139"/>
      <c r="P1112" s="139"/>
      <c r="Q1112" s="146"/>
      <c r="R1112" s="139"/>
      <c r="S1112" s="139"/>
      <c r="T1112" s="139"/>
      <c r="U1112" s="139"/>
      <c r="V1112" s="139"/>
      <c r="W1112" s="111"/>
      <c r="X1112" s="139"/>
      <c r="Y1112" s="139"/>
    </row>
    <row r="1113" ht="15.75" customHeight="1">
      <c r="A1113" s="144"/>
      <c r="B1113" s="139"/>
      <c r="C1113" s="139"/>
      <c r="D1113" s="145"/>
      <c r="E1113" s="139"/>
      <c r="F1113" s="139"/>
      <c r="G1113" s="139"/>
      <c r="H1113" s="139"/>
      <c r="I1113" s="139"/>
      <c r="J1113" s="139"/>
      <c r="K1113" s="139"/>
      <c r="L1113" s="139"/>
      <c r="M1113" s="145"/>
      <c r="N1113" s="139"/>
      <c r="O1113" s="139"/>
      <c r="P1113" s="139"/>
      <c r="Q1113" s="146"/>
      <c r="R1113" s="139"/>
      <c r="S1113" s="139"/>
      <c r="T1113" s="139"/>
      <c r="U1113" s="139"/>
      <c r="V1113" s="139"/>
      <c r="W1113" s="111"/>
      <c r="X1113" s="139"/>
      <c r="Y1113" s="139"/>
    </row>
    <row r="1114" ht="15.75" customHeight="1">
      <c r="A1114" s="144"/>
      <c r="B1114" s="139"/>
      <c r="C1114" s="139"/>
      <c r="D1114" s="145"/>
      <c r="E1114" s="139"/>
      <c r="F1114" s="139"/>
      <c r="G1114" s="139"/>
      <c r="H1114" s="139"/>
      <c r="I1114" s="139"/>
      <c r="J1114" s="139"/>
      <c r="K1114" s="139"/>
      <c r="L1114" s="139"/>
      <c r="M1114" s="145"/>
      <c r="N1114" s="139"/>
      <c r="O1114" s="139"/>
      <c r="P1114" s="139"/>
      <c r="Q1114" s="146"/>
      <c r="R1114" s="139"/>
      <c r="S1114" s="139"/>
      <c r="T1114" s="139"/>
      <c r="U1114" s="139"/>
      <c r="V1114" s="139"/>
      <c r="W1114" s="111"/>
      <c r="X1114" s="139"/>
      <c r="Y1114" s="139"/>
    </row>
    <row r="1115" ht="15.75" customHeight="1">
      <c r="A1115" s="144"/>
      <c r="B1115" s="139"/>
      <c r="C1115" s="139"/>
      <c r="D1115" s="145"/>
      <c r="E1115" s="139"/>
      <c r="F1115" s="139"/>
      <c r="G1115" s="139"/>
      <c r="H1115" s="139"/>
      <c r="I1115" s="139"/>
      <c r="J1115" s="139"/>
      <c r="K1115" s="139"/>
      <c r="L1115" s="139"/>
      <c r="M1115" s="145"/>
      <c r="N1115" s="139"/>
      <c r="O1115" s="139"/>
      <c r="P1115" s="139"/>
      <c r="Q1115" s="146"/>
      <c r="R1115" s="139"/>
      <c r="S1115" s="139"/>
      <c r="T1115" s="139"/>
      <c r="U1115" s="139"/>
      <c r="V1115" s="139"/>
      <c r="W1115" s="111"/>
      <c r="X1115" s="139"/>
      <c r="Y1115" s="139"/>
    </row>
    <row r="1116" ht="15.75" customHeight="1">
      <c r="A1116" s="144"/>
      <c r="B1116" s="139"/>
      <c r="C1116" s="139"/>
      <c r="D1116" s="145"/>
      <c r="E1116" s="139"/>
      <c r="F1116" s="139"/>
      <c r="G1116" s="139"/>
      <c r="H1116" s="139"/>
      <c r="I1116" s="139"/>
      <c r="J1116" s="139"/>
      <c r="K1116" s="139"/>
      <c r="L1116" s="139"/>
      <c r="M1116" s="145"/>
      <c r="N1116" s="139"/>
      <c r="O1116" s="139"/>
      <c r="P1116" s="139"/>
      <c r="Q1116" s="146"/>
      <c r="R1116" s="139"/>
      <c r="S1116" s="139"/>
      <c r="T1116" s="139"/>
      <c r="U1116" s="139"/>
      <c r="V1116" s="139"/>
      <c r="W1116" s="111"/>
      <c r="X1116" s="139"/>
      <c r="Y1116" s="139"/>
    </row>
    <row r="1117" ht="15.75" customHeight="1">
      <c r="A1117" s="144"/>
      <c r="B1117" s="139"/>
      <c r="C1117" s="139"/>
      <c r="D1117" s="145"/>
      <c r="E1117" s="139"/>
      <c r="F1117" s="139"/>
      <c r="G1117" s="139"/>
      <c r="H1117" s="139"/>
      <c r="I1117" s="139"/>
      <c r="J1117" s="139"/>
      <c r="K1117" s="139"/>
      <c r="L1117" s="139"/>
      <c r="M1117" s="145"/>
      <c r="N1117" s="139"/>
      <c r="O1117" s="139"/>
      <c r="P1117" s="139"/>
      <c r="Q1117" s="146"/>
      <c r="R1117" s="139"/>
      <c r="S1117" s="139"/>
      <c r="T1117" s="139"/>
      <c r="U1117" s="139"/>
      <c r="V1117" s="139"/>
      <c r="W1117" s="111"/>
      <c r="X1117" s="139"/>
      <c r="Y1117" s="139"/>
    </row>
    <row r="1118" ht="15.75" customHeight="1">
      <c r="A1118" s="144"/>
      <c r="B1118" s="139"/>
      <c r="C1118" s="139"/>
      <c r="D1118" s="145"/>
      <c r="E1118" s="139"/>
      <c r="F1118" s="139"/>
      <c r="G1118" s="139"/>
      <c r="H1118" s="139"/>
      <c r="I1118" s="139"/>
      <c r="J1118" s="139"/>
      <c r="K1118" s="139"/>
      <c r="L1118" s="139"/>
      <c r="M1118" s="145"/>
      <c r="N1118" s="139"/>
      <c r="O1118" s="139"/>
      <c r="P1118" s="139"/>
      <c r="Q1118" s="146"/>
      <c r="R1118" s="139"/>
      <c r="S1118" s="139"/>
      <c r="T1118" s="139"/>
      <c r="U1118" s="139"/>
      <c r="V1118" s="139"/>
      <c r="W1118" s="111"/>
      <c r="X1118" s="139"/>
      <c r="Y1118" s="139"/>
    </row>
    <row r="1119" ht="15.75" customHeight="1">
      <c r="A1119" s="144"/>
      <c r="B1119" s="139"/>
      <c r="C1119" s="139"/>
      <c r="D1119" s="145"/>
      <c r="E1119" s="139"/>
      <c r="F1119" s="139"/>
      <c r="G1119" s="139"/>
      <c r="H1119" s="139"/>
      <c r="I1119" s="139"/>
      <c r="J1119" s="139"/>
      <c r="K1119" s="139"/>
      <c r="L1119" s="139"/>
      <c r="M1119" s="145"/>
      <c r="N1119" s="139"/>
      <c r="O1119" s="139"/>
      <c r="P1119" s="139"/>
      <c r="Q1119" s="146"/>
      <c r="R1119" s="139"/>
      <c r="S1119" s="139"/>
      <c r="T1119" s="139"/>
      <c r="U1119" s="139"/>
      <c r="V1119" s="139"/>
      <c r="W1119" s="111"/>
      <c r="X1119" s="139"/>
      <c r="Y1119" s="139"/>
    </row>
    <row r="1120" ht="15.75" customHeight="1">
      <c r="A1120" s="144"/>
      <c r="B1120" s="139"/>
      <c r="C1120" s="139"/>
      <c r="D1120" s="145"/>
      <c r="E1120" s="139"/>
      <c r="F1120" s="139"/>
      <c r="G1120" s="139"/>
      <c r="H1120" s="139"/>
      <c r="I1120" s="139"/>
      <c r="J1120" s="139"/>
      <c r="K1120" s="139"/>
      <c r="L1120" s="139"/>
      <c r="M1120" s="145"/>
      <c r="N1120" s="139"/>
      <c r="O1120" s="139"/>
      <c r="P1120" s="139"/>
      <c r="Q1120" s="146"/>
      <c r="R1120" s="139"/>
      <c r="S1120" s="139"/>
      <c r="T1120" s="139"/>
      <c r="U1120" s="139"/>
      <c r="V1120" s="139"/>
      <c r="W1120" s="111"/>
      <c r="X1120" s="139"/>
      <c r="Y1120" s="139"/>
    </row>
    <row r="1121" ht="15.75" customHeight="1">
      <c r="A1121" s="144"/>
      <c r="B1121" s="139"/>
      <c r="C1121" s="139"/>
      <c r="D1121" s="145"/>
      <c r="E1121" s="139"/>
      <c r="F1121" s="139"/>
      <c r="G1121" s="139"/>
      <c r="H1121" s="139"/>
      <c r="I1121" s="139"/>
      <c r="J1121" s="139"/>
      <c r="K1121" s="139"/>
      <c r="L1121" s="139"/>
      <c r="M1121" s="145"/>
      <c r="N1121" s="139"/>
      <c r="O1121" s="139"/>
      <c r="P1121" s="139"/>
      <c r="Q1121" s="146"/>
      <c r="R1121" s="139"/>
      <c r="S1121" s="139"/>
      <c r="T1121" s="139"/>
      <c r="U1121" s="139"/>
      <c r="V1121" s="139"/>
      <c r="W1121" s="111"/>
      <c r="X1121" s="139"/>
      <c r="Y1121" s="139"/>
    </row>
    <row r="1122" ht="15.75" customHeight="1">
      <c r="A1122" s="144"/>
      <c r="B1122" s="139"/>
      <c r="C1122" s="139"/>
      <c r="D1122" s="145"/>
      <c r="E1122" s="139"/>
      <c r="F1122" s="139"/>
      <c r="G1122" s="139"/>
      <c r="H1122" s="139"/>
      <c r="I1122" s="139"/>
      <c r="J1122" s="139"/>
      <c r="K1122" s="139"/>
      <c r="L1122" s="139"/>
      <c r="M1122" s="145"/>
      <c r="N1122" s="139"/>
      <c r="O1122" s="139"/>
      <c r="P1122" s="139"/>
      <c r="Q1122" s="146"/>
      <c r="R1122" s="139"/>
      <c r="S1122" s="139"/>
      <c r="T1122" s="139"/>
      <c r="U1122" s="139"/>
      <c r="V1122" s="139"/>
      <c r="W1122" s="111"/>
      <c r="X1122" s="139"/>
      <c r="Y1122" s="139"/>
    </row>
    <row r="1123" ht="15.75" customHeight="1">
      <c r="A1123" s="144"/>
      <c r="B1123" s="139"/>
      <c r="C1123" s="139"/>
      <c r="D1123" s="145"/>
      <c r="E1123" s="139"/>
      <c r="F1123" s="139"/>
      <c r="G1123" s="139"/>
      <c r="H1123" s="139"/>
      <c r="I1123" s="139"/>
      <c r="J1123" s="139"/>
      <c r="K1123" s="139"/>
      <c r="L1123" s="139"/>
      <c r="M1123" s="145"/>
      <c r="N1123" s="139"/>
      <c r="O1123" s="139"/>
      <c r="P1123" s="139"/>
      <c r="Q1123" s="146"/>
      <c r="R1123" s="139"/>
      <c r="S1123" s="139"/>
      <c r="T1123" s="139"/>
      <c r="U1123" s="139"/>
      <c r="V1123" s="139"/>
      <c r="W1123" s="111"/>
      <c r="X1123" s="139"/>
      <c r="Y1123" s="139"/>
    </row>
    <row r="1124" ht="15.75" customHeight="1">
      <c r="A1124" s="144"/>
      <c r="B1124" s="139"/>
      <c r="C1124" s="139"/>
      <c r="D1124" s="145"/>
      <c r="E1124" s="139"/>
      <c r="F1124" s="139"/>
      <c r="G1124" s="139"/>
      <c r="H1124" s="139"/>
      <c r="I1124" s="139"/>
      <c r="J1124" s="139"/>
      <c r="K1124" s="139"/>
      <c r="L1124" s="139"/>
      <c r="M1124" s="145"/>
      <c r="N1124" s="139"/>
      <c r="O1124" s="139"/>
      <c r="P1124" s="139"/>
      <c r="Q1124" s="146"/>
      <c r="R1124" s="139"/>
      <c r="S1124" s="139"/>
      <c r="T1124" s="139"/>
      <c r="U1124" s="139"/>
      <c r="V1124" s="139"/>
      <c r="W1124" s="111"/>
      <c r="X1124" s="139"/>
      <c r="Y1124" s="139"/>
    </row>
    <row r="1125" ht="15.75" customHeight="1">
      <c r="A1125" s="144"/>
      <c r="B1125" s="139"/>
      <c r="C1125" s="139"/>
      <c r="D1125" s="145"/>
      <c r="E1125" s="139"/>
      <c r="F1125" s="139"/>
      <c r="G1125" s="139"/>
      <c r="H1125" s="139"/>
      <c r="I1125" s="139"/>
      <c r="J1125" s="139"/>
      <c r="K1125" s="139"/>
      <c r="L1125" s="139"/>
      <c r="M1125" s="145"/>
      <c r="N1125" s="139"/>
      <c r="O1125" s="139"/>
      <c r="P1125" s="139"/>
      <c r="Q1125" s="146"/>
      <c r="R1125" s="139"/>
      <c r="S1125" s="139"/>
      <c r="T1125" s="139"/>
      <c r="U1125" s="139"/>
      <c r="V1125" s="139"/>
      <c r="W1125" s="111"/>
      <c r="X1125" s="139"/>
      <c r="Y1125" s="139"/>
    </row>
    <row r="1126" ht="15.75" customHeight="1">
      <c r="A1126" s="144"/>
      <c r="B1126" s="139"/>
      <c r="C1126" s="139"/>
      <c r="D1126" s="145"/>
      <c r="E1126" s="139"/>
      <c r="F1126" s="139"/>
      <c r="G1126" s="139"/>
      <c r="H1126" s="139"/>
      <c r="I1126" s="139"/>
      <c r="J1126" s="139"/>
      <c r="K1126" s="139"/>
      <c r="L1126" s="139"/>
      <c r="M1126" s="145"/>
      <c r="N1126" s="139"/>
      <c r="O1126" s="139"/>
      <c r="P1126" s="139"/>
      <c r="Q1126" s="146"/>
      <c r="R1126" s="139"/>
      <c r="S1126" s="139"/>
      <c r="T1126" s="139"/>
      <c r="U1126" s="139"/>
      <c r="V1126" s="139"/>
      <c r="W1126" s="111"/>
      <c r="X1126" s="139"/>
      <c r="Y1126" s="139"/>
    </row>
    <row r="1127" ht="15.75" customHeight="1">
      <c r="A1127" s="144"/>
      <c r="B1127" s="139"/>
      <c r="C1127" s="139"/>
      <c r="D1127" s="145"/>
      <c r="E1127" s="139"/>
      <c r="F1127" s="139"/>
      <c r="G1127" s="139"/>
      <c r="H1127" s="139"/>
      <c r="I1127" s="139"/>
      <c r="J1127" s="139"/>
      <c r="K1127" s="139"/>
      <c r="L1127" s="139"/>
      <c r="M1127" s="145"/>
      <c r="N1127" s="139"/>
      <c r="O1127" s="139"/>
      <c r="P1127" s="139"/>
      <c r="Q1127" s="146"/>
      <c r="R1127" s="139"/>
      <c r="S1127" s="139"/>
      <c r="T1127" s="139"/>
      <c r="U1127" s="139"/>
      <c r="V1127" s="139"/>
      <c r="W1127" s="111"/>
      <c r="X1127" s="139"/>
      <c r="Y1127" s="139"/>
    </row>
    <row r="1128" ht="15.75" customHeight="1">
      <c r="A1128" s="144"/>
      <c r="B1128" s="139"/>
      <c r="C1128" s="139"/>
      <c r="D1128" s="145"/>
      <c r="E1128" s="139"/>
      <c r="F1128" s="139"/>
      <c r="G1128" s="139"/>
      <c r="H1128" s="139"/>
      <c r="I1128" s="139"/>
      <c r="J1128" s="139"/>
      <c r="K1128" s="139"/>
      <c r="L1128" s="139"/>
      <c r="M1128" s="145"/>
      <c r="N1128" s="139"/>
      <c r="O1128" s="139"/>
      <c r="P1128" s="139"/>
      <c r="Q1128" s="146"/>
      <c r="R1128" s="139"/>
      <c r="S1128" s="139"/>
      <c r="T1128" s="139"/>
      <c r="U1128" s="139"/>
      <c r="V1128" s="139"/>
      <c r="W1128" s="111"/>
      <c r="X1128" s="139"/>
      <c r="Y1128" s="139"/>
    </row>
    <row r="1129" ht="15.75" customHeight="1">
      <c r="A1129" s="144"/>
      <c r="B1129" s="139"/>
      <c r="C1129" s="139"/>
      <c r="D1129" s="145"/>
      <c r="E1129" s="139"/>
      <c r="F1129" s="139"/>
      <c r="G1129" s="139"/>
      <c r="H1129" s="139"/>
      <c r="I1129" s="139"/>
      <c r="J1129" s="139"/>
      <c r="K1129" s="139"/>
      <c r="L1129" s="139"/>
      <c r="M1129" s="145"/>
      <c r="N1129" s="139"/>
      <c r="O1129" s="139"/>
      <c r="P1129" s="139"/>
      <c r="Q1129" s="146"/>
      <c r="R1129" s="139"/>
      <c r="S1129" s="139"/>
      <c r="T1129" s="139"/>
      <c r="U1129" s="139"/>
      <c r="V1129" s="139"/>
      <c r="W1129" s="111"/>
      <c r="X1129" s="139"/>
      <c r="Y1129" s="139"/>
    </row>
    <row r="1130" ht="15.75" customHeight="1">
      <c r="A1130" s="144"/>
      <c r="B1130" s="139"/>
      <c r="C1130" s="139"/>
      <c r="D1130" s="145"/>
      <c r="E1130" s="139"/>
      <c r="F1130" s="139"/>
      <c r="G1130" s="139"/>
      <c r="H1130" s="139"/>
      <c r="I1130" s="139"/>
      <c r="J1130" s="139"/>
      <c r="K1130" s="139"/>
      <c r="L1130" s="139"/>
      <c r="M1130" s="145"/>
      <c r="N1130" s="139"/>
      <c r="O1130" s="139"/>
      <c r="P1130" s="139"/>
      <c r="Q1130" s="146"/>
      <c r="R1130" s="139"/>
      <c r="S1130" s="139"/>
      <c r="T1130" s="139"/>
      <c r="U1130" s="139"/>
      <c r="V1130" s="139"/>
      <c r="W1130" s="111"/>
      <c r="X1130" s="139"/>
      <c r="Y1130" s="139"/>
    </row>
    <row r="1131" ht="15.75" customHeight="1">
      <c r="A1131" s="144"/>
      <c r="B1131" s="139"/>
      <c r="C1131" s="139"/>
      <c r="D1131" s="145"/>
      <c r="E1131" s="139"/>
      <c r="F1131" s="139"/>
      <c r="G1131" s="139"/>
      <c r="H1131" s="139"/>
      <c r="I1131" s="139"/>
      <c r="J1131" s="139"/>
      <c r="K1131" s="139"/>
      <c r="L1131" s="139"/>
      <c r="M1131" s="145"/>
      <c r="N1131" s="139"/>
      <c r="O1131" s="139"/>
      <c r="P1131" s="139"/>
      <c r="Q1131" s="146"/>
      <c r="R1131" s="139"/>
      <c r="S1131" s="139"/>
      <c r="T1131" s="139"/>
      <c r="U1131" s="139"/>
      <c r="V1131" s="139"/>
      <c r="W1131" s="111"/>
      <c r="X1131" s="139"/>
      <c r="Y1131" s="139"/>
    </row>
    <row r="1132" ht="15.75" customHeight="1">
      <c r="A1132" s="144"/>
      <c r="B1132" s="139"/>
      <c r="C1132" s="139"/>
      <c r="D1132" s="145"/>
      <c r="E1132" s="139"/>
      <c r="F1132" s="139"/>
      <c r="G1132" s="139"/>
      <c r="H1132" s="139"/>
      <c r="I1132" s="139"/>
      <c r="J1132" s="139"/>
      <c r="K1132" s="139"/>
      <c r="L1132" s="139"/>
      <c r="M1132" s="145"/>
      <c r="N1132" s="139"/>
      <c r="O1132" s="139"/>
      <c r="P1132" s="139"/>
      <c r="Q1132" s="146"/>
      <c r="R1132" s="139"/>
      <c r="S1132" s="139"/>
      <c r="T1132" s="139"/>
      <c r="U1132" s="139"/>
      <c r="V1132" s="139"/>
      <c r="W1132" s="111"/>
      <c r="X1132" s="139"/>
      <c r="Y1132" s="139"/>
    </row>
    <row r="1133" ht="15.75" customHeight="1">
      <c r="A1133" s="144"/>
      <c r="B1133" s="139"/>
      <c r="C1133" s="139"/>
      <c r="D1133" s="145"/>
      <c r="E1133" s="139"/>
      <c r="F1133" s="139"/>
      <c r="G1133" s="139"/>
      <c r="H1133" s="139"/>
      <c r="I1133" s="139"/>
      <c r="J1133" s="139"/>
      <c r="K1133" s="139"/>
      <c r="L1133" s="139"/>
      <c r="M1133" s="145"/>
      <c r="N1133" s="139"/>
      <c r="O1133" s="139"/>
      <c r="P1133" s="139"/>
      <c r="Q1133" s="146"/>
      <c r="R1133" s="139"/>
      <c r="S1133" s="139"/>
      <c r="T1133" s="139"/>
      <c r="U1133" s="139"/>
      <c r="V1133" s="139"/>
      <c r="W1133" s="111"/>
      <c r="X1133" s="139"/>
      <c r="Y1133" s="139"/>
    </row>
    <row r="1134" ht="15.75" customHeight="1">
      <c r="A1134" s="144"/>
      <c r="B1134" s="139"/>
      <c r="C1134" s="139"/>
      <c r="D1134" s="145"/>
      <c r="E1134" s="139"/>
      <c r="F1134" s="139"/>
      <c r="G1134" s="139"/>
      <c r="H1134" s="139"/>
      <c r="I1134" s="139"/>
      <c r="J1134" s="139"/>
      <c r="K1134" s="139"/>
      <c r="L1134" s="139"/>
      <c r="M1134" s="145"/>
      <c r="N1134" s="139"/>
      <c r="O1134" s="139"/>
      <c r="P1134" s="139"/>
      <c r="Q1134" s="146"/>
      <c r="R1134" s="139"/>
      <c r="S1134" s="139"/>
      <c r="T1134" s="139"/>
      <c r="U1134" s="139"/>
      <c r="V1134" s="139"/>
      <c r="W1134" s="111"/>
      <c r="X1134" s="139"/>
      <c r="Y1134" s="139"/>
    </row>
    <row r="1135" ht="15.75" customHeight="1">
      <c r="A1135" s="144"/>
      <c r="B1135" s="139"/>
      <c r="C1135" s="139"/>
      <c r="D1135" s="145"/>
      <c r="E1135" s="139"/>
      <c r="F1135" s="139"/>
      <c r="G1135" s="139"/>
      <c r="H1135" s="139"/>
      <c r="I1135" s="139"/>
      <c r="J1135" s="139"/>
      <c r="K1135" s="139"/>
      <c r="L1135" s="139"/>
      <c r="M1135" s="145"/>
      <c r="N1135" s="139"/>
      <c r="O1135" s="139"/>
      <c r="P1135" s="139"/>
      <c r="Q1135" s="146"/>
      <c r="R1135" s="139"/>
      <c r="S1135" s="139"/>
      <c r="T1135" s="139"/>
      <c r="U1135" s="139"/>
      <c r="V1135" s="139"/>
      <c r="W1135" s="111"/>
      <c r="X1135" s="139"/>
      <c r="Y1135" s="139"/>
    </row>
    <row r="1136" ht="15.75" customHeight="1">
      <c r="A1136" s="144"/>
      <c r="B1136" s="139"/>
      <c r="C1136" s="139"/>
      <c r="D1136" s="145"/>
      <c r="E1136" s="139"/>
      <c r="F1136" s="139"/>
      <c r="G1136" s="139"/>
      <c r="H1136" s="139"/>
      <c r="I1136" s="139"/>
      <c r="J1136" s="139"/>
      <c r="K1136" s="139"/>
      <c r="L1136" s="139"/>
      <c r="M1136" s="145"/>
      <c r="N1136" s="139"/>
      <c r="O1136" s="139"/>
      <c r="P1136" s="139"/>
      <c r="Q1136" s="146"/>
      <c r="R1136" s="139"/>
      <c r="S1136" s="139"/>
      <c r="T1136" s="139"/>
      <c r="U1136" s="139"/>
      <c r="V1136" s="139"/>
      <c r="W1136" s="111"/>
      <c r="X1136" s="139"/>
      <c r="Y1136" s="139"/>
    </row>
    <row r="1137" ht="15.75" customHeight="1">
      <c r="A1137" s="144"/>
      <c r="B1137" s="139"/>
      <c r="C1137" s="139"/>
      <c r="D1137" s="145"/>
      <c r="E1137" s="139"/>
      <c r="F1137" s="139"/>
      <c r="G1137" s="139"/>
      <c r="H1137" s="139"/>
      <c r="I1137" s="139"/>
      <c r="J1137" s="139"/>
      <c r="K1137" s="139"/>
      <c r="L1137" s="139"/>
      <c r="M1137" s="145"/>
      <c r="N1137" s="139"/>
      <c r="O1137" s="139"/>
      <c r="P1137" s="139"/>
      <c r="Q1137" s="146"/>
      <c r="R1137" s="139"/>
      <c r="S1137" s="139"/>
      <c r="T1137" s="139"/>
      <c r="U1137" s="139"/>
      <c r="V1137" s="139"/>
      <c r="W1137" s="111"/>
      <c r="X1137" s="139"/>
      <c r="Y1137" s="139"/>
    </row>
    <row r="1138" ht="15.75" customHeight="1">
      <c r="A1138" s="144"/>
      <c r="B1138" s="139"/>
      <c r="C1138" s="139"/>
      <c r="D1138" s="145"/>
      <c r="E1138" s="139"/>
      <c r="F1138" s="139"/>
      <c r="G1138" s="139"/>
      <c r="H1138" s="139"/>
      <c r="I1138" s="139"/>
      <c r="J1138" s="139"/>
      <c r="K1138" s="139"/>
      <c r="L1138" s="139"/>
      <c r="M1138" s="145"/>
      <c r="N1138" s="139"/>
      <c r="O1138" s="139"/>
      <c r="P1138" s="139"/>
      <c r="Q1138" s="146"/>
      <c r="R1138" s="139"/>
      <c r="S1138" s="139"/>
      <c r="T1138" s="139"/>
      <c r="U1138" s="139"/>
      <c r="V1138" s="139"/>
      <c r="W1138" s="111"/>
      <c r="X1138" s="139"/>
      <c r="Y1138" s="139"/>
    </row>
    <row r="1139" ht="15.75" customHeight="1">
      <c r="A1139" s="144"/>
      <c r="B1139" s="139"/>
      <c r="C1139" s="139"/>
      <c r="D1139" s="145"/>
      <c r="E1139" s="139"/>
      <c r="F1139" s="139"/>
      <c r="G1139" s="139"/>
      <c r="H1139" s="139"/>
      <c r="I1139" s="139"/>
      <c r="J1139" s="139"/>
      <c r="K1139" s="139"/>
      <c r="L1139" s="139"/>
      <c r="M1139" s="145"/>
      <c r="N1139" s="139"/>
      <c r="O1139" s="139"/>
      <c r="P1139" s="139"/>
      <c r="Q1139" s="146"/>
      <c r="R1139" s="139"/>
      <c r="S1139" s="139"/>
      <c r="T1139" s="139"/>
      <c r="U1139" s="139"/>
      <c r="V1139" s="139"/>
      <c r="W1139" s="111"/>
      <c r="X1139" s="139"/>
      <c r="Y1139" s="139"/>
    </row>
    <row r="1140" ht="15.75" customHeight="1">
      <c r="A1140" s="144"/>
      <c r="B1140" s="139"/>
      <c r="C1140" s="139"/>
      <c r="D1140" s="145"/>
      <c r="E1140" s="139"/>
      <c r="F1140" s="139"/>
      <c r="G1140" s="139"/>
      <c r="H1140" s="139"/>
      <c r="I1140" s="139"/>
      <c r="J1140" s="139"/>
      <c r="K1140" s="139"/>
      <c r="L1140" s="139"/>
      <c r="M1140" s="145"/>
      <c r="N1140" s="139"/>
      <c r="O1140" s="139"/>
      <c r="P1140" s="139"/>
      <c r="Q1140" s="146"/>
      <c r="R1140" s="139"/>
      <c r="S1140" s="139"/>
      <c r="T1140" s="139"/>
      <c r="U1140" s="139"/>
      <c r="V1140" s="139"/>
      <c r="W1140" s="111"/>
      <c r="X1140" s="139"/>
      <c r="Y1140" s="139"/>
    </row>
    <row r="1141" ht="15.75" customHeight="1">
      <c r="A1141" s="144"/>
      <c r="B1141" s="139"/>
      <c r="C1141" s="139"/>
      <c r="D1141" s="145"/>
      <c r="E1141" s="139"/>
      <c r="F1141" s="139"/>
      <c r="G1141" s="139"/>
      <c r="H1141" s="139"/>
      <c r="I1141" s="139"/>
      <c r="J1141" s="139"/>
      <c r="K1141" s="139"/>
      <c r="L1141" s="139"/>
      <c r="M1141" s="145"/>
      <c r="N1141" s="139"/>
      <c r="O1141" s="139"/>
      <c r="P1141" s="139"/>
      <c r="Q1141" s="146"/>
      <c r="R1141" s="139"/>
      <c r="S1141" s="139"/>
      <c r="T1141" s="139"/>
      <c r="U1141" s="139"/>
      <c r="V1141" s="139"/>
      <c r="W1141" s="111"/>
      <c r="X1141" s="139"/>
      <c r="Y1141" s="139"/>
    </row>
    <row r="1142" ht="15.75" customHeight="1">
      <c r="A1142" s="144"/>
      <c r="B1142" s="139"/>
      <c r="C1142" s="139"/>
      <c r="D1142" s="145"/>
      <c r="E1142" s="139"/>
      <c r="F1142" s="139"/>
      <c r="G1142" s="139"/>
      <c r="H1142" s="139"/>
      <c r="I1142" s="139"/>
      <c r="J1142" s="139"/>
      <c r="K1142" s="139"/>
      <c r="L1142" s="139"/>
      <c r="M1142" s="145"/>
      <c r="N1142" s="139"/>
      <c r="O1142" s="139"/>
      <c r="P1142" s="139"/>
      <c r="Q1142" s="146"/>
      <c r="R1142" s="139"/>
      <c r="S1142" s="139"/>
      <c r="T1142" s="139"/>
      <c r="U1142" s="139"/>
      <c r="V1142" s="139"/>
      <c r="W1142" s="111"/>
      <c r="X1142" s="139"/>
      <c r="Y1142" s="139"/>
    </row>
    <row r="1143" ht="15.75" customHeight="1">
      <c r="A1143" s="144"/>
      <c r="B1143" s="139"/>
      <c r="C1143" s="139"/>
      <c r="D1143" s="145"/>
      <c r="E1143" s="139"/>
      <c r="F1143" s="139"/>
      <c r="G1143" s="139"/>
      <c r="H1143" s="139"/>
      <c r="I1143" s="139"/>
      <c r="J1143" s="139"/>
      <c r="K1143" s="139"/>
      <c r="L1143" s="139"/>
      <c r="M1143" s="145"/>
      <c r="N1143" s="139"/>
      <c r="O1143" s="139"/>
      <c r="P1143" s="139"/>
      <c r="Q1143" s="146"/>
      <c r="R1143" s="139"/>
      <c r="S1143" s="139"/>
      <c r="T1143" s="139"/>
      <c r="U1143" s="139"/>
      <c r="V1143" s="139"/>
      <c r="W1143" s="111"/>
      <c r="X1143" s="139"/>
      <c r="Y1143" s="139"/>
    </row>
    <row r="1144" ht="15.75" customHeight="1">
      <c r="A1144" s="144"/>
      <c r="B1144" s="139"/>
      <c r="C1144" s="139"/>
      <c r="D1144" s="145"/>
      <c r="E1144" s="139"/>
      <c r="F1144" s="139"/>
      <c r="G1144" s="139"/>
      <c r="H1144" s="139"/>
      <c r="I1144" s="139"/>
      <c r="J1144" s="139"/>
      <c r="K1144" s="139"/>
      <c r="L1144" s="139"/>
      <c r="M1144" s="145"/>
      <c r="N1144" s="139"/>
      <c r="O1144" s="139"/>
      <c r="P1144" s="139"/>
      <c r="Q1144" s="146"/>
      <c r="R1144" s="139"/>
      <c r="S1144" s="139"/>
      <c r="T1144" s="139"/>
      <c r="U1144" s="139"/>
      <c r="V1144" s="139"/>
      <c r="W1144" s="111"/>
      <c r="X1144" s="139"/>
      <c r="Y1144" s="139"/>
    </row>
    <row r="1145" ht="15.75" customHeight="1">
      <c r="A1145" s="144"/>
      <c r="B1145" s="139"/>
      <c r="C1145" s="139"/>
      <c r="D1145" s="145"/>
      <c r="E1145" s="139"/>
      <c r="F1145" s="139"/>
      <c r="G1145" s="139"/>
      <c r="H1145" s="139"/>
      <c r="I1145" s="139"/>
      <c r="J1145" s="139"/>
      <c r="K1145" s="139"/>
      <c r="L1145" s="139"/>
      <c r="M1145" s="145"/>
      <c r="N1145" s="139"/>
      <c r="O1145" s="139"/>
      <c r="P1145" s="139"/>
      <c r="Q1145" s="146"/>
      <c r="R1145" s="139"/>
      <c r="S1145" s="139"/>
      <c r="T1145" s="139"/>
      <c r="U1145" s="139"/>
      <c r="V1145" s="139"/>
      <c r="W1145" s="111"/>
      <c r="X1145" s="139"/>
      <c r="Y1145" s="139"/>
    </row>
    <row r="1146" ht="15.75" customHeight="1">
      <c r="A1146" s="144"/>
      <c r="B1146" s="139"/>
      <c r="C1146" s="139"/>
      <c r="D1146" s="145"/>
      <c r="E1146" s="139"/>
      <c r="F1146" s="139"/>
      <c r="G1146" s="139"/>
      <c r="H1146" s="139"/>
      <c r="I1146" s="139"/>
      <c r="J1146" s="139"/>
      <c r="K1146" s="139"/>
      <c r="L1146" s="139"/>
      <c r="M1146" s="145"/>
      <c r="N1146" s="139"/>
      <c r="O1146" s="139"/>
      <c r="P1146" s="139"/>
      <c r="Q1146" s="146"/>
      <c r="R1146" s="139"/>
      <c r="S1146" s="139"/>
      <c r="T1146" s="139"/>
      <c r="U1146" s="139"/>
      <c r="V1146" s="139"/>
      <c r="W1146" s="111"/>
      <c r="X1146" s="139"/>
      <c r="Y1146" s="139"/>
    </row>
    <row r="1147" ht="15.75" customHeight="1">
      <c r="A1147" s="144"/>
      <c r="B1147" s="139"/>
      <c r="C1147" s="139"/>
      <c r="D1147" s="145"/>
      <c r="E1147" s="139"/>
      <c r="F1147" s="139"/>
      <c r="G1147" s="139"/>
      <c r="H1147" s="139"/>
      <c r="I1147" s="139"/>
      <c r="J1147" s="139"/>
      <c r="K1147" s="139"/>
      <c r="L1147" s="139"/>
      <c r="M1147" s="145"/>
      <c r="N1147" s="139"/>
      <c r="O1147" s="139"/>
      <c r="P1147" s="139"/>
      <c r="Q1147" s="146"/>
      <c r="R1147" s="139"/>
      <c r="S1147" s="139"/>
      <c r="T1147" s="139"/>
      <c r="U1147" s="139"/>
      <c r="V1147" s="139"/>
      <c r="W1147" s="111"/>
      <c r="X1147" s="139"/>
      <c r="Y1147" s="139"/>
    </row>
    <row r="1148" ht="15.75" customHeight="1">
      <c r="A1148" s="144"/>
      <c r="B1148" s="139"/>
      <c r="C1148" s="139"/>
      <c r="D1148" s="145"/>
      <c r="E1148" s="139"/>
      <c r="F1148" s="139"/>
      <c r="G1148" s="139"/>
      <c r="H1148" s="139"/>
      <c r="I1148" s="139"/>
      <c r="J1148" s="139"/>
      <c r="K1148" s="139"/>
      <c r="L1148" s="139"/>
      <c r="M1148" s="145"/>
      <c r="N1148" s="139"/>
      <c r="O1148" s="139"/>
      <c r="P1148" s="139"/>
      <c r="Q1148" s="146"/>
      <c r="R1148" s="139"/>
      <c r="S1148" s="139"/>
      <c r="T1148" s="139"/>
      <c r="U1148" s="139"/>
      <c r="V1148" s="139"/>
      <c r="W1148" s="111"/>
      <c r="X1148" s="139"/>
      <c r="Y1148" s="139"/>
    </row>
    <row r="1149" ht="15.75" customHeight="1">
      <c r="A1149" s="144"/>
      <c r="B1149" s="139"/>
      <c r="C1149" s="139"/>
      <c r="D1149" s="145"/>
      <c r="E1149" s="139"/>
      <c r="F1149" s="139"/>
      <c r="G1149" s="139"/>
      <c r="H1149" s="139"/>
      <c r="I1149" s="139"/>
      <c r="J1149" s="139"/>
      <c r="K1149" s="139"/>
      <c r="L1149" s="139"/>
      <c r="M1149" s="145"/>
      <c r="N1149" s="139"/>
      <c r="O1149" s="139"/>
      <c r="P1149" s="139"/>
      <c r="Q1149" s="146"/>
      <c r="R1149" s="139"/>
      <c r="S1149" s="139"/>
      <c r="T1149" s="139"/>
      <c r="U1149" s="139"/>
      <c r="V1149" s="139"/>
      <c r="W1149" s="111"/>
      <c r="X1149" s="139"/>
      <c r="Y1149" s="139"/>
    </row>
    <row r="1150" ht="15.75" customHeight="1">
      <c r="A1150" s="144"/>
      <c r="B1150" s="139"/>
      <c r="C1150" s="139"/>
      <c r="D1150" s="145"/>
      <c r="E1150" s="139"/>
      <c r="F1150" s="139"/>
      <c r="G1150" s="139"/>
      <c r="H1150" s="139"/>
      <c r="I1150" s="139"/>
      <c r="J1150" s="139"/>
      <c r="K1150" s="139"/>
      <c r="L1150" s="139"/>
      <c r="M1150" s="145"/>
      <c r="N1150" s="139"/>
      <c r="O1150" s="139"/>
      <c r="P1150" s="139"/>
      <c r="Q1150" s="146"/>
      <c r="R1150" s="139"/>
      <c r="S1150" s="139"/>
      <c r="T1150" s="139"/>
      <c r="U1150" s="139"/>
      <c r="V1150" s="139"/>
      <c r="W1150" s="111"/>
      <c r="X1150" s="139"/>
      <c r="Y1150" s="139"/>
    </row>
    <row r="1151" ht="15.75" customHeight="1">
      <c r="A1151" s="144"/>
      <c r="B1151" s="139"/>
      <c r="C1151" s="139"/>
      <c r="D1151" s="145"/>
      <c r="E1151" s="139"/>
      <c r="F1151" s="139"/>
      <c r="G1151" s="139"/>
      <c r="H1151" s="139"/>
      <c r="I1151" s="139"/>
      <c r="J1151" s="139"/>
      <c r="K1151" s="139"/>
      <c r="L1151" s="139"/>
      <c r="M1151" s="145"/>
      <c r="N1151" s="139"/>
      <c r="O1151" s="139"/>
      <c r="P1151" s="139"/>
      <c r="Q1151" s="146"/>
      <c r="R1151" s="139"/>
      <c r="S1151" s="139"/>
      <c r="T1151" s="139"/>
      <c r="U1151" s="139"/>
      <c r="V1151" s="139"/>
      <c r="W1151" s="111"/>
      <c r="X1151" s="139"/>
      <c r="Y1151" s="139"/>
    </row>
    <row r="1152" ht="15.75" customHeight="1">
      <c r="A1152" s="144"/>
      <c r="B1152" s="139"/>
      <c r="C1152" s="139"/>
      <c r="D1152" s="145"/>
      <c r="E1152" s="139"/>
      <c r="F1152" s="139"/>
      <c r="G1152" s="139"/>
      <c r="H1152" s="139"/>
      <c r="I1152" s="139"/>
      <c r="J1152" s="139"/>
      <c r="K1152" s="139"/>
      <c r="L1152" s="139"/>
      <c r="M1152" s="145"/>
      <c r="N1152" s="139"/>
      <c r="O1152" s="139"/>
      <c r="P1152" s="139"/>
      <c r="Q1152" s="146"/>
      <c r="R1152" s="139"/>
      <c r="S1152" s="139"/>
      <c r="T1152" s="139"/>
      <c r="U1152" s="139"/>
      <c r="V1152" s="139"/>
      <c r="W1152" s="111"/>
      <c r="X1152" s="139"/>
      <c r="Y1152" s="139"/>
    </row>
    <row r="1153" ht="15.75" customHeight="1">
      <c r="A1153" s="144"/>
      <c r="B1153" s="139"/>
      <c r="C1153" s="139"/>
      <c r="D1153" s="145"/>
      <c r="E1153" s="139"/>
      <c r="F1153" s="139"/>
      <c r="G1153" s="139"/>
      <c r="H1153" s="139"/>
      <c r="I1153" s="139"/>
      <c r="J1153" s="139"/>
      <c r="K1153" s="139"/>
      <c r="L1153" s="139"/>
      <c r="M1153" s="145"/>
      <c r="N1153" s="139"/>
      <c r="O1153" s="139"/>
      <c r="P1153" s="139"/>
      <c r="Q1153" s="146"/>
      <c r="R1153" s="139"/>
      <c r="S1153" s="139"/>
      <c r="T1153" s="139"/>
      <c r="U1153" s="139"/>
      <c r="V1153" s="139"/>
      <c r="W1153" s="111"/>
      <c r="X1153" s="139"/>
      <c r="Y1153" s="139"/>
    </row>
    <row r="1154" ht="15.75" customHeight="1">
      <c r="A1154" s="144"/>
      <c r="B1154" s="139"/>
      <c r="C1154" s="139"/>
      <c r="D1154" s="145"/>
      <c r="E1154" s="139"/>
      <c r="F1154" s="139"/>
      <c r="G1154" s="139"/>
      <c r="H1154" s="139"/>
      <c r="I1154" s="139"/>
      <c r="J1154" s="139"/>
      <c r="K1154" s="139"/>
      <c r="L1154" s="139"/>
      <c r="M1154" s="145"/>
      <c r="N1154" s="139"/>
      <c r="O1154" s="139"/>
      <c r="P1154" s="139"/>
      <c r="Q1154" s="146"/>
      <c r="R1154" s="139"/>
      <c r="S1154" s="139"/>
      <c r="T1154" s="139"/>
      <c r="U1154" s="139"/>
      <c r="V1154" s="139"/>
      <c r="W1154" s="111"/>
      <c r="X1154" s="139"/>
      <c r="Y1154" s="139"/>
    </row>
    <row r="1155" ht="15.75" customHeight="1">
      <c r="A1155" s="144"/>
      <c r="B1155" s="139"/>
      <c r="C1155" s="139"/>
      <c r="D1155" s="145"/>
      <c r="E1155" s="139"/>
      <c r="F1155" s="139"/>
      <c r="G1155" s="139"/>
      <c r="H1155" s="139"/>
      <c r="I1155" s="139"/>
      <c r="J1155" s="139"/>
      <c r="K1155" s="139"/>
      <c r="L1155" s="139"/>
      <c r="M1155" s="145"/>
      <c r="N1155" s="139"/>
      <c r="O1155" s="139"/>
      <c r="P1155" s="139"/>
      <c r="Q1155" s="146"/>
      <c r="R1155" s="139"/>
      <c r="S1155" s="139"/>
      <c r="T1155" s="139"/>
      <c r="U1155" s="139"/>
      <c r="V1155" s="139"/>
      <c r="W1155" s="111"/>
      <c r="X1155" s="139"/>
      <c r="Y1155" s="139"/>
    </row>
    <row r="1156" ht="15.75" customHeight="1">
      <c r="A1156" s="144"/>
      <c r="B1156" s="139"/>
      <c r="C1156" s="139"/>
      <c r="D1156" s="145"/>
      <c r="E1156" s="139"/>
      <c r="F1156" s="139"/>
      <c r="G1156" s="139"/>
      <c r="H1156" s="139"/>
      <c r="I1156" s="139"/>
      <c r="J1156" s="139"/>
      <c r="K1156" s="139"/>
      <c r="L1156" s="139"/>
      <c r="M1156" s="145"/>
      <c r="N1156" s="139"/>
      <c r="O1156" s="139"/>
      <c r="P1156" s="139"/>
      <c r="Q1156" s="146"/>
      <c r="R1156" s="139"/>
      <c r="S1156" s="139"/>
      <c r="T1156" s="139"/>
      <c r="U1156" s="139"/>
      <c r="V1156" s="139"/>
      <c r="W1156" s="111"/>
      <c r="X1156" s="139"/>
      <c r="Y1156" s="139"/>
    </row>
    <row r="1157" ht="15.75" customHeight="1">
      <c r="A1157" s="144"/>
      <c r="B1157" s="139"/>
      <c r="C1157" s="139"/>
      <c r="D1157" s="145"/>
      <c r="E1157" s="139"/>
      <c r="F1157" s="139"/>
      <c r="G1157" s="139"/>
      <c r="H1157" s="139"/>
      <c r="I1157" s="139"/>
      <c r="J1157" s="139"/>
      <c r="K1157" s="139"/>
      <c r="L1157" s="139"/>
      <c r="M1157" s="145"/>
      <c r="N1157" s="139"/>
      <c r="O1157" s="139"/>
      <c r="P1157" s="139"/>
      <c r="Q1157" s="146"/>
      <c r="R1157" s="139"/>
      <c r="S1157" s="139"/>
      <c r="T1157" s="139"/>
      <c r="U1157" s="139"/>
      <c r="V1157" s="139"/>
      <c r="W1157" s="111"/>
      <c r="X1157" s="139"/>
      <c r="Y1157" s="139"/>
    </row>
    <row r="1158" ht="15.75" customHeight="1">
      <c r="A1158" s="144"/>
      <c r="B1158" s="139"/>
      <c r="C1158" s="139"/>
      <c r="D1158" s="145"/>
      <c r="E1158" s="139"/>
      <c r="F1158" s="139"/>
      <c r="G1158" s="139"/>
      <c r="H1158" s="139"/>
      <c r="I1158" s="139"/>
      <c r="J1158" s="139"/>
      <c r="K1158" s="139"/>
      <c r="L1158" s="139"/>
      <c r="M1158" s="145"/>
      <c r="N1158" s="139"/>
      <c r="O1158" s="139"/>
      <c r="P1158" s="139"/>
      <c r="Q1158" s="146"/>
      <c r="R1158" s="139"/>
      <c r="S1158" s="139"/>
      <c r="T1158" s="139"/>
      <c r="U1158" s="139"/>
      <c r="V1158" s="139"/>
      <c r="W1158" s="111"/>
      <c r="X1158" s="139"/>
      <c r="Y1158" s="139"/>
    </row>
    <row r="1159" ht="15.75" customHeight="1">
      <c r="A1159" s="144"/>
      <c r="B1159" s="139"/>
      <c r="C1159" s="139"/>
      <c r="D1159" s="145"/>
      <c r="E1159" s="139"/>
      <c r="F1159" s="139"/>
      <c r="G1159" s="139"/>
      <c r="H1159" s="139"/>
      <c r="I1159" s="139"/>
      <c r="J1159" s="139"/>
      <c r="K1159" s="139"/>
      <c r="L1159" s="139"/>
      <c r="M1159" s="145"/>
      <c r="N1159" s="139"/>
      <c r="O1159" s="139"/>
      <c r="P1159" s="139"/>
      <c r="Q1159" s="146"/>
      <c r="R1159" s="139"/>
      <c r="S1159" s="139"/>
      <c r="T1159" s="139"/>
      <c r="U1159" s="139"/>
      <c r="V1159" s="139"/>
      <c r="W1159" s="111"/>
      <c r="X1159" s="139"/>
      <c r="Y1159" s="139"/>
    </row>
    <row r="1160" ht="15.75" customHeight="1">
      <c r="A1160" s="144"/>
      <c r="B1160" s="139"/>
      <c r="C1160" s="139"/>
      <c r="D1160" s="145"/>
      <c r="E1160" s="139"/>
      <c r="F1160" s="139"/>
      <c r="G1160" s="139"/>
      <c r="H1160" s="139"/>
      <c r="I1160" s="139"/>
      <c r="J1160" s="139"/>
      <c r="K1160" s="139"/>
      <c r="L1160" s="139"/>
      <c r="M1160" s="145"/>
      <c r="N1160" s="139"/>
      <c r="O1160" s="139"/>
      <c r="P1160" s="139"/>
      <c r="Q1160" s="146"/>
      <c r="R1160" s="139"/>
      <c r="S1160" s="139"/>
      <c r="T1160" s="139"/>
      <c r="U1160" s="139"/>
      <c r="V1160" s="139"/>
      <c r="W1160" s="111"/>
      <c r="X1160" s="139"/>
      <c r="Y1160" s="139"/>
    </row>
    <row r="1161" ht="15.75" customHeight="1">
      <c r="A1161" s="144"/>
      <c r="B1161" s="139"/>
      <c r="C1161" s="139"/>
      <c r="D1161" s="145"/>
      <c r="E1161" s="139"/>
      <c r="F1161" s="139"/>
      <c r="G1161" s="139"/>
      <c r="H1161" s="139"/>
      <c r="I1161" s="139"/>
      <c r="J1161" s="139"/>
      <c r="K1161" s="139"/>
      <c r="L1161" s="139"/>
      <c r="M1161" s="145"/>
      <c r="N1161" s="139"/>
      <c r="O1161" s="139"/>
      <c r="P1161" s="139"/>
      <c r="Q1161" s="146"/>
      <c r="R1161" s="139"/>
      <c r="S1161" s="139"/>
      <c r="T1161" s="139"/>
      <c r="U1161" s="139"/>
      <c r="V1161" s="139"/>
      <c r="W1161" s="111"/>
      <c r="X1161" s="139"/>
      <c r="Y1161" s="139"/>
    </row>
    <row r="1162" ht="15.75" customHeight="1">
      <c r="A1162" s="144"/>
      <c r="B1162" s="139"/>
      <c r="C1162" s="139"/>
      <c r="D1162" s="145"/>
      <c r="E1162" s="139"/>
      <c r="F1162" s="139"/>
      <c r="G1162" s="139"/>
      <c r="H1162" s="139"/>
      <c r="I1162" s="139"/>
      <c r="J1162" s="139"/>
      <c r="K1162" s="139"/>
      <c r="L1162" s="139"/>
      <c r="M1162" s="145"/>
      <c r="N1162" s="139"/>
      <c r="O1162" s="139"/>
      <c r="P1162" s="139"/>
      <c r="Q1162" s="146"/>
      <c r="R1162" s="139"/>
      <c r="S1162" s="139"/>
      <c r="T1162" s="139"/>
      <c r="U1162" s="139"/>
      <c r="V1162" s="139"/>
      <c r="W1162" s="111"/>
      <c r="X1162" s="139"/>
      <c r="Y1162" s="139"/>
    </row>
    <row r="1163" ht="15.75" customHeight="1">
      <c r="A1163" s="144"/>
      <c r="B1163" s="139"/>
      <c r="C1163" s="139"/>
      <c r="D1163" s="145"/>
      <c r="E1163" s="139"/>
      <c r="F1163" s="139"/>
      <c r="G1163" s="139"/>
      <c r="H1163" s="139"/>
      <c r="I1163" s="139"/>
      <c r="J1163" s="139"/>
      <c r="K1163" s="139"/>
      <c r="L1163" s="139"/>
      <c r="M1163" s="145"/>
      <c r="N1163" s="139"/>
      <c r="O1163" s="139"/>
      <c r="P1163" s="139"/>
      <c r="Q1163" s="146"/>
      <c r="R1163" s="139"/>
      <c r="S1163" s="139"/>
      <c r="T1163" s="139"/>
      <c r="U1163" s="139"/>
      <c r="V1163" s="139"/>
      <c r="W1163" s="111"/>
      <c r="X1163" s="139"/>
      <c r="Y1163" s="139"/>
    </row>
    <row r="1164" ht="15.75" customHeight="1">
      <c r="A1164" s="144"/>
      <c r="B1164" s="139"/>
      <c r="C1164" s="139"/>
      <c r="D1164" s="145"/>
      <c r="E1164" s="139"/>
      <c r="F1164" s="139"/>
      <c r="G1164" s="139"/>
      <c r="H1164" s="139"/>
      <c r="I1164" s="139"/>
      <c r="J1164" s="139"/>
      <c r="K1164" s="139"/>
      <c r="L1164" s="139"/>
      <c r="M1164" s="145"/>
      <c r="N1164" s="139"/>
      <c r="O1164" s="139"/>
      <c r="P1164" s="139"/>
      <c r="Q1164" s="146"/>
      <c r="R1164" s="139"/>
      <c r="S1164" s="139"/>
      <c r="T1164" s="139"/>
      <c r="U1164" s="139"/>
      <c r="V1164" s="139"/>
      <c r="W1164" s="111"/>
      <c r="X1164" s="139"/>
      <c r="Y1164" s="139"/>
    </row>
    <row r="1165" ht="15.75" customHeight="1">
      <c r="A1165" s="144"/>
      <c r="B1165" s="139"/>
      <c r="C1165" s="139"/>
      <c r="D1165" s="145"/>
      <c r="E1165" s="139"/>
      <c r="F1165" s="139"/>
      <c r="G1165" s="139"/>
      <c r="H1165" s="139"/>
      <c r="I1165" s="139"/>
      <c r="J1165" s="139"/>
      <c r="K1165" s="139"/>
      <c r="L1165" s="139"/>
      <c r="M1165" s="145"/>
      <c r="N1165" s="139"/>
      <c r="O1165" s="139"/>
      <c r="P1165" s="139"/>
      <c r="Q1165" s="146"/>
      <c r="R1165" s="139"/>
      <c r="S1165" s="139"/>
      <c r="T1165" s="139"/>
      <c r="U1165" s="139"/>
      <c r="V1165" s="139"/>
      <c r="W1165" s="111"/>
      <c r="X1165" s="139"/>
      <c r="Y1165" s="139"/>
    </row>
    <row r="1166" ht="15.75" customHeight="1">
      <c r="A1166" s="144"/>
      <c r="B1166" s="139"/>
      <c r="C1166" s="139"/>
      <c r="D1166" s="145"/>
      <c r="E1166" s="139"/>
      <c r="F1166" s="139"/>
      <c r="G1166" s="139"/>
      <c r="H1166" s="139"/>
      <c r="I1166" s="139"/>
      <c r="J1166" s="139"/>
      <c r="K1166" s="139"/>
      <c r="L1166" s="139"/>
      <c r="M1166" s="145"/>
      <c r="N1166" s="139"/>
      <c r="O1166" s="139"/>
      <c r="P1166" s="139"/>
      <c r="Q1166" s="146"/>
      <c r="R1166" s="139"/>
      <c r="S1166" s="139"/>
      <c r="T1166" s="139"/>
      <c r="U1166" s="139"/>
      <c r="V1166" s="139"/>
      <c r="W1166" s="111"/>
      <c r="X1166" s="139"/>
      <c r="Y1166" s="139"/>
    </row>
    <row r="1167" ht="15.75" customHeight="1">
      <c r="A1167" s="144"/>
      <c r="B1167" s="139"/>
      <c r="C1167" s="139"/>
      <c r="D1167" s="145"/>
      <c r="E1167" s="139"/>
      <c r="F1167" s="139"/>
      <c r="G1167" s="139"/>
      <c r="H1167" s="139"/>
      <c r="I1167" s="139"/>
      <c r="J1167" s="139"/>
      <c r="K1167" s="139"/>
      <c r="L1167" s="139"/>
      <c r="M1167" s="145"/>
      <c r="N1167" s="139"/>
      <c r="O1167" s="139"/>
      <c r="P1167" s="139"/>
      <c r="Q1167" s="146"/>
      <c r="R1167" s="139"/>
      <c r="S1167" s="139"/>
      <c r="T1167" s="139"/>
      <c r="U1167" s="139"/>
      <c r="V1167" s="139"/>
      <c r="W1167" s="111"/>
      <c r="X1167" s="139"/>
      <c r="Y1167" s="139"/>
    </row>
    <row r="1168" ht="15.75" customHeight="1">
      <c r="A1168" s="144"/>
      <c r="B1168" s="139"/>
      <c r="C1168" s="139"/>
      <c r="D1168" s="145"/>
      <c r="E1168" s="139"/>
      <c r="F1168" s="139"/>
      <c r="G1168" s="139"/>
      <c r="H1168" s="139"/>
      <c r="I1168" s="139"/>
      <c r="J1168" s="139"/>
      <c r="K1168" s="139"/>
      <c r="L1168" s="139"/>
      <c r="M1168" s="145"/>
      <c r="N1168" s="139"/>
      <c r="O1168" s="139"/>
      <c r="P1168" s="139"/>
      <c r="Q1168" s="146"/>
      <c r="R1168" s="139"/>
      <c r="S1168" s="139"/>
      <c r="T1168" s="139"/>
      <c r="U1168" s="139"/>
      <c r="V1168" s="139"/>
      <c r="W1168" s="111"/>
      <c r="X1168" s="139"/>
      <c r="Y1168" s="139"/>
    </row>
    <row r="1169" ht="15.75" customHeight="1">
      <c r="A1169" s="144"/>
      <c r="B1169" s="139"/>
      <c r="C1169" s="139"/>
      <c r="D1169" s="145"/>
      <c r="E1169" s="139"/>
      <c r="F1169" s="139"/>
      <c r="G1169" s="139"/>
      <c r="H1169" s="139"/>
      <c r="I1169" s="139"/>
      <c r="J1169" s="139"/>
      <c r="K1169" s="139"/>
      <c r="L1169" s="139"/>
      <c r="M1169" s="145"/>
      <c r="N1169" s="139"/>
      <c r="O1169" s="139"/>
      <c r="P1169" s="139"/>
      <c r="Q1169" s="146"/>
      <c r="R1169" s="139"/>
      <c r="S1169" s="139"/>
      <c r="T1169" s="139"/>
      <c r="U1169" s="139"/>
      <c r="V1169" s="139"/>
      <c r="W1169" s="111"/>
      <c r="X1169" s="139"/>
      <c r="Y1169" s="139"/>
    </row>
    <row r="1170" ht="15.75" customHeight="1">
      <c r="A1170" s="144"/>
      <c r="B1170" s="139"/>
      <c r="C1170" s="139"/>
      <c r="D1170" s="145"/>
      <c r="E1170" s="139"/>
      <c r="F1170" s="139"/>
      <c r="G1170" s="139"/>
      <c r="H1170" s="139"/>
      <c r="I1170" s="139"/>
      <c r="J1170" s="139"/>
      <c r="K1170" s="139"/>
      <c r="L1170" s="139"/>
      <c r="M1170" s="145"/>
      <c r="N1170" s="139"/>
      <c r="O1170" s="139"/>
      <c r="P1170" s="139"/>
      <c r="Q1170" s="146"/>
      <c r="R1170" s="139"/>
      <c r="S1170" s="139"/>
      <c r="T1170" s="139"/>
      <c r="U1170" s="139"/>
      <c r="V1170" s="139"/>
      <c r="W1170" s="111"/>
      <c r="X1170" s="139"/>
      <c r="Y1170" s="139"/>
    </row>
    <row r="1171" ht="15.75" customHeight="1">
      <c r="A1171" s="144"/>
      <c r="B1171" s="139"/>
      <c r="C1171" s="139"/>
      <c r="D1171" s="145"/>
      <c r="E1171" s="139"/>
      <c r="F1171" s="139"/>
      <c r="G1171" s="139"/>
      <c r="H1171" s="139"/>
      <c r="I1171" s="139"/>
      <c r="J1171" s="139"/>
      <c r="K1171" s="139"/>
      <c r="L1171" s="139"/>
      <c r="M1171" s="145"/>
      <c r="N1171" s="139"/>
      <c r="O1171" s="139"/>
      <c r="P1171" s="139"/>
      <c r="Q1171" s="146"/>
      <c r="R1171" s="139"/>
      <c r="S1171" s="139"/>
      <c r="T1171" s="139"/>
      <c r="U1171" s="139"/>
      <c r="V1171" s="139"/>
      <c r="W1171" s="111"/>
      <c r="X1171" s="139"/>
      <c r="Y1171" s="139"/>
    </row>
    <row r="1172" ht="15.75" customHeight="1">
      <c r="A1172" s="144"/>
      <c r="B1172" s="139"/>
      <c r="C1172" s="139"/>
      <c r="D1172" s="145"/>
      <c r="E1172" s="139"/>
      <c r="F1172" s="139"/>
      <c r="G1172" s="139"/>
      <c r="H1172" s="139"/>
      <c r="I1172" s="139"/>
      <c r="J1172" s="139"/>
      <c r="K1172" s="139"/>
      <c r="L1172" s="139"/>
      <c r="M1172" s="145"/>
      <c r="N1172" s="139"/>
      <c r="O1172" s="139"/>
      <c r="P1172" s="139"/>
      <c r="Q1172" s="146"/>
      <c r="R1172" s="139"/>
      <c r="S1172" s="139"/>
      <c r="T1172" s="139"/>
      <c r="U1172" s="139"/>
      <c r="V1172" s="139"/>
      <c r="W1172" s="111"/>
      <c r="X1172" s="139"/>
      <c r="Y1172" s="139"/>
    </row>
    <row r="1173" ht="15.75" customHeight="1">
      <c r="A1173" s="144"/>
      <c r="B1173" s="139"/>
      <c r="C1173" s="139"/>
      <c r="D1173" s="145"/>
      <c r="E1173" s="139"/>
      <c r="F1173" s="139"/>
      <c r="G1173" s="139"/>
      <c r="H1173" s="139"/>
      <c r="I1173" s="139"/>
      <c r="J1173" s="139"/>
      <c r="K1173" s="139"/>
      <c r="L1173" s="139"/>
      <c r="M1173" s="145"/>
      <c r="N1173" s="139"/>
      <c r="O1173" s="139"/>
      <c r="P1173" s="139"/>
      <c r="Q1173" s="146"/>
      <c r="R1173" s="139"/>
      <c r="S1173" s="139"/>
      <c r="T1173" s="139"/>
      <c r="U1173" s="139"/>
      <c r="V1173" s="139"/>
      <c r="W1173" s="111"/>
      <c r="X1173" s="139"/>
      <c r="Y1173" s="139"/>
    </row>
    <row r="1174" ht="15.75" customHeight="1">
      <c r="A1174" s="144"/>
      <c r="B1174" s="139"/>
      <c r="C1174" s="139"/>
      <c r="D1174" s="145"/>
      <c r="E1174" s="139"/>
      <c r="F1174" s="139"/>
      <c r="G1174" s="139"/>
      <c r="H1174" s="139"/>
      <c r="I1174" s="139"/>
      <c r="J1174" s="139"/>
      <c r="K1174" s="139"/>
      <c r="L1174" s="139"/>
      <c r="M1174" s="145"/>
      <c r="N1174" s="139"/>
      <c r="O1174" s="139"/>
      <c r="P1174" s="139"/>
      <c r="Q1174" s="146"/>
      <c r="R1174" s="139"/>
      <c r="S1174" s="139"/>
      <c r="T1174" s="139"/>
      <c r="U1174" s="139"/>
      <c r="V1174" s="139"/>
      <c r="W1174" s="111"/>
      <c r="X1174" s="139"/>
      <c r="Y1174" s="139"/>
    </row>
    <row r="1175" ht="15.75" customHeight="1">
      <c r="A1175" s="144"/>
      <c r="B1175" s="139"/>
      <c r="C1175" s="139"/>
      <c r="D1175" s="145"/>
      <c r="E1175" s="139"/>
      <c r="F1175" s="139"/>
      <c r="G1175" s="139"/>
      <c r="H1175" s="139"/>
      <c r="I1175" s="139"/>
      <c r="J1175" s="139"/>
      <c r="K1175" s="139"/>
      <c r="L1175" s="139"/>
      <c r="M1175" s="145"/>
      <c r="N1175" s="139"/>
      <c r="O1175" s="139"/>
      <c r="P1175" s="139"/>
      <c r="Q1175" s="146"/>
      <c r="R1175" s="139"/>
      <c r="S1175" s="139"/>
      <c r="T1175" s="139"/>
      <c r="U1175" s="139"/>
      <c r="V1175" s="139"/>
      <c r="W1175" s="111"/>
      <c r="X1175" s="139"/>
      <c r="Y1175" s="139"/>
    </row>
    <row r="1176" ht="15.75" customHeight="1">
      <c r="A1176" s="144"/>
      <c r="B1176" s="139"/>
      <c r="C1176" s="139"/>
      <c r="D1176" s="145"/>
      <c r="E1176" s="139"/>
      <c r="F1176" s="139"/>
      <c r="G1176" s="139"/>
      <c r="H1176" s="139"/>
      <c r="I1176" s="139"/>
      <c r="J1176" s="139"/>
      <c r="K1176" s="139"/>
      <c r="L1176" s="139"/>
      <c r="M1176" s="145"/>
      <c r="N1176" s="139"/>
      <c r="O1176" s="139"/>
      <c r="P1176" s="139"/>
      <c r="Q1176" s="146"/>
      <c r="R1176" s="139"/>
      <c r="S1176" s="139"/>
      <c r="T1176" s="139"/>
      <c r="U1176" s="139"/>
      <c r="V1176" s="139"/>
      <c r="W1176" s="111"/>
      <c r="X1176" s="139"/>
      <c r="Y1176" s="139"/>
    </row>
    <row r="1177" ht="15.75" customHeight="1">
      <c r="A1177" s="144"/>
      <c r="B1177" s="139"/>
      <c r="C1177" s="139"/>
      <c r="D1177" s="145"/>
      <c r="E1177" s="139"/>
      <c r="F1177" s="139"/>
      <c r="G1177" s="139"/>
      <c r="H1177" s="139"/>
      <c r="I1177" s="139"/>
      <c r="J1177" s="139"/>
      <c r="K1177" s="139"/>
      <c r="L1177" s="139"/>
      <c r="M1177" s="145"/>
      <c r="N1177" s="139"/>
      <c r="O1177" s="139"/>
      <c r="P1177" s="139"/>
      <c r="Q1177" s="146"/>
      <c r="R1177" s="139"/>
      <c r="S1177" s="139"/>
      <c r="T1177" s="139"/>
      <c r="U1177" s="139"/>
      <c r="V1177" s="139"/>
      <c r="W1177" s="111"/>
      <c r="X1177" s="139"/>
      <c r="Y1177" s="139"/>
    </row>
    <row r="1178" ht="15.75" customHeight="1">
      <c r="A1178" s="144"/>
      <c r="B1178" s="139"/>
      <c r="C1178" s="139"/>
      <c r="D1178" s="145"/>
      <c r="E1178" s="139"/>
      <c r="F1178" s="139"/>
      <c r="G1178" s="139"/>
      <c r="H1178" s="139"/>
      <c r="I1178" s="139"/>
      <c r="J1178" s="139"/>
      <c r="K1178" s="139"/>
      <c r="L1178" s="139"/>
      <c r="M1178" s="145"/>
      <c r="N1178" s="139"/>
      <c r="O1178" s="139"/>
      <c r="P1178" s="139"/>
      <c r="Q1178" s="146"/>
      <c r="R1178" s="139"/>
      <c r="S1178" s="139"/>
      <c r="T1178" s="139"/>
      <c r="U1178" s="139"/>
      <c r="V1178" s="139"/>
      <c r="W1178" s="111"/>
      <c r="X1178" s="139"/>
      <c r="Y1178" s="139"/>
    </row>
    <row r="1179" ht="15.75" customHeight="1">
      <c r="A1179" s="144"/>
      <c r="B1179" s="139"/>
      <c r="C1179" s="139"/>
      <c r="D1179" s="145"/>
      <c r="E1179" s="139"/>
      <c r="F1179" s="139"/>
      <c r="G1179" s="139"/>
      <c r="H1179" s="139"/>
      <c r="I1179" s="139"/>
      <c r="J1179" s="139"/>
      <c r="K1179" s="139"/>
      <c r="L1179" s="139"/>
      <c r="M1179" s="145"/>
      <c r="N1179" s="139"/>
      <c r="O1179" s="139"/>
      <c r="P1179" s="139"/>
      <c r="Q1179" s="146"/>
      <c r="R1179" s="139"/>
      <c r="S1179" s="139"/>
      <c r="T1179" s="139"/>
      <c r="U1179" s="139"/>
      <c r="V1179" s="139"/>
      <c r="W1179" s="111"/>
      <c r="X1179" s="139"/>
      <c r="Y1179" s="139"/>
    </row>
    <row r="1180" ht="15.75" customHeight="1">
      <c r="A1180" s="144"/>
      <c r="B1180" s="139"/>
      <c r="C1180" s="139"/>
      <c r="D1180" s="145"/>
      <c r="E1180" s="139"/>
      <c r="F1180" s="139"/>
      <c r="G1180" s="139"/>
      <c r="H1180" s="139"/>
      <c r="I1180" s="139"/>
      <c r="J1180" s="139"/>
      <c r="K1180" s="139"/>
      <c r="L1180" s="139"/>
      <c r="M1180" s="145"/>
      <c r="N1180" s="139"/>
      <c r="O1180" s="139"/>
      <c r="P1180" s="139"/>
      <c r="Q1180" s="146"/>
      <c r="R1180" s="139"/>
      <c r="S1180" s="139"/>
      <c r="T1180" s="139"/>
      <c r="U1180" s="139"/>
      <c r="V1180" s="139"/>
      <c r="W1180" s="111"/>
      <c r="X1180" s="139"/>
      <c r="Y1180" s="139"/>
    </row>
    <row r="1181" ht="15.75" customHeight="1">
      <c r="A1181" s="144"/>
      <c r="B1181" s="139"/>
      <c r="C1181" s="139"/>
      <c r="D1181" s="145"/>
      <c r="E1181" s="139"/>
      <c r="F1181" s="139"/>
      <c r="G1181" s="139"/>
      <c r="H1181" s="139"/>
      <c r="I1181" s="139"/>
      <c r="J1181" s="139"/>
      <c r="K1181" s="139"/>
      <c r="L1181" s="139"/>
      <c r="M1181" s="145"/>
      <c r="N1181" s="139"/>
      <c r="O1181" s="139"/>
      <c r="P1181" s="139"/>
      <c r="Q1181" s="146"/>
      <c r="R1181" s="139"/>
      <c r="S1181" s="139"/>
      <c r="T1181" s="139"/>
      <c r="U1181" s="139"/>
      <c r="V1181" s="139"/>
      <c r="W1181" s="111"/>
      <c r="X1181" s="139"/>
      <c r="Y1181" s="139"/>
    </row>
    <row r="1182" ht="15.75" customHeight="1">
      <c r="A1182" s="144"/>
      <c r="B1182" s="139"/>
      <c r="C1182" s="139"/>
      <c r="D1182" s="145"/>
      <c r="E1182" s="139"/>
      <c r="F1182" s="139"/>
      <c r="G1182" s="139"/>
      <c r="H1182" s="139"/>
      <c r="I1182" s="139"/>
      <c r="J1182" s="139"/>
      <c r="K1182" s="139"/>
      <c r="L1182" s="139"/>
      <c r="M1182" s="145"/>
      <c r="N1182" s="139"/>
      <c r="O1182" s="139"/>
      <c r="P1182" s="139"/>
      <c r="Q1182" s="146"/>
      <c r="R1182" s="139"/>
      <c r="S1182" s="139"/>
      <c r="T1182" s="139"/>
      <c r="U1182" s="139"/>
      <c r="V1182" s="139"/>
      <c r="W1182" s="111"/>
      <c r="X1182" s="139"/>
      <c r="Y1182" s="139"/>
    </row>
    <row r="1183" ht="15.75" customHeight="1">
      <c r="A1183" s="144"/>
      <c r="B1183" s="139"/>
      <c r="C1183" s="139"/>
      <c r="D1183" s="145"/>
      <c r="E1183" s="139"/>
      <c r="F1183" s="139"/>
      <c r="G1183" s="139"/>
      <c r="H1183" s="139"/>
      <c r="I1183" s="139"/>
      <c r="J1183" s="139"/>
      <c r="K1183" s="139"/>
      <c r="L1183" s="139"/>
      <c r="M1183" s="145"/>
      <c r="N1183" s="139"/>
      <c r="O1183" s="139"/>
      <c r="P1183" s="139"/>
      <c r="Q1183" s="146"/>
      <c r="R1183" s="139"/>
      <c r="S1183" s="139"/>
      <c r="T1183" s="139"/>
      <c r="U1183" s="139"/>
      <c r="V1183" s="139"/>
      <c r="W1183" s="111"/>
      <c r="X1183" s="139"/>
      <c r="Y1183" s="139"/>
    </row>
    <row r="1184" ht="15.75" customHeight="1">
      <c r="A1184" s="144"/>
      <c r="B1184" s="139"/>
      <c r="C1184" s="139"/>
      <c r="D1184" s="145"/>
      <c r="E1184" s="139"/>
      <c r="F1184" s="139"/>
      <c r="G1184" s="139"/>
      <c r="H1184" s="139"/>
      <c r="I1184" s="139"/>
      <c r="J1184" s="139"/>
      <c r="K1184" s="139"/>
      <c r="L1184" s="139"/>
      <c r="M1184" s="145"/>
      <c r="N1184" s="139"/>
      <c r="O1184" s="139"/>
      <c r="P1184" s="139"/>
      <c r="Q1184" s="146"/>
      <c r="R1184" s="139"/>
      <c r="S1184" s="139"/>
      <c r="T1184" s="139"/>
      <c r="U1184" s="139"/>
      <c r="V1184" s="139"/>
      <c r="W1184" s="111"/>
      <c r="X1184" s="139"/>
      <c r="Y1184" s="139"/>
    </row>
    <row r="1185" ht="15.75" customHeight="1">
      <c r="A1185" s="144"/>
      <c r="B1185" s="139"/>
      <c r="C1185" s="139"/>
      <c r="D1185" s="145"/>
      <c r="E1185" s="139"/>
      <c r="F1185" s="139"/>
      <c r="G1185" s="139"/>
      <c r="H1185" s="139"/>
      <c r="I1185" s="139"/>
      <c r="J1185" s="139"/>
      <c r="K1185" s="139"/>
      <c r="L1185" s="139"/>
      <c r="M1185" s="145"/>
      <c r="N1185" s="139"/>
      <c r="O1185" s="139"/>
      <c r="P1185" s="139"/>
      <c r="Q1185" s="146"/>
      <c r="R1185" s="139"/>
      <c r="S1185" s="139"/>
      <c r="T1185" s="139"/>
      <c r="U1185" s="139"/>
      <c r="V1185" s="139"/>
      <c r="W1185" s="111"/>
      <c r="X1185" s="139"/>
      <c r="Y1185" s="139"/>
    </row>
    <row r="1186" ht="15.75" customHeight="1">
      <c r="A1186" s="144"/>
      <c r="B1186" s="139"/>
      <c r="C1186" s="139"/>
      <c r="D1186" s="145"/>
      <c r="E1186" s="139"/>
      <c r="F1186" s="139"/>
      <c r="G1186" s="139"/>
      <c r="H1186" s="139"/>
      <c r="I1186" s="139"/>
      <c r="J1186" s="139"/>
      <c r="K1186" s="139"/>
      <c r="L1186" s="139"/>
      <c r="M1186" s="145"/>
      <c r="N1186" s="139"/>
      <c r="O1186" s="139"/>
      <c r="P1186" s="139"/>
      <c r="Q1186" s="146"/>
      <c r="R1186" s="139"/>
      <c r="S1186" s="139"/>
      <c r="T1186" s="139"/>
      <c r="U1186" s="139"/>
      <c r="V1186" s="139"/>
      <c r="W1186" s="111"/>
      <c r="X1186" s="139"/>
      <c r="Y1186" s="139"/>
    </row>
    <row r="1187" ht="15.75" customHeight="1">
      <c r="A1187" s="144"/>
      <c r="B1187" s="139"/>
      <c r="C1187" s="139"/>
      <c r="D1187" s="145"/>
      <c r="E1187" s="139"/>
      <c r="F1187" s="139"/>
      <c r="G1187" s="139"/>
      <c r="H1187" s="139"/>
      <c r="I1187" s="139"/>
      <c r="J1187" s="139"/>
      <c r="K1187" s="139"/>
      <c r="L1187" s="139"/>
      <c r="M1187" s="145"/>
      <c r="N1187" s="139"/>
      <c r="O1187" s="139"/>
      <c r="P1187" s="139"/>
      <c r="Q1187" s="146"/>
      <c r="R1187" s="139"/>
      <c r="S1187" s="139"/>
      <c r="T1187" s="139"/>
      <c r="U1187" s="139"/>
      <c r="V1187" s="139"/>
      <c r="W1187" s="111"/>
      <c r="X1187" s="139"/>
      <c r="Y1187" s="139"/>
    </row>
    <row r="1188" ht="15.75" customHeight="1">
      <c r="A1188" s="144"/>
      <c r="B1188" s="139"/>
      <c r="C1188" s="139"/>
      <c r="D1188" s="145"/>
      <c r="E1188" s="139"/>
      <c r="F1188" s="139"/>
      <c r="G1188" s="139"/>
      <c r="H1188" s="139"/>
      <c r="I1188" s="139"/>
      <c r="J1188" s="139"/>
      <c r="K1188" s="139"/>
      <c r="L1188" s="139"/>
      <c r="M1188" s="145"/>
      <c r="N1188" s="139"/>
      <c r="O1188" s="139"/>
      <c r="P1188" s="139"/>
      <c r="Q1188" s="146"/>
      <c r="R1188" s="139"/>
      <c r="S1188" s="139"/>
      <c r="T1188" s="139"/>
      <c r="U1188" s="139"/>
      <c r="V1188" s="139"/>
      <c r="W1188" s="111"/>
      <c r="X1188" s="139"/>
      <c r="Y1188" s="139"/>
    </row>
    <row r="1189" ht="15.75" customHeight="1">
      <c r="A1189" s="144"/>
      <c r="B1189" s="139"/>
      <c r="C1189" s="139"/>
      <c r="D1189" s="145"/>
      <c r="E1189" s="139"/>
      <c r="F1189" s="139"/>
      <c r="G1189" s="139"/>
      <c r="H1189" s="139"/>
      <c r="I1189" s="139"/>
      <c r="J1189" s="139"/>
      <c r="K1189" s="139"/>
      <c r="L1189" s="139"/>
      <c r="M1189" s="145"/>
      <c r="N1189" s="139"/>
      <c r="O1189" s="139"/>
      <c r="P1189" s="139"/>
      <c r="Q1189" s="146"/>
      <c r="R1189" s="139"/>
      <c r="S1189" s="139"/>
      <c r="T1189" s="139"/>
      <c r="U1189" s="139"/>
      <c r="V1189" s="139"/>
      <c r="W1189" s="111"/>
      <c r="X1189" s="139"/>
      <c r="Y1189" s="139"/>
    </row>
    <row r="1190" ht="15.75" customHeight="1">
      <c r="A1190" s="144"/>
      <c r="B1190" s="139"/>
      <c r="C1190" s="139"/>
      <c r="D1190" s="145"/>
      <c r="E1190" s="139"/>
      <c r="F1190" s="139"/>
      <c r="G1190" s="139"/>
      <c r="H1190" s="139"/>
      <c r="I1190" s="139"/>
      <c r="J1190" s="139"/>
      <c r="K1190" s="139"/>
      <c r="L1190" s="139"/>
      <c r="M1190" s="145"/>
      <c r="N1190" s="139"/>
      <c r="O1190" s="139"/>
      <c r="P1190" s="139"/>
      <c r="Q1190" s="146"/>
      <c r="R1190" s="139"/>
      <c r="S1190" s="139"/>
      <c r="T1190" s="139"/>
      <c r="U1190" s="139"/>
      <c r="V1190" s="139"/>
      <c r="W1190" s="111"/>
      <c r="X1190" s="139"/>
      <c r="Y1190" s="139"/>
    </row>
    <row r="1191" ht="15.75" customHeight="1">
      <c r="A1191" s="144"/>
      <c r="B1191" s="139"/>
      <c r="C1191" s="139"/>
      <c r="D1191" s="145"/>
      <c r="E1191" s="139"/>
      <c r="F1191" s="139"/>
      <c r="G1191" s="139"/>
      <c r="H1191" s="139"/>
      <c r="I1191" s="139"/>
      <c r="J1191" s="139"/>
      <c r="K1191" s="139"/>
      <c r="L1191" s="139"/>
      <c r="M1191" s="145"/>
      <c r="N1191" s="139"/>
      <c r="O1191" s="139"/>
      <c r="P1191" s="139"/>
      <c r="Q1191" s="146"/>
      <c r="R1191" s="139"/>
      <c r="S1191" s="139"/>
      <c r="T1191" s="139"/>
      <c r="U1191" s="139"/>
      <c r="V1191" s="139"/>
      <c r="W1191" s="111"/>
      <c r="X1191" s="139"/>
      <c r="Y1191" s="139"/>
    </row>
    <row r="1192" ht="15.75" customHeight="1">
      <c r="A1192" s="144"/>
      <c r="B1192" s="139"/>
      <c r="C1192" s="139"/>
      <c r="D1192" s="145"/>
      <c r="E1192" s="139"/>
      <c r="F1192" s="139"/>
      <c r="G1192" s="139"/>
      <c r="H1192" s="139"/>
      <c r="I1192" s="139"/>
      <c r="J1192" s="139"/>
      <c r="K1192" s="139"/>
      <c r="L1192" s="139"/>
      <c r="M1192" s="145"/>
      <c r="N1192" s="139"/>
      <c r="O1192" s="139"/>
      <c r="P1192" s="139"/>
      <c r="Q1192" s="146"/>
      <c r="R1192" s="139"/>
      <c r="S1192" s="139"/>
      <c r="T1192" s="139"/>
      <c r="U1192" s="139"/>
      <c r="V1192" s="139"/>
      <c r="W1192" s="111"/>
      <c r="X1192" s="139"/>
      <c r="Y1192" s="139"/>
    </row>
    <row r="1193" ht="15.75" customHeight="1">
      <c r="A1193" s="144"/>
      <c r="B1193" s="139"/>
      <c r="C1193" s="139"/>
      <c r="D1193" s="145"/>
      <c r="E1193" s="139"/>
      <c r="F1193" s="139"/>
      <c r="G1193" s="139"/>
      <c r="H1193" s="139"/>
      <c r="I1193" s="139"/>
      <c r="J1193" s="139"/>
      <c r="K1193" s="139"/>
      <c r="L1193" s="139"/>
      <c r="M1193" s="145"/>
      <c r="N1193" s="139"/>
      <c r="O1193" s="139"/>
      <c r="P1193" s="139"/>
      <c r="Q1193" s="146"/>
      <c r="R1193" s="139"/>
      <c r="S1193" s="139"/>
      <c r="T1193" s="139"/>
      <c r="U1193" s="139"/>
      <c r="V1193" s="139"/>
      <c r="W1193" s="111"/>
      <c r="X1193" s="139"/>
      <c r="Y1193" s="139"/>
    </row>
    <row r="1194" ht="15.75" customHeight="1">
      <c r="A1194" s="144"/>
      <c r="B1194" s="139"/>
      <c r="C1194" s="139"/>
      <c r="D1194" s="145"/>
      <c r="E1194" s="139"/>
      <c r="F1194" s="139"/>
      <c r="G1194" s="139"/>
      <c r="H1194" s="139"/>
      <c r="I1194" s="139"/>
      <c r="J1194" s="139"/>
      <c r="K1194" s="139"/>
      <c r="L1194" s="139"/>
      <c r="M1194" s="145"/>
      <c r="N1194" s="139"/>
      <c r="O1194" s="139"/>
      <c r="P1194" s="139"/>
      <c r="Q1194" s="146"/>
      <c r="R1194" s="139"/>
      <c r="S1194" s="139"/>
      <c r="T1194" s="139"/>
      <c r="U1194" s="139"/>
      <c r="V1194" s="139"/>
      <c r="W1194" s="111"/>
      <c r="X1194" s="139"/>
      <c r="Y1194" s="139"/>
    </row>
    <row r="1195" ht="15.75" customHeight="1">
      <c r="A1195" s="144"/>
      <c r="B1195" s="139"/>
      <c r="C1195" s="139"/>
      <c r="D1195" s="145"/>
      <c r="E1195" s="139"/>
      <c r="F1195" s="139"/>
      <c r="G1195" s="139"/>
      <c r="H1195" s="139"/>
      <c r="I1195" s="139"/>
      <c r="J1195" s="139"/>
      <c r="K1195" s="139"/>
      <c r="L1195" s="139"/>
      <c r="M1195" s="145"/>
      <c r="N1195" s="139"/>
      <c r="O1195" s="139"/>
      <c r="P1195" s="139"/>
      <c r="Q1195" s="146"/>
      <c r="R1195" s="139"/>
      <c r="S1195" s="139"/>
      <c r="T1195" s="139"/>
      <c r="U1195" s="139"/>
      <c r="V1195" s="139"/>
      <c r="W1195" s="111"/>
      <c r="X1195" s="139"/>
      <c r="Y1195" s="139"/>
    </row>
    <row r="1196" ht="15.75" customHeight="1">
      <c r="A1196" s="144"/>
      <c r="B1196" s="139"/>
      <c r="C1196" s="139"/>
      <c r="D1196" s="145"/>
      <c r="E1196" s="139"/>
      <c r="F1196" s="139"/>
      <c r="G1196" s="139"/>
      <c r="H1196" s="139"/>
      <c r="I1196" s="139"/>
      <c r="J1196" s="139"/>
      <c r="K1196" s="139"/>
      <c r="L1196" s="139"/>
      <c r="M1196" s="145"/>
      <c r="N1196" s="139"/>
      <c r="O1196" s="139"/>
      <c r="P1196" s="139"/>
      <c r="Q1196" s="146"/>
      <c r="R1196" s="139"/>
      <c r="S1196" s="139"/>
      <c r="T1196" s="139"/>
      <c r="U1196" s="139"/>
      <c r="V1196" s="139"/>
      <c r="W1196" s="111"/>
      <c r="X1196" s="139"/>
      <c r="Y1196" s="139"/>
    </row>
    <row r="1197" ht="15.75" customHeight="1">
      <c r="A1197" s="144"/>
      <c r="B1197" s="139"/>
      <c r="C1197" s="139"/>
      <c r="D1197" s="145"/>
      <c r="E1197" s="139"/>
      <c r="F1197" s="139"/>
      <c r="G1197" s="139"/>
      <c r="H1197" s="139"/>
      <c r="I1197" s="139"/>
      <c r="J1197" s="139"/>
      <c r="K1197" s="139"/>
      <c r="L1197" s="139"/>
      <c r="M1197" s="145"/>
      <c r="N1197" s="139"/>
      <c r="O1197" s="139"/>
      <c r="P1197" s="139"/>
      <c r="Q1197" s="146"/>
      <c r="R1197" s="139"/>
      <c r="S1197" s="139"/>
      <c r="T1197" s="139"/>
      <c r="U1197" s="139"/>
      <c r="V1197" s="139"/>
      <c r="W1197" s="111"/>
      <c r="X1197" s="139"/>
      <c r="Y1197" s="139"/>
    </row>
    <row r="1198" ht="15.75" customHeight="1">
      <c r="A1198" s="144"/>
      <c r="B1198" s="139"/>
      <c r="C1198" s="139"/>
      <c r="D1198" s="145"/>
      <c r="E1198" s="139"/>
      <c r="F1198" s="139"/>
      <c r="G1198" s="139"/>
      <c r="H1198" s="139"/>
      <c r="I1198" s="139"/>
      <c r="J1198" s="139"/>
      <c r="K1198" s="139"/>
      <c r="L1198" s="139"/>
      <c r="M1198" s="145"/>
      <c r="N1198" s="139"/>
      <c r="O1198" s="139"/>
      <c r="P1198" s="139"/>
      <c r="Q1198" s="146"/>
      <c r="R1198" s="139"/>
      <c r="S1198" s="139"/>
      <c r="T1198" s="139"/>
      <c r="U1198" s="139"/>
      <c r="V1198" s="139"/>
      <c r="W1198" s="111"/>
      <c r="X1198" s="139"/>
      <c r="Y1198" s="139"/>
    </row>
    <row r="1199" ht="15.75" customHeight="1">
      <c r="A1199" s="144"/>
      <c r="B1199" s="139"/>
      <c r="C1199" s="139"/>
      <c r="D1199" s="145"/>
      <c r="E1199" s="139"/>
      <c r="F1199" s="139"/>
      <c r="G1199" s="139"/>
      <c r="H1199" s="139"/>
      <c r="I1199" s="139"/>
      <c r="J1199" s="139"/>
      <c r="K1199" s="139"/>
      <c r="L1199" s="139"/>
      <c r="M1199" s="145"/>
      <c r="N1199" s="139"/>
      <c r="O1199" s="139"/>
      <c r="P1199" s="139"/>
      <c r="Q1199" s="146"/>
      <c r="R1199" s="139"/>
      <c r="S1199" s="139"/>
      <c r="T1199" s="139"/>
      <c r="U1199" s="139"/>
      <c r="V1199" s="139"/>
      <c r="W1199" s="111"/>
      <c r="X1199" s="139"/>
      <c r="Y1199" s="139"/>
    </row>
    <row r="1200" ht="15.75" customHeight="1">
      <c r="A1200" s="144"/>
      <c r="B1200" s="139"/>
      <c r="C1200" s="139"/>
      <c r="D1200" s="145"/>
      <c r="E1200" s="139"/>
      <c r="F1200" s="139"/>
      <c r="G1200" s="139"/>
      <c r="H1200" s="139"/>
      <c r="I1200" s="139"/>
      <c r="J1200" s="139"/>
      <c r="K1200" s="139"/>
      <c r="L1200" s="139"/>
      <c r="M1200" s="145"/>
      <c r="N1200" s="139"/>
      <c r="O1200" s="139"/>
      <c r="P1200" s="139"/>
      <c r="Q1200" s="146"/>
      <c r="R1200" s="139"/>
      <c r="S1200" s="139"/>
      <c r="T1200" s="139"/>
      <c r="U1200" s="139"/>
      <c r="V1200" s="139"/>
      <c r="W1200" s="111"/>
      <c r="X1200" s="139"/>
      <c r="Y1200" s="139"/>
    </row>
    <row r="1201" ht="15.75" customHeight="1">
      <c r="A1201" s="144"/>
      <c r="B1201" s="139"/>
      <c r="C1201" s="139"/>
      <c r="D1201" s="145"/>
      <c r="E1201" s="139"/>
      <c r="F1201" s="139"/>
      <c r="G1201" s="139"/>
      <c r="H1201" s="139"/>
      <c r="I1201" s="139"/>
      <c r="J1201" s="139"/>
      <c r="K1201" s="139"/>
      <c r="L1201" s="139"/>
      <c r="M1201" s="145"/>
      <c r="N1201" s="139"/>
      <c r="O1201" s="139"/>
      <c r="P1201" s="139"/>
      <c r="Q1201" s="146"/>
      <c r="R1201" s="139"/>
      <c r="S1201" s="139"/>
      <c r="T1201" s="139"/>
      <c r="U1201" s="139"/>
      <c r="V1201" s="139"/>
      <c r="W1201" s="111"/>
      <c r="X1201" s="139"/>
      <c r="Y1201" s="139"/>
    </row>
    <row r="1202" ht="15.75" customHeight="1">
      <c r="A1202" s="144"/>
      <c r="B1202" s="139"/>
      <c r="C1202" s="139"/>
      <c r="D1202" s="145"/>
      <c r="E1202" s="139"/>
      <c r="F1202" s="139"/>
      <c r="G1202" s="139"/>
      <c r="H1202" s="139"/>
      <c r="I1202" s="139"/>
      <c r="J1202" s="139"/>
      <c r="K1202" s="139"/>
      <c r="L1202" s="139"/>
      <c r="M1202" s="145"/>
      <c r="N1202" s="139"/>
      <c r="O1202" s="139"/>
      <c r="P1202" s="139"/>
      <c r="Q1202" s="146"/>
      <c r="R1202" s="139"/>
      <c r="S1202" s="139"/>
      <c r="T1202" s="139"/>
      <c r="U1202" s="139"/>
      <c r="V1202" s="139"/>
      <c r="W1202" s="111"/>
      <c r="X1202" s="139"/>
      <c r="Y1202" s="139"/>
    </row>
    <row r="1203" ht="15.75" customHeight="1">
      <c r="A1203" s="144"/>
      <c r="B1203" s="139"/>
      <c r="C1203" s="139"/>
      <c r="D1203" s="145"/>
      <c r="E1203" s="139"/>
      <c r="F1203" s="139"/>
      <c r="G1203" s="139"/>
      <c r="H1203" s="139"/>
      <c r="I1203" s="139"/>
      <c r="J1203" s="139"/>
      <c r="K1203" s="139"/>
      <c r="L1203" s="139"/>
      <c r="M1203" s="145"/>
      <c r="N1203" s="139"/>
      <c r="O1203" s="139"/>
      <c r="P1203" s="139"/>
      <c r="Q1203" s="146"/>
      <c r="R1203" s="139"/>
      <c r="S1203" s="139"/>
      <c r="T1203" s="139"/>
      <c r="U1203" s="139"/>
      <c r="V1203" s="139"/>
      <c r="W1203" s="111"/>
      <c r="X1203" s="139"/>
      <c r="Y1203" s="139"/>
    </row>
    <row r="1204" ht="15.75" customHeight="1">
      <c r="A1204" s="144"/>
      <c r="B1204" s="139"/>
      <c r="C1204" s="139"/>
      <c r="D1204" s="145"/>
      <c r="E1204" s="139"/>
      <c r="F1204" s="139"/>
      <c r="G1204" s="139"/>
      <c r="H1204" s="139"/>
      <c r="I1204" s="139"/>
      <c r="J1204" s="139"/>
      <c r="K1204" s="139"/>
      <c r="L1204" s="139"/>
      <c r="M1204" s="145"/>
      <c r="N1204" s="139"/>
      <c r="O1204" s="139"/>
      <c r="P1204" s="139"/>
      <c r="Q1204" s="146"/>
      <c r="R1204" s="139"/>
      <c r="S1204" s="139"/>
      <c r="T1204" s="139"/>
      <c r="U1204" s="139"/>
      <c r="V1204" s="139"/>
      <c r="W1204" s="111"/>
      <c r="X1204" s="139"/>
      <c r="Y1204" s="139"/>
    </row>
    <row r="1205" ht="15.75" customHeight="1">
      <c r="A1205" s="144"/>
      <c r="B1205" s="139"/>
      <c r="C1205" s="139"/>
      <c r="D1205" s="145"/>
      <c r="E1205" s="139"/>
      <c r="F1205" s="139"/>
      <c r="G1205" s="139"/>
      <c r="H1205" s="139"/>
      <c r="I1205" s="139"/>
      <c r="J1205" s="139"/>
      <c r="K1205" s="139"/>
      <c r="L1205" s="139"/>
      <c r="M1205" s="145"/>
      <c r="N1205" s="139"/>
      <c r="O1205" s="139"/>
      <c r="P1205" s="139"/>
      <c r="Q1205" s="146"/>
      <c r="R1205" s="139"/>
      <c r="S1205" s="139"/>
      <c r="T1205" s="139"/>
      <c r="U1205" s="139"/>
      <c r="V1205" s="139"/>
      <c r="W1205" s="111"/>
      <c r="X1205" s="139"/>
      <c r="Y1205" s="139"/>
    </row>
    <row r="1206" ht="15.75" customHeight="1">
      <c r="A1206" s="144"/>
      <c r="B1206" s="139"/>
      <c r="C1206" s="139"/>
      <c r="D1206" s="145"/>
      <c r="E1206" s="139"/>
      <c r="F1206" s="139"/>
      <c r="G1206" s="139"/>
      <c r="H1206" s="139"/>
      <c r="I1206" s="139"/>
      <c r="J1206" s="139"/>
      <c r="K1206" s="139"/>
      <c r="L1206" s="139"/>
      <c r="M1206" s="145"/>
      <c r="N1206" s="139"/>
      <c r="O1206" s="139"/>
      <c r="P1206" s="139"/>
      <c r="Q1206" s="146"/>
      <c r="R1206" s="139"/>
      <c r="S1206" s="139"/>
      <c r="T1206" s="139"/>
      <c r="U1206" s="139"/>
      <c r="V1206" s="139"/>
      <c r="W1206" s="111"/>
      <c r="X1206" s="139"/>
      <c r="Y1206" s="139"/>
    </row>
    <row r="1207" ht="15.75" customHeight="1">
      <c r="A1207" s="144"/>
      <c r="B1207" s="139"/>
      <c r="C1207" s="139"/>
      <c r="D1207" s="145"/>
      <c r="E1207" s="139"/>
      <c r="F1207" s="139"/>
      <c r="G1207" s="139"/>
      <c r="H1207" s="139"/>
      <c r="I1207" s="139"/>
      <c r="J1207" s="139"/>
      <c r="K1207" s="139"/>
      <c r="L1207" s="139"/>
      <c r="M1207" s="145"/>
      <c r="N1207" s="139"/>
      <c r="O1207" s="139"/>
      <c r="P1207" s="139"/>
      <c r="Q1207" s="146"/>
      <c r="R1207" s="139"/>
      <c r="S1207" s="139"/>
      <c r="T1207" s="139"/>
      <c r="U1207" s="139"/>
      <c r="V1207" s="139"/>
      <c r="W1207" s="111"/>
      <c r="X1207" s="139"/>
      <c r="Y1207" s="139"/>
    </row>
    <row r="1208" ht="15.75" customHeight="1">
      <c r="A1208" s="144"/>
      <c r="B1208" s="139"/>
      <c r="C1208" s="139"/>
      <c r="D1208" s="145"/>
      <c r="E1208" s="139"/>
      <c r="F1208" s="139"/>
      <c r="G1208" s="139"/>
      <c r="H1208" s="139"/>
      <c r="I1208" s="139"/>
      <c r="J1208" s="139"/>
      <c r="K1208" s="139"/>
      <c r="L1208" s="139"/>
      <c r="M1208" s="145"/>
      <c r="N1208" s="139"/>
      <c r="O1208" s="139"/>
      <c r="P1208" s="139"/>
      <c r="Q1208" s="146"/>
      <c r="R1208" s="139"/>
      <c r="S1208" s="139"/>
      <c r="T1208" s="139"/>
      <c r="U1208" s="139"/>
      <c r="V1208" s="139"/>
      <c r="W1208" s="111"/>
      <c r="X1208" s="139"/>
      <c r="Y1208" s="139"/>
    </row>
    <row r="1209" ht="15.75" customHeight="1">
      <c r="A1209" s="144"/>
      <c r="B1209" s="139"/>
      <c r="C1209" s="139"/>
      <c r="D1209" s="145"/>
      <c r="E1209" s="139"/>
      <c r="F1209" s="139"/>
      <c r="G1209" s="139"/>
      <c r="H1209" s="139"/>
      <c r="I1209" s="139"/>
      <c r="J1209" s="139"/>
      <c r="K1209" s="139"/>
      <c r="L1209" s="139"/>
      <c r="M1209" s="145"/>
      <c r="N1209" s="139"/>
      <c r="O1209" s="139"/>
      <c r="P1209" s="139"/>
      <c r="Q1209" s="146"/>
      <c r="R1209" s="139"/>
      <c r="S1209" s="139"/>
      <c r="T1209" s="139"/>
      <c r="U1209" s="139"/>
      <c r="V1209" s="139"/>
      <c r="W1209" s="111"/>
      <c r="X1209" s="139"/>
      <c r="Y1209" s="139"/>
    </row>
    <row r="1210" ht="15.75" customHeight="1">
      <c r="A1210" s="144"/>
      <c r="B1210" s="139"/>
      <c r="C1210" s="139"/>
      <c r="D1210" s="145"/>
      <c r="E1210" s="139"/>
      <c r="F1210" s="139"/>
      <c r="G1210" s="139"/>
      <c r="H1210" s="139"/>
      <c r="I1210" s="139"/>
      <c r="J1210" s="139"/>
      <c r="K1210" s="139"/>
      <c r="L1210" s="139"/>
      <c r="M1210" s="145"/>
      <c r="N1210" s="139"/>
      <c r="O1210" s="139"/>
      <c r="P1210" s="139"/>
      <c r="Q1210" s="146"/>
      <c r="R1210" s="139"/>
      <c r="S1210" s="139"/>
      <c r="T1210" s="139"/>
      <c r="U1210" s="139"/>
      <c r="V1210" s="139"/>
      <c r="W1210" s="111"/>
      <c r="X1210" s="139"/>
      <c r="Y1210" s="139"/>
    </row>
    <row r="1211" ht="15.75" customHeight="1">
      <c r="A1211" s="144"/>
      <c r="B1211" s="139"/>
      <c r="C1211" s="139"/>
      <c r="D1211" s="145"/>
      <c r="E1211" s="139"/>
      <c r="F1211" s="139"/>
      <c r="G1211" s="139"/>
      <c r="H1211" s="139"/>
      <c r="I1211" s="139"/>
      <c r="J1211" s="139"/>
      <c r="K1211" s="139"/>
      <c r="L1211" s="139"/>
      <c r="M1211" s="145"/>
      <c r="N1211" s="139"/>
      <c r="O1211" s="139"/>
      <c r="P1211" s="139"/>
      <c r="Q1211" s="146"/>
      <c r="R1211" s="139"/>
      <c r="S1211" s="139"/>
      <c r="T1211" s="139"/>
      <c r="U1211" s="139"/>
      <c r="V1211" s="139"/>
      <c r="W1211" s="111"/>
      <c r="X1211" s="139"/>
      <c r="Y1211" s="139"/>
    </row>
    <row r="1212" ht="15.75" customHeight="1">
      <c r="A1212" s="144"/>
      <c r="B1212" s="139"/>
      <c r="C1212" s="139"/>
      <c r="D1212" s="145"/>
      <c r="E1212" s="139"/>
      <c r="F1212" s="139"/>
      <c r="G1212" s="139"/>
      <c r="H1212" s="139"/>
      <c r="I1212" s="139"/>
      <c r="J1212" s="139"/>
      <c r="K1212" s="139"/>
      <c r="L1212" s="139"/>
      <c r="M1212" s="145"/>
      <c r="N1212" s="139"/>
      <c r="O1212" s="139"/>
      <c r="P1212" s="139"/>
      <c r="Q1212" s="146"/>
      <c r="R1212" s="139"/>
      <c r="S1212" s="139"/>
      <c r="T1212" s="139"/>
      <c r="U1212" s="139"/>
      <c r="V1212" s="139"/>
      <c r="W1212" s="111"/>
      <c r="X1212" s="139"/>
      <c r="Y1212" s="139"/>
    </row>
    <row r="1213" ht="15.75" customHeight="1">
      <c r="A1213" s="144"/>
      <c r="B1213" s="139"/>
      <c r="C1213" s="139"/>
      <c r="D1213" s="145"/>
      <c r="E1213" s="139"/>
      <c r="F1213" s="139"/>
      <c r="G1213" s="139"/>
      <c r="H1213" s="139"/>
      <c r="I1213" s="139"/>
      <c r="J1213" s="139"/>
      <c r="K1213" s="139"/>
      <c r="L1213" s="139"/>
      <c r="M1213" s="145"/>
      <c r="N1213" s="139"/>
      <c r="O1213" s="139"/>
      <c r="P1213" s="139"/>
      <c r="Q1213" s="146"/>
      <c r="R1213" s="139"/>
      <c r="S1213" s="139"/>
      <c r="T1213" s="139"/>
      <c r="U1213" s="139"/>
      <c r="V1213" s="139"/>
      <c r="W1213" s="111"/>
      <c r="X1213" s="139"/>
      <c r="Y1213" s="139"/>
    </row>
    <row r="1214" ht="15.75" customHeight="1">
      <c r="A1214" s="144"/>
      <c r="B1214" s="139"/>
      <c r="C1214" s="139"/>
      <c r="D1214" s="145"/>
      <c r="E1214" s="139"/>
      <c r="F1214" s="139"/>
      <c r="G1214" s="139"/>
      <c r="H1214" s="139"/>
      <c r="I1214" s="139"/>
      <c r="J1214" s="139"/>
      <c r="K1214" s="139"/>
      <c r="L1214" s="139"/>
      <c r="M1214" s="145"/>
      <c r="N1214" s="139"/>
      <c r="O1214" s="139"/>
      <c r="P1214" s="139"/>
      <c r="Q1214" s="146"/>
      <c r="R1214" s="139"/>
      <c r="S1214" s="139"/>
      <c r="T1214" s="139"/>
      <c r="U1214" s="139"/>
      <c r="V1214" s="139"/>
      <c r="W1214" s="111"/>
      <c r="X1214" s="139"/>
      <c r="Y1214" s="139"/>
    </row>
    <row r="1215" ht="15.75" customHeight="1">
      <c r="A1215" s="144"/>
      <c r="B1215" s="139"/>
      <c r="C1215" s="139"/>
      <c r="D1215" s="145"/>
      <c r="E1215" s="139"/>
      <c r="F1215" s="139"/>
      <c r="G1215" s="139"/>
      <c r="H1215" s="139"/>
      <c r="I1215" s="139"/>
      <c r="J1215" s="139"/>
      <c r="K1215" s="139"/>
      <c r="L1215" s="139"/>
      <c r="M1215" s="145"/>
      <c r="N1215" s="139"/>
      <c r="O1215" s="139"/>
      <c r="P1215" s="139"/>
      <c r="Q1215" s="146"/>
      <c r="R1215" s="139"/>
      <c r="S1215" s="139"/>
      <c r="T1215" s="139"/>
      <c r="U1215" s="139"/>
      <c r="V1215" s="139"/>
      <c r="W1215" s="111"/>
      <c r="X1215" s="139"/>
      <c r="Y1215" s="139"/>
    </row>
    <row r="1216" ht="15.75" customHeight="1">
      <c r="A1216" s="144"/>
      <c r="B1216" s="139"/>
      <c r="C1216" s="139"/>
      <c r="D1216" s="145"/>
      <c r="E1216" s="139"/>
      <c r="F1216" s="139"/>
      <c r="G1216" s="139"/>
      <c r="H1216" s="139"/>
      <c r="I1216" s="139"/>
      <c r="J1216" s="139"/>
      <c r="K1216" s="139"/>
      <c r="L1216" s="139"/>
      <c r="M1216" s="145"/>
      <c r="N1216" s="139"/>
      <c r="O1216" s="139"/>
      <c r="P1216" s="139"/>
      <c r="Q1216" s="146"/>
      <c r="R1216" s="139"/>
      <c r="S1216" s="139"/>
      <c r="T1216" s="139"/>
      <c r="U1216" s="139"/>
      <c r="V1216" s="139"/>
      <c r="W1216" s="111"/>
      <c r="X1216" s="139"/>
      <c r="Y1216" s="139"/>
    </row>
    <row r="1217" ht="15.75" customHeight="1">
      <c r="A1217" s="144"/>
      <c r="B1217" s="139"/>
      <c r="C1217" s="139"/>
      <c r="D1217" s="145"/>
      <c r="E1217" s="139"/>
      <c r="F1217" s="139"/>
      <c r="G1217" s="139"/>
      <c r="H1217" s="139"/>
      <c r="I1217" s="139"/>
      <c r="J1217" s="139"/>
      <c r="K1217" s="139"/>
      <c r="L1217" s="139"/>
      <c r="M1217" s="145"/>
      <c r="N1217" s="139"/>
      <c r="O1217" s="139"/>
      <c r="P1217" s="139"/>
      <c r="Q1217" s="146"/>
      <c r="R1217" s="139"/>
      <c r="S1217" s="139"/>
      <c r="T1217" s="139"/>
      <c r="U1217" s="139"/>
      <c r="V1217" s="139"/>
      <c r="W1217" s="111"/>
      <c r="X1217" s="139"/>
      <c r="Y1217" s="139"/>
    </row>
    <row r="1218" ht="15.75" customHeight="1">
      <c r="A1218" s="144"/>
      <c r="B1218" s="139"/>
      <c r="C1218" s="139"/>
      <c r="D1218" s="145"/>
      <c r="E1218" s="139"/>
      <c r="F1218" s="139"/>
      <c r="G1218" s="139"/>
      <c r="H1218" s="139"/>
      <c r="I1218" s="139"/>
      <c r="J1218" s="139"/>
      <c r="K1218" s="139"/>
      <c r="L1218" s="139"/>
      <c r="M1218" s="145"/>
      <c r="N1218" s="139"/>
      <c r="O1218" s="139"/>
      <c r="P1218" s="139"/>
      <c r="Q1218" s="146"/>
      <c r="R1218" s="139"/>
      <c r="S1218" s="139"/>
      <c r="T1218" s="139"/>
      <c r="U1218" s="139"/>
      <c r="V1218" s="139"/>
      <c r="W1218" s="111"/>
      <c r="X1218" s="139"/>
      <c r="Y1218" s="139"/>
    </row>
    <row r="1219" ht="15.75" customHeight="1">
      <c r="A1219" s="144"/>
      <c r="B1219" s="139"/>
      <c r="C1219" s="139"/>
      <c r="D1219" s="145"/>
      <c r="E1219" s="139"/>
      <c r="F1219" s="139"/>
      <c r="G1219" s="139"/>
      <c r="H1219" s="139"/>
      <c r="I1219" s="139"/>
      <c r="J1219" s="139"/>
      <c r="K1219" s="139"/>
      <c r="L1219" s="139"/>
      <c r="M1219" s="145"/>
      <c r="N1219" s="139"/>
      <c r="O1219" s="139"/>
      <c r="P1219" s="139"/>
      <c r="Q1219" s="146"/>
      <c r="R1219" s="139"/>
      <c r="S1219" s="139"/>
      <c r="T1219" s="139"/>
      <c r="U1219" s="139"/>
      <c r="V1219" s="139"/>
      <c r="W1219" s="111"/>
      <c r="X1219" s="139"/>
      <c r="Y1219" s="139"/>
    </row>
    <row r="1220" ht="15.75" customHeight="1">
      <c r="A1220" s="144"/>
      <c r="B1220" s="139"/>
      <c r="C1220" s="139"/>
      <c r="D1220" s="145"/>
      <c r="E1220" s="139"/>
      <c r="F1220" s="139"/>
      <c r="G1220" s="139"/>
      <c r="H1220" s="139"/>
      <c r="I1220" s="139"/>
      <c r="J1220" s="139"/>
      <c r="K1220" s="139"/>
      <c r="L1220" s="139"/>
      <c r="M1220" s="145"/>
      <c r="N1220" s="139"/>
      <c r="O1220" s="139"/>
      <c r="P1220" s="139"/>
      <c r="Q1220" s="146"/>
      <c r="R1220" s="139"/>
      <c r="S1220" s="139"/>
      <c r="T1220" s="139"/>
      <c r="U1220" s="139"/>
      <c r="V1220" s="139"/>
      <c r="W1220" s="111"/>
      <c r="X1220" s="139"/>
      <c r="Y1220" s="139"/>
    </row>
    <row r="1221" ht="15.75" customHeight="1">
      <c r="A1221" s="144"/>
      <c r="B1221" s="139"/>
      <c r="C1221" s="139"/>
      <c r="D1221" s="145"/>
      <c r="E1221" s="139"/>
      <c r="F1221" s="139"/>
      <c r="G1221" s="139"/>
      <c r="H1221" s="139"/>
      <c r="I1221" s="139"/>
      <c r="J1221" s="139"/>
      <c r="K1221" s="139"/>
      <c r="L1221" s="139"/>
      <c r="M1221" s="145"/>
      <c r="N1221" s="139"/>
      <c r="O1221" s="139"/>
      <c r="P1221" s="139"/>
      <c r="Q1221" s="146"/>
      <c r="R1221" s="139"/>
      <c r="S1221" s="139"/>
      <c r="T1221" s="139"/>
      <c r="U1221" s="139"/>
      <c r="V1221" s="139"/>
      <c r="W1221" s="111"/>
      <c r="X1221" s="139"/>
      <c r="Y1221" s="139"/>
    </row>
    <row r="1222" ht="15.75" customHeight="1">
      <c r="A1222" s="144"/>
      <c r="B1222" s="139"/>
      <c r="C1222" s="139"/>
      <c r="D1222" s="145"/>
      <c r="E1222" s="139"/>
      <c r="F1222" s="139"/>
      <c r="G1222" s="139"/>
      <c r="H1222" s="139"/>
      <c r="I1222" s="139"/>
      <c r="J1222" s="139"/>
      <c r="K1222" s="139"/>
      <c r="L1222" s="139"/>
      <c r="M1222" s="145"/>
      <c r="N1222" s="139"/>
      <c r="O1222" s="139"/>
      <c r="P1222" s="139"/>
      <c r="Q1222" s="146"/>
      <c r="R1222" s="139"/>
      <c r="S1222" s="139"/>
      <c r="T1222" s="139"/>
      <c r="U1222" s="139"/>
      <c r="V1222" s="139"/>
      <c r="W1222" s="111"/>
      <c r="X1222" s="139"/>
      <c r="Y1222" s="139"/>
    </row>
    <row r="1223" ht="15.75" customHeight="1">
      <c r="A1223" s="144"/>
      <c r="B1223" s="139"/>
      <c r="C1223" s="139"/>
      <c r="D1223" s="145"/>
      <c r="E1223" s="139"/>
      <c r="F1223" s="139"/>
      <c r="G1223" s="139"/>
      <c r="H1223" s="139"/>
      <c r="I1223" s="139"/>
      <c r="J1223" s="139"/>
      <c r="K1223" s="139"/>
      <c r="L1223" s="139"/>
      <c r="M1223" s="145"/>
      <c r="N1223" s="139"/>
      <c r="O1223" s="139"/>
      <c r="P1223" s="139"/>
      <c r="Q1223" s="146"/>
      <c r="R1223" s="139"/>
      <c r="S1223" s="139"/>
      <c r="T1223" s="139"/>
      <c r="U1223" s="139"/>
      <c r="V1223" s="139"/>
      <c r="W1223" s="111"/>
      <c r="X1223" s="139"/>
      <c r="Y1223" s="139"/>
    </row>
    <row r="1224" ht="15.75" customHeight="1">
      <c r="A1224" s="144"/>
      <c r="B1224" s="139"/>
      <c r="C1224" s="139"/>
      <c r="D1224" s="145"/>
      <c r="E1224" s="139"/>
      <c r="F1224" s="139"/>
      <c r="G1224" s="139"/>
      <c r="H1224" s="139"/>
      <c r="I1224" s="139"/>
      <c r="J1224" s="139"/>
      <c r="K1224" s="139"/>
      <c r="L1224" s="139"/>
      <c r="M1224" s="145"/>
      <c r="N1224" s="139"/>
      <c r="O1224" s="139"/>
      <c r="P1224" s="139"/>
      <c r="Q1224" s="146"/>
      <c r="R1224" s="139"/>
      <c r="S1224" s="139"/>
      <c r="T1224" s="139"/>
      <c r="U1224" s="139"/>
      <c r="V1224" s="139"/>
      <c r="W1224" s="111"/>
      <c r="X1224" s="139"/>
      <c r="Y1224" s="139"/>
    </row>
    <row r="1225" ht="15.75" customHeight="1">
      <c r="A1225" s="144"/>
      <c r="B1225" s="139"/>
      <c r="C1225" s="139"/>
      <c r="D1225" s="145"/>
      <c r="E1225" s="139"/>
      <c r="F1225" s="139"/>
      <c r="G1225" s="139"/>
      <c r="H1225" s="139"/>
      <c r="I1225" s="139"/>
      <c r="J1225" s="139"/>
      <c r="K1225" s="139"/>
      <c r="L1225" s="139"/>
      <c r="M1225" s="145"/>
      <c r="N1225" s="139"/>
      <c r="O1225" s="139"/>
      <c r="P1225" s="139"/>
      <c r="Q1225" s="146"/>
      <c r="R1225" s="139"/>
      <c r="S1225" s="139"/>
      <c r="T1225" s="139"/>
      <c r="U1225" s="139"/>
      <c r="V1225" s="139"/>
      <c r="W1225" s="111"/>
      <c r="X1225" s="139"/>
      <c r="Y1225" s="139"/>
    </row>
    <row r="1226" ht="15.75" customHeight="1">
      <c r="A1226" s="144"/>
      <c r="B1226" s="139"/>
      <c r="C1226" s="139"/>
      <c r="D1226" s="145"/>
      <c r="E1226" s="139"/>
      <c r="F1226" s="139"/>
      <c r="G1226" s="139"/>
      <c r="H1226" s="139"/>
      <c r="I1226" s="139"/>
      <c r="J1226" s="139"/>
      <c r="K1226" s="139"/>
      <c r="L1226" s="139"/>
      <c r="M1226" s="145"/>
      <c r="N1226" s="139"/>
      <c r="O1226" s="139"/>
      <c r="P1226" s="139"/>
      <c r="Q1226" s="146"/>
      <c r="R1226" s="139"/>
      <c r="S1226" s="139"/>
      <c r="T1226" s="139"/>
      <c r="U1226" s="139"/>
      <c r="V1226" s="139"/>
      <c r="W1226" s="111"/>
      <c r="X1226" s="139"/>
      <c r="Y1226" s="139"/>
    </row>
    <row r="1227" ht="15.75" customHeight="1">
      <c r="A1227" s="144"/>
      <c r="B1227" s="139"/>
      <c r="C1227" s="139"/>
      <c r="D1227" s="145"/>
      <c r="E1227" s="139"/>
      <c r="F1227" s="139"/>
      <c r="G1227" s="139"/>
      <c r="H1227" s="139"/>
      <c r="I1227" s="139"/>
      <c r="J1227" s="139"/>
      <c r="K1227" s="139"/>
      <c r="L1227" s="139"/>
      <c r="M1227" s="145"/>
      <c r="N1227" s="139"/>
      <c r="O1227" s="139"/>
      <c r="P1227" s="139"/>
      <c r="Q1227" s="146"/>
      <c r="R1227" s="139"/>
      <c r="S1227" s="139"/>
      <c r="T1227" s="139"/>
      <c r="U1227" s="139"/>
      <c r="V1227" s="139"/>
      <c r="W1227" s="111"/>
      <c r="X1227" s="139"/>
      <c r="Y1227" s="139"/>
    </row>
    <row r="1228" ht="15.75" customHeight="1">
      <c r="A1228" s="144"/>
      <c r="B1228" s="139"/>
      <c r="C1228" s="139"/>
      <c r="D1228" s="145"/>
      <c r="E1228" s="139"/>
      <c r="F1228" s="139"/>
      <c r="G1228" s="139"/>
      <c r="H1228" s="139"/>
      <c r="I1228" s="139"/>
      <c r="J1228" s="139"/>
      <c r="K1228" s="139"/>
      <c r="L1228" s="139"/>
      <c r="M1228" s="145"/>
      <c r="N1228" s="139"/>
      <c r="O1228" s="139"/>
      <c r="P1228" s="139"/>
      <c r="Q1228" s="146"/>
      <c r="R1228" s="139"/>
      <c r="S1228" s="139"/>
      <c r="T1228" s="139"/>
      <c r="U1228" s="139"/>
      <c r="V1228" s="139"/>
      <c r="W1228" s="111"/>
      <c r="X1228" s="139"/>
      <c r="Y1228" s="139"/>
    </row>
    <row r="1229" ht="15.75" customHeight="1">
      <c r="A1229" s="144"/>
      <c r="B1229" s="139"/>
      <c r="C1229" s="139"/>
      <c r="D1229" s="145"/>
      <c r="E1229" s="139"/>
      <c r="F1229" s="139"/>
      <c r="G1229" s="139"/>
      <c r="H1229" s="139"/>
      <c r="I1229" s="139"/>
      <c r="J1229" s="139"/>
      <c r="K1229" s="139"/>
      <c r="L1229" s="139"/>
      <c r="M1229" s="145"/>
      <c r="N1229" s="139"/>
      <c r="O1229" s="139"/>
      <c r="P1229" s="139"/>
      <c r="Q1229" s="146"/>
      <c r="R1229" s="139"/>
      <c r="S1229" s="139"/>
      <c r="T1229" s="139"/>
      <c r="U1229" s="139"/>
      <c r="V1229" s="139"/>
      <c r="W1229" s="111"/>
      <c r="X1229" s="139"/>
      <c r="Y1229" s="139"/>
    </row>
    <row r="1230" ht="15.75" customHeight="1">
      <c r="A1230" s="144"/>
      <c r="B1230" s="139"/>
      <c r="C1230" s="139"/>
      <c r="D1230" s="145"/>
      <c r="E1230" s="139"/>
      <c r="F1230" s="139"/>
      <c r="G1230" s="139"/>
      <c r="H1230" s="139"/>
      <c r="I1230" s="139"/>
      <c r="J1230" s="139"/>
      <c r="K1230" s="139"/>
      <c r="L1230" s="139"/>
      <c r="M1230" s="145"/>
      <c r="N1230" s="139"/>
      <c r="O1230" s="139"/>
      <c r="P1230" s="139"/>
      <c r="Q1230" s="146"/>
      <c r="R1230" s="139"/>
      <c r="S1230" s="139"/>
      <c r="T1230" s="139"/>
      <c r="U1230" s="139"/>
      <c r="V1230" s="139"/>
      <c r="W1230" s="111"/>
      <c r="X1230" s="139"/>
      <c r="Y1230" s="139"/>
    </row>
    <row r="1231" ht="15.75" customHeight="1">
      <c r="A1231" s="144"/>
      <c r="B1231" s="139"/>
      <c r="C1231" s="139"/>
      <c r="D1231" s="145"/>
      <c r="E1231" s="139"/>
      <c r="F1231" s="139"/>
      <c r="G1231" s="139"/>
      <c r="H1231" s="139"/>
      <c r="I1231" s="139"/>
      <c r="J1231" s="139"/>
      <c r="K1231" s="139"/>
      <c r="L1231" s="139"/>
      <c r="M1231" s="145"/>
      <c r="N1231" s="139"/>
      <c r="O1231" s="139"/>
      <c r="P1231" s="139"/>
      <c r="Q1231" s="146"/>
      <c r="R1231" s="139"/>
      <c r="S1231" s="139"/>
      <c r="T1231" s="139"/>
      <c r="U1231" s="139"/>
      <c r="V1231" s="139"/>
      <c r="W1231" s="111"/>
      <c r="X1231" s="139"/>
      <c r="Y1231" s="139"/>
    </row>
    <row r="1232" ht="15.75" customHeight="1">
      <c r="A1232" s="144"/>
      <c r="B1232" s="139"/>
      <c r="C1232" s="139"/>
      <c r="D1232" s="145"/>
      <c r="E1232" s="139"/>
      <c r="F1232" s="139"/>
      <c r="G1232" s="139"/>
      <c r="H1232" s="139"/>
      <c r="I1232" s="139"/>
      <c r="J1232" s="139"/>
      <c r="K1232" s="139"/>
      <c r="L1232" s="139"/>
      <c r="M1232" s="145"/>
      <c r="N1232" s="139"/>
      <c r="O1232" s="139"/>
      <c r="P1232" s="139"/>
      <c r="Q1232" s="146"/>
      <c r="R1232" s="139"/>
      <c r="S1232" s="139"/>
      <c r="T1232" s="139"/>
      <c r="U1232" s="139"/>
      <c r="V1232" s="139"/>
      <c r="W1232" s="111"/>
      <c r="X1232" s="139"/>
      <c r="Y1232" s="139"/>
    </row>
    <row r="1233" ht="15.75" customHeight="1">
      <c r="A1233" s="144"/>
      <c r="B1233" s="139"/>
      <c r="C1233" s="139"/>
      <c r="D1233" s="145"/>
      <c r="E1233" s="139"/>
      <c r="F1233" s="139"/>
      <c r="G1233" s="139"/>
      <c r="H1233" s="139"/>
      <c r="I1233" s="139"/>
      <c r="J1233" s="139"/>
      <c r="K1233" s="139"/>
      <c r="L1233" s="139"/>
      <c r="M1233" s="145"/>
      <c r="N1233" s="139"/>
      <c r="O1233" s="139"/>
      <c r="P1233" s="139"/>
      <c r="Q1233" s="146"/>
      <c r="R1233" s="139"/>
      <c r="S1233" s="139"/>
      <c r="T1233" s="139"/>
      <c r="U1233" s="139"/>
      <c r="V1233" s="139"/>
      <c r="W1233" s="111"/>
      <c r="X1233" s="139"/>
      <c r="Y1233" s="139"/>
    </row>
    <row r="1234" ht="15.75" customHeight="1">
      <c r="A1234" s="144"/>
      <c r="B1234" s="139"/>
      <c r="C1234" s="139"/>
      <c r="D1234" s="145"/>
      <c r="E1234" s="139"/>
      <c r="F1234" s="139"/>
      <c r="G1234" s="139"/>
      <c r="H1234" s="139"/>
      <c r="I1234" s="139"/>
      <c r="J1234" s="139"/>
      <c r="K1234" s="139"/>
      <c r="L1234" s="139"/>
      <c r="M1234" s="145"/>
      <c r="N1234" s="139"/>
      <c r="O1234" s="139"/>
      <c r="P1234" s="139"/>
      <c r="Q1234" s="146"/>
      <c r="R1234" s="139"/>
      <c r="S1234" s="139"/>
      <c r="T1234" s="139"/>
      <c r="U1234" s="139"/>
      <c r="V1234" s="139"/>
      <c r="W1234" s="111"/>
      <c r="X1234" s="139"/>
      <c r="Y1234" s="139"/>
    </row>
    <row r="1235" ht="15.75" customHeight="1">
      <c r="A1235" s="144"/>
      <c r="B1235" s="139"/>
      <c r="C1235" s="139"/>
      <c r="D1235" s="145"/>
      <c r="E1235" s="139"/>
      <c r="F1235" s="139"/>
      <c r="G1235" s="139"/>
      <c r="H1235" s="139"/>
      <c r="I1235" s="139"/>
      <c r="J1235" s="139"/>
      <c r="K1235" s="139"/>
      <c r="L1235" s="139"/>
      <c r="M1235" s="145"/>
      <c r="N1235" s="139"/>
      <c r="O1235" s="139"/>
      <c r="P1235" s="139"/>
      <c r="Q1235" s="146"/>
      <c r="R1235" s="139"/>
      <c r="S1235" s="139"/>
      <c r="T1235" s="139"/>
      <c r="U1235" s="139"/>
      <c r="V1235" s="139"/>
      <c r="W1235" s="111"/>
      <c r="X1235" s="139"/>
      <c r="Y1235" s="139"/>
    </row>
    <row r="1236" ht="15.75" customHeight="1">
      <c r="A1236" s="144"/>
      <c r="B1236" s="139"/>
      <c r="C1236" s="139"/>
      <c r="D1236" s="145"/>
      <c r="E1236" s="139"/>
      <c r="F1236" s="139"/>
      <c r="G1236" s="139"/>
      <c r="H1236" s="139"/>
      <c r="I1236" s="139"/>
      <c r="J1236" s="139"/>
      <c r="K1236" s="139"/>
      <c r="L1236" s="139"/>
      <c r="M1236" s="145"/>
      <c r="N1236" s="139"/>
      <c r="O1236" s="139"/>
      <c r="P1236" s="139"/>
      <c r="Q1236" s="146"/>
      <c r="R1236" s="139"/>
      <c r="S1236" s="139"/>
      <c r="T1236" s="139"/>
      <c r="U1236" s="139"/>
      <c r="V1236" s="139"/>
      <c r="W1236" s="111"/>
      <c r="X1236" s="139"/>
      <c r="Y1236" s="139"/>
    </row>
    <row r="1237" ht="15.75" customHeight="1">
      <c r="A1237" s="144"/>
      <c r="B1237" s="139"/>
      <c r="C1237" s="139"/>
      <c r="D1237" s="145"/>
      <c r="E1237" s="139"/>
      <c r="F1237" s="139"/>
      <c r="G1237" s="139"/>
      <c r="H1237" s="139"/>
      <c r="I1237" s="139"/>
      <c r="J1237" s="139"/>
      <c r="K1237" s="139"/>
      <c r="L1237" s="139"/>
      <c r="M1237" s="145"/>
      <c r="N1237" s="139"/>
      <c r="O1237" s="139"/>
      <c r="P1237" s="139"/>
      <c r="Q1237" s="146"/>
      <c r="R1237" s="139"/>
      <c r="S1237" s="139"/>
      <c r="T1237" s="139"/>
      <c r="U1237" s="139"/>
      <c r="V1237" s="139"/>
      <c r="W1237" s="111"/>
      <c r="X1237" s="139"/>
      <c r="Y1237" s="139"/>
    </row>
    <row r="1238" ht="15.75" customHeight="1">
      <c r="A1238" s="144"/>
      <c r="B1238" s="139"/>
      <c r="C1238" s="139"/>
      <c r="D1238" s="145"/>
      <c r="E1238" s="139"/>
      <c r="F1238" s="139"/>
      <c r="G1238" s="139"/>
      <c r="H1238" s="139"/>
      <c r="I1238" s="139"/>
      <c r="J1238" s="139"/>
      <c r="K1238" s="139"/>
      <c r="L1238" s="139"/>
      <c r="M1238" s="145"/>
      <c r="N1238" s="139"/>
      <c r="O1238" s="139"/>
      <c r="P1238" s="139"/>
      <c r="Q1238" s="146"/>
      <c r="R1238" s="139"/>
      <c r="S1238" s="139"/>
      <c r="T1238" s="139"/>
      <c r="U1238" s="139"/>
      <c r="V1238" s="139"/>
      <c r="W1238" s="111"/>
      <c r="X1238" s="139"/>
      <c r="Y1238" s="139"/>
    </row>
    <row r="1239" ht="15.75" customHeight="1">
      <c r="A1239" s="144"/>
      <c r="B1239" s="139"/>
      <c r="C1239" s="139"/>
      <c r="D1239" s="145"/>
      <c r="E1239" s="139"/>
      <c r="F1239" s="139"/>
      <c r="G1239" s="139"/>
      <c r="H1239" s="139"/>
      <c r="I1239" s="139"/>
      <c r="J1239" s="139"/>
      <c r="K1239" s="139"/>
      <c r="L1239" s="139"/>
      <c r="M1239" s="145"/>
      <c r="N1239" s="139"/>
      <c r="O1239" s="139"/>
      <c r="P1239" s="139"/>
      <c r="Q1239" s="146"/>
      <c r="R1239" s="139"/>
      <c r="S1239" s="139"/>
      <c r="T1239" s="139"/>
      <c r="U1239" s="139"/>
      <c r="V1239" s="139"/>
      <c r="W1239" s="111"/>
      <c r="X1239" s="139"/>
      <c r="Y1239" s="139"/>
    </row>
    <row r="1240" ht="15.75" customHeight="1">
      <c r="A1240" s="144"/>
      <c r="B1240" s="139"/>
      <c r="C1240" s="139"/>
      <c r="D1240" s="145"/>
      <c r="E1240" s="139"/>
      <c r="F1240" s="139"/>
      <c r="G1240" s="139"/>
      <c r="H1240" s="139"/>
      <c r="I1240" s="139"/>
      <c r="J1240" s="139"/>
      <c r="K1240" s="139"/>
      <c r="L1240" s="139"/>
      <c r="M1240" s="145"/>
      <c r="N1240" s="139"/>
      <c r="O1240" s="139"/>
      <c r="P1240" s="139"/>
      <c r="Q1240" s="146"/>
      <c r="R1240" s="139"/>
      <c r="S1240" s="139"/>
      <c r="T1240" s="139"/>
      <c r="U1240" s="139"/>
      <c r="V1240" s="139"/>
      <c r="W1240" s="111"/>
      <c r="X1240" s="139"/>
      <c r="Y1240" s="139"/>
    </row>
    <row r="1241" ht="15.75" customHeight="1">
      <c r="A1241" s="144"/>
      <c r="B1241" s="139"/>
      <c r="C1241" s="139"/>
      <c r="D1241" s="145"/>
      <c r="E1241" s="139"/>
      <c r="F1241" s="139"/>
      <c r="G1241" s="139"/>
      <c r="H1241" s="139"/>
      <c r="I1241" s="139"/>
      <c r="J1241" s="139"/>
      <c r="K1241" s="139"/>
      <c r="L1241" s="139"/>
      <c r="M1241" s="145"/>
      <c r="N1241" s="139"/>
      <c r="O1241" s="139"/>
      <c r="P1241" s="139"/>
      <c r="Q1241" s="146"/>
      <c r="R1241" s="139"/>
      <c r="S1241" s="139"/>
      <c r="T1241" s="139"/>
      <c r="U1241" s="139"/>
      <c r="V1241" s="139"/>
      <c r="W1241" s="111"/>
      <c r="X1241" s="139"/>
      <c r="Y1241" s="139"/>
    </row>
    <row r="1242" ht="15.75" customHeight="1">
      <c r="A1242" s="144"/>
      <c r="B1242" s="139"/>
      <c r="C1242" s="139"/>
      <c r="D1242" s="145"/>
      <c r="E1242" s="139"/>
      <c r="F1242" s="139"/>
      <c r="G1242" s="139"/>
      <c r="H1242" s="139"/>
      <c r="I1242" s="139"/>
      <c r="J1242" s="139"/>
      <c r="K1242" s="139"/>
      <c r="L1242" s="139"/>
      <c r="M1242" s="145"/>
      <c r="N1242" s="139"/>
      <c r="O1242" s="139"/>
      <c r="P1242" s="139"/>
      <c r="Q1242" s="146"/>
      <c r="R1242" s="139"/>
      <c r="S1242" s="139"/>
      <c r="T1242" s="139"/>
      <c r="U1242" s="139"/>
      <c r="V1242" s="139"/>
      <c r="W1242" s="111"/>
      <c r="X1242" s="139"/>
      <c r="Y1242" s="139"/>
    </row>
    <row r="1243" ht="15.75" customHeight="1">
      <c r="A1243" s="144"/>
      <c r="B1243" s="139"/>
      <c r="C1243" s="139"/>
      <c r="D1243" s="145"/>
      <c r="E1243" s="139"/>
      <c r="F1243" s="139"/>
      <c r="G1243" s="139"/>
      <c r="H1243" s="139"/>
      <c r="I1243" s="139"/>
      <c r="J1243" s="139"/>
      <c r="K1243" s="139"/>
      <c r="L1243" s="139"/>
      <c r="M1243" s="145"/>
      <c r="N1243" s="139"/>
      <c r="O1243" s="139"/>
      <c r="P1243" s="139"/>
      <c r="Q1243" s="146"/>
      <c r="R1243" s="139"/>
      <c r="S1243" s="139"/>
      <c r="T1243" s="139"/>
      <c r="U1243" s="139"/>
      <c r="V1243" s="139"/>
      <c r="W1243" s="111"/>
      <c r="X1243" s="139"/>
      <c r="Y1243" s="139"/>
    </row>
    <row r="1244" ht="15.75" customHeight="1">
      <c r="A1244" s="144"/>
      <c r="B1244" s="139"/>
      <c r="C1244" s="139"/>
      <c r="D1244" s="145"/>
      <c r="E1244" s="139"/>
      <c r="F1244" s="139"/>
      <c r="G1244" s="139"/>
      <c r="H1244" s="139"/>
      <c r="I1244" s="139"/>
      <c r="J1244" s="139"/>
      <c r="K1244" s="139"/>
      <c r="L1244" s="139"/>
      <c r="M1244" s="145"/>
      <c r="N1244" s="139"/>
      <c r="O1244" s="139"/>
      <c r="P1244" s="139"/>
      <c r="Q1244" s="146"/>
      <c r="R1244" s="139"/>
      <c r="S1244" s="139"/>
      <c r="T1244" s="139"/>
      <c r="U1244" s="139"/>
      <c r="V1244" s="139"/>
      <c r="W1244" s="111"/>
      <c r="X1244" s="139"/>
      <c r="Y1244" s="139"/>
    </row>
    <row r="1245" ht="15.75" customHeight="1">
      <c r="A1245" s="144"/>
      <c r="B1245" s="139"/>
      <c r="C1245" s="139"/>
      <c r="D1245" s="145"/>
      <c r="E1245" s="139"/>
      <c r="F1245" s="139"/>
      <c r="G1245" s="139"/>
      <c r="H1245" s="139"/>
      <c r="I1245" s="139"/>
      <c r="J1245" s="139"/>
      <c r="K1245" s="139"/>
      <c r="L1245" s="139"/>
      <c r="M1245" s="145"/>
      <c r="N1245" s="139"/>
      <c r="O1245" s="139"/>
      <c r="P1245" s="139"/>
      <c r="Q1245" s="146"/>
      <c r="R1245" s="139"/>
      <c r="S1245" s="139"/>
      <c r="T1245" s="139"/>
      <c r="U1245" s="139"/>
      <c r="V1245" s="139"/>
      <c r="W1245" s="111"/>
      <c r="X1245" s="139"/>
      <c r="Y1245" s="139"/>
    </row>
    <row r="1246" ht="15.75" customHeight="1">
      <c r="A1246" s="144"/>
      <c r="B1246" s="139"/>
      <c r="C1246" s="139"/>
      <c r="D1246" s="145"/>
      <c r="E1246" s="139"/>
      <c r="F1246" s="139"/>
      <c r="G1246" s="139"/>
      <c r="H1246" s="139"/>
      <c r="I1246" s="139"/>
      <c r="J1246" s="139"/>
      <c r="K1246" s="139"/>
      <c r="L1246" s="139"/>
      <c r="M1246" s="145"/>
      <c r="N1246" s="139"/>
      <c r="O1246" s="139"/>
      <c r="P1246" s="139"/>
      <c r="Q1246" s="146"/>
      <c r="R1246" s="139"/>
      <c r="S1246" s="139"/>
      <c r="T1246" s="139"/>
      <c r="U1246" s="139"/>
      <c r="V1246" s="139"/>
      <c r="W1246" s="111"/>
      <c r="X1246" s="139"/>
      <c r="Y1246" s="139"/>
    </row>
    <row r="1247" ht="15.75" customHeight="1">
      <c r="A1247" s="144"/>
      <c r="B1247" s="139"/>
      <c r="C1247" s="139"/>
      <c r="D1247" s="145"/>
      <c r="E1247" s="139"/>
      <c r="F1247" s="139"/>
      <c r="G1247" s="139"/>
      <c r="H1247" s="139"/>
      <c r="I1247" s="139"/>
      <c r="J1247" s="139"/>
      <c r="K1247" s="139"/>
      <c r="L1247" s="139"/>
      <c r="M1247" s="145"/>
      <c r="N1247" s="139"/>
      <c r="O1247" s="139"/>
      <c r="P1247" s="139"/>
      <c r="Q1247" s="146"/>
      <c r="R1247" s="139"/>
      <c r="S1247" s="139"/>
      <c r="T1247" s="139"/>
      <c r="U1247" s="139"/>
      <c r="V1247" s="139"/>
      <c r="W1247" s="111"/>
      <c r="X1247" s="139"/>
      <c r="Y1247" s="139"/>
    </row>
  </sheetData>
  <autoFilter ref="$A$1:$X$1247">
    <sortState ref="A1:X1247">
      <sortCondition descending="1" ref="A1:A1247"/>
      <sortCondition ref="C1:C1247"/>
      <sortCondition descending="1" ref="B1:B1247"/>
    </sortState>
  </autoFilter>
  <dataValidations>
    <dataValidation type="list" allowBlank="1" showErrorMessage="1" sqref="I168:I169">
      <formula1>"T2-Ba,T1-R2-N1,T1-G2,T4-Ba,T1-R1-N1,T8,T6,T3-Bb,T6-Me,T5-Ba "</formula1>
    </dataValidation>
    <dataValidation type="list" allowBlank="1" showErrorMessage="1" sqref="I2:I167 I170:I309">
      <formula1>"T2-Ba,T1-R2-N1,T1-G2,T4-Ba,T1-R1-N1,T8,T6,T3-Bb,T6-Me,T5-Ba"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sheetData>
    <row r="1">
      <c r="A1" s="1" t="str">
        <f>Datos!A1</f>
        <v>   Fecha </v>
      </c>
      <c r="B1" s="1" t="str">
        <f>Datos!B1</f>
        <v>NIS</v>
      </c>
      <c r="C1" s="1" t="str">
        <f>Datos!C1</f>
        <v>Cliente</v>
      </c>
      <c r="D1" s="3" t="str">
        <f>Datos!D1</f>
        <v>IVA</v>
      </c>
      <c r="E1" s="147" t="str">
        <f>Datos!E1</f>
        <v>Consumo [kWh]</v>
      </c>
      <c r="F1" s="147" t="str">
        <f>Datos!F1</f>
        <v>Consumo hs punta [kWh]</v>
      </c>
      <c r="G1" s="147" t="str">
        <f>Datos!G1</f>
        <v>Consumo hs valle [kWh]</v>
      </c>
      <c r="H1" s="147" t="str">
        <f>Datos!H1</f>
        <v>Consumo hs resto[kWh]</v>
      </c>
      <c r="I1" s="1" t="str">
        <f>Datos!I1</f>
        <v>Catergoria</v>
      </c>
      <c r="J1" s="11" t="str">
        <f>Datos!J1</f>
        <v>Tarifa punta</v>
      </c>
      <c r="K1" s="11" t="str">
        <f>Datos!K1</f>
        <v>Tarifa valle</v>
      </c>
      <c r="L1" s="11" t="str">
        <f>Datos!L1</f>
        <v>Tarifa resto</v>
      </c>
      <c r="M1" s="3" t="str">
        <f>Datos!M1</f>
        <v>Generacion FV [kWh]</v>
      </c>
      <c r="N1" s="1" t="str">
        <f>Datos!N1</f>
        <v>CONSUMO TOTAL</v>
      </c>
      <c r="O1" s="1" t="str">
        <f>Datos!O1</f>
        <v>Total a pagar S / IVA</v>
      </c>
      <c r="P1" s="1" t="str">
        <f>Datos!P1</f>
        <v>Valor USD</v>
      </c>
      <c r="Q1" s="148" t="str">
        <f>Datos!Q1</f>
        <v>Ahorro (USD)</v>
      </c>
      <c r="R1" s="1" t="str">
        <f>Datos!R1</f>
        <v>Ahorro ($)</v>
      </c>
      <c r="S1" s="1" t="str">
        <f>Datos!S1</f>
        <v>Valor dolar Actual ($)</v>
      </c>
      <c r="T1" s="1" t="str">
        <f>Datos!T1</f>
        <v>Ahorro ($)-A precio actual</v>
      </c>
      <c r="U1" s="149" t="str">
        <f>Datos!U1</f>
        <v>kg CO2e evitados</v>
      </c>
      <c r="V1" s="149" t="str">
        <f>Datos!V1</f>
        <v>Equivalente en árboles</v>
      </c>
      <c r="W1" s="10" t="str">
        <f>Datos!W1</f>
        <v>% de ahorro sobre los consumos</v>
      </c>
      <c r="X1" s="11" t="str">
        <f>Datos!X1</f>
        <v>SIN PANELES S/IVA</v>
      </c>
    </row>
    <row r="2">
      <c r="A2" s="150">
        <f>IFERROR(__xludf.DUMMYFUNCTION("FILTER(Datos!1:1247,Datos!B:B=5272486)"),45992.0)</f>
        <v>45992</v>
      </c>
      <c r="B2" s="151">
        <f>IFERROR(__xludf.DUMMYFUNCTION("""COMPUTED_VALUE"""),5272486.0)</f>
        <v>5272486</v>
      </c>
      <c r="C2" s="151" t="str">
        <f>IFERROR(__xludf.DUMMYFUNCTION("""COMPUTED_VALUE"""),"Linea C")</f>
        <v>Linea C</v>
      </c>
      <c r="D2" s="152">
        <f>IFERROR(__xludf.DUMMYFUNCTION("""COMPUTED_VALUE"""),0.27)</f>
        <v>0.27</v>
      </c>
      <c r="E2" s="153">
        <f>IFERROR(__xludf.DUMMYFUNCTION("""COMPUTED_VALUE"""),4539.0)</f>
        <v>4539</v>
      </c>
      <c r="F2" s="153">
        <f>IFERROR(__xludf.DUMMYFUNCTION("""COMPUTED_VALUE"""),0.0)</f>
        <v>0</v>
      </c>
      <c r="G2" s="153">
        <f>IFERROR(__xludf.DUMMYFUNCTION("""COMPUTED_VALUE"""),0.0)</f>
        <v>0</v>
      </c>
      <c r="H2" s="153">
        <f>IFERROR(__xludf.DUMMYFUNCTION("""COMPUTED_VALUE"""),4539.0)</f>
        <v>4539</v>
      </c>
      <c r="I2" s="153" t="str">
        <f>IFERROR(__xludf.DUMMYFUNCTION("""COMPUTED_VALUE"""),"T1-G2")</f>
        <v>T1-G2</v>
      </c>
      <c r="J2" s="154">
        <f>IFERROR(__xludf.DUMMYFUNCTION("""COMPUTED_VALUE"""),195.2987)</f>
        <v>195.2987</v>
      </c>
      <c r="K2" s="154">
        <f>IFERROR(__xludf.DUMMYFUNCTION("""COMPUTED_VALUE"""),195.2987)</f>
        <v>195.2987</v>
      </c>
      <c r="L2" s="154">
        <f>IFERROR(__xludf.DUMMYFUNCTION("""COMPUTED_VALUE"""),195.2987)</f>
        <v>195.2987</v>
      </c>
      <c r="M2" s="151">
        <f>IFERROR(__xludf.DUMMYFUNCTION("""COMPUTED_VALUE"""),1113.6)</f>
        <v>1113.6</v>
      </c>
      <c r="N2" s="152">
        <f>IFERROR(__xludf.DUMMYFUNCTION("""COMPUTED_VALUE"""),5652.6)</f>
        <v>5652.6</v>
      </c>
      <c r="O2" s="154">
        <f>IFERROR(__xludf.DUMMYFUNCTION("""COMPUTED_VALUE"""),886460.7993)</f>
        <v>886460.7993</v>
      </c>
      <c r="P2" s="154">
        <f>IFERROR(__xludf.DUMMYFUNCTION("""COMPUTED_VALUE"""),1470.0)</f>
        <v>1470</v>
      </c>
      <c r="Q2" s="155">
        <f>IFERROR(__xludf.DUMMYFUNCTION("""COMPUTED_VALUE"""),147.94872946938773)</f>
        <v>147.9487295</v>
      </c>
      <c r="R2" s="154">
        <f>IFERROR(__xludf.DUMMYFUNCTION("""COMPUTED_VALUE"""),217484.63231999998)</f>
        <v>217484.6323</v>
      </c>
      <c r="S2" s="154">
        <f>IFERROR(__xludf.DUMMYFUNCTION("""COMPUTED_VALUE"""),1465.0)</f>
        <v>1465</v>
      </c>
      <c r="T2" s="154">
        <f>IFERROR(__xludf.DUMMYFUNCTION("""COMPUTED_VALUE"""),275266.0086142694)</f>
        <v>275266.0086</v>
      </c>
      <c r="U2" s="156">
        <f>IFERROR(__xludf.DUMMYFUNCTION("""COMPUTED_VALUE"""),222.72)</f>
        <v>222.72</v>
      </c>
      <c r="V2" s="156">
        <f>IFERROR(__xludf.DUMMYFUNCTION("""COMPUTED_VALUE"""),10.123636363636363)</f>
        <v>10.12363636</v>
      </c>
      <c r="W2" s="157">
        <f>IFERROR(__xludf.DUMMYFUNCTION("""COMPUTED_VALUE"""),0.19700668718819658)</f>
        <v>0.1970066872</v>
      </c>
      <c r="X2" s="154">
        <f>IFERROR(__xludf.DUMMYFUNCTION("""COMPUTED_VALUE"""),1103945.43162)</f>
        <v>1103945.432</v>
      </c>
      <c r="Y2" s="154"/>
    </row>
    <row r="3">
      <c r="A3" s="150">
        <f>IFERROR(__xludf.DUMMYFUNCTION("""COMPUTED_VALUE"""),45974.0)</f>
        <v>45974</v>
      </c>
      <c r="B3" s="151">
        <f>IFERROR(__xludf.DUMMYFUNCTION("""COMPUTED_VALUE"""),5272486.0)</f>
        <v>5272486</v>
      </c>
      <c r="C3" s="151" t="str">
        <f>IFERROR(__xludf.DUMMYFUNCTION("""COMPUTED_VALUE"""),"Linea C")</f>
        <v>Linea C</v>
      </c>
      <c r="D3" s="152">
        <f>IFERROR(__xludf.DUMMYFUNCTION("""COMPUTED_VALUE"""),0.27)</f>
        <v>0.27</v>
      </c>
      <c r="E3" s="153">
        <f>IFERROR(__xludf.DUMMYFUNCTION("""COMPUTED_VALUE"""),4054.0)</f>
        <v>4054</v>
      </c>
      <c r="F3" s="153"/>
      <c r="G3" s="153"/>
      <c r="H3" s="153">
        <f>IFERROR(__xludf.DUMMYFUNCTION("""COMPUTED_VALUE"""),4054.0)</f>
        <v>4054</v>
      </c>
      <c r="I3" s="153" t="str">
        <f>IFERROR(__xludf.DUMMYFUNCTION("""COMPUTED_VALUE"""),"T1-G2")</f>
        <v>T1-G2</v>
      </c>
      <c r="J3" s="154">
        <f>IFERROR(__xludf.DUMMYFUNCTION("""COMPUTED_VALUE"""),195.1016)</f>
        <v>195.1016</v>
      </c>
      <c r="K3" s="154">
        <f>IFERROR(__xludf.DUMMYFUNCTION("""COMPUTED_VALUE"""),195.1016)</f>
        <v>195.1016</v>
      </c>
      <c r="L3" s="154">
        <f>IFERROR(__xludf.DUMMYFUNCTION("""COMPUTED_VALUE"""),195.1016)</f>
        <v>195.1016</v>
      </c>
      <c r="M3" s="152">
        <f>IFERROR(__xludf.DUMMYFUNCTION("""COMPUTED_VALUE"""),1105.9)</f>
        <v>1105.9</v>
      </c>
      <c r="N3" s="153">
        <f>IFERROR(__xludf.DUMMYFUNCTION("""COMPUTED_VALUE"""),5159.9)</f>
        <v>5159.9</v>
      </c>
      <c r="O3" s="154">
        <f>IFERROR(__xludf.DUMMYFUNCTION("""COMPUTED_VALUE"""),790941.8864)</f>
        <v>790941.8864</v>
      </c>
      <c r="P3" s="154">
        <f>IFERROR(__xludf.DUMMYFUNCTION("""COMPUTED_VALUE"""),1470.0)</f>
        <v>1470</v>
      </c>
      <c r="Q3" s="155">
        <f>IFERROR(__xludf.DUMMYFUNCTION("""COMPUTED_VALUE"""),146.77745540136056)</f>
        <v>146.7774554</v>
      </c>
      <c r="R3" s="154">
        <f>IFERROR(__xludf.DUMMYFUNCTION("""COMPUTED_VALUE"""),215762.85944000003)</f>
        <v>215762.8594</v>
      </c>
      <c r="S3" s="154">
        <f>IFERROR(__xludf.DUMMYFUNCTION("""COMPUTED_VALUE"""),1465.0)</f>
        <v>1465</v>
      </c>
      <c r="T3" s="154">
        <f>IFERROR(__xludf.DUMMYFUNCTION("""COMPUTED_VALUE"""),273086.79464700137)</f>
        <v>273086.7946</v>
      </c>
      <c r="U3" s="156">
        <f>IFERROR(__xludf.DUMMYFUNCTION("""COMPUTED_VALUE"""),221.18000000000004)</f>
        <v>221.18</v>
      </c>
      <c r="V3" s="156">
        <f>IFERROR(__xludf.DUMMYFUNCTION("""COMPUTED_VALUE"""),10.053636363636365)</f>
        <v>10.05363636</v>
      </c>
      <c r="W3" s="157">
        <f>IFERROR(__xludf.DUMMYFUNCTION("""COMPUTED_VALUE"""),0.21432585902827575)</f>
        <v>0.214325859</v>
      </c>
      <c r="X3" s="154">
        <f>IFERROR(__xludf.DUMMYFUNCTION("""COMPUTED_VALUE"""),1006704.74584)</f>
        <v>1006704.746</v>
      </c>
      <c r="Y3" s="154"/>
    </row>
    <row r="4">
      <c r="A4" s="150">
        <f>IFERROR(__xludf.DUMMYFUNCTION("""COMPUTED_VALUE"""),45932.0)</f>
        <v>45932</v>
      </c>
      <c r="B4" s="151">
        <f>IFERROR(__xludf.DUMMYFUNCTION("""COMPUTED_VALUE"""),5272486.0)</f>
        <v>5272486</v>
      </c>
      <c r="C4" s="151" t="str">
        <f>IFERROR(__xludf.DUMMYFUNCTION("""COMPUTED_VALUE"""),"Linea C")</f>
        <v>Linea C</v>
      </c>
      <c r="D4" s="152">
        <f>IFERROR(__xludf.DUMMYFUNCTION("""COMPUTED_VALUE"""),0.27)</f>
        <v>0.27</v>
      </c>
      <c r="E4" s="153">
        <f>IFERROR(__xludf.DUMMYFUNCTION("""COMPUTED_VALUE"""),2726.0)</f>
        <v>2726</v>
      </c>
      <c r="F4" s="153"/>
      <c r="G4" s="153"/>
      <c r="H4" s="153">
        <f>IFERROR(__xludf.DUMMYFUNCTION("""COMPUTED_VALUE"""),5990.0)</f>
        <v>5990</v>
      </c>
      <c r="I4" s="151" t="str">
        <f>IFERROR(__xludf.DUMMYFUNCTION("""COMPUTED_VALUE"""),"T1-G2")</f>
        <v>T1-G2</v>
      </c>
      <c r="J4" s="154">
        <f>IFERROR(__xludf.DUMMYFUNCTION("""COMPUTED_VALUE"""),207.4306)</f>
        <v>207.4306</v>
      </c>
      <c r="K4" s="154">
        <f>IFERROR(__xludf.DUMMYFUNCTION("""COMPUTED_VALUE"""),207.4306)</f>
        <v>207.4306</v>
      </c>
      <c r="L4" s="154">
        <f>IFERROR(__xludf.DUMMYFUNCTION("""COMPUTED_VALUE"""),207.4306)</f>
        <v>207.4306</v>
      </c>
      <c r="M4" s="152">
        <f>IFERROR(__xludf.DUMMYFUNCTION("""COMPUTED_VALUE"""),106.2)</f>
        <v>106.2</v>
      </c>
      <c r="N4" s="153">
        <f>IFERROR(__xludf.DUMMYFUNCTION("""COMPUTED_VALUE"""),2832.2)</f>
        <v>2832.2</v>
      </c>
      <c r="O4" s="154">
        <f>IFERROR(__xludf.DUMMYFUNCTION("""COMPUTED_VALUE"""),1242509.294)</f>
        <v>1242509.294</v>
      </c>
      <c r="P4" s="154">
        <f>IFERROR(__xludf.DUMMYFUNCTION("""COMPUTED_VALUE"""),1450.0)</f>
        <v>1450</v>
      </c>
      <c r="Q4" s="155">
        <f>IFERROR(__xludf.DUMMYFUNCTION("""COMPUTED_VALUE"""),15.192503255172415)</f>
        <v>15.19250326</v>
      </c>
      <c r="R4" s="154">
        <f>IFERROR(__xludf.DUMMYFUNCTION("""COMPUTED_VALUE"""),22029.12972)</f>
        <v>22029.12972</v>
      </c>
      <c r="S4" s="154">
        <f>IFERROR(__xludf.DUMMYFUNCTION("""COMPUTED_VALUE"""),1465.0)</f>
        <v>1465</v>
      </c>
      <c r="T4" s="154">
        <f>IFERROR(__xludf.DUMMYFUNCTION("""COMPUTED_VALUE"""),28266.41193141104)</f>
        <v>28266.41193</v>
      </c>
      <c r="U4" s="156">
        <f>IFERROR(__xludf.DUMMYFUNCTION("""COMPUTED_VALUE"""),21.240000000000002)</f>
        <v>21.24</v>
      </c>
      <c r="V4" s="156">
        <f>IFERROR(__xludf.DUMMYFUNCTION("""COMPUTED_VALUE"""),0.9654545454545456)</f>
        <v>0.9654545455</v>
      </c>
      <c r="W4" s="157">
        <f>IFERROR(__xludf.DUMMYFUNCTION("""COMPUTED_VALUE"""),0.01742068829762803)</f>
        <v>0.0174206883</v>
      </c>
      <c r="X4" s="154">
        <f>IFERROR(__xludf.DUMMYFUNCTION("""COMPUTED_VALUE"""),1264538.42372)</f>
        <v>1264538.424</v>
      </c>
      <c r="Y4" s="154"/>
    </row>
    <row r="5">
      <c r="A5" s="150">
        <f>IFERROR(__xludf.DUMMYFUNCTION("""COMPUTED_VALUE"""),45913.0)</f>
        <v>45913</v>
      </c>
      <c r="B5" s="151">
        <f>IFERROR(__xludf.DUMMYFUNCTION("""COMPUTED_VALUE"""),5272486.0)</f>
        <v>5272486</v>
      </c>
      <c r="C5" s="151" t="str">
        <f>IFERROR(__xludf.DUMMYFUNCTION("""COMPUTED_VALUE"""),"Linea C")</f>
        <v>Linea C</v>
      </c>
      <c r="D5" s="152">
        <f>IFERROR(__xludf.DUMMYFUNCTION("""COMPUTED_VALUE"""),0.27)</f>
        <v>0.27</v>
      </c>
      <c r="E5" s="153">
        <f>IFERROR(__xludf.DUMMYFUNCTION("""COMPUTED_VALUE"""),2726.0)</f>
        <v>2726</v>
      </c>
      <c r="F5" s="153"/>
      <c r="G5" s="153"/>
      <c r="H5" s="153"/>
      <c r="I5" s="151" t="str">
        <f>IFERROR(__xludf.DUMMYFUNCTION("""COMPUTED_VALUE"""),"T1-G2")</f>
        <v>T1-G2</v>
      </c>
      <c r="J5" s="154"/>
      <c r="K5" s="154"/>
      <c r="L5" s="154"/>
      <c r="M5" s="152"/>
      <c r="N5" s="153">
        <f>IFERROR(__xludf.DUMMYFUNCTION("""COMPUTED_VALUE"""),2726.0)</f>
        <v>2726</v>
      </c>
      <c r="O5" s="154">
        <f>IFERROR(__xludf.DUMMYFUNCTION("""COMPUTED_VALUE"""),0.0)</f>
        <v>0</v>
      </c>
      <c r="P5" s="154">
        <f>IFERROR(__xludf.DUMMYFUNCTION("""COMPUTED_VALUE"""),1425.0)</f>
        <v>1425</v>
      </c>
      <c r="Q5" s="155">
        <f>IFERROR(__xludf.DUMMYFUNCTION("""COMPUTED_VALUE"""),0.0)</f>
        <v>0</v>
      </c>
      <c r="R5" s="154">
        <f>IFERROR(__xludf.DUMMYFUNCTION("""COMPUTED_VALUE"""),0.0)</f>
        <v>0</v>
      </c>
      <c r="S5" s="154">
        <f>IFERROR(__xludf.DUMMYFUNCTION("""COMPUTED_VALUE"""),1465.0)</f>
        <v>1465</v>
      </c>
      <c r="T5" s="154">
        <f>IFERROR(__xludf.DUMMYFUNCTION("""COMPUTED_VALUE"""),0.0)</f>
        <v>0</v>
      </c>
      <c r="U5" s="156">
        <f>IFERROR(__xludf.DUMMYFUNCTION("""COMPUTED_VALUE"""),0.0)</f>
        <v>0</v>
      </c>
      <c r="V5" s="156">
        <f>IFERROR(__xludf.DUMMYFUNCTION("""COMPUTED_VALUE"""),0.0)</f>
        <v>0</v>
      </c>
      <c r="W5" s="157" t="str">
        <f>IFERROR(__xludf.DUMMYFUNCTION("""COMPUTED_VALUE"""),"#DIV/0!")</f>
        <v>#DIV/0!</v>
      </c>
      <c r="X5" s="154">
        <f>IFERROR(__xludf.DUMMYFUNCTION("""COMPUTED_VALUE"""),0.0)</f>
        <v>0</v>
      </c>
      <c r="Y5" s="15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sheetData>
    <row r="1">
      <c r="A1" s="1" t="str">
        <f>Datos!A1</f>
        <v>   Fecha </v>
      </c>
      <c r="B1" s="1" t="str">
        <f>Datos!B1</f>
        <v>NIS</v>
      </c>
      <c r="C1" s="1" t="str">
        <f>Datos!C1</f>
        <v>Cliente</v>
      </c>
      <c r="D1" s="3" t="str">
        <f>Datos!D1</f>
        <v>IVA</v>
      </c>
      <c r="E1" s="147" t="str">
        <f>Datos!E1</f>
        <v>Consumo [kWh]</v>
      </c>
      <c r="F1" s="147" t="str">
        <f>Datos!F1</f>
        <v>Consumo hs punta [kWh]</v>
      </c>
      <c r="G1" s="147" t="str">
        <f>Datos!G1</f>
        <v>Consumo hs valle [kWh]</v>
      </c>
      <c r="H1" s="147" t="str">
        <f>Datos!H1</f>
        <v>Consumo hs resto[kWh]</v>
      </c>
      <c r="I1" s="1" t="str">
        <f>Datos!I1</f>
        <v>Catergoria</v>
      </c>
      <c r="J1" s="11" t="str">
        <f>Datos!J1</f>
        <v>Tarifa punta</v>
      </c>
      <c r="K1" s="11" t="str">
        <f>Datos!K1</f>
        <v>Tarifa valle</v>
      </c>
      <c r="L1" s="11" t="str">
        <f>Datos!L1</f>
        <v>Tarifa resto</v>
      </c>
      <c r="M1" s="3" t="str">
        <f>Datos!M1</f>
        <v>Generacion FV [kWh]</v>
      </c>
      <c r="N1" s="1" t="str">
        <f>Datos!N1</f>
        <v>CONSUMO TOTAL</v>
      </c>
      <c r="O1" s="1" t="str">
        <f>Datos!O1</f>
        <v>Total a pagar S / IVA</v>
      </c>
      <c r="P1" s="1" t="str">
        <f>Datos!P1</f>
        <v>Valor USD</v>
      </c>
      <c r="Q1" s="148" t="str">
        <f>Datos!Q1</f>
        <v>Ahorro (USD)</v>
      </c>
      <c r="R1" s="1" t="str">
        <f>Datos!R1</f>
        <v>Ahorro ($)</v>
      </c>
      <c r="S1" s="1" t="str">
        <f>Datos!S1</f>
        <v>Valor dolar Actual ($)</v>
      </c>
      <c r="T1" s="1" t="str">
        <f>Datos!T1</f>
        <v>Ahorro ($)-A precio actual</v>
      </c>
      <c r="U1" s="149" t="str">
        <f>Datos!U1</f>
        <v>kg CO2e evitados</v>
      </c>
      <c r="V1" s="149" t="str">
        <f>Datos!V1</f>
        <v>Equivalente en árboles</v>
      </c>
      <c r="W1" s="10" t="str">
        <f>Datos!W1</f>
        <v>% de ahorro sobre los consumos</v>
      </c>
      <c r="X1" s="11" t="str">
        <f>Datos!X1</f>
        <v>SIN PANELES S/IVA</v>
      </c>
    </row>
    <row r="2">
      <c r="A2" s="150">
        <f>LineaC!A2</f>
        <v>45992</v>
      </c>
      <c r="B2" s="151">
        <f>LineaC!B2</f>
        <v>5272486</v>
      </c>
      <c r="C2" s="151" t="str">
        <f>LineaC!C2</f>
        <v>Linea C</v>
      </c>
      <c r="D2" s="152">
        <f>LineaC!D2</f>
        <v>0.27</v>
      </c>
      <c r="E2" s="153">
        <f>LineaC!E2</f>
        <v>4539</v>
      </c>
      <c r="F2" s="153">
        <f>LineaC!F2</f>
        <v>0</v>
      </c>
      <c r="G2" s="153">
        <f>LineaC!G2</f>
        <v>0</v>
      </c>
      <c r="H2" s="153">
        <f>LineaC!H2</f>
        <v>4539</v>
      </c>
      <c r="I2" s="153" t="str">
        <f>LineaC!I2</f>
        <v>T1-G2</v>
      </c>
      <c r="J2" s="154">
        <f>LineaC!J2</f>
        <v>195.2987</v>
      </c>
      <c r="K2" s="154">
        <f>LineaC!K2</f>
        <v>195.2987</v>
      </c>
      <c r="L2" s="154">
        <f>LineaC!L2</f>
        <v>195.2987</v>
      </c>
      <c r="M2" s="151">
        <f>LineaC!M2</f>
        <v>1113.6</v>
      </c>
      <c r="N2" s="152">
        <f>LineaC!N2</f>
        <v>5652.6</v>
      </c>
      <c r="O2" s="154">
        <f>LineaC!O2</f>
        <v>886460.7993</v>
      </c>
      <c r="P2" s="154">
        <f>LineaC!P2</f>
        <v>1470</v>
      </c>
      <c r="Q2" s="155">
        <f>LineaC!Q2</f>
        <v>147.9487295</v>
      </c>
      <c r="R2" s="154">
        <f>LineaC!R2</f>
        <v>217484.6323</v>
      </c>
      <c r="S2" s="154">
        <f>LineaC!S2</f>
        <v>1465</v>
      </c>
      <c r="T2" s="154">
        <f>LineaC!T2</f>
        <v>275266.0086</v>
      </c>
      <c r="U2" s="156">
        <f>LineaC!U2</f>
        <v>222.72</v>
      </c>
      <c r="V2" s="156">
        <f>LineaC!V2</f>
        <v>10.12363636</v>
      </c>
      <c r="W2" s="157">
        <f>LineaC!W2</f>
        <v>0.1970066872</v>
      </c>
      <c r="X2" s="154">
        <f>LineaC!X2</f>
        <v>1103945.432</v>
      </c>
    </row>
    <row r="3">
      <c r="A3" s="150">
        <f>LineaC!A3</f>
        <v>45974</v>
      </c>
      <c r="B3" s="151">
        <f>LineaC!B3</f>
        <v>5272486</v>
      </c>
      <c r="C3" s="151" t="str">
        <f>LineaC!C3</f>
        <v>Linea C</v>
      </c>
      <c r="D3" s="152">
        <f>LineaC!D3</f>
        <v>0.27</v>
      </c>
      <c r="E3" s="153">
        <f>LineaC!E3</f>
        <v>4054</v>
      </c>
      <c r="F3" s="153" t="str">
        <f>LineaC!F3</f>
        <v/>
      </c>
      <c r="G3" s="153" t="str">
        <f>LineaC!G3</f>
        <v/>
      </c>
      <c r="H3" s="153">
        <f>LineaC!H3</f>
        <v>4054</v>
      </c>
      <c r="I3" s="153" t="str">
        <f>LineaC!I3</f>
        <v>T1-G2</v>
      </c>
      <c r="J3" s="154">
        <f>LineaC!J3</f>
        <v>195.1016</v>
      </c>
      <c r="K3" s="154">
        <f>LineaC!K3</f>
        <v>195.1016</v>
      </c>
      <c r="L3" s="154">
        <f>LineaC!L3</f>
        <v>195.1016</v>
      </c>
      <c r="M3" s="152">
        <f>LineaC!M3</f>
        <v>1105.9</v>
      </c>
      <c r="N3" s="153">
        <f>LineaC!N3</f>
        <v>5159.9</v>
      </c>
      <c r="O3" s="154">
        <f>LineaC!O3</f>
        <v>790941.8864</v>
      </c>
      <c r="P3" s="154">
        <f>LineaC!P3</f>
        <v>1470</v>
      </c>
      <c r="Q3" s="155">
        <f>LineaC!Q3</f>
        <v>146.7774554</v>
      </c>
      <c r="R3" s="154">
        <f>LineaC!R3</f>
        <v>215762.8594</v>
      </c>
      <c r="S3" s="154">
        <f>LineaC!S3</f>
        <v>1465</v>
      </c>
      <c r="T3" s="154">
        <f>LineaC!T3</f>
        <v>273086.7946</v>
      </c>
      <c r="U3" s="156">
        <f>LineaC!U3</f>
        <v>221.18</v>
      </c>
      <c r="V3" s="156">
        <f>LineaC!V3</f>
        <v>10.05363636</v>
      </c>
      <c r="W3" s="157">
        <f>LineaC!W3</f>
        <v>0.214325859</v>
      </c>
      <c r="X3" s="154">
        <f>LineaC!X3</f>
        <v>1006704.746</v>
      </c>
    </row>
    <row r="4">
      <c r="A4" s="150">
        <f>LineaC!A4</f>
        <v>45932</v>
      </c>
      <c r="B4" s="151">
        <f>LineaC!B4</f>
        <v>5272486</v>
      </c>
      <c r="C4" s="151" t="str">
        <f>LineaC!C4</f>
        <v>Linea C</v>
      </c>
      <c r="D4" s="152">
        <f>LineaC!D4</f>
        <v>0.27</v>
      </c>
      <c r="E4" s="153">
        <f>LineaC!E4</f>
        <v>2726</v>
      </c>
      <c r="F4" s="153" t="str">
        <f>LineaC!F4</f>
        <v/>
      </c>
      <c r="G4" s="153" t="str">
        <f>LineaC!G4</f>
        <v/>
      </c>
      <c r="H4" s="153">
        <f>LineaC!H4</f>
        <v>5990</v>
      </c>
      <c r="I4" s="151" t="str">
        <f>LineaC!I4</f>
        <v>T1-G2</v>
      </c>
      <c r="J4" s="154">
        <f>LineaC!J4</f>
        <v>207.4306</v>
      </c>
      <c r="K4" s="154">
        <f>LineaC!K4</f>
        <v>207.4306</v>
      </c>
      <c r="L4" s="154">
        <f>LineaC!L4</f>
        <v>207.4306</v>
      </c>
      <c r="M4" s="152">
        <f>LineaC!M4</f>
        <v>106.2</v>
      </c>
      <c r="N4" s="153">
        <f>LineaC!N4</f>
        <v>2832.2</v>
      </c>
      <c r="O4" s="154">
        <f>LineaC!O4</f>
        <v>1242509.294</v>
      </c>
      <c r="P4" s="154">
        <f>LineaC!P4</f>
        <v>1450</v>
      </c>
      <c r="Q4" s="155">
        <f>LineaC!Q4</f>
        <v>15.19250326</v>
      </c>
      <c r="R4" s="154">
        <f>LineaC!R4</f>
        <v>22029.12972</v>
      </c>
      <c r="S4" s="154">
        <f>LineaC!S4</f>
        <v>1465</v>
      </c>
      <c r="T4" s="154">
        <f>LineaC!T4</f>
        <v>28266.41193</v>
      </c>
      <c r="U4" s="156">
        <f>LineaC!U4</f>
        <v>21.24</v>
      </c>
      <c r="V4" s="156">
        <f>LineaC!V4</f>
        <v>0.9654545455</v>
      </c>
      <c r="W4" s="157">
        <f>LineaC!W4</f>
        <v>0.0174206883</v>
      </c>
      <c r="X4" s="154">
        <f>LineaC!X4</f>
        <v>1264538.424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0"/>
  <sheetData>
    <row r="1">
      <c r="A1" s="1" t="str">
        <f>Datos!A1</f>
        <v>   Fecha </v>
      </c>
      <c r="B1" s="1" t="str">
        <f>Datos!B1</f>
        <v>NIS</v>
      </c>
      <c r="C1" s="1" t="str">
        <f>Datos!C1</f>
        <v>Cliente</v>
      </c>
      <c r="D1" s="3" t="str">
        <f>Datos!D1</f>
        <v>IVA</v>
      </c>
      <c r="E1" s="147" t="str">
        <f>Datos!E1</f>
        <v>Consumo [kWh]</v>
      </c>
      <c r="F1" s="147" t="str">
        <f>Datos!F1</f>
        <v>Consumo hs punta [kWh]</v>
      </c>
      <c r="G1" s="147" t="str">
        <f>Datos!G1</f>
        <v>Consumo hs valle [kWh]</v>
      </c>
      <c r="H1" s="147" t="str">
        <f>Datos!H1</f>
        <v>Consumo hs resto[kWh]</v>
      </c>
      <c r="I1" s="1" t="str">
        <f>Datos!I1</f>
        <v>Catergoria</v>
      </c>
      <c r="J1" s="11" t="str">
        <f>Datos!J1</f>
        <v>Tarifa punta</v>
      </c>
      <c r="K1" s="11" t="str">
        <f>Datos!K1</f>
        <v>Tarifa valle</v>
      </c>
      <c r="L1" s="11" t="str">
        <f>Datos!L1</f>
        <v>Tarifa resto</v>
      </c>
      <c r="M1" s="3" t="str">
        <f>Datos!M1</f>
        <v>Generacion FV [kWh]</v>
      </c>
      <c r="N1" s="1" t="str">
        <f>Datos!N1</f>
        <v>CONSUMO TOTAL</v>
      </c>
      <c r="O1" s="1" t="str">
        <f>Datos!O1</f>
        <v>Total a pagar S / IVA</v>
      </c>
      <c r="P1" s="1" t="str">
        <f>Datos!P1</f>
        <v>Valor USD</v>
      </c>
      <c r="Q1" s="148" t="str">
        <f>Datos!Q1</f>
        <v>Ahorro (USD)</v>
      </c>
      <c r="R1" s="1" t="str">
        <f>Datos!R1</f>
        <v>Ahorro ($)</v>
      </c>
      <c r="S1" s="1" t="str">
        <f>Datos!S1</f>
        <v>Valor dolar Actual ($)</v>
      </c>
      <c r="T1" s="1" t="str">
        <f>Datos!T1</f>
        <v>Ahorro ($)-A precio actual</v>
      </c>
      <c r="U1" s="149" t="str">
        <f>Datos!U1</f>
        <v>kg CO2e evitados</v>
      </c>
      <c r="V1" s="149" t="str">
        <f>Datos!V1</f>
        <v>Equivalente en árboles</v>
      </c>
      <c r="W1" s="10" t="str">
        <f>Datos!W1</f>
        <v>% de ahorro sobre los consumos</v>
      </c>
      <c r="X1" s="11" t="str">
        <f>Datos!X1</f>
        <v>SIN PANELES S/IVA</v>
      </c>
    </row>
    <row r="2">
      <c r="A2" s="150">
        <f>IFERROR(__xludf.DUMMYFUNCTION("FILTER(Datos!1:1247,Datos!B:B=5238545)"),45993.0)</f>
        <v>45993</v>
      </c>
      <c r="B2" s="151">
        <f>IFERROR(__xludf.DUMMYFUNCTION("""COMPUTED_VALUE"""),5238545.0)</f>
        <v>5238545</v>
      </c>
      <c r="C2" s="151" t="str">
        <f>IFERROR(__xludf.DUMMYFUNCTION("""COMPUTED_VALUE"""),"Cendis ")</f>
        <v>Cendis </v>
      </c>
      <c r="D2" s="152">
        <f>IFERROR(__xludf.DUMMYFUNCTION("""COMPUTED_VALUE"""),0.27)</f>
        <v>0.27</v>
      </c>
      <c r="E2" s="153">
        <f>IFERROR(__xludf.DUMMYFUNCTION("""COMPUTED_VALUE"""),46318.0)</f>
        <v>46318</v>
      </c>
      <c r="F2" s="153">
        <f>IFERROR(__xludf.DUMMYFUNCTION("""COMPUTED_VALUE"""),11250.0)</f>
        <v>11250</v>
      </c>
      <c r="G2" s="153">
        <f>IFERROR(__xludf.DUMMYFUNCTION("""COMPUTED_VALUE"""),11963.0)</f>
        <v>11963</v>
      </c>
      <c r="H2" s="153">
        <f>IFERROR(__xludf.DUMMYFUNCTION("""COMPUTED_VALUE"""),23105.0)</f>
        <v>23105</v>
      </c>
      <c r="I2" s="153" t="str">
        <f>IFERROR(__xludf.DUMMYFUNCTION("""COMPUTED_VALUE"""),"T5-Ba")</f>
        <v>T5-Ba</v>
      </c>
      <c r="J2" s="154">
        <f>IFERROR(__xludf.DUMMYFUNCTION("""COMPUTED_VALUE"""),168.7698)</f>
        <v>168.7698</v>
      </c>
      <c r="K2" s="154">
        <f>IFERROR(__xludf.DUMMYFUNCTION("""COMPUTED_VALUE"""),165.9802)</f>
        <v>165.9802</v>
      </c>
      <c r="L2" s="154">
        <f>IFERROR(__xludf.DUMMYFUNCTION("""COMPUTED_VALUE"""),166.7828)</f>
        <v>166.7828</v>
      </c>
      <c r="M2" s="151">
        <f>IFERROR(__xludf.DUMMYFUNCTION("""COMPUTED_VALUE"""),13451.7)</f>
        <v>13451.7</v>
      </c>
      <c r="N2" s="152">
        <f>IFERROR(__xludf.DUMMYFUNCTION("""COMPUTED_VALUE"""),59769.7)</f>
        <v>59769.7</v>
      </c>
      <c r="O2" s="154">
        <f>IFERROR(__xludf.DUMMYFUNCTION("""COMPUTED_VALUE"""),7737797.976600001)</f>
        <v>7737797.977</v>
      </c>
      <c r="P2" s="154">
        <f>IFERROR(__xludf.DUMMYFUNCTION("""COMPUTED_VALUE"""),1470.0)</f>
        <v>1470</v>
      </c>
      <c r="Q2" s="155">
        <f>IFERROR(__xludf.DUMMYFUNCTION("""COMPUTED_VALUE"""),1526.19876922449)</f>
        <v>1526.198769</v>
      </c>
      <c r="R2" s="154">
        <f>IFERROR(__xludf.DUMMYFUNCTION("""COMPUTED_VALUE"""),2243512.19076)</f>
        <v>2243512.191</v>
      </c>
      <c r="S2" s="154">
        <f>IFERROR(__xludf.DUMMYFUNCTION("""COMPUTED_VALUE"""),1465.0)</f>
        <v>1465</v>
      </c>
      <c r="T2" s="154">
        <f>IFERROR(__xludf.DUMMYFUNCTION("""COMPUTED_VALUE"""),2839569.120080625)</f>
        <v>2839569.12</v>
      </c>
      <c r="U2" s="156">
        <f>IFERROR(__xludf.DUMMYFUNCTION("""COMPUTED_VALUE"""),2690.34)</f>
        <v>2690.34</v>
      </c>
      <c r="V2" s="156">
        <f>IFERROR(__xludf.DUMMYFUNCTION("""COMPUTED_VALUE"""),122.28818181818183)</f>
        <v>122.2881818</v>
      </c>
      <c r="W2" s="157">
        <f>IFERROR(__xludf.DUMMYFUNCTION("""COMPUTED_VALUE"""),0.22477131289803373)</f>
        <v>0.2247713129</v>
      </c>
      <c r="X2" s="154">
        <f>IFERROR(__xludf.DUMMYFUNCTION("""COMPUTED_VALUE"""),9981310.16736)</f>
        <v>9981310.167</v>
      </c>
      <c r="Y2" s="154"/>
    </row>
    <row r="3">
      <c r="A3" s="150">
        <f>IFERROR(__xludf.DUMMYFUNCTION("""COMPUTED_VALUE"""),45963.0)</f>
        <v>45963</v>
      </c>
      <c r="B3" s="151">
        <f>IFERROR(__xludf.DUMMYFUNCTION("""COMPUTED_VALUE"""),5238545.0)</f>
        <v>5238545</v>
      </c>
      <c r="C3" s="151" t="str">
        <f>IFERROR(__xludf.DUMMYFUNCTION("""COMPUTED_VALUE"""),"Cendis ")</f>
        <v>Cendis </v>
      </c>
      <c r="D3" s="152">
        <f>IFERROR(__xludf.DUMMYFUNCTION("""COMPUTED_VALUE"""),0.27)</f>
        <v>0.27</v>
      </c>
      <c r="E3" s="153">
        <f>IFERROR(__xludf.DUMMYFUNCTION("""COMPUTED_VALUE"""),35146.0)</f>
        <v>35146</v>
      </c>
      <c r="F3" s="153">
        <f>IFERROR(__xludf.DUMMYFUNCTION("""COMPUTED_VALUE"""),9214.0)</f>
        <v>9214</v>
      </c>
      <c r="G3" s="153">
        <f>IFERROR(__xludf.DUMMYFUNCTION("""COMPUTED_VALUE"""),9096.0)</f>
        <v>9096</v>
      </c>
      <c r="H3" s="153">
        <f>IFERROR(__xludf.DUMMYFUNCTION("""COMPUTED_VALUE"""),16836.0)</f>
        <v>16836</v>
      </c>
      <c r="I3" s="153" t="str">
        <f>IFERROR(__xludf.DUMMYFUNCTION("""COMPUTED_VALUE"""),"T5-Ba")</f>
        <v>T5-Ba</v>
      </c>
      <c r="J3" s="154">
        <f>IFERROR(__xludf.DUMMYFUNCTION("""COMPUTED_VALUE"""),163.3724)</f>
        <v>163.3724</v>
      </c>
      <c r="K3" s="154">
        <f>IFERROR(__xludf.DUMMYFUNCTION("""COMPUTED_VALUE"""),160.5827)</f>
        <v>160.5827</v>
      </c>
      <c r="L3" s="154">
        <f>IFERROR(__xludf.DUMMYFUNCTION("""COMPUTED_VALUE"""),161.3854)</f>
        <v>161.3854</v>
      </c>
      <c r="M3" s="152">
        <f>IFERROR(__xludf.DUMMYFUNCTION("""COMPUTED_VALUE"""),12463.3)</f>
        <v>12463.3</v>
      </c>
      <c r="N3" s="153">
        <f>IFERROR(__xludf.DUMMYFUNCTION("""COMPUTED_VALUE"""),47609.3)</f>
        <v>47609.3</v>
      </c>
      <c r="O3" s="154">
        <f>IFERROR(__xludf.DUMMYFUNCTION("""COMPUTED_VALUE"""),5683058.1272)</f>
        <v>5683058.127</v>
      </c>
      <c r="P3" s="154">
        <f>IFERROR(__xludf.DUMMYFUNCTION("""COMPUTED_VALUE"""),1470.0)</f>
        <v>1470</v>
      </c>
      <c r="Q3" s="155">
        <f>IFERROR(__xludf.DUMMYFUNCTION("""COMPUTED_VALUE"""),1368.2956842312924)</f>
        <v>1368.295684</v>
      </c>
      <c r="R3" s="154">
        <f>IFERROR(__xludf.DUMMYFUNCTION("""COMPUTED_VALUE"""),2011394.6558199998)</f>
        <v>2011394.656</v>
      </c>
      <c r="S3" s="154">
        <f>IFERROR(__xludf.DUMMYFUNCTION("""COMPUTED_VALUE"""),1465.0)</f>
        <v>1465</v>
      </c>
      <c r="T3" s="154">
        <f>IFERROR(__xludf.DUMMYFUNCTION("""COMPUTED_VALUE"""),2545782.5352965314)</f>
        <v>2545782.535</v>
      </c>
      <c r="U3" s="156">
        <f>IFERROR(__xludf.DUMMYFUNCTION("""COMPUTED_VALUE"""),2492.66)</f>
        <v>2492.66</v>
      </c>
      <c r="V3" s="156">
        <f>IFERROR(__xludf.DUMMYFUNCTION("""COMPUTED_VALUE"""),113.30272727272727)</f>
        <v>113.3027273</v>
      </c>
      <c r="W3" s="157">
        <f>IFERROR(__xludf.DUMMYFUNCTION("""COMPUTED_VALUE"""),0.2614084084392219)</f>
        <v>0.2614084084</v>
      </c>
      <c r="X3" s="154">
        <f>IFERROR(__xludf.DUMMYFUNCTION("""COMPUTED_VALUE"""),7694452.78302)</f>
        <v>7694452.783</v>
      </c>
      <c r="Y3" s="154"/>
    </row>
    <row r="4">
      <c r="A4" s="150">
        <f>IFERROR(__xludf.DUMMYFUNCTION("""COMPUTED_VALUE"""),45932.0)</f>
        <v>45932</v>
      </c>
      <c r="B4" s="151">
        <f>IFERROR(__xludf.DUMMYFUNCTION("""COMPUTED_VALUE"""),5238545.0)</f>
        <v>5238545</v>
      </c>
      <c r="C4" s="151" t="str">
        <f>IFERROR(__xludf.DUMMYFUNCTION("""COMPUTED_VALUE"""),"Cendis ")</f>
        <v>Cendis </v>
      </c>
      <c r="D4" s="152">
        <f>IFERROR(__xludf.DUMMYFUNCTION("""COMPUTED_VALUE"""),0.27)</f>
        <v>0.27</v>
      </c>
      <c r="E4" s="153">
        <f>IFERROR(__xludf.DUMMYFUNCTION("""COMPUTED_VALUE"""),27401.0)</f>
        <v>27401</v>
      </c>
      <c r="F4" s="153">
        <f>IFERROR(__xludf.DUMMYFUNCTION("""COMPUTED_VALUE"""),7072.0)</f>
        <v>7072</v>
      </c>
      <c r="G4" s="153">
        <f>IFERROR(__xludf.DUMMYFUNCTION("""COMPUTED_VALUE"""),7098.0)</f>
        <v>7098</v>
      </c>
      <c r="H4" s="153">
        <f>IFERROR(__xludf.DUMMYFUNCTION("""COMPUTED_VALUE"""),13231.0)</f>
        <v>13231</v>
      </c>
      <c r="I4" s="151" t="str">
        <f>IFERROR(__xludf.DUMMYFUNCTION("""COMPUTED_VALUE"""),"T5-Ba")</f>
        <v>T5-Ba</v>
      </c>
      <c r="J4" s="154">
        <f>IFERROR(__xludf.DUMMYFUNCTION("""COMPUTED_VALUE"""),170.9156)</f>
        <v>170.9156</v>
      </c>
      <c r="K4" s="154">
        <f>IFERROR(__xludf.DUMMYFUNCTION("""COMPUTED_VALUE"""),168.0814)</f>
        <v>168.0814</v>
      </c>
      <c r="L4" s="154">
        <f>IFERROR(__xludf.DUMMYFUNCTION("""COMPUTED_VALUE"""),169.332)</f>
        <v>169.332</v>
      </c>
      <c r="M4" s="152">
        <f>IFERROR(__xludf.DUMMYFUNCTION("""COMPUTED_VALUE"""),10226.1)</f>
        <v>10226.1</v>
      </c>
      <c r="N4" s="153">
        <f>IFERROR(__xludf.DUMMYFUNCTION("""COMPUTED_VALUE"""),37627.1)</f>
        <v>37627.1</v>
      </c>
      <c r="O4" s="154">
        <f>IFERROR(__xludf.DUMMYFUNCTION("""COMPUTED_VALUE"""),4642188.5923999995)</f>
        <v>4642188.592</v>
      </c>
      <c r="P4" s="154">
        <f>IFERROR(__xludf.DUMMYFUNCTION("""COMPUTED_VALUE"""),1450.0)</f>
        <v>1450</v>
      </c>
      <c r="Q4" s="155">
        <f>IFERROR(__xludf.DUMMYFUNCTION("""COMPUTED_VALUE"""),1194.2110104827586)</f>
        <v>1194.21101</v>
      </c>
      <c r="R4" s="154">
        <f>IFERROR(__xludf.DUMMYFUNCTION("""COMPUTED_VALUE"""),1731605.9652)</f>
        <v>1731605.965</v>
      </c>
      <c r="S4" s="154">
        <f>IFERROR(__xludf.DUMMYFUNCTION("""COMPUTED_VALUE"""),1465.0)</f>
        <v>1465</v>
      </c>
      <c r="T4" s="154">
        <f>IFERROR(__xludf.DUMMYFUNCTION("""COMPUTED_VALUE"""),2221889.295553697)</f>
        <v>2221889.296</v>
      </c>
      <c r="U4" s="156">
        <f>IFERROR(__xludf.DUMMYFUNCTION("""COMPUTED_VALUE"""),2045.2200000000003)</f>
        <v>2045.22</v>
      </c>
      <c r="V4" s="156">
        <f>IFERROR(__xludf.DUMMYFUNCTION("""COMPUTED_VALUE"""),92.96454545454547)</f>
        <v>92.96454545</v>
      </c>
      <c r="W4" s="157">
        <f>IFERROR(__xludf.DUMMYFUNCTION("""COMPUTED_VALUE"""),0.2716758360426386)</f>
        <v>0.271675836</v>
      </c>
      <c r="X4" s="154">
        <f>IFERROR(__xludf.DUMMYFUNCTION("""COMPUTED_VALUE"""),6373794.557599999)</f>
        <v>6373794.558</v>
      </c>
      <c r="Y4" s="15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0"/>
  <sheetData>
    <row r="1">
      <c r="A1" s="1" t="str">
        <f>Datos!A1</f>
        <v>   Fecha </v>
      </c>
      <c r="B1" s="1" t="str">
        <f>Datos!B1</f>
        <v>NIS</v>
      </c>
      <c r="C1" s="1" t="str">
        <f>Datos!C1</f>
        <v>Cliente</v>
      </c>
      <c r="D1" s="3" t="str">
        <f>Datos!D1</f>
        <v>IVA</v>
      </c>
      <c r="E1" s="147" t="str">
        <f>Datos!E1</f>
        <v>Consumo [kWh]</v>
      </c>
      <c r="F1" s="147" t="str">
        <f>Datos!F1</f>
        <v>Consumo hs punta [kWh]</v>
      </c>
      <c r="G1" s="147" t="str">
        <f>Datos!G1</f>
        <v>Consumo hs valle [kWh]</v>
      </c>
      <c r="H1" s="147" t="str">
        <f>Datos!H1</f>
        <v>Consumo hs resto[kWh]</v>
      </c>
      <c r="I1" s="1" t="str">
        <f>Datos!I1</f>
        <v>Catergoria</v>
      </c>
      <c r="J1" s="11" t="str">
        <f>Datos!J1</f>
        <v>Tarifa punta</v>
      </c>
      <c r="K1" s="11" t="str">
        <f>Datos!K1</f>
        <v>Tarifa valle</v>
      </c>
      <c r="L1" s="11" t="str">
        <f>Datos!L1</f>
        <v>Tarifa resto</v>
      </c>
      <c r="M1" s="3" t="str">
        <f>Datos!M1</f>
        <v>Generacion FV [kWh]</v>
      </c>
      <c r="N1" s="1" t="str">
        <f>Datos!N1</f>
        <v>CONSUMO TOTAL</v>
      </c>
      <c r="O1" s="1" t="str">
        <f>Datos!O1</f>
        <v>Total a pagar S / IVA</v>
      </c>
      <c r="P1" s="1" t="str">
        <f>Datos!P1</f>
        <v>Valor USD</v>
      </c>
      <c r="Q1" s="148" t="str">
        <f>Datos!Q1</f>
        <v>Ahorro (USD)</v>
      </c>
      <c r="R1" s="1" t="str">
        <f>Datos!R1</f>
        <v>Ahorro ($)</v>
      </c>
      <c r="S1" s="1" t="str">
        <f>Datos!S1</f>
        <v>Valor dolar Actual ($)</v>
      </c>
      <c r="T1" s="1" t="str">
        <f>Datos!T1</f>
        <v>Ahorro ($)-A precio actual</v>
      </c>
      <c r="U1" s="149" t="str">
        <f>Datos!U1</f>
        <v>kg CO2e evitados</v>
      </c>
      <c r="V1" s="149" t="str">
        <f>Datos!V1</f>
        <v>Equivalente en árboles</v>
      </c>
      <c r="W1" s="10" t="str">
        <f>Datos!W1</f>
        <v>% de ahorro sobre los consumos</v>
      </c>
      <c r="X1" s="11" t="str">
        <f>Datos!X1</f>
        <v>SIN PANELES S/IVA</v>
      </c>
      <c r="Y1" s="1"/>
    </row>
    <row r="2">
      <c r="A2" s="150">
        <f>Cendis!A2</f>
        <v>45993</v>
      </c>
      <c r="B2" s="151">
        <f>Cendis!B2</f>
        <v>5238545</v>
      </c>
      <c r="C2" s="151" t="str">
        <f>Cendis!C2</f>
        <v>Cendis </v>
      </c>
      <c r="D2" s="152">
        <f>Cendis!D2</f>
        <v>0.27</v>
      </c>
      <c r="E2" s="153">
        <f>Cendis!E2</f>
        <v>46318</v>
      </c>
      <c r="F2" s="153">
        <f>Cendis!F2</f>
        <v>11250</v>
      </c>
      <c r="G2" s="153">
        <f>Cendis!G2</f>
        <v>11963</v>
      </c>
      <c r="H2" s="153">
        <f>Cendis!H2</f>
        <v>23105</v>
      </c>
      <c r="I2" s="153" t="str">
        <f>Cendis!I2</f>
        <v>T5-Ba</v>
      </c>
      <c r="J2" s="154">
        <f>Cendis!J2</f>
        <v>168.7698</v>
      </c>
      <c r="K2" s="154">
        <f>Cendis!K2</f>
        <v>165.9802</v>
      </c>
      <c r="L2" s="154">
        <f>Cendis!L2</f>
        <v>166.7828</v>
      </c>
      <c r="M2" s="151">
        <f>Cendis!M2</f>
        <v>13451.7</v>
      </c>
      <c r="N2" s="152">
        <f>Cendis!N2</f>
        <v>59769.7</v>
      </c>
      <c r="O2" s="154">
        <f>Cendis!O2</f>
        <v>7737797.977</v>
      </c>
      <c r="P2" s="154">
        <f>Cendis!P2</f>
        <v>1470</v>
      </c>
      <c r="Q2" s="155">
        <f>Cendis!Q2</f>
        <v>1526.198769</v>
      </c>
      <c r="R2" s="154">
        <f>Cendis!R2</f>
        <v>2243512.191</v>
      </c>
      <c r="S2" s="154">
        <f>Cendis!S2</f>
        <v>1465</v>
      </c>
      <c r="T2" s="154">
        <f>Cendis!T2</f>
        <v>2839569.12</v>
      </c>
      <c r="U2" s="156">
        <f>Cendis!U2</f>
        <v>2690.34</v>
      </c>
      <c r="V2" s="156">
        <f>Cendis!V2</f>
        <v>122.2881818</v>
      </c>
      <c r="W2" s="157">
        <f>Cendis!W2</f>
        <v>0.2247713129</v>
      </c>
      <c r="X2" s="154">
        <f>Cendis!X2</f>
        <v>9981310.167</v>
      </c>
    </row>
    <row r="3">
      <c r="A3" s="150">
        <f>Cendis!A3</f>
        <v>45963</v>
      </c>
      <c r="B3" s="151">
        <f>Cendis!B3</f>
        <v>5238545</v>
      </c>
      <c r="C3" s="151" t="str">
        <f>Cendis!C3</f>
        <v>Cendis </v>
      </c>
      <c r="D3" s="152">
        <f>Cendis!D3</f>
        <v>0.27</v>
      </c>
      <c r="E3" s="153">
        <f>Cendis!E3</f>
        <v>35146</v>
      </c>
      <c r="F3" s="153">
        <f>Cendis!F3</f>
        <v>9214</v>
      </c>
      <c r="G3" s="153">
        <f>Cendis!G3</f>
        <v>9096</v>
      </c>
      <c r="H3" s="153">
        <f>Cendis!H3</f>
        <v>16836</v>
      </c>
      <c r="I3" s="153" t="str">
        <f>Cendis!I3</f>
        <v>T5-Ba</v>
      </c>
      <c r="J3" s="154">
        <f>Cendis!J3</f>
        <v>163.3724</v>
      </c>
      <c r="K3" s="154">
        <f>Cendis!K3</f>
        <v>160.5827</v>
      </c>
      <c r="L3" s="154">
        <f>Cendis!L3</f>
        <v>161.3854</v>
      </c>
      <c r="M3" s="152">
        <f>Cendis!M3</f>
        <v>12463.3</v>
      </c>
      <c r="N3" s="153">
        <f>Cendis!N3</f>
        <v>47609.3</v>
      </c>
      <c r="O3" s="154">
        <f>Cendis!O3</f>
        <v>5683058.127</v>
      </c>
      <c r="P3" s="154">
        <f>Cendis!P3</f>
        <v>1470</v>
      </c>
      <c r="Q3" s="155">
        <f>Cendis!Q3</f>
        <v>1368.295684</v>
      </c>
      <c r="R3" s="154">
        <f>Cendis!R3</f>
        <v>2011394.656</v>
      </c>
      <c r="S3" s="154">
        <f>Cendis!S3</f>
        <v>1465</v>
      </c>
      <c r="T3" s="154">
        <f>Cendis!T3</f>
        <v>2545782.535</v>
      </c>
      <c r="U3" s="156">
        <f>Cendis!U3</f>
        <v>2492.66</v>
      </c>
      <c r="V3" s="156">
        <f>Cendis!V3</f>
        <v>113.3027273</v>
      </c>
      <c r="W3" s="157">
        <f>Cendis!W3</f>
        <v>0.2614084084</v>
      </c>
      <c r="X3" s="154">
        <f>Cendis!X3</f>
        <v>7694452.783</v>
      </c>
    </row>
    <row r="4">
      <c r="A4" s="150">
        <f>Cendis!A4</f>
        <v>45932</v>
      </c>
      <c r="B4" s="151">
        <f>Cendis!B4</f>
        <v>5238545</v>
      </c>
      <c r="C4" s="151" t="str">
        <f>Cendis!C4</f>
        <v>Cendis </v>
      </c>
      <c r="D4" s="152">
        <f>Cendis!D4</f>
        <v>0.27</v>
      </c>
      <c r="E4" s="153">
        <f>Cendis!E4</f>
        <v>27401</v>
      </c>
      <c r="F4" s="153">
        <f>Cendis!F4</f>
        <v>7072</v>
      </c>
      <c r="G4" s="153">
        <f>Cendis!G4</f>
        <v>7098</v>
      </c>
      <c r="H4" s="153">
        <f>Cendis!H4</f>
        <v>13231</v>
      </c>
      <c r="I4" s="151" t="str">
        <f>Cendis!I4</f>
        <v>T5-Ba</v>
      </c>
      <c r="J4" s="154">
        <f>Cendis!J4</f>
        <v>170.9156</v>
      </c>
      <c r="K4" s="154">
        <f>Cendis!K4</f>
        <v>168.0814</v>
      </c>
      <c r="L4" s="154">
        <f>Cendis!L4</f>
        <v>169.332</v>
      </c>
      <c r="M4" s="152">
        <f>Cendis!M4</f>
        <v>10226.1</v>
      </c>
      <c r="N4" s="153">
        <f>Cendis!N4</f>
        <v>37627.1</v>
      </c>
      <c r="O4" s="154">
        <f>Cendis!O4</f>
        <v>4642188.592</v>
      </c>
      <c r="P4" s="154">
        <f>Cendis!P4</f>
        <v>1450</v>
      </c>
      <c r="Q4" s="155">
        <f>Cendis!Q4</f>
        <v>1194.21101</v>
      </c>
      <c r="R4" s="154">
        <f>Cendis!R4</f>
        <v>1731605.965</v>
      </c>
      <c r="S4" s="154">
        <f>Cendis!S4</f>
        <v>1465</v>
      </c>
      <c r="T4" s="154">
        <f>Cendis!T4</f>
        <v>2221889.296</v>
      </c>
      <c r="U4" s="156">
        <f>Cendis!U4</f>
        <v>2045.22</v>
      </c>
      <c r="V4" s="156">
        <f>Cendis!V4</f>
        <v>92.96454545</v>
      </c>
      <c r="W4" s="157">
        <f>Cendis!W4</f>
        <v>0.271675836</v>
      </c>
      <c r="X4" s="154">
        <f>Cendis!X4</f>
        <v>6373794.558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sheetData>
    <row r="1">
      <c r="A1" s="1" t="str">
        <f>Datos!A1</f>
        <v>   Fecha </v>
      </c>
      <c r="B1" s="158" t="str">
        <f>Datos!B1</f>
        <v>NIS</v>
      </c>
      <c r="C1" s="158" t="str">
        <f>Datos!C1</f>
        <v>Cliente</v>
      </c>
      <c r="D1" s="158" t="str">
        <f>Datos!D1</f>
        <v>IVA</v>
      </c>
      <c r="E1" s="158" t="str">
        <f>Datos!E1</f>
        <v>Consumo [kWh]</v>
      </c>
      <c r="F1" s="158" t="str">
        <f>Datos!F1</f>
        <v>Consumo hs punta [kWh]</v>
      </c>
      <c r="G1" s="158" t="str">
        <f>Datos!G1</f>
        <v>Consumo hs valle [kWh]</v>
      </c>
      <c r="H1" s="158" t="str">
        <f>Datos!H1</f>
        <v>Consumo hs resto[kWh]</v>
      </c>
      <c r="I1" s="158" t="str">
        <f>Datos!I1</f>
        <v>Catergoria</v>
      </c>
      <c r="J1" s="158" t="str">
        <f>Datos!J1</f>
        <v>Tarifa punta</v>
      </c>
      <c r="K1" s="158" t="str">
        <f>Datos!K1</f>
        <v>Tarifa valle</v>
      </c>
      <c r="L1" s="158" t="str">
        <f>Datos!L1</f>
        <v>Tarifa resto</v>
      </c>
      <c r="M1" s="158" t="str">
        <f>Datos!M1</f>
        <v>Generacion FV [kWh]</v>
      </c>
      <c r="N1" s="158" t="str">
        <f>Datos!N1</f>
        <v>CONSUMO TOTAL</v>
      </c>
      <c r="O1" s="158" t="str">
        <f>Datos!O1</f>
        <v>Total a pagar S / IVA</v>
      </c>
      <c r="P1" s="158" t="str">
        <f>Datos!P1</f>
        <v>Valor USD</v>
      </c>
      <c r="Q1" s="158" t="str">
        <f>Datos!Q1</f>
        <v>Ahorro (USD)</v>
      </c>
      <c r="R1" s="158" t="str">
        <f>Datos!R1</f>
        <v>Ahorro ($)</v>
      </c>
      <c r="S1" s="158" t="str">
        <f>Datos!S1</f>
        <v>Valor dolar Actual ($)</v>
      </c>
      <c r="T1" s="158" t="str">
        <f>Datos!T1</f>
        <v>Ahorro ($)-A precio actual</v>
      </c>
      <c r="U1" s="158" t="str">
        <f>Datos!U1</f>
        <v>kg CO2e evitados</v>
      </c>
      <c r="V1" s="158" t="str">
        <f>Datos!V1</f>
        <v>Equivalente en árboles</v>
      </c>
      <c r="W1" s="158" t="str">
        <f>Datos!W1</f>
        <v>% de ahorro sobre los consumos</v>
      </c>
      <c r="X1" s="158" t="str">
        <f>Datos!X1</f>
        <v>SIN PANELES S/IVA</v>
      </c>
    </row>
    <row r="2">
      <c r="A2" s="150">
        <f>IFERROR(__xludf.DUMMYFUNCTION("FILTER(Datos!1:1247,Datos!B:B=3062898)"),45992.0)</f>
        <v>45992</v>
      </c>
      <c r="B2" s="151">
        <f>IFERROR(__xludf.DUMMYFUNCTION("""COMPUTED_VALUE"""),3062898.0)</f>
        <v>3062898</v>
      </c>
      <c r="C2" s="151" t="str">
        <f>IFERROR(__xludf.DUMMYFUNCTION("""COMPUTED_VALUE"""),"Tolaba")</f>
        <v>Tolaba</v>
      </c>
      <c r="D2" s="152">
        <f>IFERROR(__xludf.DUMMYFUNCTION("""COMPUTED_VALUE"""),0.27)</f>
        <v>0.27</v>
      </c>
      <c r="E2" s="153">
        <f>IFERROR(__xludf.DUMMYFUNCTION("""COMPUTED_VALUE"""),25661.0)</f>
        <v>25661</v>
      </c>
      <c r="F2" s="153">
        <f>IFERROR(__xludf.DUMMYFUNCTION("""COMPUTED_VALUE"""),6829.0)</f>
        <v>6829</v>
      </c>
      <c r="G2" s="153">
        <f>IFERROR(__xludf.DUMMYFUNCTION("""COMPUTED_VALUE"""),7919.0)</f>
        <v>7919</v>
      </c>
      <c r="H2" s="153">
        <f>IFERROR(__xludf.DUMMYFUNCTION("""COMPUTED_VALUE"""),10913.0)</f>
        <v>10913</v>
      </c>
      <c r="I2" s="153" t="str">
        <f>IFERROR(__xludf.DUMMYFUNCTION("""COMPUTED_VALUE"""),"T8")</f>
        <v>T8</v>
      </c>
      <c r="J2" s="154">
        <f>IFERROR(__xludf.DUMMYFUNCTION("""COMPUTED_VALUE"""),255.886)</f>
        <v>255.886</v>
      </c>
      <c r="K2" s="154">
        <f>IFERROR(__xludf.DUMMYFUNCTION("""COMPUTED_VALUE"""),253.0963)</f>
        <v>253.0963</v>
      </c>
      <c r="L2" s="154">
        <f>IFERROR(__xludf.DUMMYFUNCTION("""COMPUTED_VALUE"""),253.899)</f>
        <v>253.899</v>
      </c>
      <c r="M2" s="151">
        <f>IFERROR(__xludf.DUMMYFUNCTION("""COMPUTED_VALUE"""),6284.5)</f>
        <v>6284.5</v>
      </c>
      <c r="N2" s="152">
        <f>IFERROR(__xludf.DUMMYFUNCTION("""COMPUTED_VALUE"""),31945.5)</f>
        <v>31945.5</v>
      </c>
      <c r="O2" s="154">
        <f>IFERROR(__xludf.DUMMYFUNCTION("""COMPUTED_VALUE"""),6522514.8807)</f>
        <v>6522514.881</v>
      </c>
      <c r="P2" s="154">
        <f>IFERROR(__xludf.DUMMYFUNCTION("""COMPUTED_VALUE"""),1470.0)</f>
        <v>1470</v>
      </c>
      <c r="Q2" s="155">
        <f>IFERROR(__xludf.DUMMYFUNCTION("""COMPUTED_VALUE"""),1085.4614051020408)</f>
        <v>1085.461405</v>
      </c>
      <c r="R2" s="154">
        <f>IFERROR(__xludf.DUMMYFUNCTION("""COMPUTED_VALUE"""),1595628.2655)</f>
        <v>1595628.266</v>
      </c>
      <c r="S2" s="154">
        <f>IFERROR(__xludf.DUMMYFUNCTION("""COMPUTED_VALUE"""),1465.0)</f>
        <v>1465</v>
      </c>
      <c r="T2" s="154">
        <f>IFERROR(__xludf.DUMMYFUNCTION("""COMPUTED_VALUE"""),2019555.217262602)</f>
        <v>2019555.217</v>
      </c>
      <c r="U2" s="156">
        <f>IFERROR(__xludf.DUMMYFUNCTION("""COMPUTED_VALUE"""),1256.9)</f>
        <v>1256.9</v>
      </c>
      <c r="V2" s="156">
        <f>IFERROR(__xludf.DUMMYFUNCTION("""COMPUTED_VALUE"""),57.13181818181818)</f>
        <v>57.13181818</v>
      </c>
      <c r="W2" s="157">
        <f>IFERROR(__xludf.DUMMYFUNCTION("""COMPUTED_VALUE"""),0.19655089061183817)</f>
        <v>0.1965508906</v>
      </c>
      <c r="X2" s="154">
        <f>IFERROR(__xludf.DUMMYFUNCTION("""COMPUTED_VALUE"""),8118143.146199999)</f>
        <v>8118143.146</v>
      </c>
      <c r="Y2" s="154"/>
    </row>
    <row r="3">
      <c r="A3" s="150">
        <f>IFERROR(__xludf.DUMMYFUNCTION("""COMPUTED_VALUE"""),45966.0)</f>
        <v>45966</v>
      </c>
      <c r="B3" s="151">
        <f>IFERROR(__xludf.DUMMYFUNCTION("""COMPUTED_VALUE"""),3062898.0)</f>
        <v>3062898</v>
      </c>
      <c r="C3" s="151" t="str">
        <f>IFERROR(__xludf.DUMMYFUNCTION("""COMPUTED_VALUE"""),"Tolaba ")</f>
        <v>Tolaba </v>
      </c>
      <c r="D3" s="152">
        <f>IFERROR(__xludf.DUMMYFUNCTION("""COMPUTED_VALUE"""),0.27)</f>
        <v>0.27</v>
      </c>
      <c r="E3" s="153">
        <f>IFERROR(__xludf.DUMMYFUNCTION("""COMPUTED_VALUE"""),7178.0)</f>
        <v>7178</v>
      </c>
      <c r="F3" s="153">
        <f>IFERROR(__xludf.DUMMYFUNCTION("""COMPUTED_VALUE"""),1742.0)</f>
        <v>1742</v>
      </c>
      <c r="G3" s="153">
        <f>IFERROR(__xludf.DUMMYFUNCTION("""COMPUTED_VALUE"""),1984.0)</f>
        <v>1984</v>
      </c>
      <c r="H3" s="153">
        <f>IFERROR(__xludf.DUMMYFUNCTION("""COMPUTED_VALUE"""),3452.0)</f>
        <v>3452</v>
      </c>
      <c r="I3" s="153" t="str">
        <f>IFERROR(__xludf.DUMMYFUNCTION("""COMPUTED_VALUE"""),"T8")</f>
        <v>T8</v>
      </c>
      <c r="J3" s="154">
        <f>IFERROR(__xludf.DUMMYFUNCTION("""COMPUTED_VALUE"""),253.749)</f>
        <v>253.749</v>
      </c>
      <c r="K3" s="154">
        <f>IFERROR(__xludf.DUMMYFUNCTION("""COMPUTED_VALUE"""),251.0043)</f>
        <v>251.0043</v>
      </c>
      <c r="L3" s="154">
        <f>IFERROR(__xludf.DUMMYFUNCTION("""COMPUTED_VALUE"""),251.807)</f>
        <v>251.807</v>
      </c>
      <c r="M3" s="152">
        <f>IFERROR(__xludf.DUMMYFUNCTION("""COMPUTED_VALUE"""),1018.2)</f>
        <v>1018.2</v>
      </c>
      <c r="N3" s="153">
        <f>IFERROR(__xludf.DUMMYFUNCTION("""COMPUTED_VALUE"""),2760.2)</f>
        <v>2760.2</v>
      </c>
      <c r="O3" s="154">
        <f>IFERROR(__xludf.DUMMYFUNCTION("""COMPUTED_VALUE"""),1809261.0532)</f>
        <v>1809261.053</v>
      </c>
      <c r="P3" s="154">
        <f>IFERROR(__xludf.DUMMYFUNCTION("""COMPUTED_VALUE"""),1470.0)</f>
        <v>1470</v>
      </c>
      <c r="Q3" s="155">
        <f>IFERROR(__xludf.DUMMYFUNCTION("""COMPUTED_VALUE"""),174.4148893877551)</f>
        <v>174.4148894</v>
      </c>
      <c r="R3" s="154">
        <f>IFERROR(__xludf.DUMMYFUNCTION("""COMPUTED_VALUE"""),256389.88739999998)</f>
        <v>256389.8874</v>
      </c>
      <c r="S3" s="154">
        <f>IFERROR(__xludf.DUMMYFUNCTION("""COMPUTED_VALUE"""),1465.0)</f>
        <v>1465</v>
      </c>
      <c r="T3" s="154">
        <f>IFERROR(__xludf.DUMMYFUNCTION("""COMPUTED_VALUE"""),324507.62245038775)</f>
        <v>324507.6225</v>
      </c>
      <c r="U3" s="156">
        <f>IFERROR(__xludf.DUMMYFUNCTION("""COMPUTED_VALUE"""),203.64000000000001)</f>
        <v>203.64</v>
      </c>
      <c r="V3" s="156">
        <f>IFERROR(__xludf.DUMMYFUNCTION("""COMPUTED_VALUE"""),9.256363636363638)</f>
        <v>9.256363636</v>
      </c>
      <c r="W3" s="157">
        <f>IFERROR(__xludf.DUMMYFUNCTION("""COMPUTED_VALUE"""),0.12412062578468734)</f>
        <v>0.1241206258</v>
      </c>
      <c r="X3" s="154">
        <f>IFERROR(__xludf.DUMMYFUNCTION("""COMPUTED_VALUE"""),2065650.9405999999)</f>
        <v>2065650.941</v>
      </c>
      <c r="Y3" s="154"/>
    </row>
    <row r="4">
      <c r="A4" s="150">
        <f>IFERROR(__xludf.DUMMYFUNCTION("""COMPUTED_VALUE"""),45931.0)</f>
        <v>45931</v>
      </c>
      <c r="B4" s="151">
        <f>IFERROR(__xludf.DUMMYFUNCTION("""COMPUTED_VALUE"""),3062898.0)</f>
        <v>3062898</v>
      </c>
      <c r="C4" s="151" t="str">
        <f>IFERROR(__xludf.DUMMYFUNCTION("""COMPUTED_VALUE"""),"Tolaba ")</f>
        <v>Tolaba </v>
      </c>
      <c r="D4" s="152">
        <f>IFERROR(__xludf.DUMMYFUNCTION("""COMPUTED_VALUE"""),0.27)</f>
        <v>0.27</v>
      </c>
      <c r="E4" s="153">
        <f>IFERROR(__xludf.DUMMYFUNCTION("""COMPUTED_VALUE"""),1733.0)</f>
        <v>1733</v>
      </c>
      <c r="F4" s="153">
        <f>IFERROR(__xludf.DUMMYFUNCTION("""COMPUTED_VALUE"""),377.0)</f>
        <v>377</v>
      </c>
      <c r="G4" s="153">
        <f>IFERROR(__xludf.DUMMYFUNCTION("""COMPUTED_VALUE"""),386.0)</f>
        <v>386</v>
      </c>
      <c r="H4" s="153">
        <f>IFERROR(__xludf.DUMMYFUNCTION("""COMPUTED_VALUE"""),970.0)</f>
        <v>970</v>
      </c>
      <c r="I4" s="151" t="str">
        <f>IFERROR(__xludf.DUMMYFUNCTION("""COMPUTED_VALUE"""),"T8")</f>
        <v>T8</v>
      </c>
      <c r="J4" s="154">
        <f>IFERROR(__xludf.DUMMYFUNCTION("""COMPUTED_VALUE"""),250.4823)</f>
        <v>250.4823</v>
      </c>
      <c r="K4" s="154">
        <f>IFERROR(__xludf.DUMMYFUNCTION("""COMPUTED_VALUE"""),247.6481)</f>
        <v>247.6481</v>
      </c>
      <c r="L4" s="154">
        <f>IFERROR(__xludf.DUMMYFUNCTION("""COMPUTED_VALUE"""),248.8987)</f>
        <v>248.8987</v>
      </c>
      <c r="M4" s="152">
        <f>IFERROR(__xludf.DUMMYFUNCTION("""COMPUTED_VALUE"""),174.5)</f>
        <v>174.5</v>
      </c>
      <c r="N4" s="153">
        <f>IFERROR(__xludf.DUMMYFUNCTION("""COMPUTED_VALUE"""),1907.5)</f>
        <v>1907.5</v>
      </c>
      <c r="O4" s="154">
        <f>IFERROR(__xludf.DUMMYFUNCTION("""COMPUTED_VALUE"""),431455.7327)</f>
        <v>431455.7327</v>
      </c>
      <c r="P4" s="154">
        <f>IFERROR(__xludf.DUMMYFUNCTION("""COMPUTED_VALUE"""),1450.0)</f>
        <v>1450</v>
      </c>
      <c r="Q4" s="155">
        <f>IFERROR(__xludf.DUMMYFUNCTION("""COMPUTED_VALUE"""),29.953671137931032)</f>
        <v>29.95367114</v>
      </c>
      <c r="R4" s="154">
        <f>IFERROR(__xludf.DUMMYFUNCTION("""COMPUTED_VALUE"""),43432.82315)</f>
        <v>43432.82315</v>
      </c>
      <c r="S4" s="154">
        <f>IFERROR(__xludf.DUMMYFUNCTION("""COMPUTED_VALUE"""),1465.0)</f>
        <v>1465</v>
      </c>
      <c r="T4" s="154">
        <f>IFERROR(__xludf.DUMMYFUNCTION("""COMPUTED_VALUE"""),55730.302835677576)</f>
        <v>55730.30284</v>
      </c>
      <c r="U4" s="156">
        <f>IFERROR(__xludf.DUMMYFUNCTION("""COMPUTED_VALUE"""),34.9)</f>
        <v>34.9</v>
      </c>
      <c r="V4" s="156">
        <f>IFERROR(__xludf.DUMMYFUNCTION("""COMPUTED_VALUE"""),1.5863636363636362)</f>
        <v>1.586363636</v>
      </c>
      <c r="W4" s="157">
        <f>IFERROR(__xludf.DUMMYFUNCTION("""COMPUTED_VALUE"""),0.09145898045965724)</f>
        <v>0.09145898046</v>
      </c>
      <c r="X4" s="154">
        <f>IFERROR(__xludf.DUMMYFUNCTION("""COMPUTED_VALUE"""),474888.55585)</f>
        <v>474888.5559</v>
      </c>
      <c r="Y4" s="154"/>
    </row>
    <row r="5">
      <c r="A5" s="150">
        <f>IFERROR(__xludf.DUMMYFUNCTION("""COMPUTED_VALUE"""),45903.0)</f>
        <v>45903</v>
      </c>
      <c r="B5" s="151">
        <f>IFERROR(__xludf.DUMMYFUNCTION("""COMPUTED_VALUE"""),3062898.0)</f>
        <v>3062898</v>
      </c>
      <c r="C5" s="151" t="str">
        <f>IFERROR(__xludf.DUMMYFUNCTION("""COMPUTED_VALUE"""),"Tolaba ")</f>
        <v>Tolaba </v>
      </c>
      <c r="D5" s="152">
        <f>IFERROR(__xludf.DUMMYFUNCTION("""COMPUTED_VALUE"""),0.27)</f>
        <v>0.27</v>
      </c>
      <c r="E5" s="153">
        <f>IFERROR(__xludf.DUMMYFUNCTION("""COMPUTED_VALUE"""),1544.0)</f>
        <v>1544</v>
      </c>
      <c r="F5" s="153">
        <f>IFERROR(__xludf.DUMMYFUNCTION("""COMPUTED_VALUE"""),168.0)</f>
        <v>168</v>
      </c>
      <c r="G5" s="153">
        <f>IFERROR(__xludf.DUMMYFUNCTION("""COMPUTED_VALUE"""),278.0)</f>
        <v>278</v>
      </c>
      <c r="H5" s="153">
        <f>IFERROR(__xludf.DUMMYFUNCTION("""COMPUTED_VALUE"""),1098.0)</f>
        <v>1098</v>
      </c>
      <c r="I5" s="151" t="str">
        <f>IFERROR(__xludf.DUMMYFUNCTION("""COMPUTED_VALUE"""),"T2-Ba")</f>
        <v>T2-Ba</v>
      </c>
      <c r="J5" s="154">
        <f>IFERROR(__xludf.DUMMYFUNCTION("""COMPUTED_VALUE"""),156.8264)</f>
        <v>156.8264</v>
      </c>
      <c r="K5" s="154">
        <f>IFERROR(__xludf.DUMMYFUNCTION("""COMPUTED_VALUE"""),156.8264)</f>
        <v>156.8264</v>
      </c>
      <c r="L5" s="154">
        <f>IFERROR(__xludf.DUMMYFUNCTION("""COMPUTED_VALUE"""),156.8264)</f>
        <v>156.8264</v>
      </c>
      <c r="M5" s="152">
        <f>IFERROR(__xludf.DUMMYFUNCTION("""COMPUTED_VALUE"""),717.3)</f>
        <v>717.3</v>
      </c>
      <c r="N5" s="153">
        <f>IFERROR(__xludf.DUMMYFUNCTION("""COMPUTED_VALUE"""),2261.3)</f>
        <v>2261.3</v>
      </c>
      <c r="O5" s="154">
        <f>IFERROR(__xludf.DUMMYFUNCTION("""COMPUTED_VALUE"""),242139.9616)</f>
        <v>242139.9616</v>
      </c>
      <c r="P5" s="154">
        <f>IFERROR(__xludf.DUMMYFUNCTION("""COMPUTED_VALUE"""),1425.0)</f>
        <v>1425</v>
      </c>
      <c r="Q5" s="155">
        <f>IFERROR(__xludf.DUMMYFUNCTION("""COMPUTED_VALUE"""),78.94145734736841)</f>
        <v>78.94145735</v>
      </c>
      <c r="R5" s="154">
        <f>IFERROR(__xludf.DUMMYFUNCTION("""COMPUTED_VALUE"""),112491.57671999998)</f>
        <v>112491.5767</v>
      </c>
      <c r="S5" s="154">
        <f>IFERROR(__xludf.DUMMYFUNCTION("""COMPUTED_VALUE"""),1465.0)</f>
        <v>1465</v>
      </c>
      <c r="T5" s="154">
        <f>IFERROR(__xludf.DUMMYFUNCTION("""COMPUTED_VALUE"""),146874.5284676463)</f>
        <v>146874.5285</v>
      </c>
      <c r="U5" s="156">
        <f>IFERROR(__xludf.DUMMYFUNCTION("""COMPUTED_VALUE"""),143.46)</f>
        <v>143.46</v>
      </c>
      <c r="V5" s="156">
        <f>IFERROR(__xludf.DUMMYFUNCTION("""COMPUTED_VALUE"""),6.520909090909091)</f>
        <v>6.520909091</v>
      </c>
      <c r="W5" s="157">
        <f>IFERROR(__xludf.DUMMYFUNCTION("""COMPUTED_VALUE"""),0.31720691637553616)</f>
        <v>0.3172069164</v>
      </c>
      <c r="X5" s="154">
        <f>IFERROR(__xludf.DUMMYFUNCTION("""COMPUTED_VALUE"""),354631.53832)</f>
        <v>354631.5383</v>
      </c>
      <c r="Y5" s="154"/>
    </row>
    <row r="6">
      <c r="A6" s="150">
        <f>IFERROR(__xludf.DUMMYFUNCTION("""COMPUTED_VALUE"""),45871.0)</f>
        <v>45871</v>
      </c>
      <c r="B6" s="151">
        <f>IFERROR(__xludf.DUMMYFUNCTION("""COMPUTED_VALUE"""),3062898.0)</f>
        <v>3062898</v>
      </c>
      <c r="C6" s="151" t="str">
        <f>IFERROR(__xludf.DUMMYFUNCTION("""COMPUTED_VALUE"""),"Tolaba ")</f>
        <v>Tolaba </v>
      </c>
      <c r="D6" s="159">
        <f>IFERROR(__xludf.DUMMYFUNCTION("""COMPUTED_VALUE"""),0.27)</f>
        <v>0.27</v>
      </c>
      <c r="E6" s="153">
        <f>IFERROR(__xludf.DUMMYFUNCTION("""COMPUTED_VALUE"""),2018.0)</f>
        <v>2018</v>
      </c>
      <c r="F6" s="153">
        <f>IFERROR(__xludf.DUMMYFUNCTION("""COMPUTED_VALUE"""),488.0)</f>
        <v>488</v>
      </c>
      <c r="G6" s="153">
        <f>IFERROR(__xludf.DUMMYFUNCTION("""COMPUTED_VALUE"""),571.0)</f>
        <v>571</v>
      </c>
      <c r="H6" s="153">
        <f>IFERROR(__xludf.DUMMYFUNCTION("""COMPUTED_VALUE"""),959.0)</f>
        <v>959</v>
      </c>
      <c r="I6" s="151" t="str">
        <f>IFERROR(__xludf.DUMMYFUNCTION("""COMPUTED_VALUE"""),"T8")</f>
        <v>T8</v>
      </c>
      <c r="J6" s="154">
        <f>IFERROR(__xludf.DUMMYFUNCTION("""COMPUTED_VALUE"""),245.9868)</f>
        <v>245.9868</v>
      </c>
      <c r="K6" s="154">
        <f>IFERROR(__xludf.DUMMYFUNCTION("""COMPUTED_VALUE"""),243.1367)</f>
        <v>243.1367</v>
      </c>
      <c r="L6" s="154">
        <f>IFERROR(__xludf.DUMMYFUNCTION("""COMPUTED_VALUE"""),244.3947)</f>
        <v>244.3947</v>
      </c>
      <c r="M6" s="152">
        <f>IFERROR(__xludf.DUMMYFUNCTION("""COMPUTED_VALUE"""),704.0)</f>
        <v>704</v>
      </c>
      <c r="N6" s="153">
        <f>IFERROR(__xludf.DUMMYFUNCTION("""COMPUTED_VALUE"""),2722.0)</f>
        <v>2722</v>
      </c>
      <c r="O6" s="154">
        <f>IFERROR(__xludf.DUMMYFUNCTION("""COMPUTED_VALUE"""),493247.1314)</f>
        <v>493247.1314</v>
      </c>
      <c r="P6" s="154">
        <f>IFERROR(__xludf.DUMMYFUNCTION("""COMPUTED_VALUE"""),1340.0)</f>
        <v>1340</v>
      </c>
      <c r="Q6" s="155">
        <f>IFERROR(__xludf.DUMMYFUNCTION("""COMPUTED_VALUE"""),128.3984095522388)</f>
        <v>128.3984096</v>
      </c>
      <c r="R6" s="154">
        <f>IFERROR(__xludf.DUMMYFUNCTION("""COMPUTED_VALUE"""),172053.8688)</f>
        <v>172053.8688</v>
      </c>
      <c r="S6" s="154">
        <f>IFERROR(__xludf.DUMMYFUNCTION("""COMPUTED_VALUE"""),1465.0)</f>
        <v>1465</v>
      </c>
      <c r="T6" s="154">
        <f>IFERROR(__xludf.DUMMYFUNCTION("""COMPUTED_VALUE"""),238891.66089241792)</f>
        <v>238891.6609</v>
      </c>
      <c r="U6" s="156">
        <f>IFERROR(__xludf.DUMMYFUNCTION("""COMPUTED_VALUE"""),140.8)</f>
        <v>140.8</v>
      </c>
      <c r="V6" s="156">
        <f>IFERROR(__xludf.DUMMYFUNCTION("""COMPUTED_VALUE"""),6.4)</f>
        <v>6.4</v>
      </c>
      <c r="W6" s="157">
        <f>IFERROR(__xludf.DUMMYFUNCTION("""COMPUTED_VALUE"""),0.25861056686864725)</f>
        <v>0.2586105669</v>
      </c>
      <c r="X6" s="154">
        <f>IFERROR(__xludf.DUMMYFUNCTION("""COMPUTED_VALUE"""),665301.0002)</f>
        <v>665301.0002</v>
      </c>
      <c r="Y6" s="154"/>
    </row>
    <row r="7">
      <c r="A7" s="150">
        <f>IFERROR(__xludf.DUMMYFUNCTION("""COMPUTED_VALUE"""),45840.0)</f>
        <v>45840</v>
      </c>
      <c r="B7" s="151">
        <f>IFERROR(__xludf.DUMMYFUNCTION("""COMPUTED_VALUE"""),3062898.0)</f>
        <v>3062898</v>
      </c>
      <c r="C7" s="151" t="str">
        <f>IFERROR(__xludf.DUMMYFUNCTION("""COMPUTED_VALUE"""),"Tolaba ")</f>
        <v>Tolaba </v>
      </c>
      <c r="D7" s="159">
        <f>IFERROR(__xludf.DUMMYFUNCTION("""COMPUTED_VALUE"""),0.27)</f>
        <v>0.27</v>
      </c>
      <c r="E7" s="153">
        <f>IFERROR(__xludf.DUMMYFUNCTION("""COMPUTED_VALUE"""),2546.0)</f>
        <v>2546</v>
      </c>
      <c r="F7" s="153">
        <f>IFERROR(__xludf.DUMMYFUNCTION("""COMPUTED_VALUE"""),533.0)</f>
        <v>533</v>
      </c>
      <c r="G7" s="153">
        <f>IFERROR(__xludf.DUMMYFUNCTION("""COMPUTED_VALUE"""),628.0)</f>
        <v>628</v>
      </c>
      <c r="H7" s="153">
        <f>IFERROR(__xludf.DUMMYFUNCTION("""COMPUTED_VALUE"""),1385.0)</f>
        <v>1385</v>
      </c>
      <c r="I7" s="151" t="str">
        <f>IFERROR(__xludf.DUMMYFUNCTION("""COMPUTED_VALUE"""),"T8")</f>
        <v>T8</v>
      </c>
      <c r="J7" s="154">
        <f>IFERROR(__xludf.DUMMYFUNCTION("""COMPUTED_VALUE"""),236.6792)</f>
        <v>236.6792</v>
      </c>
      <c r="K7" s="154">
        <f>IFERROR(__xludf.DUMMYFUNCTION("""COMPUTED_VALUE"""),233.8316)</f>
        <v>233.8316</v>
      </c>
      <c r="L7" s="154">
        <f>IFERROR(__xludf.DUMMYFUNCTION("""COMPUTED_VALUE"""),235.0884)</f>
        <v>235.0884</v>
      </c>
      <c r="M7" s="152">
        <f>IFERROR(__xludf.DUMMYFUNCTION("""COMPUTED_VALUE"""),118.3)</f>
        <v>118.3</v>
      </c>
      <c r="N7" s="153">
        <f>IFERROR(__xludf.DUMMYFUNCTION("""COMPUTED_VALUE"""),2664.3)</f>
        <v>2664.3</v>
      </c>
      <c r="O7" s="154">
        <f>IFERROR(__xludf.DUMMYFUNCTION("""COMPUTED_VALUE"""),598593.6924)</f>
        <v>598593.6924</v>
      </c>
      <c r="P7" s="154">
        <f>IFERROR(__xludf.DUMMYFUNCTION("""COMPUTED_VALUE"""),1280.0)</f>
        <v>1280</v>
      </c>
      <c r="Q7" s="155">
        <f>IFERROR(__xludf.DUMMYFUNCTION("""COMPUTED_VALUE"""),21.727310718749997)</f>
        <v>21.72731072</v>
      </c>
      <c r="R7" s="154">
        <f>IFERROR(__xludf.DUMMYFUNCTION("""COMPUTED_VALUE"""),27810.95772)</f>
        <v>27810.95772</v>
      </c>
      <c r="S7" s="154">
        <f>IFERROR(__xludf.DUMMYFUNCTION("""COMPUTED_VALUE"""),1465.0)</f>
        <v>1465</v>
      </c>
      <c r="T7" s="154">
        <f>IFERROR(__xludf.DUMMYFUNCTION("""COMPUTED_VALUE"""),40424.74795777031)</f>
        <v>40424.74796</v>
      </c>
      <c r="U7" s="156">
        <f>IFERROR(__xludf.DUMMYFUNCTION("""COMPUTED_VALUE"""),23.66)</f>
        <v>23.66</v>
      </c>
      <c r="V7" s="156">
        <f>IFERROR(__xludf.DUMMYFUNCTION("""COMPUTED_VALUE"""),1.0754545454545454)</f>
        <v>1.075454545</v>
      </c>
      <c r="W7" s="157">
        <f>IFERROR(__xludf.DUMMYFUNCTION("""COMPUTED_VALUE"""),0.04439775106182922)</f>
        <v>0.04439775106</v>
      </c>
      <c r="X7" s="154">
        <f>IFERROR(__xludf.DUMMYFUNCTION("""COMPUTED_VALUE"""),626404.65012)</f>
        <v>626404.6501</v>
      </c>
      <c r="Y7" s="15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sheetData>
    <row r="1">
      <c r="A1" s="1" t="str">
        <f>Datos!A1</f>
        <v>   Fecha </v>
      </c>
      <c r="B1" s="158" t="str">
        <f>Datos!B1</f>
        <v>NIS</v>
      </c>
      <c r="C1" s="158" t="str">
        <f>Datos!C1</f>
        <v>Cliente</v>
      </c>
      <c r="D1" s="158" t="str">
        <f>Datos!D1</f>
        <v>IVA</v>
      </c>
      <c r="E1" s="158" t="str">
        <f>Datos!E1</f>
        <v>Consumo [kWh]</v>
      </c>
      <c r="F1" s="158" t="str">
        <f>Datos!F1</f>
        <v>Consumo hs punta [kWh]</v>
      </c>
      <c r="G1" s="158" t="str">
        <f>Datos!G1</f>
        <v>Consumo hs valle [kWh]</v>
      </c>
      <c r="H1" s="158" t="str">
        <f>Datos!H1</f>
        <v>Consumo hs resto[kWh]</v>
      </c>
      <c r="I1" s="158" t="str">
        <f>Datos!I1</f>
        <v>Catergoria</v>
      </c>
      <c r="J1" s="158" t="str">
        <f>Datos!J1</f>
        <v>Tarifa punta</v>
      </c>
      <c r="K1" s="158" t="str">
        <f>Datos!K1</f>
        <v>Tarifa valle</v>
      </c>
      <c r="L1" s="158" t="str">
        <f>Datos!L1</f>
        <v>Tarifa resto</v>
      </c>
      <c r="M1" s="158" t="str">
        <f>Datos!M1</f>
        <v>Generacion FV [kWh]</v>
      </c>
      <c r="N1" s="158" t="str">
        <f>Datos!N1</f>
        <v>CONSUMO TOTAL</v>
      </c>
      <c r="O1" s="158" t="str">
        <f>Datos!O1</f>
        <v>Total a pagar S / IVA</v>
      </c>
      <c r="P1" s="158" t="str">
        <f>Datos!P1</f>
        <v>Valor USD</v>
      </c>
      <c r="Q1" s="158" t="str">
        <f>Datos!Q1</f>
        <v>Ahorro (USD)</v>
      </c>
      <c r="R1" s="158" t="str">
        <f>Datos!R1</f>
        <v>Ahorro ($)</v>
      </c>
      <c r="S1" s="158" t="str">
        <f>Datos!S1</f>
        <v>Valor dolar Actual ($)</v>
      </c>
      <c r="T1" s="158" t="str">
        <f>Datos!T1</f>
        <v>Ahorro ($)-A precio actual</v>
      </c>
      <c r="U1" s="158" t="str">
        <f>Datos!U1</f>
        <v>kg CO2e evitados</v>
      </c>
      <c r="V1" s="158" t="str">
        <f>Datos!V1</f>
        <v>Equivalente en árboles</v>
      </c>
      <c r="W1" s="158" t="str">
        <f>Datos!W1</f>
        <v>% de ahorro sobre los consumos</v>
      </c>
      <c r="X1" s="158" t="str">
        <f>Datos!X1</f>
        <v>SIN PANELES S/IVA</v>
      </c>
    </row>
    <row r="2">
      <c r="A2" s="150">
        <f>Tolaba!A2</f>
        <v>45992</v>
      </c>
      <c r="B2" s="151">
        <f>Tolaba!B2</f>
        <v>3062898</v>
      </c>
      <c r="C2" s="151" t="str">
        <f>Tolaba!C2</f>
        <v>Tolaba</v>
      </c>
      <c r="D2" s="152">
        <f>Tolaba!D2</f>
        <v>0.27</v>
      </c>
      <c r="E2" s="153">
        <f>Tolaba!E2</f>
        <v>25661</v>
      </c>
      <c r="F2" s="153">
        <f>Tolaba!F2</f>
        <v>6829</v>
      </c>
      <c r="G2" s="153">
        <f>Tolaba!G2</f>
        <v>7919</v>
      </c>
      <c r="H2" s="153">
        <f>Tolaba!H2</f>
        <v>10913</v>
      </c>
      <c r="I2" s="153" t="str">
        <f>Tolaba!I2</f>
        <v>T8</v>
      </c>
      <c r="J2" s="154">
        <f>Tolaba!J2</f>
        <v>255.886</v>
      </c>
      <c r="K2" s="154">
        <f>Tolaba!K2</f>
        <v>253.0963</v>
      </c>
      <c r="L2" s="154">
        <f>Tolaba!L2</f>
        <v>253.899</v>
      </c>
      <c r="M2" s="151">
        <f>Tolaba!M2</f>
        <v>6284.5</v>
      </c>
      <c r="N2" s="152">
        <f>Tolaba!N2</f>
        <v>31945.5</v>
      </c>
      <c r="O2" s="154">
        <f>Tolaba!O2</f>
        <v>6522514.881</v>
      </c>
      <c r="P2" s="154">
        <f>Tolaba!P2</f>
        <v>1470</v>
      </c>
      <c r="Q2" s="155">
        <f>Tolaba!Q2</f>
        <v>1085.461405</v>
      </c>
      <c r="R2" s="154">
        <f>Tolaba!R2</f>
        <v>1595628.266</v>
      </c>
      <c r="S2" s="154">
        <f>Tolaba!S2</f>
        <v>1465</v>
      </c>
      <c r="T2" s="154">
        <f>Tolaba!T2</f>
        <v>2019555.217</v>
      </c>
      <c r="U2" s="156">
        <f>Tolaba!U2</f>
        <v>1256.9</v>
      </c>
      <c r="V2" s="156">
        <f>Tolaba!V2</f>
        <v>57.13181818</v>
      </c>
      <c r="W2" s="157">
        <f>Tolaba!W2</f>
        <v>0.1965508906</v>
      </c>
      <c r="X2" s="154">
        <f>Tolaba!X2</f>
        <v>8118143.146</v>
      </c>
    </row>
    <row r="3">
      <c r="A3" s="150">
        <f>Tolaba!A3</f>
        <v>45966</v>
      </c>
      <c r="B3" s="151">
        <f>Tolaba!B3</f>
        <v>3062898</v>
      </c>
      <c r="C3" s="151" t="str">
        <f>Tolaba!C3</f>
        <v>Tolaba </v>
      </c>
      <c r="D3" s="152">
        <f>Tolaba!D3</f>
        <v>0.27</v>
      </c>
      <c r="E3" s="153">
        <f>Tolaba!E3</f>
        <v>7178</v>
      </c>
      <c r="F3" s="153">
        <f>Tolaba!F3</f>
        <v>1742</v>
      </c>
      <c r="G3" s="153">
        <f>Tolaba!G3</f>
        <v>1984</v>
      </c>
      <c r="H3" s="153">
        <f>Tolaba!H3</f>
        <v>3452</v>
      </c>
      <c r="I3" s="153" t="str">
        <f>Tolaba!I3</f>
        <v>T8</v>
      </c>
      <c r="J3" s="154">
        <f>Tolaba!J3</f>
        <v>253.749</v>
      </c>
      <c r="K3" s="154">
        <f>Tolaba!K3</f>
        <v>251.0043</v>
      </c>
      <c r="L3" s="154">
        <f>Tolaba!L3</f>
        <v>251.807</v>
      </c>
      <c r="M3" s="152">
        <f>Tolaba!M3</f>
        <v>1018.2</v>
      </c>
      <c r="N3" s="153">
        <f>Tolaba!N3</f>
        <v>2760.2</v>
      </c>
      <c r="O3" s="154">
        <f>Tolaba!O3</f>
        <v>1809261.053</v>
      </c>
      <c r="P3" s="154">
        <f>Tolaba!P3</f>
        <v>1470</v>
      </c>
      <c r="Q3" s="155">
        <f>Tolaba!Q3</f>
        <v>174.4148894</v>
      </c>
      <c r="R3" s="154">
        <f>Tolaba!R3</f>
        <v>256389.8874</v>
      </c>
      <c r="S3" s="154">
        <f>Tolaba!S3</f>
        <v>1465</v>
      </c>
      <c r="T3" s="154">
        <f>Tolaba!T3</f>
        <v>324507.6225</v>
      </c>
      <c r="U3" s="156">
        <f>Tolaba!U3</f>
        <v>203.64</v>
      </c>
      <c r="V3" s="156">
        <f>Tolaba!V3</f>
        <v>9.256363636</v>
      </c>
      <c r="W3" s="157">
        <f>Tolaba!W3</f>
        <v>0.1241206258</v>
      </c>
      <c r="X3" s="154">
        <f>Tolaba!X3</f>
        <v>2065650.941</v>
      </c>
    </row>
    <row r="4">
      <c r="A4" s="150">
        <f>Tolaba!A4</f>
        <v>45931</v>
      </c>
      <c r="B4" s="151">
        <f>Tolaba!B4</f>
        <v>3062898</v>
      </c>
      <c r="C4" s="151" t="str">
        <f>Tolaba!C4</f>
        <v>Tolaba </v>
      </c>
      <c r="D4" s="152">
        <f>Tolaba!D4</f>
        <v>0.27</v>
      </c>
      <c r="E4" s="153">
        <f>Tolaba!E4</f>
        <v>1733</v>
      </c>
      <c r="F4" s="153">
        <f>Tolaba!F4</f>
        <v>377</v>
      </c>
      <c r="G4" s="153">
        <f>Tolaba!G4</f>
        <v>386</v>
      </c>
      <c r="H4" s="153">
        <f>Tolaba!H4</f>
        <v>970</v>
      </c>
      <c r="I4" s="151" t="str">
        <f>Tolaba!I4</f>
        <v>T8</v>
      </c>
      <c r="J4" s="154">
        <f>Tolaba!J4</f>
        <v>250.4823</v>
      </c>
      <c r="K4" s="154">
        <f>Tolaba!K4</f>
        <v>247.6481</v>
      </c>
      <c r="L4" s="154">
        <f>Tolaba!L4</f>
        <v>248.8987</v>
      </c>
      <c r="M4" s="152">
        <f>Tolaba!M4</f>
        <v>174.5</v>
      </c>
      <c r="N4" s="153">
        <f>Tolaba!N4</f>
        <v>1907.5</v>
      </c>
      <c r="O4" s="154">
        <f>Tolaba!O4</f>
        <v>431455.7327</v>
      </c>
      <c r="P4" s="154">
        <f>Tolaba!P4</f>
        <v>1450</v>
      </c>
      <c r="Q4" s="155">
        <f>Tolaba!Q4</f>
        <v>29.95367114</v>
      </c>
      <c r="R4" s="154">
        <f>Tolaba!R4</f>
        <v>43432.82315</v>
      </c>
      <c r="S4" s="154">
        <f>Tolaba!S4</f>
        <v>1465</v>
      </c>
      <c r="T4" s="154">
        <f>Tolaba!T4</f>
        <v>55730.30284</v>
      </c>
      <c r="U4" s="156">
        <f>Tolaba!U4</f>
        <v>34.9</v>
      </c>
      <c r="V4" s="156">
        <f>Tolaba!V4</f>
        <v>1.586363636</v>
      </c>
      <c r="W4" s="157">
        <f>Tolaba!W4</f>
        <v>0.09145898046</v>
      </c>
      <c r="X4" s="154">
        <f>Tolaba!X4</f>
        <v>474888.5559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sheetData>
    <row r="1">
      <c r="A1" s="1" t="str">
        <f>Datos!A1</f>
        <v>   Fecha </v>
      </c>
      <c r="B1" s="158" t="str">
        <f>Datos!B1</f>
        <v>NIS</v>
      </c>
      <c r="C1" s="158" t="str">
        <f>Datos!C1</f>
        <v>Cliente</v>
      </c>
      <c r="D1" s="158" t="str">
        <f>Datos!D1</f>
        <v>IVA</v>
      </c>
      <c r="E1" s="158" t="str">
        <f>Datos!E1</f>
        <v>Consumo [kWh]</v>
      </c>
      <c r="F1" s="158" t="str">
        <f>Datos!F1</f>
        <v>Consumo hs punta [kWh]</v>
      </c>
      <c r="G1" s="158" t="str">
        <f>Datos!G1</f>
        <v>Consumo hs valle [kWh]</v>
      </c>
      <c r="H1" s="158" t="str">
        <f>Datos!H1</f>
        <v>Consumo hs resto[kWh]</v>
      </c>
      <c r="I1" s="158" t="str">
        <f>Datos!I1</f>
        <v>Catergoria</v>
      </c>
      <c r="J1" s="158" t="str">
        <f>Datos!J1</f>
        <v>Tarifa punta</v>
      </c>
      <c r="K1" s="158" t="str">
        <f>Datos!K1</f>
        <v>Tarifa valle</v>
      </c>
      <c r="L1" s="158" t="str">
        <f>Datos!L1</f>
        <v>Tarifa resto</v>
      </c>
      <c r="M1" s="158" t="str">
        <f>Datos!M1</f>
        <v>Generacion FV [kWh]</v>
      </c>
      <c r="N1" s="158" t="str">
        <f>Datos!N1</f>
        <v>CONSUMO TOTAL</v>
      </c>
      <c r="O1" s="158" t="str">
        <f>Datos!O1</f>
        <v>Total a pagar S / IVA</v>
      </c>
      <c r="P1" s="158" t="str">
        <f>Datos!P1</f>
        <v>Valor USD</v>
      </c>
      <c r="Q1" s="158" t="str">
        <f>Datos!Q1</f>
        <v>Ahorro (USD)</v>
      </c>
      <c r="R1" s="158" t="str">
        <f>Datos!R1</f>
        <v>Ahorro ($)</v>
      </c>
      <c r="S1" s="158" t="str">
        <f>Datos!S1</f>
        <v>Valor dolar Actual ($)</v>
      </c>
      <c r="T1" s="158" t="str">
        <f>Datos!T1</f>
        <v>Ahorro ($)-A precio actual</v>
      </c>
      <c r="U1" s="158" t="str">
        <f>Datos!U1</f>
        <v>kg CO2e evitados</v>
      </c>
      <c r="V1" s="158" t="str">
        <f>Datos!V1</f>
        <v>Equivalente en árboles</v>
      </c>
      <c r="W1" s="158" t="str">
        <f>Datos!W1</f>
        <v>% de ahorro sobre los consumos</v>
      </c>
      <c r="X1" s="158" t="str">
        <f>Datos!X1</f>
        <v>SIN PANELES S/IVA</v>
      </c>
    </row>
    <row r="2">
      <c r="A2" s="150">
        <f>IFERROR(__xludf.DUMMYFUNCTION("FILTER(Datos!1:1247,Datos!B:B=3011513)"),45992.0)</f>
        <v>45992</v>
      </c>
      <c r="B2" s="151">
        <f>IFERROR(__xludf.DUMMYFUNCTION("""COMPUTED_VALUE"""),3011513.0)</f>
        <v>3011513</v>
      </c>
      <c r="C2" s="151" t="str">
        <f>IFERROR(__xludf.DUMMYFUNCTION("""COMPUTED_VALUE"""),"Robles")</f>
        <v>Robles</v>
      </c>
      <c r="D2" s="152">
        <f>IFERROR(__xludf.DUMMYFUNCTION("""COMPUTED_VALUE"""),0.27)</f>
        <v>0.27</v>
      </c>
      <c r="E2" s="153">
        <f>IFERROR(__xludf.DUMMYFUNCTION("""COMPUTED_VALUE"""),28047.0)</f>
        <v>28047</v>
      </c>
      <c r="F2" s="153">
        <f>IFERROR(__xludf.DUMMYFUNCTION("""COMPUTED_VALUE"""),7969.0)</f>
        <v>7969</v>
      </c>
      <c r="G2" s="153">
        <f>IFERROR(__xludf.DUMMYFUNCTION("""COMPUTED_VALUE"""),9368.0)</f>
        <v>9368</v>
      </c>
      <c r="H2" s="153">
        <f>IFERROR(__xludf.DUMMYFUNCTION("""COMPUTED_VALUE"""),10710.0)</f>
        <v>10710</v>
      </c>
      <c r="I2" s="153" t="str">
        <f>IFERROR(__xludf.DUMMYFUNCTION("""COMPUTED_VALUE"""),"T8")</f>
        <v>T8</v>
      </c>
      <c r="J2" s="154">
        <f>IFERROR(__xludf.DUMMYFUNCTION("""COMPUTED_VALUE"""),255.886)</f>
        <v>255.886</v>
      </c>
      <c r="K2" s="154">
        <f>IFERROR(__xludf.DUMMYFUNCTION("""COMPUTED_VALUE"""),253.0963)</f>
        <v>253.0963</v>
      </c>
      <c r="L2" s="154">
        <f>IFERROR(__xludf.DUMMYFUNCTION("""COMPUTED_VALUE"""),253.899)</f>
        <v>253.899</v>
      </c>
      <c r="M2" s="151">
        <f>IFERROR(__xludf.DUMMYFUNCTION("""COMPUTED_VALUE"""),10816.3)</f>
        <v>10816.3</v>
      </c>
      <c r="N2" s="152">
        <f>IFERROR(__xludf.DUMMYFUNCTION("""COMPUTED_VALUE"""),38863.3)</f>
        <v>38863.3</v>
      </c>
      <c r="O2" s="154">
        <f>IFERROR(__xludf.DUMMYFUNCTION("""COMPUTED_VALUE"""),7129419.9624)</f>
        <v>7129419.962</v>
      </c>
      <c r="P2" s="154">
        <f>IFERROR(__xludf.DUMMYFUNCTION("""COMPUTED_VALUE"""),1470.0)</f>
        <v>1470</v>
      </c>
      <c r="Q2" s="155">
        <f>IFERROR(__xludf.DUMMYFUNCTION("""COMPUTED_VALUE"""),1868.1957508163264)</f>
        <v>1868.195751</v>
      </c>
      <c r="R2" s="154">
        <f>IFERROR(__xludf.DUMMYFUNCTION("""COMPUTED_VALUE"""),2746247.7537)</f>
        <v>2746247.754</v>
      </c>
      <c r="S2" s="154">
        <f>IFERROR(__xludf.DUMMYFUNCTION("""COMPUTED_VALUE"""),1465.0)</f>
        <v>1465</v>
      </c>
      <c r="T2" s="154">
        <f>IFERROR(__xludf.DUMMYFUNCTION("""COMPUTED_VALUE"""),3475871.6041813157)</f>
        <v>3475871.604</v>
      </c>
      <c r="U2" s="156">
        <f>IFERROR(__xludf.DUMMYFUNCTION("""COMPUTED_VALUE"""),2163.2599999999998)</f>
        <v>2163.26</v>
      </c>
      <c r="V2" s="156">
        <f>IFERROR(__xludf.DUMMYFUNCTION("""COMPUTED_VALUE"""),98.32999999999998)</f>
        <v>98.33</v>
      </c>
      <c r="W2" s="157">
        <f>IFERROR(__xludf.DUMMYFUNCTION("""COMPUTED_VALUE"""),0.2780822353128463)</f>
        <v>0.2780822353</v>
      </c>
      <c r="X2" s="154">
        <f>IFERROR(__xludf.DUMMYFUNCTION("""COMPUTED_VALUE"""),9875667.7161)</f>
        <v>9875667.716</v>
      </c>
      <c r="Y2" s="154"/>
    </row>
    <row r="3">
      <c r="A3" s="150">
        <f>IFERROR(__xludf.DUMMYFUNCTION("""COMPUTED_VALUE"""),45967.0)</f>
        <v>45967</v>
      </c>
      <c r="B3" s="151">
        <f>IFERROR(__xludf.DUMMYFUNCTION("""COMPUTED_VALUE"""),3011513.0)</f>
        <v>3011513</v>
      </c>
      <c r="C3" s="151" t="str">
        <f>IFERROR(__xludf.DUMMYFUNCTION("""COMPUTED_VALUE"""),"Robles ")</f>
        <v>Robles </v>
      </c>
      <c r="D3" s="152">
        <f>IFERROR(__xludf.DUMMYFUNCTION("""COMPUTED_VALUE"""),0.27)</f>
        <v>0.27</v>
      </c>
      <c r="E3" s="153">
        <f>IFERROR(__xludf.DUMMYFUNCTION("""COMPUTED_VALUE"""),691.0)</f>
        <v>691</v>
      </c>
      <c r="F3" s="153">
        <f>IFERROR(__xludf.DUMMYFUNCTION("""COMPUTED_VALUE"""),208.0)</f>
        <v>208</v>
      </c>
      <c r="G3" s="153">
        <f>IFERROR(__xludf.DUMMYFUNCTION("""COMPUTED_VALUE"""),207.0)</f>
        <v>207</v>
      </c>
      <c r="H3" s="153">
        <f>IFERROR(__xludf.DUMMYFUNCTION("""COMPUTED_VALUE"""),276.0)</f>
        <v>276</v>
      </c>
      <c r="I3" s="153" t="str">
        <f>IFERROR(__xludf.DUMMYFUNCTION("""COMPUTED_VALUE"""),"T8")</f>
        <v>T8</v>
      </c>
      <c r="J3" s="154">
        <f>IFERROR(__xludf.DUMMYFUNCTION("""COMPUTED_VALUE"""),253.749)</f>
        <v>253.749</v>
      </c>
      <c r="K3" s="154">
        <f>IFERROR(__xludf.DUMMYFUNCTION("""COMPUTED_VALUE"""),251.0043)</f>
        <v>251.0043</v>
      </c>
      <c r="L3" s="154">
        <f>IFERROR(__xludf.DUMMYFUNCTION("""COMPUTED_VALUE"""),251.807)</f>
        <v>251.807</v>
      </c>
      <c r="M3" s="152">
        <f>IFERROR(__xludf.DUMMYFUNCTION("""COMPUTED_VALUE"""),632.2)</f>
        <v>632.2</v>
      </c>
      <c r="N3" s="153">
        <f>IFERROR(__xludf.DUMMYFUNCTION("""COMPUTED_VALUE"""),1323.2)</f>
        <v>1323.2</v>
      </c>
      <c r="O3" s="154">
        <f>IFERROR(__xludf.DUMMYFUNCTION("""COMPUTED_VALUE"""),103969.2291)</f>
        <v>103969.2291</v>
      </c>
      <c r="P3" s="154">
        <f>IFERROR(__xludf.DUMMYFUNCTION("""COMPUTED_VALUE"""),1470.0)</f>
        <v>1470</v>
      </c>
      <c r="Q3" s="155">
        <f>IFERROR(__xludf.DUMMYFUNCTION("""COMPUTED_VALUE"""),64.55506017687075)</f>
        <v>64.55506018</v>
      </c>
      <c r="R3" s="154">
        <f>IFERROR(__xludf.DUMMYFUNCTION("""COMPUTED_VALUE"""),94895.93846)</f>
        <v>94895.93846</v>
      </c>
      <c r="S3" s="154">
        <f>IFERROR(__xludf.DUMMYFUNCTION("""COMPUTED_VALUE"""),1465.0)</f>
        <v>1465</v>
      </c>
      <c r="T3" s="154">
        <f>IFERROR(__xludf.DUMMYFUNCTION("""COMPUTED_VALUE"""),120107.91721207688)</f>
        <v>120107.9172</v>
      </c>
      <c r="U3" s="156">
        <f>IFERROR(__xludf.DUMMYFUNCTION("""COMPUTED_VALUE"""),126.44000000000001)</f>
        <v>126.44</v>
      </c>
      <c r="V3" s="156">
        <f>IFERROR(__xludf.DUMMYFUNCTION("""COMPUTED_VALUE"""),5.747272727272728)</f>
        <v>5.747272727</v>
      </c>
      <c r="W3" s="157">
        <f>IFERROR(__xludf.DUMMYFUNCTION("""COMPUTED_VALUE"""),0.477187330613687)</f>
        <v>0.4771873306</v>
      </c>
      <c r="X3" s="154">
        <f>IFERROR(__xludf.DUMMYFUNCTION("""COMPUTED_VALUE"""),198865.16756)</f>
        <v>198865.1676</v>
      </c>
      <c r="Y3" s="154"/>
    </row>
    <row r="4">
      <c r="A4" s="150">
        <f>IFERROR(__xludf.DUMMYFUNCTION("""COMPUTED_VALUE"""),45931.0)</f>
        <v>45931</v>
      </c>
      <c r="B4" s="151">
        <f>IFERROR(__xludf.DUMMYFUNCTION("""COMPUTED_VALUE"""),3011513.0)</f>
        <v>3011513</v>
      </c>
      <c r="C4" s="151" t="str">
        <f>IFERROR(__xludf.DUMMYFUNCTION("""COMPUTED_VALUE"""),"Robles ")</f>
        <v>Robles </v>
      </c>
      <c r="D4" s="152">
        <f>IFERROR(__xludf.DUMMYFUNCTION("""COMPUTED_VALUE"""),0.27)</f>
        <v>0.27</v>
      </c>
      <c r="E4" s="153">
        <f>IFERROR(__xludf.DUMMYFUNCTION("""COMPUTED_VALUE"""),769.0)</f>
        <v>769</v>
      </c>
      <c r="F4" s="153">
        <f>IFERROR(__xludf.DUMMYFUNCTION("""COMPUTED_VALUE"""),233.0)</f>
        <v>233</v>
      </c>
      <c r="G4" s="153">
        <f>IFERROR(__xludf.DUMMYFUNCTION("""COMPUTED_VALUE"""),221.0)</f>
        <v>221</v>
      </c>
      <c r="H4" s="153">
        <f>IFERROR(__xludf.DUMMYFUNCTION("""COMPUTED_VALUE"""),315.0)</f>
        <v>315</v>
      </c>
      <c r="I4" s="151" t="str">
        <f>IFERROR(__xludf.DUMMYFUNCTION("""COMPUTED_VALUE"""),"T8")</f>
        <v>T8</v>
      </c>
      <c r="J4" s="154">
        <f>IFERROR(__xludf.DUMMYFUNCTION("""COMPUTED_VALUE"""),250.4823)</f>
        <v>250.4823</v>
      </c>
      <c r="K4" s="154">
        <f>IFERROR(__xludf.DUMMYFUNCTION("""COMPUTED_VALUE"""),247.6481)</f>
        <v>247.6481</v>
      </c>
      <c r="L4" s="154">
        <f>IFERROR(__xludf.DUMMYFUNCTION("""COMPUTED_VALUE"""),248.8987)</f>
        <v>248.8987</v>
      </c>
      <c r="M4" s="152">
        <f>IFERROR(__xludf.DUMMYFUNCTION("""COMPUTED_VALUE"""),515.4)</f>
        <v>515.4</v>
      </c>
      <c r="N4" s="153">
        <f>IFERROR(__xludf.DUMMYFUNCTION("""COMPUTED_VALUE"""),1284.4)</f>
        <v>1284.4</v>
      </c>
      <c r="O4" s="154">
        <f>IFERROR(__xludf.DUMMYFUNCTION("""COMPUTED_VALUE"""),191495.6965)</f>
        <v>191495.6965</v>
      </c>
      <c r="P4" s="154">
        <f>IFERROR(__xludf.DUMMYFUNCTION("""COMPUTED_VALUE"""),1450.0)</f>
        <v>1450</v>
      </c>
      <c r="Q4" s="155">
        <f>IFERROR(__xludf.DUMMYFUNCTION("""COMPUTED_VALUE"""),88.47061377931034)</f>
        <v>88.47061378</v>
      </c>
      <c r="R4" s="154">
        <f>IFERROR(__xludf.DUMMYFUNCTION("""COMPUTED_VALUE"""),128282.38997999999)</f>
        <v>128282.39</v>
      </c>
      <c r="S4" s="154">
        <f>IFERROR(__xludf.DUMMYFUNCTION("""COMPUTED_VALUE"""),1465.0)</f>
        <v>1465</v>
      </c>
      <c r="T4" s="154">
        <f>IFERROR(__xludf.DUMMYFUNCTION("""COMPUTED_VALUE"""),164604.00046709584)</f>
        <v>164604.0005</v>
      </c>
      <c r="U4" s="156">
        <f>IFERROR(__xludf.DUMMYFUNCTION("""COMPUTED_VALUE"""),103.08)</f>
        <v>103.08</v>
      </c>
      <c r="V4" s="156">
        <f>IFERROR(__xludf.DUMMYFUNCTION("""COMPUTED_VALUE"""),4.6854545454545455)</f>
        <v>4.685454545</v>
      </c>
      <c r="W4" s="157">
        <f>IFERROR(__xludf.DUMMYFUNCTION("""COMPUTED_VALUE"""),0.40116066548551077)</f>
        <v>0.4011606655</v>
      </c>
      <c r="X4" s="154">
        <f>IFERROR(__xludf.DUMMYFUNCTION("""COMPUTED_VALUE"""),319778.08648)</f>
        <v>319778.0865</v>
      </c>
      <c r="Y4" s="154"/>
    </row>
    <row r="5">
      <c r="A5" s="150">
        <f>IFERROR(__xludf.DUMMYFUNCTION("""COMPUTED_VALUE"""),45904.0)</f>
        <v>45904</v>
      </c>
      <c r="B5" s="151">
        <f>IFERROR(__xludf.DUMMYFUNCTION("""COMPUTED_VALUE"""),3011513.0)</f>
        <v>3011513</v>
      </c>
      <c r="C5" s="151" t="str">
        <f>IFERROR(__xludf.DUMMYFUNCTION("""COMPUTED_VALUE"""),"Robles ")</f>
        <v>Robles </v>
      </c>
      <c r="D5" s="152">
        <f>IFERROR(__xludf.DUMMYFUNCTION("""COMPUTED_VALUE"""),0.27)</f>
        <v>0.27</v>
      </c>
      <c r="E5" s="153">
        <f>IFERROR(__xludf.DUMMYFUNCTION("""COMPUTED_VALUE"""),729.0)</f>
        <v>729</v>
      </c>
      <c r="F5" s="153">
        <f>IFERROR(__xludf.DUMMYFUNCTION("""COMPUTED_VALUE"""),233.0)</f>
        <v>233</v>
      </c>
      <c r="G5" s="153">
        <f>IFERROR(__xludf.DUMMYFUNCTION("""COMPUTED_VALUE"""),225.0)</f>
        <v>225</v>
      </c>
      <c r="H5" s="153">
        <f>IFERROR(__xludf.DUMMYFUNCTION("""COMPUTED_VALUE"""),271.0)</f>
        <v>271</v>
      </c>
      <c r="I5" s="151" t="str">
        <f>IFERROR(__xludf.DUMMYFUNCTION("""COMPUTED_VALUE"""),"T8")</f>
        <v>T8</v>
      </c>
      <c r="J5" s="154">
        <f>IFERROR(__xludf.DUMMYFUNCTION("""COMPUTED_VALUE"""),249.1232)</f>
        <v>249.1232</v>
      </c>
      <c r="K5" s="154">
        <f>IFERROR(__xludf.DUMMYFUNCTION("""COMPUTED_VALUE"""),246.2829)</f>
        <v>246.2829</v>
      </c>
      <c r="L5" s="154">
        <f>IFERROR(__xludf.DUMMYFUNCTION("""COMPUTED_VALUE"""),247.5372)</f>
        <v>247.5372</v>
      </c>
      <c r="M5" s="152">
        <f>IFERROR(__xludf.DUMMYFUNCTION("""COMPUTED_VALUE"""),1492.0)</f>
        <v>1492</v>
      </c>
      <c r="N5" s="153">
        <f>IFERROR(__xludf.DUMMYFUNCTION("""COMPUTED_VALUE"""),2221.0)</f>
        <v>2221</v>
      </c>
      <c r="O5" s="154">
        <f>IFERROR(__xludf.DUMMYFUNCTION("""COMPUTED_VALUE"""),180541.93930000003)</f>
        <v>180541.9393</v>
      </c>
      <c r="P5" s="154">
        <f>IFERROR(__xludf.DUMMYFUNCTION("""COMPUTED_VALUE"""),1425.0)</f>
        <v>1425</v>
      </c>
      <c r="Q5" s="155">
        <f>IFERROR(__xludf.DUMMYFUNCTION("""COMPUTED_VALUE"""),259.1757911578947)</f>
        <v>259.1757912</v>
      </c>
      <c r="R5" s="154">
        <f>IFERROR(__xludf.DUMMYFUNCTION("""COMPUTED_VALUE"""),369325.50239999994)</f>
        <v>369325.5024</v>
      </c>
      <c r="S5" s="154">
        <f>IFERROR(__xludf.DUMMYFUNCTION("""COMPUTED_VALUE"""),1465.0)</f>
        <v>1465</v>
      </c>
      <c r="T5" s="154">
        <f>IFERROR(__xludf.DUMMYFUNCTION("""COMPUTED_VALUE"""),482209.518238821)</f>
        <v>482209.5182</v>
      </c>
      <c r="U5" s="156">
        <f>IFERROR(__xludf.DUMMYFUNCTION("""COMPUTED_VALUE"""),298.40000000000003)</f>
        <v>298.4</v>
      </c>
      <c r="V5" s="156">
        <f>IFERROR(__xludf.DUMMYFUNCTION("""COMPUTED_VALUE"""),13.563636363636364)</f>
        <v>13.56363636</v>
      </c>
      <c r="W5" s="157">
        <f>IFERROR(__xludf.DUMMYFUNCTION("""COMPUTED_VALUE"""),0.6716627943239796)</f>
        <v>0.6716627943</v>
      </c>
      <c r="X5" s="154">
        <f>IFERROR(__xludf.DUMMYFUNCTION("""COMPUTED_VALUE"""),549867.4417000001)</f>
        <v>549867.4417</v>
      </c>
      <c r="Y5" s="154"/>
    </row>
    <row r="6">
      <c r="A6" s="150">
        <f>IFERROR(__xludf.DUMMYFUNCTION("""COMPUTED_VALUE"""),45872.0)</f>
        <v>45872</v>
      </c>
      <c r="B6" s="151">
        <f>IFERROR(__xludf.DUMMYFUNCTION("""COMPUTED_VALUE"""),3011513.0)</f>
        <v>3011513</v>
      </c>
      <c r="C6" s="151" t="str">
        <f>IFERROR(__xludf.DUMMYFUNCTION("""COMPUTED_VALUE"""),"Robles ")</f>
        <v>Robles </v>
      </c>
      <c r="D6" s="159">
        <f>IFERROR(__xludf.DUMMYFUNCTION("""COMPUTED_VALUE"""),0.27)</f>
        <v>0.27</v>
      </c>
      <c r="E6" s="153">
        <f>IFERROR(__xludf.DUMMYFUNCTION("""COMPUTED_VALUE"""),915.0)</f>
        <v>915</v>
      </c>
      <c r="F6" s="153">
        <f>IFERROR(__xludf.DUMMYFUNCTION("""COMPUTED_VALUE"""),231.0)</f>
        <v>231</v>
      </c>
      <c r="G6" s="153">
        <f>IFERROR(__xludf.DUMMYFUNCTION("""COMPUTED_VALUE"""),204.0)</f>
        <v>204</v>
      </c>
      <c r="H6" s="153">
        <f>IFERROR(__xludf.DUMMYFUNCTION("""COMPUTED_VALUE"""),480.0)</f>
        <v>480</v>
      </c>
      <c r="I6" s="151" t="str">
        <f>IFERROR(__xludf.DUMMYFUNCTION("""COMPUTED_VALUE"""),"T8")</f>
        <v>T8</v>
      </c>
      <c r="J6" s="154">
        <f>IFERROR(__xludf.DUMMYFUNCTION("""COMPUTED_VALUE"""),245.9868)</f>
        <v>245.9868</v>
      </c>
      <c r="K6" s="154">
        <f>IFERROR(__xludf.DUMMYFUNCTION("""COMPUTED_VALUE"""),243.1367)</f>
        <v>243.1367</v>
      </c>
      <c r="L6" s="154">
        <f>IFERROR(__xludf.DUMMYFUNCTION("""COMPUTED_VALUE"""),244.3947)</f>
        <v>244.3947</v>
      </c>
      <c r="M6" s="152">
        <f>IFERROR(__xludf.DUMMYFUNCTION("""COMPUTED_VALUE"""),1708.6)</f>
        <v>1708.6</v>
      </c>
      <c r="N6" s="153">
        <f>IFERROR(__xludf.DUMMYFUNCTION("""COMPUTED_VALUE"""),2623.6)</f>
        <v>2623.6</v>
      </c>
      <c r="O6" s="154">
        <f>IFERROR(__xludf.DUMMYFUNCTION("""COMPUTED_VALUE"""),223732.2936)</f>
        <v>223732.2936</v>
      </c>
      <c r="P6" s="154">
        <f>IFERROR(__xludf.DUMMYFUNCTION("""COMPUTED_VALUE"""),1340.0)</f>
        <v>1340</v>
      </c>
      <c r="Q6" s="155">
        <f>IFERROR(__xludf.DUMMYFUNCTION("""COMPUTED_VALUE"""),311.62148091044776)</f>
        <v>311.6214809</v>
      </c>
      <c r="R6" s="154">
        <f>IFERROR(__xludf.DUMMYFUNCTION("""COMPUTED_VALUE"""),417572.78442)</f>
        <v>417572.7844</v>
      </c>
      <c r="S6" s="154">
        <f>IFERROR(__xludf.DUMMYFUNCTION("""COMPUTED_VALUE"""),1465.0)</f>
        <v>1465</v>
      </c>
      <c r="T6" s="154">
        <f>IFERROR(__xludf.DUMMYFUNCTION("""COMPUTED_VALUE"""),579787.3463079336)</f>
        <v>579787.3463</v>
      </c>
      <c r="U6" s="156">
        <f>IFERROR(__xludf.DUMMYFUNCTION("""COMPUTED_VALUE"""),341.72)</f>
        <v>341.72</v>
      </c>
      <c r="V6" s="156">
        <f>IFERROR(__xludf.DUMMYFUNCTION("""COMPUTED_VALUE"""),15.532727272727273)</f>
        <v>15.53272727</v>
      </c>
      <c r="W6" s="157">
        <f>IFERROR(__xludf.DUMMYFUNCTION("""COMPUTED_VALUE"""),0.6511297021212382)</f>
        <v>0.6511297021</v>
      </c>
      <c r="X6" s="154">
        <f>IFERROR(__xludf.DUMMYFUNCTION("""COMPUTED_VALUE"""),641305.07802)</f>
        <v>641305.078</v>
      </c>
      <c r="Y6" s="154"/>
    </row>
    <row r="7">
      <c r="A7" s="150">
        <f>IFERROR(__xludf.DUMMYFUNCTION("""COMPUTED_VALUE"""),45840.0)</f>
        <v>45840</v>
      </c>
      <c r="B7" s="151">
        <f>IFERROR(__xludf.DUMMYFUNCTION("""COMPUTED_VALUE"""),3011513.0)</f>
        <v>3011513</v>
      </c>
      <c r="C7" s="151" t="str">
        <f>IFERROR(__xludf.DUMMYFUNCTION("""COMPUTED_VALUE"""),"Robles ")</f>
        <v>Robles </v>
      </c>
      <c r="D7" s="159">
        <f>IFERROR(__xludf.DUMMYFUNCTION("""COMPUTED_VALUE"""),0.27)</f>
        <v>0.27</v>
      </c>
      <c r="E7" s="153">
        <f>IFERROR(__xludf.DUMMYFUNCTION("""COMPUTED_VALUE"""),1147.0)</f>
        <v>1147</v>
      </c>
      <c r="F7" s="153">
        <f>IFERROR(__xludf.DUMMYFUNCTION("""COMPUTED_VALUE"""),261.0)</f>
        <v>261</v>
      </c>
      <c r="G7" s="153">
        <f>IFERROR(__xludf.DUMMYFUNCTION("""COMPUTED_VALUE"""),209.0)</f>
        <v>209</v>
      </c>
      <c r="H7" s="153">
        <f>IFERROR(__xludf.DUMMYFUNCTION("""COMPUTED_VALUE"""),677.0)</f>
        <v>677</v>
      </c>
      <c r="I7" s="151" t="str">
        <f>IFERROR(__xludf.DUMMYFUNCTION("""COMPUTED_VALUE"""),"T8")</f>
        <v>T8</v>
      </c>
      <c r="J7" s="154">
        <f>IFERROR(__xludf.DUMMYFUNCTION("""COMPUTED_VALUE"""),236.6792)</f>
        <v>236.6792</v>
      </c>
      <c r="K7" s="154">
        <f>IFERROR(__xludf.DUMMYFUNCTION("""COMPUTED_VALUE"""),233.8316)</f>
        <v>233.8316</v>
      </c>
      <c r="L7" s="154">
        <f>IFERROR(__xludf.DUMMYFUNCTION("""COMPUTED_VALUE"""),235.0884)</f>
        <v>235.0884</v>
      </c>
      <c r="M7" s="152">
        <f>IFERROR(__xludf.DUMMYFUNCTION("""COMPUTED_VALUE"""),391.8)</f>
        <v>391.8</v>
      </c>
      <c r="N7" s="153">
        <f>IFERROR(__xludf.DUMMYFUNCTION("""COMPUTED_VALUE"""),1538.8)</f>
        <v>1538.8</v>
      </c>
      <c r="O7" s="154">
        <f>IFERROR(__xludf.DUMMYFUNCTION("""COMPUTED_VALUE"""),269798.92240000004)</f>
        <v>269798.9224</v>
      </c>
      <c r="P7" s="154">
        <f>IFERROR(__xludf.DUMMYFUNCTION("""COMPUTED_VALUE"""),1280.0)</f>
        <v>1280</v>
      </c>
      <c r="Q7" s="155">
        <f>IFERROR(__xludf.DUMMYFUNCTION("""COMPUTED_VALUE"""),71.95908993750001)</f>
        <v>71.95908994</v>
      </c>
      <c r="R7" s="154">
        <f>IFERROR(__xludf.DUMMYFUNCTION("""COMPUTED_VALUE"""),92107.63512000002)</f>
        <v>92107.63512</v>
      </c>
      <c r="S7" s="154">
        <f>IFERROR(__xludf.DUMMYFUNCTION("""COMPUTED_VALUE"""),1465.0)</f>
        <v>1465</v>
      </c>
      <c r="T7" s="154">
        <f>IFERROR(__xludf.DUMMYFUNCTION("""COMPUTED_VALUE"""),133883.48478321565)</f>
        <v>133883.4848</v>
      </c>
      <c r="U7" s="156">
        <f>IFERROR(__xludf.DUMMYFUNCTION("""COMPUTED_VALUE"""),78.36000000000001)</f>
        <v>78.36</v>
      </c>
      <c r="V7" s="156">
        <f>IFERROR(__xludf.DUMMYFUNCTION("""COMPUTED_VALUE"""),3.5618181818181824)</f>
        <v>3.561818182</v>
      </c>
      <c r="W7" s="157">
        <f>IFERROR(__xludf.DUMMYFUNCTION("""COMPUTED_VALUE"""),0.25450667639507984)</f>
        <v>0.2545066764</v>
      </c>
      <c r="X7" s="154">
        <f>IFERROR(__xludf.DUMMYFUNCTION("""COMPUTED_VALUE"""),361906.55752000003)</f>
        <v>361906.5575</v>
      </c>
      <c r="Y7" s="15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sheetData>
    <row r="1">
      <c r="A1" s="158" t="str">
        <f>Datos!A1</f>
        <v>   Fecha </v>
      </c>
      <c r="B1" s="158" t="str">
        <f>Datos!B1</f>
        <v>NIS</v>
      </c>
      <c r="C1" s="158" t="str">
        <f>Datos!C1</f>
        <v>Cliente</v>
      </c>
      <c r="D1" s="158" t="str">
        <f>Datos!D1</f>
        <v>IVA</v>
      </c>
      <c r="E1" s="158" t="str">
        <f>Datos!E1</f>
        <v>Consumo [kWh]</v>
      </c>
      <c r="F1" s="158" t="str">
        <f>Datos!F1</f>
        <v>Consumo hs punta [kWh]</v>
      </c>
      <c r="G1" s="158" t="str">
        <f>Datos!G1</f>
        <v>Consumo hs valle [kWh]</v>
      </c>
      <c r="H1" s="158" t="str">
        <f>Datos!H1</f>
        <v>Consumo hs resto[kWh]</v>
      </c>
      <c r="I1" s="158" t="str">
        <f>Datos!I1</f>
        <v>Catergoria</v>
      </c>
      <c r="J1" s="158" t="str">
        <f>Datos!J1</f>
        <v>Tarifa punta</v>
      </c>
      <c r="K1" s="158" t="str">
        <f>Datos!K1</f>
        <v>Tarifa valle</v>
      </c>
      <c r="L1" s="158" t="str">
        <f>Datos!L1</f>
        <v>Tarifa resto</v>
      </c>
      <c r="M1" s="158" t="str">
        <f>Datos!M1</f>
        <v>Generacion FV [kWh]</v>
      </c>
      <c r="N1" s="158" t="str">
        <f>Datos!N1</f>
        <v>CONSUMO TOTAL</v>
      </c>
      <c r="O1" s="158" t="str">
        <f>Datos!O1</f>
        <v>Total a pagar S / IVA</v>
      </c>
      <c r="P1" s="158" t="str">
        <f>Datos!P1</f>
        <v>Valor USD</v>
      </c>
      <c r="Q1" s="158" t="str">
        <f>Datos!Q1</f>
        <v>Ahorro (USD)</v>
      </c>
      <c r="R1" s="158" t="str">
        <f>Datos!R1</f>
        <v>Ahorro ($)</v>
      </c>
      <c r="S1" s="158" t="str">
        <f>Datos!S1</f>
        <v>Valor dolar Actual ($)</v>
      </c>
      <c r="T1" s="158" t="str">
        <f>Datos!T1</f>
        <v>Ahorro ($)-A precio actual</v>
      </c>
      <c r="U1" s="158" t="str">
        <f>Datos!U1</f>
        <v>kg CO2e evitados</v>
      </c>
      <c r="V1" s="158" t="str">
        <f>Datos!V1</f>
        <v>Equivalente en árboles</v>
      </c>
      <c r="W1" s="158" t="str">
        <f>Datos!W1</f>
        <v>% de ahorro sobre los consumos</v>
      </c>
      <c r="X1" s="158" t="str">
        <f>Datos!X1</f>
        <v>SIN PANELES S/IVA</v>
      </c>
    </row>
    <row r="2">
      <c r="A2" s="12">
        <f>Robles!A2</f>
        <v>45992</v>
      </c>
      <c r="B2" s="13">
        <f>Robles!B2</f>
        <v>3011513</v>
      </c>
      <c r="C2" s="14" t="str">
        <f>Robles!C2</f>
        <v>Robles</v>
      </c>
      <c r="D2" s="15">
        <f>Robles!D2</f>
        <v>0.27</v>
      </c>
      <c r="E2" s="17">
        <f>Robles!E2</f>
        <v>28047</v>
      </c>
      <c r="F2" s="17">
        <f>Robles!F2</f>
        <v>7969</v>
      </c>
      <c r="G2" s="17">
        <f>Robles!G2</f>
        <v>9368</v>
      </c>
      <c r="H2" s="17">
        <f>Robles!H2</f>
        <v>10710</v>
      </c>
      <c r="I2" s="16" t="str">
        <f>Robles!I2</f>
        <v>T8</v>
      </c>
      <c r="J2" s="18">
        <f>Robles!J2</f>
        <v>255.886</v>
      </c>
      <c r="K2" s="18">
        <f>Robles!K2</f>
        <v>253.0963</v>
      </c>
      <c r="L2" s="18">
        <f>Robles!L2</f>
        <v>253.899</v>
      </c>
      <c r="M2" s="15">
        <f>Robles!M2</f>
        <v>10816.3</v>
      </c>
      <c r="N2" s="17">
        <f>Robles!N2</f>
        <v>38863.3</v>
      </c>
      <c r="O2" s="19">
        <f>Robles!O2</f>
        <v>7129419.962</v>
      </c>
      <c r="P2" s="20">
        <f>Robles!P2</f>
        <v>1470</v>
      </c>
      <c r="Q2" s="21">
        <f>Robles!Q2</f>
        <v>1868.195751</v>
      </c>
      <c r="R2" s="20">
        <f>Robles!R2</f>
        <v>2746247.754</v>
      </c>
      <c r="S2" s="20">
        <f>Robles!S2</f>
        <v>1465</v>
      </c>
      <c r="T2" s="22">
        <f>Robles!T2</f>
        <v>3475871.604</v>
      </c>
      <c r="U2" s="23">
        <f>Robles!U2</f>
        <v>2163.26</v>
      </c>
      <c r="V2" s="24">
        <f>Robles!V2</f>
        <v>98.33</v>
      </c>
      <c r="W2" s="25">
        <f>Robles!W2</f>
        <v>0.2780822353</v>
      </c>
      <c r="X2" s="19">
        <f>Robles!X2</f>
        <v>9875667.716</v>
      </c>
    </row>
    <row r="3">
      <c r="A3" s="12">
        <f>Robles!A3</f>
        <v>45967</v>
      </c>
      <c r="B3" s="13">
        <f>Robles!B3</f>
        <v>3011513</v>
      </c>
      <c r="C3" s="14" t="str">
        <f>Robles!C3</f>
        <v>Robles </v>
      </c>
      <c r="D3" s="15">
        <f>Robles!D3</f>
        <v>0.27</v>
      </c>
      <c r="E3" s="17">
        <f>Robles!E3</f>
        <v>691</v>
      </c>
      <c r="F3" s="17">
        <f>Robles!F3</f>
        <v>208</v>
      </c>
      <c r="G3" s="17">
        <f>Robles!G3</f>
        <v>207</v>
      </c>
      <c r="H3" s="17">
        <f>Robles!H3</f>
        <v>276</v>
      </c>
      <c r="I3" s="16" t="str">
        <f>Robles!I3</f>
        <v>T8</v>
      </c>
      <c r="J3" s="18">
        <f>Robles!J3</f>
        <v>253.749</v>
      </c>
      <c r="K3" s="18">
        <f>Robles!K3</f>
        <v>251.0043</v>
      </c>
      <c r="L3" s="18">
        <f>Robles!L3</f>
        <v>251.807</v>
      </c>
      <c r="M3" s="15">
        <f>Robles!M3</f>
        <v>632.2</v>
      </c>
      <c r="N3" s="17">
        <f>Robles!N3</f>
        <v>1323.2</v>
      </c>
      <c r="O3" s="19">
        <f>Robles!O3</f>
        <v>103969.2291</v>
      </c>
      <c r="P3" s="20">
        <f>Robles!P3</f>
        <v>1470</v>
      </c>
      <c r="Q3" s="21">
        <f>Robles!Q3</f>
        <v>64.55506018</v>
      </c>
      <c r="R3" s="20">
        <f>Robles!R3</f>
        <v>94895.93846</v>
      </c>
      <c r="S3" s="20">
        <f>Robles!S3</f>
        <v>1465</v>
      </c>
      <c r="T3" s="22">
        <f>Robles!T3</f>
        <v>120107.9172</v>
      </c>
      <c r="U3" s="23">
        <f>Robles!U3</f>
        <v>126.44</v>
      </c>
      <c r="V3" s="24">
        <f>Robles!V3</f>
        <v>5.747272727</v>
      </c>
      <c r="W3" s="25">
        <f>Robles!W3</f>
        <v>0.4771873306</v>
      </c>
      <c r="X3" s="19">
        <f>Robles!X3</f>
        <v>198865.1676</v>
      </c>
    </row>
    <row r="4">
      <c r="A4" s="12">
        <f>Robles!A4</f>
        <v>45931</v>
      </c>
      <c r="B4" s="13">
        <f>Robles!B4</f>
        <v>3011513</v>
      </c>
      <c r="C4" s="14" t="str">
        <f>Robles!C4</f>
        <v>Robles </v>
      </c>
      <c r="D4" s="15">
        <f>Robles!D4</f>
        <v>0.27</v>
      </c>
      <c r="E4" s="17">
        <f>Robles!E4</f>
        <v>769</v>
      </c>
      <c r="F4" s="17">
        <f>Robles!F4</f>
        <v>233</v>
      </c>
      <c r="G4" s="17">
        <f>Robles!G4</f>
        <v>221</v>
      </c>
      <c r="H4" s="17">
        <f>Robles!H4</f>
        <v>315</v>
      </c>
      <c r="I4" s="14" t="str">
        <f>Robles!I4</f>
        <v>T8</v>
      </c>
      <c r="J4" s="18">
        <f>Robles!J4</f>
        <v>250.4823</v>
      </c>
      <c r="K4" s="18">
        <f>Robles!K4</f>
        <v>247.6481</v>
      </c>
      <c r="L4" s="18">
        <f>Robles!L4</f>
        <v>248.8987</v>
      </c>
      <c r="M4" s="15">
        <f>Robles!M4</f>
        <v>515.4</v>
      </c>
      <c r="N4" s="17">
        <f>Robles!N4</f>
        <v>1284.4</v>
      </c>
      <c r="O4" s="19">
        <f>Robles!O4</f>
        <v>191495.6965</v>
      </c>
      <c r="P4" s="20">
        <f>Robles!P4</f>
        <v>1450</v>
      </c>
      <c r="Q4" s="21">
        <f>Robles!Q4</f>
        <v>88.47061378</v>
      </c>
      <c r="R4" s="20">
        <f>Robles!R4</f>
        <v>128282.39</v>
      </c>
      <c r="S4" s="20">
        <f>Robles!S4</f>
        <v>1465</v>
      </c>
      <c r="T4" s="22">
        <f>Robles!T4</f>
        <v>164604.0005</v>
      </c>
      <c r="U4" s="23">
        <f>Robles!U4</f>
        <v>103.08</v>
      </c>
      <c r="V4" s="24">
        <f>Robles!V4</f>
        <v>4.685454545</v>
      </c>
      <c r="W4" s="25">
        <f>Robles!W4</f>
        <v>0.4011606655</v>
      </c>
      <c r="X4" s="19">
        <f>Robles!X4</f>
        <v>319778.0865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7.38"/>
    <col customWidth="1" min="3" max="3" width="15.25"/>
    <col customWidth="1" min="4" max="4" width="4.25"/>
    <col customWidth="1" min="5" max="5" width="13.75"/>
    <col customWidth="1" min="6" max="6" width="21.13"/>
    <col customWidth="1" min="7" max="7" width="20.38"/>
    <col customWidth="1" min="8" max="8" width="20.25"/>
    <col customWidth="1" min="9" max="9" width="9.38"/>
    <col customWidth="1" min="10" max="10" width="10.38"/>
    <col customWidth="1" min="11" max="11" width="9.63"/>
    <col customWidth="1" min="12" max="12" width="10.0"/>
    <col customWidth="1" min="13" max="13" width="17.88"/>
    <col customWidth="1" min="14" max="14" width="15.63"/>
    <col customWidth="1" min="15" max="15" width="16.88"/>
    <col customWidth="1" min="16" max="16" width="9.0"/>
    <col customWidth="1" min="17" max="17" width="11.63"/>
    <col customWidth="1" min="18" max="18" width="10.75"/>
    <col customWidth="1" min="19" max="19" width="17.63"/>
    <col customWidth="1" min="20" max="20" width="21.5"/>
    <col customWidth="1" min="21" max="21" width="15.0"/>
    <col customWidth="1" min="22" max="22" width="19.13"/>
    <col customWidth="1" min="23" max="23" width="27.25"/>
    <col customWidth="1" min="24" max="24" width="16.63"/>
  </cols>
  <sheetData>
    <row r="1">
      <c r="A1" s="158" t="str">
        <f>Datos!A1</f>
        <v>   Fecha </v>
      </c>
      <c r="B1" s="158" t="str">
        <f>Datos!B1</f>
        <v>NIS</v>
      </c>
      <c r="C1" s="158" t="str">
        <f>Datos!C1</f>
        <v>Cliente</v>
      </c>
      <c r="D1" s="158" t="str">
        <f>Datos!D1</f>
        <v>IVA</v>
      </c>
      <c r="E1" s="158" t="str">
        <f>Datos!E1</f>
        <v>Consumo [kWh]</v>
      </c>
      <c r="F1" s="158" t="str">
        <f>Datos!F1</f>
        <v>Consumo hs punta [kWh]</v>
      </c>
      <c r="G1" s="158" t="str">
        <f>Datos!G1</f>
        <v>Consumo hs valle [kWh]</v>
      </c>
      <c r="H1" s="158" t="str">
        <f>Datos!H1</f>
        <v>Consumo hs resto[kWh]</v>
      </c>
      <c r="I1" s="158" t="str">
        <f>Datos!I1</f>
        <v>Catergoria</v>
      </c>
      <c r="J1" s="158" t="str">
        <f>Datos!J1</f>
        <v>Tarifa punta</v>
      </c>
      <c r="K1" s="158" t="str">
        <f>Datos!K1</f>
        <v>Tarifa valle</v>
      </c>
      <c r="L1" s="158" t="str">
        <f>Datos!L1</f>
        <v>Tarifa resto</v>
      </c>
      <c r="M1" s="158" t="str">
        <f>Datos!M1</f>
        <v>Generacion FV [kWh]</v>
      </c>
      <c r="N1" s="158" t="str">
        <f>Datos!N1</f>
        <v>CONSUMO TOTAL</v>
      </c>
      <c r="O1" s="158" t="str">
        <f>Datos!O1</f>
        <v>Total a pagar S / IVA</v>
      </c>
      <c r="P1" s="158" t="str">
        <f>Datos!P1</f>
        <v>Valor USD</v>
      </c>
      <c r="Q1" s="158" t="str">
        <f>Datos!Q1</f>
        <v>Ahorro (USD)</v>
      </c>
      <c r="R1" s="158" t="str">
        <f>Datos!R1</f>
        <v>Ahorro ($)</v>
      </c>
      <c r="S1" s="158" t="str">
        <f>Datos!S1</f>
        <v>Valor dolar Actual ($)</v>
      </c>
      <c r="T1" s="158" t="str">
        <f>Datos!T1</f>
        <v>Ahorro ($)-A precio actual</v>
      </c>
      <c r="U1" s="158" t="str">
        <f>Datos!U1</f>
        <v>kg CO2e evitados</v>
      </c>
      <c r="V1" s="158" t="str">
        <f>Datos!V1</f>
        <v>Equivalente en árboles</v>
      </c>
      <c r="W1" s="158" t="str">
        <f>Datos!W1</f>
        <v>% de ahorro sobre los consumos</v>
      </c>
      <c r="X1" s="158" t="str">
        <f>Datos!X1</f>
        <v>SIN PANELES S/IVA</v>
      </c>
    </row>
    <row r="2">
      <c r="A2" s="150">
        <f>IFERROR(__xludf.DUMMYFUNCTION("FILTER(Datos!1:1247,Datos!B:B=5251101)"),45992.0)</f>
        <v>45992</v>
      </c>
      <c r="B2" s="151">
        <f>IFERROR(__xludf.DUMMYFUNCTION("""COMPUTED_VALUE"""),5251101.0)</f>
        <v>5251101</v>
      </c>
      <c r="C2" s="151" t="str">
        <f>IFERROR(__xludf.DUMMYFUNCTION("""COMPUTED_VALUE"""),"Cartoon Inversor 2")</f>
        <v>Cartoon Inversor 2</v>
      </c>
      <c r="D2" s="152">
        <f>IFERROR(__xludf.DUMMYFUNCTION("""COMPUTED_VALUE"""),0.27)</f>
        <v>0.27</v>
      </c>
      <c r="E2" s="153">
        <f>IFERROR(__xludf.DUMMYFUNCTION("""COMPUTED_VALUE"""),4392.0)</f>
        <v>4392</v>
      </c>
      <c r="F2" s="153">
        <f>IFERROR(__xludf.DUMMYFUNCTION("""COMPUTED_VALUE"""),852.0)</f>
        <v>852</v>
      </c>
      <c r="G2" s="153">
        <f>IFERROR(__xludf.DUMMYFUNCTION("""COMPUTED_VALUE"""),324.0)</f>
        <v>324</v>
      </c>
      <c r="H2" s="153">
        <f>IFERROR(__xludf.DUMMYFUNCTION("""COMPUTED_VALUE"""),3216.0)</f>
        <v>3216</v>
      </c>
      <c r="I2" s="153" t="str">
        <f>IFERROR(__xludf.DUMMYFUNCTION("""COMPUTED_VALUE"""),"T5-Ba")</f>
        <v>T5-Ba</v>
      </c>
      <c r="J2" s="154">
        <f>IFERROR(__xludf.DUMMYFUNCTION("""COMPUTED_VALUE"""),168.7698)</f>
        <v>168.7698</v>
      </c>
      <c r="K2" s="154">
        <f>IFERROR(__xludf.DUMMYFUNCTION("""COMPUTED_VALUE"""),165.9802)</f>
        <v>165.9802</v>
      </c>
      <c r="L2" s="154">
        <f>IFERROR(__xludf.DUMMYFUNCTION("""COMPUTED_VALUE"""),166.7828)</f>
        <v>166.7828</v>
      </c>
      <c r="M2" s="151">
        <f>IFERROR(__xludf.DUMMYFUNCTION("""COMPUTED_VALUE"""),3063.6)</f>
        <v>3063.6</v>
      </c>
      <c r="N2" s="152">
        <f>IFERROR(__xludf.DUMMYFUNCTION("""COMPUTED_VALUE"""),7455.6)</f>
        <v>7455.6</v>
      </c>
      <c r="O2" s="154">
        <f>IFERROR(__xludf.DUMMYFUNCTION("""COMPUTED_VALUE"""),733942.9391999999)</f>
        <v>733942.9392</v>
      </c>
      <c r="P2" s="154">
        <f>IFERROR(__xludf.DUMMYFUNCTION("""COMPUTED_VALUE"""),1470.0)</f>
        <v>1470</v>
      </c>
      <c r="Q2" s="155">
        <f>IFERROR(__xludf.DUMMYFUNCTION("""COMPUTED_VALUE"""),347.588970122449)</f>
        <v>347.5889701</v>
      </c>
      <c r="R2" s="154">
        <f>IFERROR(__xludf.DUMMYFUNCTION("""COMPUTED_VALUE"""),510955.78608)</f>
        <v>510955.7861</v>
      </c>
      <c r="S2" s="154">
        <f>IFERROR(__xludf.DUMMYFUNCTION("""COMPUTED_VALUE"""),1465.0)</f>
        <v>1465</v>
      </c>
      <c r="T2" s="154">
        <f>IFERROR(__xludf.DUMMYFUNCTION("""COMPUTED_VALUE"""),646706.6583613225)</f>
        <v>646706.6584</v>
      </c>
      <c r="U2" s="156">
        <f>IFERROR(__xludf.DUMMYFUNCTION("""COMPUTED_VALUE"""),612.72)</f>
        <v>612.72</v>
      </c>
      <c r="V2" s="156">
        <f>IFERROR(__xludf.DUMMYFUNCTION("""COMPUTED_VALUE"""),27.85090909090909)</f>
        <v>27.85090909</v>
      </c>
      <c r="W2" s="157">
        <f>IFERROR(__xludf.DUMMYFUNCTION("""COMPUTED_VALUE"""),0.4104396411564136)</f>
        <v>0.4104396412</v>
      </c>
      <c r="X2" s="154">
        <f>IFERROR(__xludf.DUMMYFUNCTION("""COMPUTED_VALUE"""),1244898.72528)</f>
        <v>1244898.725</v>
      </c>
      <c r="Y2" s="154"/>
    </row>
    <row r="3">
      <c r="A3" s="150">
        <f>IFERROR(__xludf.DUMMYFUNCTION("""COMPUTED_VALUE"""),45986.0)</f>
        <v>45986</v>
      </c>
      <c r="B3" s="151">
        <f>IFERROR(__xludf.DUMMYFUNCTION("""COMPUTED_VALUE"""),5251101.0)</f>
        <v>5251101</v>
      </c>
      <c r="C3" s="151" t="str">
        <f>IFERROR(__xludf.DUMMYFUNCTION("""COMPUTED_VALUE"""),"Cartoon Inversor 2 ")</f>
        <v>Cartoon Inversor 2 </v>
      </c>
      <c r="D3" s="152">
        <f>IFERROR(__xludf.DUMMYFUNCTION("""COMPUTED_VALUE"""),0.27)</f>
        <v>0.27</v>
      </c>
      <c r="E3" s="153">
        <f>IFERROR(__xludf.DUMMYFUNCTION("""COMPUTED_VALUE"""),2160.0)</f>
        <v>2160</v>
      </c>
      <c r="F3" s="153">
        <f>IFERROR(__xludf.DUMMYFUNCTION("""COMPUTED_VALUE"""),108.0)</f>
        <v>108</v>
      </c>
      <c r="G3" s="153">
        <f>IFERROR(__xludf.DUMMYFUNCTION("""COMPUTED_VALUE"""),180.0)</f>
        <v>180</v>
      </c>
      <c r="H3" s="153">
        <f>IFERROR(__xludf.DUMMYFUNCTION("""COMPUTED_VALUE"""),1872.0)</f>
        <v>1872</v>
      </c>
      <c r="I3" s="153" t="str">
        <f>IFERROR(__xludf.DUMMYFUNCTION("""COMPUTED_VALUE"""),"T5-Ba")</f>
        <v>T5-Ba</v>
      </c>
      <c r="J3" s="154">
        <f>IFERROR(__xludf.DUMMYFUNCTION("""COMPUTED_VALUE"""),163.3724)</f>
        <v>163.3724</v>
      </c>
      <c r="K3" s="154">
        <f>IFERROR(__xludf.DUMMYFUNCTION("""COMPUTED_VALUE"""),160.5827)</f>
        <v>160.5827</v>
      </c>
      <c r="L3" s="154">
        <f>IFERROR(__xludf.DUMMYFUNCTION("""COMPUTED_VALUE"""),161.3854)</f>
        <v>161.3854</v>
      </c>
      <c r="M3" s="152">
        <f>IFERROR(__xludf.DUMMYFUNCTION("""COMPUTED_VALUE"""),4394.8)</f>
        <v>4394.8</v>
      </c>
      <c r="N3" s="153">
        <f>IFERROR(__xludf.DUMMYFUNCTION("""COMPUTED_VALUE"""),6554.8)</f>
        <v>6554.8</v>
      </c>
      <c r="O3" s="154">
        <f>IFERROR(__xludf.DUMMYFUNCTION("""COMPUTED_VALUE"""),348662.574)</f>
        <v>348662.574</v>
      </c>
      <c r="P3" s="154">
        <f>IFERROR(__xludf.DUMMYFUNCTION("""COMPUTED_VALUE"""),1470.0)</f>
        <v>1470</v>
      </c>
      <c r="Q3" s="155">
        <f>IFERROR(__xludf.DUMMYFUNCTION("""COMPUTED_VALUE"""),482.48745300680275)</f>
        <v>482.487453</v>
      </c>
      <c r="R3" s="154">
        <f>IFERROR(__xludf.DUMMYFUNCTION("""COMPUTED_VALUE"""),709256.5559200001)</f>
        <v>709256.5559</v>
      </c>
      <c r="S3" s="154">
        <f>IFERROR(__xludf.DUMMYFUNCTION("""COMPUTED_VALUE"""),1465.0)</f>
        <v>1465</v>
      </c>
      <c r="T3" s="154">
        <f>IFERROR(__xludf.DUMMYFUNCTION("""COMPUTED_VALUE"""),897692.0306918068)</f>
        <v>897692.0307</v>
      </c>
      <c r="U3" s="156">
        <f>IFERROR(__xludf.DUMMYFUNCTION("""COMPUTED_VALUE"""),878.96)</f>
        <v>878.96</v>
      </c>
      <c r="V3" s="156">
        <f>IFERROR(__xludf.DUMMYFUNCTION("""COMPUTED_VALUE"""),39.95272727272727)</f>
        <v>39.95272727</v>
      </c>
      <c r="W3" s="157">
        <f>IFERROR(__xludf.DUMMYFUNCTION("""COMPUTED_VALUE"""),0.6704260617478712)</f>
        <v>0.6704260617</v>
      </c>
      <c r="X3" s="154">
        <f>IFERROR(__xludf.DUMMYFUNCTION("""COMPUTED_VALUE"""),1057919.1299200002)</f>
        <v>1057919.13</v>
      </c>
      <c r="Y3" s="154"/>
    </row>
    <row r="4">
      <c r="A4" s="150">
        <f>IFERROR(__xludf.DUMMYFUNCTION("""COMPUTED_VALUE"""),45931.0)</f>
        <v>45931</v>
      </c>
      <c r="B4" s="151">
        <f>IFERROR(__xludf.DUMMYFUNCTION("""COMPUTED_VALUE"""),5251101.0)</f>
        <v>5251101</v>
      </c>
      <c r="C4" s="151" t="str">
        <f>IFERROR(__xludf.DUMMYFUNCTION("""COMPUTED_VALUE"""),"Cartoon Inversor 2 ")</f>
        <v>Cartoon Inversor 2 </v>
      </c>
      <c r="D4" s="152">
        <f>IFERROR(__xludf.DUMMYFUNCTION("""COMPUTED_VALUE"""),0.27)</f>
        <v>0.27</v>
      </c>
      <c r="E4" s="153">
        <f>IFERROR(__xludf.DUMMYFUNCTION("""COMPUTED_VALUE"""),6104.0)</f>
        <v>6104</v>
      </c>
      <c r="F4" s="153">
        <f>IFERROR(__xludf.DUMMYFUNCTION("""COMPUTED_VALUE"""),455.0)</f>
        <v>455</v>
      </c>
      <c r="G4" s="153">
        <f>IFERROR(__xludf.DUMMYFUNCTION("""COMPUTED_VALUE"""),590.0)</f>
        <v>590</v>
      </c>
      <c r="H4" s="153">
        <f>IFERROR(__xludf.DUMMYFUNCTION("""COMPUTED_VALUE"""),5059.0)</f>
        <v>5059</v>
      </c>
      <c r="I4" s="151" t="str">
        <f>IFERROR(__xludf.DUMMYFUNCTION("""COMPUTED_VALUE"""),"T5-Ba")</f>
        <v>T5-Ba</v>
      </c>
      <c r="J4" s="154">
        <f>IFERROR(__xludf.DUMMYFUNCTION("""COMPUTED_VALUE"""),170.9156)</f>
        <v>170.9156</v>
      </c>
      <c r="K4" s="154">
        <f>IFERROR(__xludf.DUMMYFUNCTION("""COMPUTED_VALUE"""),168.0814)</f>
        <v>168.0814</v>
      </c>
      <c r="L4" s="154">
        <f>IFERROR(__xludf.DUMMYFUNCTION("""COMPUTED_VALUE"""),169.332)</f>
        <v>169.332</v>
      </c>
      <c r="M4" s="152">
        <f>IFERROR(__xludf.DUMMYFUNCTION("""COMPUTED_VALUE"""),3283.3)</f>
        <v>3283.3</v>
      </c>
      <c r="N4" s="153">
        <f>IFERROR(__xludf.DUMMYFUNCTION("""COMPUTED_VALUE"""),9387.3)</f>
        <v>9387.3</v>
      </c>
      <c r="O4" s="154">
        <f>IFERROR(__xludf.DUMMYFUNCTION("""COMPUTED_VALUE"""),1033585.212)</f>
        <v>1033585.212</v>
      </c>
      <c r="P4" s="154">
        <f>IFERROR(__xludf.DUMMYFUNCTION("""COMPUTED_VALUE"""),1450.0)</f>
        <v>1450</v>
      </c>
      <c r="Q4" s="155">
        <f>IFERROR(__xludf.DUMMYFUNCTION("""COMPUTED_VALUE"""),383.4260383448276)</f>
        <v>383.4260383</v>
      </c>
      <c r="R4" s="154">
        <f>IFERROR(__xludf.DUMMYFUNCTION("""COMPUTED_VALUE"""),555967.7556)</f>
        <v>555967.7556</v>
      </c>
      <c r="S4" s="154">
        <f>IFERROR(__xludf.DUMMYFUNCTION("""COMPUTED_VALUE"""),1465.0)</f>
        <v>1465</v>
      </c>
      <c r="T4" s="154">
        <f>IFERROR(__xludf.DUMMYFUNCTION("""COMPUTED_VALUE"""),713383.315642469)</f>
        <v>713383.3156</v>
      </c>
      <c r="U4" s="156">
        <f>IFERROR(__xludf.DUMMYFUNCTION("""COMPUTED_VALUE"""),656.6600000000001)</f>
        <v>656.66</v>
      </c>
      <c r="V4" s="156">
        <f>IFERROR(__xludf.DUMMYFUNCTION("""COMPUTED_VALUE"""),29.84818181818182)</f>
        <v>29.84818182</v>
      </c>
      <c r="W4" s="157">
        <f>IFERROR(__xludf.DUMMYFUNCTION("""COMPUTED_VALUE"""),0.3497635919861372)</f>
        <v>0.349763592</v>
      </c>
      <c r="X4" s="154">
        <f>IFERROR(__xludf.DUMMYFUNCTION("""COMPUTED_VALUE"""),1589552.9676)</f>
        <v>1589552.968</v>
      </c>
      <c r="Y4" s="154"/>
    </row>
    <row r="5">
      <c r="A5" s="150">
        <f>IFERROR(__xludf.DUMMYFUNCTION("""COMPUTED_VALUE"""),45925.0)</f>
        <v>45925</v>
      </c>
      <c r="B5" s="151">
        <f>IFERROR(__xludf.DUMMYFUNCTION("""COMPUTED_VALUE"""),5251101.0)</f>
        <v>5251101</v>
      </c>
      <c r="C5" s="151" t="str">
        <f>IFERROR(__xludf.DUMMYFUNCTION("""COMPUTED_VALUE"""),"Cartoon Inversor 2 ")</f>
        <v>Cartoon Inversor 2 </v>
      </c>
      <c r="D5" s="152">
        <f>IFERROR(__xludf.DUMMYFUNCTION("""COMPUTED_VALUE"""),0.27)</f>
        <v>0.27</v>
      </c>
      <c r="E5" s="153">
        <f>IFERROR(__xludf.DUMMYFUNCTION("""COMPUTED_VALUE"""),3468.0)</f>
        <v>3468</v>
      </c>
      <c r="F5" s="153">
        <f>IFERROR(__xludf.DUMMYFUNCTION("""COMPUTED_VALUE"""),336.0)</f>
        <v>336</v>
      </c>
      <c r="G5" s="153">
        <f>IFERROR(__xludf.DUMMYFUNCTION("""COMPUTED_VALUE"""),168.0)</f>
        <v>168</v>
      </c>
      <c r="H5" s="153">
        <f>IFERROR(__xludf.DUMMYFUNCTION("""COMPUTED_VALUE"""),2964.0)</f>
        <v>2964</v>
      </c>
      <c r="I5" s="151" t="str">
        <f>IFERROR(__xludf.DUMMYFUNCTION("""COMPUTED_VALUE"""),"T5-Ba")</f>
        <v>T5-Ba</v>
      </c>
      <c r="J5" s="154">
        <f>IFERROR(__xludf.DUMMYFUNCTION("""COMPUTED_VALUE"""),170.107)</f>
        <v>170.107</v>
      </c>
      <c r="K5" s="154">
        <f>IFERROR(__xludf.DUMMYFUNCTION("""COMPUTED_VALUE"""),167.2668)</f>
        <v>167.2668</v>
      </c>
      <c r="L5" s="154">
        <f>IFERROR(__xludf.DUMMYFUNCTION("""COMPUTED_VALUE"""),168.521)</f>
        <v>168.521</v>
      </c>
      <c r="M5" s="152">
        <f>IFERROR(__xludf.DUMMYFUNCTION("""COMPUTED_VALUE"""),2999.4)</f>
        <v>2999.4</v>
      </c>
      <c r="N5" s="153">
        <f>IFERROR(__xludf.DUMMYFUNCTION("""COMPUTED_VALUE"""),6467.4)</f>
        <v>6467.4</v>
      </c>
      <c r="O5" s="154">
        <f>IFERROR(__xludf.DUMMYFUNCTION("""COMPUTED_VALUE"""),584753.0184)</f>
        <v>584753.0184</v>
      </c>
      <c r="P5" s="154">
        <f>IFERROR(__xludf.DUMMYFUNCTION("""COMPUTED_VALUE"""),1425.0)</f>
        <v>1425</v>
      </c>
      <c r="Q5" s="155">
        <f>IFERROR(__xludf.DUMMYFUNCTION("""COMPUTED_VALUE"""),354.7100964210526)</f>
        <v>354.7100964</v>
      </c>
      <c r="R5" s="154">
        <f>IFERROR(__xludf.DUMMYFUNCTION("""COMPUTED_VALUE"""),505461.88739999995)</f>
        <v>505461.8874</v>
      </c>
      <c r="S5" s="154">
        <f>IFERROR(__xludf.DUMMYFUNCTION("""COMPUTED_VALUE"""),1465.0)</f>
        <v>1465</v>
      </c>
      <c r="T5" s="154">
        <f>IFERROR(__xludf.DUMMYFUNCTION("""COMPUTED_VALUE"""),659955.8698961894)</f>
        <v>659955.8699</v>
      </c>
      <c r="U5" s="156">
        <f>IFERROR(__xludf.DUMMYFUNCTION("""COMPUTED_VALUE"""),599.88)</f>
        <v>599.88</v>
      </c>
      <c r="V5" s="156">
        <f>IFERROR(__xludf.DUMMYFUNCTION("""COMPUTED_VALUE"""),27.267272727272726)</f>
        <v>27.26727273</v>
      </c>
      <c r="W5" s="157">
        <f>IFERROR(__xludf.DUMMYFUNCTION("""COMPUTED_VALUE"""),0.46363509131173725)</f>
        <v>0.4636350913</v>
      </c>
      <c r="X5" s="154">
        <f>IFERROR(__xludf.DUMMYFUNCTION("""COMPUTED_VALUE"""),1090214.9057999998)</f>
        <v>1090214.906</v>
      </c>
      <c r="Y5" s="154"/>
    </row>
    <row r="6">
      <c r="A6" s="150">
        <f>IFERROR(__xludf.DUMMYFUNCTION("""COMPUTED_VALUE"""),45893.0)</f>
        <v>45893</v>
      </c>
      <c r="B6" s="151">
        <f>IFERROR(__xludf.DUMMYFUNCTION("""COMPUTED_VALUE"""),5251101.0)</f>
        <v>5251101</v>
      </c>
      <c r="C6" s="151" t="str">
        <f>IFERROR(__xludf.DUMMYFUNCTION("""COMPUTED_VALUE"""),"Cartoon Inversor 2 ")</f>
        <v>Cartoon Inversor 2 </v>
      </c>
      <c r="D6" s="152">
        <f>IFERROR(__xludf.DUMMYFUNCTION("""COMPUTED_VALUE"""),0.27)</f>
        <v>0.27</v>
      </c>
      <c r="E6" s="153">
        <f>IFERROR(__xludf.DUMMYFUNCTION("""COMPUTED_VALUE"""),2556.0)</f>
        <v>2556</v>
      </c>
      <c r="F6" s="153">
        <f>IFERROR(__xludf.DUMMYFUNCTION("""COMPUTED_VALUE"""),408.0)</f>
        <v>408</v>
      </c>
      <c r="G6" s="153">
        <f>IFERROR(__xludf.DUMMYFUNCTION("""COMPUTED_VALUE"""),180.0)</f>
        <v>180</v>
      </c>
      <c r="H6" s="153">
        <f>IFERROR(__xludf.DUMMYFUNCTION("""COMPUTED_VALUE"""),1968.0)</f>
        <v>1968</v>
      </c>
      <c r="I6" s="151" t="str">
        <f>IFERROR(__xludf.DUMMYFUNCTION("""COMPUTED_VALUE"""),"T5-Ba")</f>
        <v>T5-Ba</v>
      </c>
      <c r="J6" s="154">
        <f>IFERROR(__xludf.DUMMYFUNCTION("""COMPUTED_VALUE"""),168.3315)</f>
        <v>168.3315</v>
      </c>
      <c r="K6" s="154">
        <f>IFERROR(__xludf.DUMMYFUNCTION("""COMPUTED_VALUE"""),165.4814)</f>
        <v>165.4814</v>
      </c>
      <c r="L6" s="154">
        <f>IFERROR(__xludf.DUMMYFUNCTION("""COMPUTED_VALUE"""),166.7393)</f>
        <v>166.7393</v>
      </c>
      <c r="M6" s="152">
        <f>IFERROR(__xludf.DUMMYFUNCTION("""COMPUTED_VALUE"""),1438.9)</f>
        <v>1438.9</v>
      </c>
      <c r="N6" s="153">
        <f>IFERROR(__xludf.DUMMYFUNCTION("""COMPUTED_VALUE"""),3994.9)</f>
        <v>3994.9</v>
      </c>
      <c r="O6" s="154">
        <f>IFERROR(__xludf.DUMMYFUNCTION("""COMPUTED_VALUE"""),426608.84640000004)</f>
        <v>426608.8464</v>
      </c>
      <c r="P6" s="154">
        <f>IFERROR(__xludf.DUMMYFUNCTION("""COMPUTED_VALUE"""),1340.0)</f>
        <v>1340</v>
      </c>
      <c r="Q6" s="155">
        <f>IFERROR(__xludf.DUMMYFUNCTION("""COMPUTED_VALUE"""),179.04565579850745)</f>
        <v>179.0456558</v>
      </c>
      <c r="R6" s="154">
        <f>IFERROR(__xludf.DUMMYFUNCTION("""COMPUTED_VALUE"""),239921.17877)</f>
        <v>239921.1788</v>
      </c>
      <c r="S6" s="154">
        <f>IFERROR(__xludf.DUMMYFUNCTION("""COMPUTED_VALUE"""),1465.0)</f>
        <v>1465</v>
      </c>
      <c r="T6" s="154">
        <f>IFERROR(__xludf.DUMMYFUNCTION("""COMPUTED_VALUE"""),333123.3948959131)</f>
        <v>333123.3949</v>
      </c>
      <c r="U6" s="156">
        <f>IFERROR(__xludf.DUMMYFUNCTION("""COMPUTED_VALUE"""),287.78000000000003)</f>
        <v>287.78</v>
      </c>
      <c r="V6" s="156">
        <f>IFERROR(__xludf.DUMMYFUNCTION("""COMPUTED_VALUE"""),13.080909090909092)</f>
        <v>13.08090909</v>
      </c>
      <c r="W6" s="157">
        <f>IFERROR(__xludf.DUMMYFUNCTION("""COMPUTED_VALUE"""),0.359955545451696)</f>
        <v>0.3599555455</v>
      </c>
      <c r="X6" s="154">
        <f>IFERROR(__xludf.DUMMYFUNCTION("""COMPUTED_VALUE"""),666530.02517)</f>
        <v>666530.0252</v>
      </c>
      <c r="Y6" s="15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0"/>
  <sheetData>
    <row r="1">
      <c r="A1" s="158" t="str">
        <f>Datos!A1</f>
        <v>   Fecha </v>
      </c>
      <c r="B1" s="158" t="str">
        <f>Datos!B1</f>
        <v>NIS</v>
      </c>
      <c r="C1" s="158" t="str">
        <f>Datos!C1</f>
        <v>Cliente</v>
      </c>
      <c r="D1" s="158" t="str">
        <f>Datos!D1</f>
        <v>IVA</v>
      </c>
      <c r="E1" s="158" t="str">
        <f>Datos!E1</f>
        <v>Consumo [kWh]</v>
      </c>
      <c r="F1" s="158" t="str">
        <f>Datos!F1</f>
        <v>Consumo hs punta [kWh]</v>
      </c>
      <c r="G1" s="158" t="str">
        <f>Datos!G1</f>
        <v>Consumo hs valle [kWh]</v>
      </c>
      <c r="H1" s="158" t="str">
        <f>Datos!H1</f>
        <v>Consumo hs resto[kWh]</v>
      </c>
      <c r="I1" s="158" t="str">
        <f>Datos!I1</f>
        <v>Catergoria</v>
      </c>
      <c r="J1" s="158" t="str">
        <f>Datos!J1</f>
        <v>Tarifa punta</v>
      </c>
      <c r="K1" s="158" t="str">
        <f>Datos!K1</f>
        <v>Tarifa valle</v>
      </c>
      <c r="L1" s="158" t="str">
        <f>Datos!L1</f>
        <v>Tarifa resto</v>
      </c>
      <c r="M1" s="158" t="str">
        <f>Datos!M1</f>
        <v>Generacion FV [kWh]</v>
      </c>
      <c r="N1" s="158" t="str">
        <f>Datos!N1</f>
        <v>CONSUMO TOTAL</v>
      </c>
      <c r="O1" s="158" t="str">
        <f>Datos!O1</f>
        <v>Total a pagar S / IVA</v>
      </c>
      <c r="P1" s="158" t="str">
        <f>Datos!P1</f>
        <v>Valor USD</v>
      </c>
      <c r="Q1" s="158" t="str">
        <f>Datos!Q1</f>
        <v>Ahorro (USD)</v>
      </c>
      <c r="R1" s="158" t="str">
        <f>Datos!R1</f>
        <v>Ahorro ($)</v>
      </c>
      <c r="S1" s="158" t="str">
        <f>Datos!S1</f>
        <v>Valor dolar Actual ($)</v>
      </c>
      <c r="T1" s="158" t="str">
        <f>Datos!T1</f>
        <v>Ahorro ($)-A precio actual</v>
      </c>
      <c r="U1" s="158" t="str">
        <f>Datos!U1</f>
        <v>kg CO2e evitados</v>
      </c>
      <c r="V1" s="158" t="str">
        <f>Datos!V1</f>
        <v>Equivalente en árboles</v>
      </c>
      <c r="W1" s="158" t="str">
        <f>Datos!W1</f>
        <v>% de ahorro sobre los consumos</v>
      </c>
      <c r="X1" s="158" t="str">
        <f>Datos!X1</f>
        <v>SIN PANELES S/IVA</v>
      </c>
    </row>
    <row r="2">
      <c r="A2" s="160">
        <f>'Cartoon Inversor 2'!A2</f>
        <v>45992</v>
      </c>
      <c r="B2" s="66">
        <f>'Cartoon Inversor 2'!B2</f>
        <v>5251101</v>
      </c>
      <c r="C2" s="66" t="str">
        <f>'Cartoon Inversor 2'!C2</f>
        <v>Cartoon Inversor 2</v>
      </c>
      <c r="D2" s="161">
        <f>'Cartoon Inversor 2'!D2</f>
        <v>0.27</v>
      </c>
      <c r="E2" s="162">
        <f>'Cartoon Inversor 2'!E2</f>
        <v>4392</v>
      </c>
      <c r="F2" s="162">
        <f>'Cartoon Inversor 2'!F2</f>
        <v>852</v>
      </c>
      <c r="G2" s="162">
        <f>'Cartoon Inversor 2'!G2</f>
        <v>324</v>
      </c>
      <c r="H2" s="162">
        <f>'Cartoon Inversor 2'!H2</f>
        <v>3216</v>
      </c>
      <c r="I2" s="162" t="str">
        <f>'Cartoon Inversor 2'!I2</f>
        <v>T5-Ba</v>
      </c>
      <c r="J2" s="163">
        <f>'Cartoon Inversor 2'!J2</f>
        <v>168.7698</v>
      </c>
      <c r="K2" s="163">
        <f>'Cartoon Inversor 2'!K2</f>
        <v>165.9802</v>
      </c>
      <c r="L2" s="163">
        <f>'Cartoon Inversor 2'!L2</f>
        <v>166.7828</v>
      </c>
      <c r="M2" s="66">
        <f>'Cartoon Inversor 2'!M2</f>
        <v>3063.6</v>
      </c>
      <c r="N2" s="161">
        <f>'Cartoon Inversor 2'!N2</f>
        <v>7455.6</v>
      </c>
      <c r="O2" s="163">
        <f>'Cartoon Inversor 2'!O2</f>
        <v>733942.9392</v>
      </c>
      <c r="P2" s="163">
        <f>'Cartoon Inversor 2'!P2</f>
        <v>1470</v>
      </c>
      <c r="Q2" s="164">
        <f>'Cartoon Inversor 2'!Q2</f>
        <v>347.5889701</v>
      </c>
      <c r="R2" s="163">
        <f>'Cartoon Inversor 2'!R2</f>
        <v>510955.7861</v>
      </c>
      <c r="S2" s="163">
        <f>'Cartoon Inversor 2'!S2</f>
        <v>1465</v>
      </c>
      <c r="T2" s="163">
        <f>'Cartoon Inversor 2'!T2</f>
        <v>646706.6584</v>
      </c>
      <c r="U2" s="165">
        <f>'Cartoon Inversor 2'!U2</f>
        <v>612.72</v>
      </c>
      <c r="V2" s="165">
        <f>'Cartoon Inversor 2'!V2</f>
        <v>27.85090909</v>
      </c>
      <c r="W2" s="166">
        <f>'Cartoon Inversor 2'!W2</f>
        <v>0.4104396412</v>
      </c>
      <c r="X2" s="163">
        <f>'Cartoon Inversor 2'!X2</f>
        <v>1244898.725</v>
      </c>
    </row>
    <row r="3">
      <c r="A3" s="160">
        <f>'Cartoon Inversor 2'!A3</f>
        <v>45986</v>
      </c>
      <c r="B3" s="66">
        <f>'Cartoon Inversor 2'!B3</f>
        <v>5251101</v>
      </c>
      <c r="C3" s="66" t="str">
        <f>'Cartoon Inversor 2'!C3</f>
        <v>Cartoon Inversor 2 </v>
      </c>
      <c r="D3" s="161">
        <f>'Cartoon Inversor 2'!D3</f>
        <v>0.27</v>
      </c>
      <c r="E3" s="162">
        <f>'Cartoon Inversor 2'!E3</f>
        <v>2160</v>
      </c>
      <c r="F3" s="162">
        <f>'Cartoon Inversor 2'!F3</f>
        <v>108</v>
      </c>
      <c r="G3" s="162">
        <f>'Cartoon Inversor 2'!G3</f>
        <v>180</v>
      </c>
      <c r="H3" s="162">
        <f>'Cartoon Inversor 2'!H3</f>
        <v>1872</v>
      </c>
      <c r="I3" s="162" t="str">
        <f>'Cartoon Inversor 2'!I3</f>
        <v>T5-Ba</v>
      </c>
      <c r="J3" s="163">
        <f>'Cartoon Inversor 2'!J3</f>
        <v>163.3724</v>
      </c>
      <c r="K3" s="163">
        <f>'Cartoon Inversor 2'!K3</f>
        <v>160.5827</v>
      </c>
      <c r="L3" s="163">
        <f>'Cartoon Inversor 2'!L3</f>
        <v>161.3854</v>
      </c>
      <c r="M3" s="161">
        <f>'Cartoon Inversor 2'!M3</f>
        <v>4394.8</v>
      </c>
      <c r="N3" s="162">
        <f>'Cartoon Inversor 2'!N3</f>
        <v>6554.8</v>
      </c>
      <c r="O3" s="163">
        <f>'Cartoon Inversor 2'!O3</f>
        <v>348662.574</v>
      </c>
      <c r="P3" s="163">
        <f>'Cartoon Inversor 2'!P3</f>
        <v>1470</v>
      </c>
      <c r="Q3" s="164">
        <f>'Cartoon Inversor 2'!Q3</f>
        <v>482.487453</v>
      </c>
      <c r="R3" s="163">
        <f>'Cartoon Inversor 2'!R3</f>
        <v>709256.5559</v>
      </c>
      <c r="S3" s="163">
        <f>'Cartoon Inversor 2'!S3</f>
        <v>1465</v>
      </c>
      <c r="T3" s="163">
        <f>'Cartoon Inversor 2'!T3</f>
        <v>897692.0307</v>
      </c>
      <c r="U3" s="165">
        <f>'Cartoon Inversor 2'!U3</f>
        <v>878.96</v>
      </c>
      <c r="V3" s="165">
        <f>'Cartoon Inversor 2'!V3</f>
        <v>39.95272727</v>
      </c>
      <c r="W3" s="166">
        <f>'Cartoon Inversor 2'!W3</f>
        <v>0.6704260617</v>
      </c>
      <c r="X3" s="163">
        <f>'Cartoon Inversor 2'!X3</f>
        <v>1057919.13</v>
      </c>
    </row>
    <row r="4">
      <c r="A4" s="160">
        <f>'Cartoon Inversor 2'!A4</f>
        <v>45931</v>
      </c>
      <c r="B4" s="66">
        <f>'Cartoon Inversor 2'!B4</f>
        <v>5251101</v>
      </c>
      <c r="C4" s="66" t="str">
        <f>'Cartoon Inversor 2'!C4</f>
        <v>Cartoon Inversor 2 </v>
      </c>
      <c r="D4" s="161">
        <f>'Cartoon Inversor 2'!D4</f>
        <v>0.27</v>
      </c>
      <c r="E4" s="162">
        <f>'Cartoon Inversor 2'!E4</f>
        <v>6104</v>
      </c>
      <c r="F4" s="162">
        <f>'Cartoon Inversor 2'!F4</f>
        <v>455</v>
      </c>
      <c r="G4" s="162">
        <f>'Cartoon Inversor 2'!G4</f>
        <v>590</v>
      </c>
      <c r="H4" s="162">
        <f>'Cartoon Inversor 2'!H4</f>
        <v>5059</v>
      </c>
      <c r="I4" s="66" t="str">
        <f>'Cartoon Inversor 2'!I4</f>
        <v>T5-Ba</v>
      </c>
      <c r="J4" s="163">
        <f>'Cartoon Inversor 2'!J4</f>
        <v>170.9156</v>
      </c>
      <c r="K4" s="163">
        <f>'Cartoon Inversor 2'!K4</f>
        <v>168.0814</v>
      </c>
      <c r="L4" s="163">
        <f>'Cartoon Inversor 2'!L4</f>
        <v>169.332</v>
      </c>
      <c r="M4" s="161">
        <f>'Cartoon Inversor 2'!M4</f>
        <v>3283.3</v>
      </c>
      <c r="N4" s="162">
        <f>'Cartoon Inversor 2'!N4</f>
        <v>9387.3</v>
      </c>
      <c r="O4" s="163">
        <f>'Cartoon Inversor 2'!O4</f>
        <v>1033585.212</v>
      </c>
      <c r="P4" s="163">
        <f>'Cartoon Inversor 2'!P4</f>
        <v>1450</v>
      </c>
      <c r="Q4" s="164">
        <f>'Cartoon Inversor 2'!Q4</f>
        <v>383.4260383</v>
      </c>
      <c r="R4" s="163">
        <f>'Cartoon Inversor 2'!R4</f>
        <v>555967.7556</v>
      </c>
      <c r="S4" s="163">
        <f>'Cartoon Inversor 2'!S4</f>
        <v>1465</v>
      </c>
      <c r="T4" s="163">
        <f>'Cartoon Inversor 2'!T4</f>
        <v>713383.3156</v>
      </c>
      <c r="U4" s="165">
        <f>'Cartoon Inversor 2'!U4</f>
        <v>656.66</v>
      </c>
      <c r="V4" s="165">
        <f>'Cartoon Inversor 2'!V4</f>
        <v>29.84818182</v>
      </c>
      <c r="W4" s="166">
        <f>'Cartoon Inversor 2'!W4</f>
        <v>0.349763592</v>
      </c>
      <c r="X4" s="163">
        <f>'Cartoon Inversor 2'!X4</f>
        <v>1589552.968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0"/>
  <cols>
    <col customWidth="1" min="13" max="13" width="17.88"/>
  </cols>
  <sheetData>
    <row r="1">
      <c r="A1" s="158" t="str">
        <f>Datos!A1</f>
        <v>   Fecha </v>
      </c>
      <c r="B1" s="158" t="str">
        <f>Datos!B1</f>
        <v>NIS</v>
      </c>
      <c r="C1" s="158" t="str">
        <f>Datos!C1</f>
        <v>Cliente</v>
      </c>
      <c r="D1" s="158" t="str">
        <f>Datos!D1</f>
        <v>IVA</v>
      </c>
      <c r="E1" s="158" t="str">
        <f>Datos!E1</f>
        <v>Consumo [kWh]</v>
      </c>
      <c r="F1" s="158" t="str">
        <f>Datos!F1</f>
        <v>Consumo hs punta [kWh]</v>
      </c>
      <c r="G1" s="158" t="str">
        <f>Datos!G1</f>
        <v>Consumo hs valle [kWh]</v>
      </c>
      <c r="H1" s="158" t="str">
        <f>Datos!H1</f>
        <v>Consumo hs resto[kWh]</v>
      </c>
      <c r="I1" s="158" t="str">
        <f>Datos!I1</f>
        <v>Catergoria</v>
      </c>
      <c r="J1" s="158" t="str">
        <f>Datos!J1</f>
        <v>Tarifa punta</v>
      </c>
      <c r="K1" s="158" t="str">
        <f>Datos!K1</f>
        <v>Tarifa valle</v>
      </c>
      <c r="L1" s="158" t="str">
        <f>Datos!L1</f>
        <v>Tarifa resto</v>
      </c>
      <c r="M1" s="158" t="str">
        <f>Datos!M1</f>
        <v>Generacion FV [kWh]</v>
      </c>
      <c r="N1" s="158" t="str">
        <f>Datos!N1</f>
        <v>CONSUMO TOTAL</v>
      </c>
      <c r="O1" s="158" t="str">
        <f>Datos!O1</f>
        <v>Total a pagar S / IVA</v>
      </c>
      <c r="P1" s="158" t="str">
        <f>Datos!P1</f>
        <v>Valor USD</v>
      </c>
      <c r="Q1" s="158" t="str">
        <f>Datos!Q1</f>
        <v>Ahorro (USD)</v>
      </c>
      <c r="R1" s="158" t="str">
        <f>Datos!R1</f>
        <v>Ahorro ($)</v>
      </c>
      <c r="S1" s="158" t="str">
        <f>Datos!S1</f>
        <v>Valor dolar Actual ($)</v>
      </c>
      <c r="T1" s="158" t="str">
        <f>Datos!T1</f>
        <v>Ahorro ($)-A precio actual</v>
      </c>
      <c r="U1" s="158" t="str">
        <f>Datos!U1</f>
        <v>kg CO2e evitados</v>
      </c>
      <c r="V1" s="158" t="str">
        <f>Datos!V1</f>
        <v>Equivalente en árboles</v>
      </c>
      <c r="W1" s="158" t="str">
        <f>Datos!W1</f>
        <v>% de ahorro sobre los consumos</v>
      </c>
      <c r="X1" s="158" t="str">
        <f>Datos!X1</f>
        <v>SIN PANELES S/IVA</v>
      </c>
    </row>
    <row r="2">
      <c r="A2" s="150">
        <f>IFERROR(__xludf.DUMMYFUNCTION("FILTER(Datos!1:1247,Datos!B:B=5251104)"),45992.0)</f>
        <v>45992</v>
      </c>
      <c r="B2" s="151">
        <f>IFERROR(__xludf.DUMMYFUNCTION("""COMPUTED_VALUE"""),5251104.0)</f>
        <v>5251104</v>
      </c>
      <c r="C2" s="151" t="str">
        <f>IFERROR(__xludf.DUMMYFUNCTION("""COMPUTED_VALUE"""),"Cartoon Inversor 1")</f>
        <v>Cartoon Inversor 1</v>
      </c>
      <c r="D2" s="152">
        <f>IFERROR(__xludf.DUMMYFUNCTION("""COMPUTED_VALUE"""),0.27)</f>
        <v>0.27</v>
      </c>
      <c r="E2" s="153">
        <f>IFERROR(__xludf.DUMMYFUNCTION("""COMPUTED_VALUE"""),12507.0)</f>
        <v>12507</v>
      </c>
      <c r="F2" s="153">
        <f>IFERROR(__xludf.DUMMYFUNCTION("""COMPUTED_VALUE"""),1173.0)</f>
        <v>1173</v>
      </c>
      <c r="G2" s="153">
        <f>IFERROR(__xludf.DUMMYFUNCTION("""COMPUTED_VALUE"""),215.0)</f>
        <v>215</v>
      </c>
      <c r="H2" s="153">
        <f>IFERROR(__xludf.DUMMYFUNCTION("""COMPUTED_VALUE"""),11119.0)</f>
        <v>11119</v>
      </c>
      <c r="I2" s="153" t="str">
        <f>IFERROR(__xludf.DUMMYFUNCTION("""COMPUTED_VALUE"""),"T5-Ba")</f>
        <v>T5-Ba</v>
      </c>
      <c r="J2" s="154">
        <f>IFERROR(__xludf.DUMMYFUNCTION("""COMPUTED_VALUE"""),168.7698)</f>
        <v>168.7698</v>
      </c>
      <c r="K2" s="154">
        <f>IFERROR(__xludf.DUMMYFUNCTION("""COMPUTED_VALUE"""),165.9802)</f>
        <v>165.9802</v>
      </c>
      <c r="L2" s="154">
        <f>IFERROR(__xludf.DUMMYFUNCTION("""COMPUTED_VALUE"""),166.7828)</f>
        <v>166.7828</v>
      </c>
      <c r="M2" s="151">
        <f>IFERROR(__xludf.DUMMYFUNCTION("""COMPUTED_VALUE"""),5243.9)</f>
        <v>5243.9</v>
      </c>
      <c r="N2" s="152">
        <f>IFERROR(__xludf.DUMMYFUNCTION("""COMPUTED_VALUE"""),17750.9)</f>
        <v>17750.9</v>
      </c>
      <c r="O2" s="154">
        <f>IFERROR(__xludf.DUMMYFUNCTION("""COMPUTED_VALUE"""),2088110.6716)</f>
        <v>2088110.672</v>
      </c>
      <c r="P2" s="154">
        <f>IFERROR(__xludf.DUMMYFUNCTION("""COMPUTED_VALUE"""),1470.0)</f>
        <v>1470</v>
      </c>
      <c r="Q2" s="155">
        <f>IFERROR(__xludf.DUMMYFUNCTION("""COMPUTED_VALUE"""),594.9607652517008)</f>
        <v>594.9607653</v>
      </c>
      <c r="R2" s="154">
        <f>IFERROR(__xludf.DUMMYFUNCTION("""COMPUTED_VALUE"""),874592.3249200002)</f>
        <v>874592.3249</v>
      </c>
      <c r="S2" s="154">
        <f>IFERROR(__xludf.DUMMYFUNCTION("""COMPUTED_VALUE"""),1465.0)</f>
        <v>1465</v>
      </c>
      <c r="T2" s="154">
        <f>IFERROR(__xludf.DUMMYFUNCTION("""COMPUTED_VALUE"""),1106954.2517890518)</f>
        <v>1106954.252</v>
      </c>
      <c r="U2" s="156">
        <f>IFERROR(__xludf.DUMMYFUNCTION("""COMPUTED_VALUE"""),1048.78)</f>
        <v>1048.78</v>
      </c>
      <c r="V2" s="156">
        <f>IFERROR(__xludf.DUMMYFUNCTION("""COMPUTED_VALUE"""),47.67181818181818)</f>
        <v>47.67181818</v>
      </c>
      <c r="W2" s="157">
        <f>IFERROR(__xludf.DUMMYFUNCTION("""COMPUTED_VALUE"""),0.2952008101882973)</f>
        <v>0.2952008102</v>
      </c>
      <c r="X2" s="154">
        <f>IFERROR(__xludf.DUMMYFUNCTION("""COMPUTED_VALUE"""),2962702.99652)</f>
        <v>2962702.997</v>
      </c>
      <c r="Y2" s="154"/>
    </row>
    <row r="3">
      <c r="A3" s="150">
        <f>IFERROR(__xludf.DUMMYFUNCTION("""COMPUTED_VALUE"""),45987.0)</f>
        <v>45987</v>
      </c>
      <c r="B3" s="151">
        <f>IFERROR(__xludf.DUMMYFUNCTION("""COMPUTED_VALUE"""),5251104.0)</f>
        <v>5251104</v>
      </c>
      <c r="C3" s="151" t="str">
        <f>IFERROR(__xludf.DUMMYFUNCTION("""COMPUTED_VALUE"""),"Cartoon Inversor 1")</f>
        <v>Cartoon Inversor 1</v>
      </c>
      <c r="D3" s="152">
        <f>IFERROR(__xludf.DUMMYFUNCTION("""COMPUTED_VALUE"""),0.27)</f>
        <v>0.27</v>
      </c>
      <c r="E3" s="153">
        <f>IFERROR(__xludf.DUMMYFUNCTION("""COMPUTED_VALUE"""),4612.0)</f>
        <v>4612</v>
      </c>
      <c r="F3" s="153">
        <f>IFERROR(__xludf.DUMMYFUNCTION("""COMPUTED_VALUE"""),77.0)</f>
        <v>77</v>
      </c>
      <c r="G3" s="153">
        <f>IFERROR(__xludf.DUMMYFUNCTION("""COMPUTED_VALUE"""),108.0)</f>
        <v>108</v>
      </c>
      <c r="H3" s="153">
        <f>IFERROR(__xludf.DUMMYFUNCTION("""COMPUTED_VALUE"""),4427.0)</f>
        <v>4427</v>
      </c>
      <c r="I3" s="153" t="str">
        <f>IFERROR(__xludf.DUMMYFUNCTION("""COMPUTED_VALUE"""),"T5-Ba")</f>
        <v>T5-Ba</v>
      </c>
      <c r="J3" s="154">
        <f>IFERROR(__xludf.DUMMYFUNCTION("""COMPUTED_VALUE"""),163.3724)</f>
        <v>163.3724</v>
      </c>
      <c r="K3" s="154">
        <f>IFERROR(__xludf.DUMMYFUNCTION("""COMPUTED_VALUE"""),160.5827)</f>
        <v>160.5827</v>
      </c>
      <c r="L3" s="154">
        <f>IFERROR(__xludf.DUMMYFUNCTION("""COMPUTED_VALUE"""),161.3854)</f>
        <v>161.3854</v>
      </c>
      <c r="M3" s="152">
        <f>IFERROR(__xludf.DUMMYFUNCTION("""COMPUTED_VALUE"""),4394.8)</f>
        <v>4394.8</v>
      </c>
      <c r="N3" s="153">
        <f>IFERROR(__xludf.DUMMYFUNCTION("""COMPUTED_VALUE"""),9006.8)</f>
        <v>9006.8</v>
      </c>
      <c r="O3" s="154">
        <f>IFERROR(__xludf.DUMMYFUNCTION("""COMPUTED_VALUE"""),744375.7722000001)</f>
        <v>744375.7722</v>
      </c>
      <c r="P3" s="154">
        <f>IFERROR(__xludf.DUMMYFUNCTION("""COMPUTED_VALUE"""),1470.0)</f>
        <v>1470</v>
      </c>
      <c r="Q3" s="155">
        <f>IFERROR(__xludf.DUMMYFUNCTION("""COMPUTED_VALUE"""),482.48745300680275)</f>
        <v>482.487453</v>
      </c>
      <c r="R3" s="154">
        <f>IFERROR(__xludf.DUMMYFUNCTION("""COMPUTED_VALUE"""),709256.5559200001)</f>
        <v>709256.5559</v>
      </c>
      <c r="S3" s="154">
        <f>IFERROR(__xludf.DUMMYFUNCTION("""COMPUTED_VALUE"""),1465.0)</f>
        <v>1465</v>
      </c>
      <c r="T3" s="154">
        <f>IFERROR(__xludf.DUMMYFUNCTION("""COMPUTED_VALUE"""),897692.0306918068)</f>
        <v>897692.0307</v>
      </c>
      <c r="U3" s="156">
        <f>IFERROR(__xludf.DUMMYFUNCTION("""COMPUTED_VALUE"""),878.96)</f>
        <v>878.96</v>
      </c>
      <c r="V3" s="156">
        <f>IFERROR(__xludf.DUMMYFUNCTION("""COMPUTED_VALUE"""),39.95272727272727)</f>
        <v>39.95272727</v>
      </c>
      <c r="W3" s="157">
        <f>IFERROR(__xludf.DUMMYFUNCTION("""COMPUTED_VALUE"""),0.4879201860055561)</f>
        <v>0.487920186</v>
      </c>
      <c r="X3" s="154">
        <f>IFERROR(__xludf.DUMMYFUNCTION("""COMPUTED_VALUE"""),1453632.3281200002)</f>
        <v>1453632.328</v>
      </c>
      <c r="Y3" s="154"/>
    </row>
    <row r="4">
      <c r="A4" s="150">
        <f>IFERROR(__xludf.DUMMYFUNCTION("""COMPUTED_VALUE"""),45931.0)</f>
        <v>45931</v>
      </c>
      <c r="B4" s="151">
        <f>IFERROR(__xludf.DUMMYFUNCTION("""COMPUTED_VALUE"""),5251104.0)</f>
        <v>5251104</v>
      </c>
      <c r="C4" s="151" t="str">
        <f>IFERROR(__xludf.DUMMYFUNCTION("""COMPUTED_VALUE"""),"Cartoon Inversor 1")</f>
        <v>Cartoon Inversor 1</v>
      </c>
      <c r="D4" s="152">
        <f>IFERROR(__xludf.DUMMYFUNCTION("""COMPUTED_VALUE"""),0.27)</f>
        <v>0.27</v>
      </c>
      <c r="E4" s="153">
        <f>IFERROR(__xludf.DUMMYFUNCTION("""COMPUTED_VALUE"""),1872.0)</f>
        <v>1872</v>
      </c>
      <c r="F4" s="153">
        <f>IFERROR(__xludf.DUMMYFUNCTION("""COMPUTED_VALUE"""),120.0)</f>
        <v>120</v>
      </c>
      <c r="G4" s="153">
        <f>IFERROR(__xludf.DUMMYFUNCTION("""COMPUTED_VALUE"""),180.0)</f>
        <v>180</v>
      </c>
      <c r="H4" s="153">
        <f>IFERROR(__xludf.DUMMYFUNCTION("""COMPUTED_VALUE"""),1572.0)</f>
        <v>1572</v>
      </c>
      <c r="I4" s="151" t="str">
        <f>IFERROR(__xludf.DUMMYFUNCTION("""COMPUTED_VALUE"""),"T5-Ba")</f>
        <v>T5-Ba</v>
      </c>
      <c r="J4" s="154">
        <f>IFERROR(__xludf.DUMMYFUNCTION("""COMPUTED_VALUE"""),170.9156)</f>
        <v>170.9156</v>
      </c>
      <c r="K4" s="154">
        <f>IFERROR(__xludf.DUMMYFUNCTION("""COMPUTED_VALUE"""),168.0814)</f>
        <v>168.0814</v>
      </c>
      <c r="L4" s="154">
        <f>IFERROR(__xludf.DUMMYFUNCTION("""COMPUTED_VALUE"""),169.332)</f>
        <v>169.332</v>
      </c>
      <c r="M4" s="152">
        <f>IFERROR(__xludf.DUMMYFUNCTION("""COMPUTED_VALUE"""),3836.5)</f>
        <v>3836.5</v>
      </c>
      <c r="N4" s="153">
        <f>IFERROR(__xludf.DUMMYFUNCTION("""COMPUTED_VALUE"""),5708.5)</f>
        <v>5708.5</v>
      </c>
      <c r="O4" s="154">
        <f>IFERROR(__xludf.DUMMYFUNCTION("""COMPUTED_VALUE"""),316954.42799999996)</f>
        <v>316954.428</v>
      </c>
      <c r="P4" s="154">
        <f>IFERROR(__xludf.DUMMYFUNCTION("""COMPUTED_VALUE"""),1450.0)</f>
        <v>1450</v>
      </c>
      <c r="Q4" s="155">
        <f>IFERROR(__xludf.DUMMYFUNCTION("""COMPUTED_VALUE"""),448.029115862069)</f>
        <v>448.0291159</v>
      </c>
      <c r="R4" s="154">
        <f>IFERROR(__xludf.DUMMYFUNCTION("""COMPUTED_VALUE"""),649642.218)</f>
        <v>649642.218</v>
      </c>
      <c r="S4" s="154">
        <f>IFERROR(__xludf.DUMMYFUNCTION("""COMPUTED_VALUE"""),1465.0)</f>
        <v>1465</v>
      </c>
      <c r="T4" s="154">
        <f>IFERROR(__xludf.DUMMYFUNCTION("""COMPUTED_VALUE"""),833580.5715171725)</f>
        <v>833580.5715</v>
      </c>
      <c r="U4" s="156">
        <f>IFERROR(__xludf.DUMMYFUNCTION("""COMPUTED_VALUE"""),767.3000000000001)</f>
        <v>767.3</v>
      </c>
      <c r="V4" s="156">
        <f>IFERROR(__xludf.DUMMYFUNCTION("""COMPUTED_VALUE"""),34.87727272727273)</f>
        <v>34.87727273</v>
      </c>
      <c r="W4" s="157">
        <f>IFERROR(__xludf.DUMMYFUNCTION("""COMPUTED_VALUE"""),0.6720923569188549)</f>
        <v>0.6720923569</v>
      </c>
      <c r="X4" s="154">
        <f>IFERROR(__xludf.DUMMYFUNCTION("""COMPUTED_VALUE"""),966596.646)</f>
        <v>966596.646</v>
      </c>
      <c r="Y4" s="154"/>
    </row>
    <row r="5">
      <c r="A5" s="150">
        <f>IFERROR(__xludf.DUMMYFUNCTION("""COMPUTED_VALUE"""),45925.0)</f>
        <v>45925</v>
      </c>
      <c r="B5" s="151">
        <f>IFERROR(__xludf.DUMMYFUNCTION("""COMPUTED_VALUE"""),5251104.0)</f>
        <v>5251104</v>
      </c>
      <c r="C5" s="151" t="str">
        <f>IFERROR(__xludf.DUMMYFUNCTION("""COMPUTED_VALUE"""),"Cartoon Inversor 1")</f>
        <v>Cartoon Inversor 1</v>
      </c>
      <c r="D5" s="152">
        <f>IFERROR(__xludf.DUMMYFUNCTION("""COMPUTED_VALUE"""),0.27)</f>
        <v>0.27</v>
      </c>
      <c r="E5" s="153">
        <f>IFERROR(__xludf.DUMMYFUNCTION("""COMPUTED_VALUE"""),7899.0)</f>
        <v>7899</v>
      </c>
      <c r="F5" s="153">
        <f>IFERROR(__xludf.DUMMYFUNCTION("""COMPUTED_VALUE"""),445.0)</f>
        <v>445</v>
      </c>
      <c r="G5" s="153">
        <f>IFERROR(__xludf.DUMMYFUNCTION("""COMPUTED_VALUE"""),221.0)</f>
        <v>221</v>
      </c>
      <c r="H5" s="153">
        <f>IFERROR(__xludf.DUMMYFUNCTION("""COMPUTED_VALUE"""),7233.0)</f>
        <v>7233</v>
      </c>
      <c r="I5" s="151" t="str">
        <f>IFERROR(__xludf.DUMMYFUNCTION("""COMPUTED_VALUE"""),"T5-Ba")</f>
        <v>T5-Ba</v>
      </c>
      <c r="J5" s="154">
        <f>IFERROR(__xludf.DUMMYFUNCTION("""COMPUTED_VALUE"""),170.107)</f>
        <v>170.107</v>
      </c>
      <c r="K5" s="154">
        <f>IFERROR(__xludf.DUMMYFUNCTION("""COMPUTED_VALUE"""),167.2668)</f>
        <v>167.2668</v>
      </c>
      <c r="L5" s="154">
        <f>IFERROR(__xludf.DUMMYFUNCTION("""COMPUTED_VALUE"""),168.521)</f>
        <v>168.521</v>
      </c>
      <c r="M5" s="152">
        <f>IFERROR(__xludf.DUMMYFUNCTION("""COMPUTED_VALUE"""),4463.7)</f>
        <v>4463.7</v>
      </c>
      <c r="N5" s="153">
        <f>IFERROR(__xludf.DUMMYFUNCTION("""COMPUTED_VALUE"""),12362.7)</f>
        <v>12362.7</v>
      </c>
      <c r="O5" s="154">
        <f>IFERROR(__xludf.DUMMYFUNCTION("""COMPUTED_VALUE"""),1331575.9708)</f>
        <v>1331575.971</v>
      </c>
      <c r="P5" s="154">
        <f>IFERROR(__xludf.DUMMYFUNCTION("""COMPUTED_VALUE"""),1425.0)</f>
        <v>1425</v>
      </c>
      <c r="Q5" s="155">
        <f>IFERROR(__xludf.DUMMYFUNCTION("""COMPUTED_VALUE"""),527.8787282105262)</f>
        <v>527.8787282</v>
      </c>
      <c r="R5" s="154">
        <f>IFERROR(__xludf.DUMMYFUNCTION("""COMPUTED_VALUE"""),752227.1876999999)</f>
        <v>752227.1877</v>
      </c>
      <c r="S5" s="154">
        <f>IFERROR(__xludf.DUMMYFUNCTION("""COMPUTED_VALUE"""),1465.0)</f>
        <v>1465</v>
      </c>
      <c r="T5" s="154">
        <f>IFERROR(__xludf.DUMMYFUNCTION("""COMPUTED_VALUE"""),982144.7677720945)</f>
        <v>982144.7678</v>
      </c>
      <c r="U5" s="156">
        <f>IFERROR(__xludf.DUMMYFUNCTION("""COMPUTED_VALUE"""),892.74)</f>
        <v>892.74</v>
      </c>
      <c r="V5" s="156">
        <f>IFERROR(__xludf.DUMMYFUNCTION("""COMPUTED_VALUE"""),40.57909090909091)</f>
        <v>40.57909091</v>
      </c>
      <c r="W5" s="157">
        <f>IFERROR(__xludf.DUMMYFUNCTION("""COMPUTED_VALUE"""),0.36098764157814284)</f>
        <v>0.3609876416</v>
      </c>
      <c r="X5" s="154">
        <f>IFERROR(__xludf.DUMMYFUNCTION("""COMPUTED_VALUE"""),2083803.1585)</f>
        <v>2083803.159</v>
      </c>
      <c r="Y5" s="154"/>
    </row>
    <row r="6">
      <c r="A6" s="150">
        <f>IFERROR(__xludf.DUMMYFUNCTION("""COMPUTED_VALUE"""),45893.0)</f>
        <v>45893</v>
      </c>
      <c r="B6" s="151">
        <f>IFERROR(__xludf.DUMMYFUNCTION("""COMPUTED_VALUE"""),5251104.0)</f>
        <v>5251104</v>
      </c>
      <c r="C6" s="151" t="str">
        <f>IFERROR(__xludf.DUMMYFUNCTION("""COMPUTED_VALUE"""),"Cartoon Inversor 1")</f>
        <v>Cartoon Inversor 1</v>
      </c>
      <c r="D6" s="152">
        <f>IFERROR(__xludf.DUMMYFUNCTION("""COMPUTED_VALUE"""),0.27)</f>
        <v>0.27</v>
      </c>
      <c r="E6" s="153">
        <f>IFERROR(__xludf.DUMMYFUNCTION("""COMPUTED_VALUE"""),4539.0)</f>
        <v>4539</v>
      </c>
      <c r="F6" s="153">
        <f>IFERROR(__xludf.DUMMYFUNCTION("""COMPUTED_VALUE"""),411.0)</f>
        <v>411</v>
      </c>
      <c r="G6" s="153">
        <f>IFERROR(__xludf.DUMMYFUNCTION("""COMPUTED_VALUE"""),112.0)</f>
        <v>112</v>
      </c>
      <c r="H6" s="153">
        <f>IFERROR(__xludf.DUMMYFUNCTION("""COMPUTED_VALUE"""),4016.0)</f>
        <v>4016</v>
      </c>
      <c r="I6" s="151" t="str">
        <f>IFERROR(__xludf.DUMMYFUNCTION("""COMPUTED_VALUE"""),"T6-Me")</f>
        <v>T6-Me</v>
      </c>
      <c r="J6" s="154">
        <f>IFERROR(__xludf.DUMMYFUNCTION("""COMPUTED_VALUE"""),194.1304)</f>
        <v>194.1304</v>
      </c>
      <c r="K6" s="154">
        <f>IFERROR(__xludf.DUMMYFUNCTION("""COMPUTED_VALUE"""),191.5662)</f>
        <v>191.5662</v>
      </c>
      <c r="L6" s="154">
        <f>IFERROR(__xludf.DUMMYFUNCTION("""COMPUTED_VALUE"""),192.6979)</f>
        <v>192.6979</v>
      </c>
      <c r="M6" s="152">
        <f>IFERROR(__xludf.DUMMYFUNCTION("""COMPUTED_VALUE"""),4656.4)</f>
        <v>4656.4</v>
      </c>
      <c r="N6" s="153">
        <f>IFERROR(__xludf.DUMMYFUNCTION("""COMPUTED_VALUE"""),9195.4)</f>
        <v>9195.4</v>
      </c>
      <c r="O6" s="154">
        <f>IFERROR(__xludf.DUMMYFUNCTION("""COMPUTED_VALUE"""),875117.7752)</f>
        <v>875117.7752</v>
      </c>
      <c r="P6" s="154">
        <f>IFERROR(__xludf.DUMMYFUNCTION("""COMPUTED_VALUE"""),1340.0)</f>
        <v>1340</v>
      </c>
      <c r="Q6" s="155">
        <f>IFERROR(__xludf.DUMMYFUNCTION("""COMPUTED_VALUE"""),669.6108220597015)</f>
        <v>669.6108221</v>
      </c>
      <c r="R6" s="154">
        <f>IFERROR(__xludf.DUMMYFUNCTION("""COMPUTED_VALUE"""),897278.50156)</f>
        <v>897278.5016</v>
      </c>
      <c r="S6" s="154">
        <f>IFERROR(__xludf.DUMMYFUNCTION("""COMPUTED_VALUE"""),1465.0)</f>
        <v>1465</v>
      </c>
      <c r="T6" s="154">
        <f>IFERROR(__xludf.DUMMYFUNCTION("""COMPUTED_VALUE"""),1245844.4149831776)</f>
        <v>1245844.415</v>
      </c>
      <c r="U6" s="156">
        <f>IFERROR(__xludf.DUMMYFUNCTION("""COMPUTED_VALUE"""),931.28)</f>
        <v>931.28</v>
      </c>
      <c r="V6" s="156">
        <f>IFERROR(__xludf.DUMMYFUNCTION("""COMPUTED_VALUE"""),42.33090909090909)</f>
        <v>42.33090909</v>
      </c>
      <c r="W6" s="157">
        <f>IFERROR(__xludf.DUMMYFUNCTION("""COMPUTED_VALUE"""),0.5062516285580646)</f>
        <v>0.5062516286</v>
      </c>
      <c r="X6" s="154">
        <f>IFERROR(__xludf.DUMMYFUNCTION("""COMPUTED_VALUE"""),1772396.27676)</f>
        <v>1772396.277</v>
      </c>
      <c r="Y6" s="154"/>
    </row>
    <row r="7">
      <c r="A7" s="150">
        <f>IFERROR(__xludf.DUMMYFUNCTION("""COMPUTED_VALUE"""),45839.0)</f>
        <v>45839</v>
      </c>
      <c r="B7" s="151">
        <f>IFERROR(__xludf.DUMMYFUNCTION("""COMPUTED_VALUE"""),5251104.0)</f>
        <v>5251104</v>
      </c>
      <c r="C7" s="151" t="str">
        <f>IFERROR(__xludf.DUMMYFUNCTION("""COMPUTED_VALUE"""),"Cartoon Inversor 1")</f>
        <v>Cartoon Inversor 1</v>
      </c>
      <c r="D7" s="152">
        <f>IFERROR(__xludf.DUMMYFUNCTION("""COMPUTED_VALUE"""),0.27)</f>
        <v>0.27</v>
      </c>
      <c r="E7" s="153">
        <f>IFERROR(__xludf.DUMMYFUNCTION("""COMPUTED_VALUE"""),6490.0)</f>
        <v>6490</v>
      </c>
      <c r="F7" s="153">
        <f>IFERROR(__xludf.DUMMYFUNCTION("""COMPUTED_VALUE"""),648.0)</f>
        <v>648</v>
      </c>
      <c r="G7" s="153">
        <f>IFERROR(__xludf.DUMMYFUNCTION("""COMPUTED_VALUE"""),132.0)</f>
        <v>132</v>
      </c>
      <c r="H7" s="153">
        <f>IFERROR(__xludf.DUMMYFUNCTION("""COMPUTED_VALUE"""),5710.0)</f>
        <v>5710</v>
      </c>
      <c r="I7" s="151" t="str">
        <f>IFERROR(__xludf.DUMMYFUNCTION("""COMPUTED_VALUE"""),"T6-Me")</f>
        <v>T6-Me</v>
      </c>
      <c r="J7" s="154">
        <f>IFERROR(__xludf.DUMMYFUNCTION("""COMPUTED_VALUE"""),185.8715)</f>
        <v>185.8715</v>
      </c>
      <c r="K7" s="154">
        <f>IFERROR(__xludf.DUMMYFUNCTION("""COMPUTED_VALUE"""),183.3095)</f>
        <v>183.3095</v>
      </c>
      <c r="L7" s="154">
        <f>IFERROR(__xludf.DUMMYFUNCTION("""COMPUTED_VALUE"""),184.4402)</f>
        <v>184.4402</v>
      </c>
      <c r="M7" s="152">
        <f>IFERROR(__xludf.DUMMYFUNCTION("""COMPUTED_VALUE"""),5248.7)</f>
        <v>5248.7</v>
      </c>
      <c r="N7" s="153">
        <f>IFERROR(__xludf.DUMMYFUNCTION("""COMPUTED_VALUE"""),11738.7)</f>
        <v>11738.7</v>
      </c>
      <c r="O7" s="154">
        <f>IFERROR(__xludf.DUMMYFUNCTION("""COMPUTED_VALUE"""),1197795.128)</f>
        <v>1197795.128</v>
      </c>
      <c r="P7" s="154">
        <f>IFERROR(__xludf.DUMMYFUNCTION("""COMPUTED_VALUE"""),1280.0)</f>
        <v>1280</v>
      </c>
      <c r="Q7" s="155">
        <f>IFERROR(__xludf.DUMMYFUNCTION("""COMPUTED_VALUE"""),756.305685734375)</f>
        <v>756.3056857</v>
      </c>
      <c r="R7" s="154">
        <f>IFERROR(__xludf.DUMMYFUNCTION("""COMPUTED_VALUE"""),968071.2777399999)</f>
        <v>968071.2777</v>
      </c>
      <c r="S7" s="154">
        <f>IFERROR(__xludf.DUMMYFUNCTION("""COMPUTED_VALUE"""),1465.0)</f>
        <v>1465</v>
      </c>
      <c r="T7" s="154">
        <f>IFERROR(__xludf.DUMMYFUNCTION("""COMPUTED_VALUE"""),1407144.5435930912)</f>
        <v>1407144.544</v>
      </c>
      <c r="U7" s="156">
        <f>IFERROR(__xludf.DUMMYFUNCTION("""COMPUTED_VALUE"""),1049.74)</f>
        <v>1049.74</v>
      </c>
      <c r="V7" s="156">
        <f>IFERROR(__xludf.DUMMYFUNCTION("""COMPUTED_VALUE"""),47.71545454545455)</f>
        <v>47.71545455</v>
      </c>
      <c r="W7" s="157">
        <f>IFERROR(__xludf.DUMMYFUNCTION("""COMPUTED_VALUE"""),0.4469672160639308)</f>
        <v>0.4469672161</v>
      </c>
      <c r="X7" s="154">
        <f>IFERROR(__xludf.DUMMYFUNCTION("""COMPUTED_VALUE"""),2165866.40574)</f>
        <v>2165866.406</v>
      </c>
      <c r="Y7" s="154"/>
    </row>
    <row r="8">
      <c r="A8" s="150">
        <f>IFERROR(__xludf.DUMMYFUNCTION("""COMPUTED_VALUE"""),45809.0)</f>
        <v>45809</v>
      </c>
      <c r="B8" s="151">
        <f>IFERROR(__xludf.DUMMYFUNCTION("""COMPUTED_VALUE"""),5251104.0)</f>
        <v>5251104</v>
      </c>
      <c r="C8" s="151" t="str">
        <f>IFERROR(__xludf.DUMMYFUNCTION("""COMPUTED_VALUE"""),"Cartoon Inversor 1")</f>
        <v>Cartoon Inversor 1</v>
      </c>
      <c r="D8" s="152">
        <f>IFERROR(__xludf.DUMMYFUNCTION("""COMPUTED_VALUE"""),0.27)</f>
        <v>0.27</v>
      </c>
      <c r="E8" s="153">
        <f>IFERROR(__xludf.DUMMYFUNCTION("""COMPUTED_VALUE"""),22907.0)</f>
        <v>22907</v>
      </c>
      <c r="F8" s="153">
        <f>IFERROR(__xludf.DUMMYFUNCTION("""COMPUTED_VALUE"""),4199.0)</f>
        <v>4199</v>
      </c>
      <c r="G8" s="153">
        <f>IFERROR(__xludf.DUMMYFUNCTION("""COMPUTED_VALUE"""),4543.0)</f>
        <v>4543</v>
      </c>
      <c r="H8" s="153">
        <f>IFERROR(__xludf.DUMMYFUNCTION("""COMPUTED_VALUE"""),14165.0)</f>
        <v>14165</v>
      </c>
      <c r="I8" s="151" t="str">
        <f>IFERROR(__xludf.DUMMYFUNCTION("""COMPUTED_VALUE"""),"T6-Me")</f>
        <v>T6-Me</v>
      </c>
      <c r="J8" s="154">
        <f>IFERROR(__xludf.DUMMYFUNCTION("""COMPUTED_VALUE"""),185.9218)</f>
        <v>185.9218</v>
      </c>
      <c r="K8" s="154">
        <f>IFERROR(__xludf.DUMMYFUNCTION("""COMPUTED_VALUE"""),183.3928)</f>
        <v>183.3928</v>
      </c>
      <c r="L8" s="154">
        <f>IFERROR(__xludf.DUMMYFUNCTION("""COMPUTED_VALUE"""),184.5092)</f>
        <v>184.5092</v>
      </c>
      <c r="M8" s="152">
        <f>IFERROR(__xludf.DUMMYFUNCTION("""COMPUTED_VALUE"""),5601.5)</f>
        <v>5601.5</v>
      </c>
      <c r="N8" s="153">
        <f>IFERROR(__xludf.DUMMYFUNCTION("""COMPUTED_VALUE"""),28508.5)</f>
        <v>28508.5</v>
      </c>
      <c r="O8" s="154">
        <f>IFERROR(__xludf.DUMMYFUNCTION("""COMPUTED_VALUE"""),4227411.946599999)</f>
        <v>4227411.947</v>
      </c>
      <c r="P8" s="154">
        <f>IFERROR(__xludf.DUMMYFUNCTION("""COMPUTED_VALUE"""),1140.0)</f>
        <v>1140</v>
      </c>
      <c r="Q8" s="155">
        <f>IFERROR(__xludf.DUMMYFUNCTION("""COMPUTED_VALUE"""),906.6037577192982)</f>
        <v>906.6037577</v>
      </c>
      <c r="R8" s="154">
        <f>IFERROR(__xludf.DUMMYFUNCTION("""COMPUTED_VALUE"""),1033528.2838)</f>
        <v>1033528.284</v>
      </c>
      <c r="S8" s="154">
        <f>IFERROR(__xludf.DUMMYFUNCTION("""COMPUTED_VALUE"""),1465.0)</f>
        <v>1465</v>
      </c>
      <c r="T8" s="154">
        <f>IFERROR(__xludf.DUMMYFUNCTION("""COMPUTED_VALUE"""),1686781.6214246403)</f>
        <v>1686781.621</v>
      </c>
      <c r="U8" s="156">
        <f>IFERROR(__xludf.DUMMYFUNCTION("""COMPUTED_VALUE"""),1120.3)</f>
        <v>1120.3</v>
      </c>
      <c r="V8" s="156">
        <f>IFERROR(__xludf.DUMMYFUNCTION("""COMPUTED_VALUE"""),50.92272727272727)</f>
        <v>50.92272727</v>
      </c>
      <c r="W8" s="157">
        <f>IFERROR(__xludf.DUMMYFUNCTION("""COMPUTED_VALUE"""),0.19645315067976332)</f>
        <v>0.1964531507</v>
      </c>
      <c r="X8" s="154">
        <f>IFERROR(__xludf.DUMMYFUNCTION("""COMPUTED_VALUE"""),5260940.2304)</f>
        <v>5260940.23</v>
      </c>
      <c r="Y8" s="154"/>
    </row>
    <row r="9">
      <c r="A9" s="150">
        <f>IFERROR(__xludf.DUMMYFUNCTION("""COMPUTED_VALUE"""),45778.0)</f>
        <v>45778</v>
      </c>
      <c r="B9" s="151">
        <f>IFERROR(__xludf.DUMMYFUNCTION("""COMPUTED_VALUE"""),5251104.0)</f>
        <v>5251104</v>
      </c>
      <c r="C9" s="151" t="str">
        <f>IFERROR(__xludf.DUMMYFUNCTION("""COMPUTED_VALUE"""),"Cartoon Inversor 1")</f>
        <v>Cartoon Inversor 1</v>
      </c>
      <c r="D9" s="152">
        <f>IFERROR(__xludf.DUMMYFUNCTION("""COMPUTED_VALUE"""),0.27)</f>
        <v>0.27</v>
      </c>
      <c r="E9" s="153">
        <f>IFERROR(__xludf.DUMMYFUNCTION("""COMPUTED_VALUE"""),6466.0)</f>
        <v>6466</v>
      </c>
      <c r="F9" s="153">
        <f>IFERROR(__xludf.DUMMYFUNCTION("""COMPUTED_VALUE"""),88.0)</f>
        <v>88</v>
      </c>
      <c r="G9" s="153">
        <f>IFERROR(__xludf.DUMMYFUNCTION("""COMPUTED_VALUE"""),101.0)</f>
        <v>101</v>
      </c>
      <c r="H9" s="153">
        <f>IFERROR(__xludf.DUMMYFUNCTION("""COMPUTED_VALUE"""),6277.0)</f>
        <v>6277</v>
      </c>
      <c r="I9" s="151" t="str">
        <f>IFERROR(__xludf.DUMMYFUNCTION("""COMPUTED_VALUE"""),"T6")</f>
        <v>T6</v>
      </c>
      <c r="J9" s="154">
        <f>IFERROR(__xludf.DUMMYFUNCTION("""COMPUTED_VALUE"""),185.5394)</f>
        <v>185.5394</v>
      </c>
      <c r="K9" s="154">
        <f>IFERROR(__xludf.DUMMYFUNCTION("""COMPUTED_VALUE"""),183.0479)</f>
        <v>183.0479</v>
      </c>
      <c r="L9" s="154">
        <f>IFERROR(__xludf.DUMMYFUNCTION("""COMPUTED_VALUE"""),184.1477)</f>
        <v>184.1477</v>
      </c>
      <c r="M9" s="152">
        <f>IFERROR(__xludf.DUMMYFUNCTION("""COMPUTED_VALUE"""),7863.8)</f>
        <v>7863.8</v>
      </c>
      <c r="N9" s="153">
        <f>IFERROR(__xludf.DUMMYFUNCTION("""COMPUTED_VALUE"""),14329.8)</f>
        <v>14329.8</v>
      </c>
      <c r="O9" s="154">
        <f>IFERROR(__xludf.DUMMYFUNCTION("""COMPUTED_VALUE"""),1190710.4179999998)</f>
        <v>1190710.418</v>
      </c>
      <c r="P9" s="154">
        <f>IFERROR(__xludf.DUMMYFUNCTION("""COMPUTED_VALUE"""),1140.0)</f>
        <v>1140</v>
      </c>
      <c r="Q9" s="155">
        <f>IFERROR(__xludf.DUMMYFUNCTION("""COMPUTED_VALUE"""),1270.263757245614)</f>
        <v>1270.263757</v>
      </c>
      <c r="R9" s="154">
        <f>IFERROR(__xludf.DUMMYFUNCTION("""COMPUTED_VALUE"""),1448100.6832599998)</f>
        <v>1448100.683</v>
      </c>
      <c r="S9" s="154">
        <f>IFERROR(__xludf.DUMMYFUNCTION("""COMPUTED_VALUE"""),1465.0)</f>
        <v>1465</v>
      </c>
      <c r="T9" s="154">
        <f>IFERROR(__xludf.DUMMYFUNCTION("""COMPUTED_VALUE"""),2363389.233543327)</f>
        <v>2363389.234</v>
      </c>
      <c r="U9" s="156">
        <f>IFERROR(__xludf.DUMMYFUNCTION("""COMPUTED_VALUE"""),1572.7600000000002)</f>
        <v>1572.76</v>
      </c>
      <c r="V9" s="156">
        <f>IFERROR(__xludf.DUMMYFUNCTION("""COMPUTED_VALUE"""),71.48909090909092)</f>
        <v>71.48909091</v>
      </c>
      <c r="W9" s="157">
        <f>IFERROR(__xludf.DUMMYFUNCTION("""COMPUTED_VALUE"""),0.548770119455898)</f>
        <v>0.5487701195</v>
      </c>
      <c r="X9" s="154">
        <f>IFERROR(__xludf.DUMMYFUNCTION("""COMPUTED_VALUE"""),2638811.10126)</f>
        <v>2638811.101</v>
      </c>
      <c r="Y9" s="154"/>
    </row>
    <row r="10">
      <c r="A10" s="167">
        <f>IFERROR(__xludf.DUMMYFUNCTION("""COMPUTED_VALUE"""),45748.0)</f>
        <v>45748</v>
      </c>
      <c r="B10" s="151">
        <f>IFERROR(__xludf.DUMMYFUNCTION("""COMPUTED_VALUE"""),5251104.0)</f>
        <v>5251104</v>
      </c>
      <c r="C10" s="151" t="str">
        <f>IFERROR(__xludf.DUMMYFUNCTION("""COMPUTED_VALUE"""),"Cartoon Inversor 1")</f>
        <v>Cartoon Inversor 1</v>
      </c>
      <c r="D10" s="152">
        <f>IFERROR(__xludf.DUMMYFUNCTION("""COMPUTED_VALUE"""),0.27)</f>
        <v>0.27</v>
      </c>
      <c r="E10" s="153">
        <f>IFERROR(__xludf.DUMMYFUNCTION("""COMPUTED_VALUE"""),10645.0)</f>
        <v>10645</v>
      </c>
      <c r="F10" s="153">
        <f>IFERROR(__xludf.DUMMYFUNCTION("""COMPUTED_VALUE"""),1564.0)</f>
        <v>1564</v>
      </c>
      <c r="G10" s="153">
        <f>IFERROR(__xludf.DUMMYFUNCTION("""COMPUTED_VALUE"""),649.0)</f>
        <v>649</v>
      </c>
      <c r="H10" s="153">
        <f>IFERROR(__xludf.DUMMYFUNCTION("""COMPUTED_VALUE"""),8432.0)</f>
        <v>8432</v>
      </c>
      <c r="I10" s="151" t="str">
        <f>IFERROR(__xludf.DUMMYFUNCTION("""COMPUTED_VALUE"""),"T6")</f>
        <v>T6</v>
      </c>
      <c r="J10" s="154">
        <f>IFERROR(__xludf.DUMMYFUNCTION("""COMPUTED_VALUE"""),183.2876)</f>
        <v>183.2876</v>
      </c>
      <c r="K10" s="154">
        <f>IFERROR(__xludf.DUMMYFUNCTION("""COMPUTED_VALUE"""),180.8508)</f>
        <v>180.8508</v>
      </c>
      <c r="L10" s="154">
        <f>IFERROR(__xludf.DUMMYFUNCTION("""COMPUTED_VALUE"""),181.9266)</f>
        <v>181.9266</v>
      </c>
      <c r="M10" s="152">
        <f>IFERROR(__xludf.DUMMYFUNCTION("""COMPUTED_VALUE"""),1638.5)</f>
        <v>1638.5</v>
      </c>
      <c r="N10" s="153">
        <f>IFERROR(__xludf.DUMMYFUNCTION("""COMPUTED_VALUE"""),12283.5)</f>
        <v>12283.5</v>
      </c>
      <c r="O10" s="154">
        <f>IFERROR(__xludf.DUMMYFUNCTION("""COMPUTED_VALUE"""),1938039.0668000001)</f>
        <v>1938039.067</v>
      </c>
      <c r="P10" s="154">
        <f>IFERROR(__xludf.DUMMYFUNCTION("""COMPUTED_VALUE"""),1140.0)</f>
        <v>1140</v>
      </c>
      <c r="Q10" s="155">
        <f>IFERROR(__xludf.DUMMYFUNCTION("""COMPUTED_VALUE"""),261.4795913157895)</f>
        <v>261.4795913</v>
      </c>
      <c r="R10" s="154">
        <f>IFERROR(__xludf.DUMMYFUNCTION("""COMPUTED_VALUE"""),298086.7341)</f>
        <v>298086.7341</v>
      </c>
      <c r="S10" s="154">
        <f>IFERROR(__xludf.DUMMYFUNCTION("""COMPUTED_VALUE"""),1465.0)</f>
        <v>1465</v>
      </c>
      <c r="T10" s="154">
        <f>IFERROR(__xludf.DUMMYFUNCTION("""COMPUTED_VALUE"""),486495.8536225921)</f>
        <v>486495.8536</v>
      </c>
      <c r="U10" s="156">
        <f>IFERROR(__xludf.DUMMYFUNCTION("""COMPUTED_VALUE"""),327.70000000000005)</f>
        <v>327.7</v>
      </c>
      <c r="V10" s="156">
        <f>IFERROR(__xludf.DUMMYFUNCTION("""COMPUTED_VALUE"""),14.895454545454548)</f>
        <v>14.89545455</v>
      </c>
      <c r="W10" s="157">
        <f>IFERROR(__xludf.DUMMYFUNCTION("""COMPUTED_VALUE"""),0.13330499293913853)</f>
        <v>0.1333049929</v>
      </c>
      <c r="X10" s="154">
        <f>IFERROR(__xludf.DUMMYFUNCTION("""COMPUTED_VALUE"""),2236125.8009)</f>
        <v>2236125.801</v>
      </c>
      <c r="Y10" s="154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0"/>
  <sheetData>
    <row r="1">
      <c r="A1" s="158" t="str">
        <f>Datos!A1</f>
        <v>   Fecha </v>
      </c>
      <c r="B1" s="158" t="str">
        <f>Datos!B1</f>
        <v>NIS</v>
      </c>
      <c r="C1" s="158" t="str">
        <f>Datos!C1</f>
        <v>Cliente</v>
      </c>
      <c r="D1" s="158" t="str">
        <f>Datos!D1</f>
        <v>IVA</v>
      </c>
      <c r="E1" s="158" t="str">
        <f>Datos!E1</f>
        <v>Consumo [kWh]</v>
      </c>
      <c r="F1" s="158" t="str">
        <f>Datos!F1</f>
        <v>Consumo hs punta [kWh]</v>
      </c>
      <c r="G1" s="158" t="str">
        <f>Datos!G1</f>
        <v>Consumo hs valle [kWh]</v>
      </c>
      <c r="H1" s="158" t="str">
        <f>Datos!H1</f>
        <v>Consumo hs resto[kWh]</v>
      </c>
      <c r="I1" s="158" t="str">
        <f>Datos!I1</f>
        <v>Catergoria</v>
      </c>
      <c r="J1" s="158" t="str">
        <f>Datos!J1</f>
        <v>Tarifa punta</v>
      </c>
      <c r="K1" s="158" t="str">
        <f>Datos!K1</f>
        <v>Tarifa valle</v>
      </c>
      <c r="L1" s="158" t="str">
        <f>Datos!L1</f>
        <v>Tarifa resto</v>
      </c>
      <c r="M1" s="158" t="str">
        <f>Datos!M1</f>
        <v>Generacion FV [kWh]</v>
      </c>
      <c r="N1" s="158" t="str">
        <f>Datos!N1</f>
        <v>CONSUMO TOTAL</v>
      </c>
      <c r="O1" s="158" t="str">
        <f>Datos!O1</f>
        <v>Total a pagar S / IVA</v>
      </c>
      <c r="P1" s="158" t="str">
        <f>Datos!P1</f>
        <v>Valor USD</v>
      </c>
      <c r="Q1" s="158" t="str">
        <f>Datos!Q1</f>
        <v>Ahorro (USD)</v>
      </c>
      <c r="R1" s="158" t="str">
        <f>Datos!R1</f>
        <v>Ahorro ($)</v>
      </c>
      <c r="S1" s="158" t="str">
        <f>Datos!S1</f>
        <v>Valor dolar Actual ($)</v>
      </c>
      <c r="T1" s="158" t="str">
        <f>Datos!T1</f>
        <v>Ahorro ($)-A precio actual</v>
      </c>
      <c r="U1" s="158" t="str">
        <f>Datos!U1</f>
        <v>kg CO2e evitados</v>
      </c>
      <c r="V1" s="158" t="str">
        <f>Datos!V1</f>
        <v>Equivalente en árboles</v>
      </c>
      <c r="W1" s="158" t="str">
        <f>Datos!W1</f>
        <v>% de ahorro sobre los consumos</v>
      </c>
      <c r="X1" s="158" t="str">
        <f>Datos!X1</f>
        <v>SIN PANELES S/IVA</v>
      </c>
    </row>
    <row r="2">
      <c r="A2" s="150">
        <f>'Cartoon Inversor 1'!A2</f>
        <v>45992</v>
      </c>
      <c r="B2" s="151">
        <f>'Cartoon Inversor 1'!B2</f>
        <v>5251104</v>
      </c>
      <c r="C2" s="151" t="str">
        <f>'Cartoon Inversor 1'!C2</f>
        <v>Cartoon Inversor 1</v>
      </c>
      <c r="D2" s="152">
        <f>'Cartoon Inversor 1'!D2</f>
        <v>0.27</v>
      </c>
      <c r="E2" s="153">
        <f>'Cartoon Inversor 1'!E2</f>
        <v>12507</v>
      </c>
      <c r="F2" s="153">
        <f>'Cartoon Inversor 1'!F2</f>
        <v>1173</v>
      </c>
      <c r="G2" s="153">
        <f>'Cartoon Inversor 1'!G2</f>
        <v>215</v>
      </c>
      <c r="H2" s="153">
        <f>'Cartoon Inversor 1'!H2</f>
        <v>11119</v>
      </c>
      <c r="I2" s="153" t="str">
        <f>'Cartoon Inversor 1'!I2</f>
        <v>T5-Ba</v>
      </c>
      <c r="J2" s="154">
        <f>'Cartoon Inversor 1'!J2</f>
        <v>168.7698</v>
      </c>
      <c r="K2" s="154">
        <f>'Cartoon Inversor 1'!K2</f>
        <v>165.9802</v>
      </c>
      <c r="L2" s="154">
        <f>'Cartoon Inversor 1'!L2</f>
        <v>166.7828</v>
      </c>
      <c r="M2" s="151">
        <f>'Cartoon Inversor 1'!M2</f>
        <v>5243.9</v>
      </c>
      <c r="N2" s="152">
        <f>'Cartoon Inversor 1'!N2</f>
        <v>17750.9</v>
      </c>
      <c r="O2" s="154">
        <f>'Cartoon Inversor 1'!O2</f>
        <v>2088110.672</v>
      </c>
      <c r="P2" s="154">
        <f>'Cartoon Inversor 1'!P2</f>
        <v>1470</v>
      </c>
      <c r="Q2" s="155">
        <f>'Cartoon Inversor 1'!Q2</f>
        <v>594.9607653</v>
      </c>
      <c r="R2" s="154">
        <f>'Cartoon Inversor 1'!R2</f>
        <v>874592.3249</v>
      </c>
      <c r="S2" s="154">
        <f>'Cartoon Inversor 1'!S2</f>
        <v>1465</v>
      </c>
      <c r="T2" s="154">
        <f>'Cartoon Inversor 1'!T2</f>
        <v>1106954.252</v>
      </c>
      <c r="U2" s="156">
        <f>'Cartoon Inversor 1'!U2</f>
        <v>1048.78</v>
      </c>
      <c r="V2" s="156">
        <f>'Cartoon Inversor 1'!V2</f>
        <v>47.67181818</v>
      </c>
      <c r="W2" s="157">
        <f>'Cartoon Inversor 1'!W2</f>
        <v>0.2952008102</v>
      </c>
      <c r="X2" s="154">
        <f>'Cartoon Inversor 1'!X2</f>
        <v>2962702.997</v>
      </c>
    </row>
    <row r="3">
      <c r="A3" s="150">
        <f>'Cartoon Inversor 1'!A3</f>
        <v>45987</v>
      </c>
      <c r="B3" s="151">
        <f>'Cartoon Inversor 1'!B3</f>
        <v>5251104</v>
      </c>
      <c r="C3" s="151" t="str">
        <f>'Cartoon Inversor 1'!C3</f>
        <v>Cartoon Inversor 1</v>
      </c>
      <c r="D3" s="152">
        <f>'Cartoon Inversor 1'!D3</f>
        <v>0.27</v>
      </c>
      <c r="E3" s="153">
        <f>'Cartoon Inversor 1'!E3</f>
        <v>4612</v>
      </c>
      <c r="F3" s="153">
        <f>'Cartoon Inversor 1'!F3</f>
        <v>77</v>
      </c>
      <c r="G3" s="153">
        <f>'Cartoon Inversor 1'!G3</f>
        <v>108</v>
      </c>
      <c r="H3" s="153">
        <f>'Cartoon Inversor 1'!H3</f>
        <v>4427</v>
      </c>
      <c r="I3" s="153" t="str">
        <f>'Cartoon Inversor 1'!I3</f>
        <v>T5-Ba</v>
      </c>
      <c r="J3" s="154">
        <f>'Cartoon Inversor 1'!J3</f>
        <v>163.3724</v>
      </c>
      <c r="K3" s="154">
        <f>'Cartoon Inversor 1'!K3</f>
        <v>160.5827</v>
      </c>
      <c r="L3" s="154">
        <f>'Cartoon Inversor 1'!L3</f>
        <v>161.3854</v>
      </c>
      <c r="M3" s="152">
        <f>'Cartoon Inversor 1'!M3</f>
        <v>4394.8</v>
      </c>
      <c r="N3" s="153">
        <f>'Cartoon Inversor 1'!N3</f>
        <v>9006.8</v>
      </c>
      <c r="O3" s="154">
        <f>'Cartoon Inversor 1'!O3</f>
        <v>744375.7722</v>
      </c>
      <c r="P3" s="154">
        <f>'Cartoon Inversor 1'!P3</f>
        <v>1470</v>
      </c>
      <c r="Q3" s="155">
        <f>'Cartoon Inversor 1'!Q3</f>
        <v>482.487453</v>
      </c>
      <c r="R3" s="154">
        <f>'Cartoon Inversor 1'!R3</f>
        <v>709256.5559</v>
      </c>
      <c r="S3" s="154">
        <f>'Cartoon Inversor 1'!S3</f>
        <v>1465</v>
      </c>
      <c r="T3" s="154">
        <f>'Cartoon Inversor 1'!T3</f>
        <v>897692.0307</v>
      </c>
      <c r="U3" s="156">
        <f>'Cartoon Inversor 1'!U3</f>
        <v>878.96</v>
      </c>
      <c r="V3" s="156">
        <f>'Cartoon Inversor 1'!V3</f>
        <v>39.95272727</v>
      </c>
      <c r="W3" s="157">
        <f>'Cartoon Inversor 1'!W3</f>
        <v>0.487920186</v>
      </c>
      <c r="X3" s="154">
        <f>'Cartoon Inversor 1'!X3</f>
        <v>1453632.328</v>
      </c>
    </row>
    <row r="4">
      <c r="A4" s="150">
        <f>'Cartoon Inversor 1'!A4</f>
        <v>45931</v>
      </c>
      <c r="B4" s="151">
        <f>'Cartoon Inversor 1'!B4</f>
        <v>5251104</v>
      </c>
      <c r="C4" s="151" t="str">
        <f>'Cartoon Inversor 1'!C4</f>
        <v>Cartoon Inversor 1</v>
      </c>
      <c r="D4" s="152">
        <f>'Cartoon Inversor 1'!D4</f>
        <v>0.27</v>
      </c>
      <c r="E4" s="153">
        <f>'Cartoon Inversor 1'!E4</f>
        <v>1872</v>
      </c>
      <c r="F4" s="153">
        <f>'Cartoon Inversor 1'!F4</f>
        <v>120</v>
      </c>
      <c r="G4" s="153">
        <f>'Cartoon Inversor 1'!G4</f>
        <v>180</v>
      </c>
      <c r="H4" s="153">
        <f>'Cartoon Inversor 1'!H4</f>
        <v>1572</v>
      </c>
      <c r="I4" s="151" t="str">
        <f>'Cartoon Inversor 1'!I4</f>
        <v>T5-Ba</v>
      </c>
      <c r="J4" s="154">
        <f>'Cartoon Inversor 1'!J4</f>
        <v>170.9156</v>
      </c>
      <c r="K4" s="154">
        <f>'Cartoon Inversor 1'!K4</f>
        <v>168.0814</v>
      </c>
      <c r="L4" s="154">
        <f>'Cartoon Inversor 1'!L4</f>
        <v>169.332</v>
      </c>
      <c r="M4" s="152">
        <f>'Cartoon Inversor 1'!M4</f>
        <v>3836.5</v>
      </c>
      <c r="N4" s="153">
        <f>'Cartoon Inversor 1'!N4</f>
        <v>5708.5</v>
      </c>
      <c r="O4" s="154">
        <f>'Cartoon Inversor 1'!O4</f>
        <v>316954.428</v>
      </c>
      <c r="P4" s="154">
        <f>'Cartoon Inversor 1'!P4</f>
        <v>1450</v>
      </c>
      <c r="Q4" s="155">
        <f>'Cartoon Inversor 1'!Q4</f>
        <v>448.0291159</v>
      </c>
      <c r="R4" s="154">
        <f>'Cartoon Inversor 1'!R4</f>
        <v>649642.218</v>
      </c>
      <c r="S4" s="154">
        <f>'Cartoon Inversor 1'!S4</f>
        <v>1465</v>
      </c>
      <c r="T4" s="154">
        <f>'Cartoon Inversor 1'!T4</f>
        <v>833580.5715</v>
      </c>
      <c r="U4" s="156">
        <f>'Cartoon Inversor 1'!U4</f>
        <v>767.3</v>
      </c>
      <c r="V4" s="156">
        <f>'Cartoon Inversor 1'!V4</f>
        <v>34.87727273</v>
      </c>
      <c r="W4" s="157">
        <f>'Cartoon Inversor 1'!W4</f>
        <v>0.6720923569</v>
      </c>
      <c r="X4" s="154">
        <f>'Cartoon Inversor 1'!X4</f>
        <v>966596.646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sheetData>
    <row r="1">
      <c r="A1" s="168" t="str">
        <f>Datos!A1</f>
        <v>   Fecha </v>
      </c>
      <c r="B1" s="168" t="str">
        <f>Datos!B1</f>
        <v>NIS</v>
      </c>
      <c r="C1" s="168" t="str">
        <f>Datos!C1</f>
        <v>Cliente</v>
      </c>
      <c r="D1" s="168" t="str">
        <f>Datos!D1</f>
        <v>IVA</v>
      </c>
      <c r="E1" s="168" t="str">
        <f>Datos!E1</f>
        <v>Consumo [kWh]</v>
      </c>
      <c r="F1" s="168" t="str">
        <f>Datos!F1</f>
        <v>Consumo hs punta [kWh]</v>
      </c>
      <c r="G1" s="168" t="str">
        <f>Datos!G1</f>
        <v>Consumo hs valle [kWh]</v>
      </c>
      <c r="H1" s="168" t="str">
        <f>Datos!H1</f>
        <v>Consumo hs resto[kWh]</v>
      </c>
      <c r="I1" s="168" t="str">
        <f>Datos!I1</f>
        <v>Catergoria</v>
      </c>
      <c r="J1" s="168" t="str">
        <f>Datos!J1</f>
        <v>Tarifa punta</v>
      </c>
      <c r="K1" s="168" t="str">
        <f>Datos!K1</f>
        <v>Tarifa valle</v>
      </c>
      <c r="L1" s="168" t="str">
        <f>Datos!L1</f>
        <v>Tarifa resto</v>
      </c>
      <c r="M1" s="168" t="str">
        <f>Datos!M1</f>
        <v>Generacion FV [kWh]</v>
      </c>
      <c r="N1" s="168" t="str">
        <f>Datos!N1</f>
        <v>CONSUMO TOTAL</v>
      </c>
      <c r="O1" s="168" t="str">
        <f>Datos!O1</f>
        <v>Total a pagar S / IVA</v>
      </c>
      <c r="P1" s="168" t="str">
        <f>Datos!P1</f>
        <v>Valor USD</v>
      </c>
      <c r="Q1" s="168" t="str">
        <f>Datos!Q1</f>
        <v>Ahorro (USD)</v>
      </c>
      <c r="R1" s="168" t="str">
        <f>Datos!R1</f>
        <v>Ahorro ($)</v>
      </c>
      <c r="S1" s="168" t="str">
        <f>Datos!S1</f>
        <v>Valor dolar Actual ($)</v>
      </c>
      <c r="T1" s="168" t="str">
        <f>Datos!T1</f>
        <v>Ahorro ($)-A precio actual</v>
      </c>
      <c r="U1" s="168" t="str">
        <f>Datos!U1</f>
        <v>kg CO2e evitados</v>
      </c>
      <c r="V1" s="168" t="str">
        <f>Datos!V1</f>
        <v>Equivalente en árboles</v>
      </c>
      <c r="W1" s="168" t="str">
        <f>Datos!W1</f>
        <v>% de ahorro sobre los consumos</v>
      </c>
      <c r="X1" s="168" t="str">
        <f>Datos!X1</f>
        <v>SIN PANELES S/IVA</v>
      </c>
    </row>
    <row r="2">
      <c r="A2" s="150">
        <f>IFERROR(__xludf.DUMMYFUNCTION("FILTER(Datos!1:1247,Datos!B:B=5076526)"),45994.0)</f>
        <v>45994</v>
      </c>
      <c r="B2" s="151">
        <f>IFERROR(__xludf.DUMMYFUNCTION("""COMPUTED_VALUE"""),5076526.0)</f>
        <v>5076526</v>
      </c>
      <c r="C2" s="151" t="str">
        <f>IFERROR(__xludf.DUMMYFUNCTION("""COMPUTED_VALUE"""),"Martin Lecuona ")</f>
        <v>Martin Lecuona </v>
      </c>
      <c r="D2" s="152">
        <f>IFERROR(__xludf.DUMMYFUNCTION("""COMPUTED_VALUE"""),0.27)</f>
        <v>0.27</v>
      </c>
      <c r="E2" s="153">
        <f>IFERROR(__xludf.DUMMYFUNCTION("""COMPUTED_VALUE"""),4410.0)</f>
        <v>4410</v>
      </c>
      <c r="F2" s="153">
        <f>IFERROR(__xludf.DUMMYFUNCTION("""COMPUTED_VALUE"""),30.0)</f>
        <v>30</v>
      </c>
      <c r="G2" s="153">
        <f>IFERROR(__xludf.DUMMYFUNCTION("""COMPUTED_VALUE"""),570.0)</f>
        <v>570</v>
      </c>
      <c r="H2" s="153">
        <f>IFERROR(__xludf.DUMMYFUNCTION("""COMPUTED_VALUE"""),3810.0)</f>
        <v>3810</v>
      </c>
      <c r="I2" s="153" t="str">
        <f>IFERROR(__xludf.DUMMYFUNCTION("""COMPUTED_VALUE"""),"T4-Ba")</f>
        <v>T4-Ba</v>
      </c>
      <c r="J2" s="154">
        <f>IFERROR(__xludf.DUMMYFUNCTION("""COMPUTED_VALUE"""),152.0913)</f>
        <v>152.0913</v>
      </c>
      <c r="K2" s="154">
        <f>IFERROR(__xludf.DUMMYFUNCTION("""COMPUTED_VALUE"""),153.7589)</f>
        <v>153.7589</v>
      </c>
      <c r="L2" s="154">
        <f>IFERROR(__xludf.DUMMYFUNCTION("""COMPUTED_VALUE"""),154.5615)</f>
        <v>154.5615</v>
      </c>
      <c r="M2" s="151"/>
      <c r="N2" s="152"/>
      <c r="O2" s="154"/>
      <c r="P2" s="154"/>
      <c r="Q2" s="155"/>
      <c r="R2" s="154"/>
      <c r="S2" s="154"/>
      <c r="T2" s="154"/>
      <c r="U2" s="156"/>
      <c r="V2" s="156"/>
      <c r="W2" s="157"/>
      <c r="X2" s="154"/>
      <c r="Y2" s="154"/>
    </row>
    <row r="3">
      <c r="A3" s="150">
        <f>IFERROR(__xludf.DUMMYFUNCTION("""COMPUTED_VALUE"""),45968.0)</f>
        <v>45968</v>
      </c>
      <c r="B3" s="151">
        <f>IFERROR(__xludf.DUMMYFUNCTION("""COMPUTED_VALUE"""),5076526.0)</f>
        <v>5076526</v>
      </c>
      <c r="C3" s="151" t="str">
        <f>IFERROR(__xludf.DUMMYFUNCTION("""COMPUTED_VALUE"""),"Martín Lecuona ")</f>
        <v>Martín Lecuona </v>
      </c>
      <c r="D3" s="152">
        <f>IFERROR(__xludf.DUMMYFUNCTION("""COMPUTED_VALUE"""),0.27)</f>
        <v>0.27</v>
      </c>
      <c r="E3" s="153">
        <f>IFERROR(__xludf.DUMMYFUNCTION("""COMPUTED_VALUE"""),6180.0)</f>
        <v>6180</v>
      </c>
      <c r="F3" s="153">
        <f>IFERROR(__xludf.DUMMYFUNCTION("""COMPUTED_VALUE"""),30.0)</f>
        <v>30</v>
      </c>
      <c r="G3" s="153">
        <f>IFERROR(__xludf.DUMMYFUNCTION("""COMPUTED_VALUE"""),2130.0)</f>
        <v>2130</v>
      </c>
      <c r="H3" s="153">
        <f>IFERROR(__xludf.DUMMYFUNCTION("""COMPUTED_VALUE"""),4020.0)</f>
        <v>4020</v>
      </c>
      <c r="I3" s="153" t="str">
        <f>IFERROR(__xludf.DUMMYFUNCTION("""COMPUTED_VALUE"""),"T4-Ba")</f>
        <v>T4-Ba</v>
      </c>
      <c r="J3" s="154">
        <f>IFERROR(__xludf.DUMMYFUNCTION("""COMPUTED_VALUE"""),152.0913)</f>
        <v>152.0913</v>
      </c>
      <c r="K3" s="154">
        <f>IFERROR(__xludf.DUMMYFUNCTION("""COMPUTED_VALUE"""),149.3017)</f>
        <v>149.3017</v>
      </c>
      <c r="L3" s="154">
        <f>IFERROR(__xludf.DUMMYFUNCTION("""COMPUTED_VALUE"""),150.1043)</f>
        <v>150.1043</v>
      </c>
      <c r="M3" s="152">
        <f>IFERROR(__xludf.DUMMYFUNCTION("""COMPUTED_VALUE"""),1905.7)</f>
        <v>1905.7</v>
      </c>
      <c r="N3" s="153">
        <f>IFERROR(__xludf.DUMMYFUNCTION("""COMPUTED_VALUE"""),1935.7)</f>
        <v>1935.7</v>
      </c>
      <c r="O3" s="154">
        <f>IFERROR(__xludf.DUMMYFUNCTION("""COMPUTED_VALUE"""),1025984.841)</f>
        <v>1025984.841</v>
      </c>
      <c r="P3" s="154">
        <f>IFERROR(__xludf.DUMMYFUNCTION("""COMPUTED_VALUE"""),1470.0)</f>
        <v>1470</v>
      </c>
      <c r="Q3" s="155">
        <f>IFERROR(__xludf.DUMMYFUNCTION("""COMPUTED_VALUE"""),215.5349292789116)</f>
        <v>215.5349293</v>
      </c>
      <c r="R3" s="154">
        <f>IFERROR(__xludf.DUMMYFUNCTION("""COMPUTED_VALUE"""),316836.34604000003)</f>
        <v>316836.346</v>
      </c>
      <c r="S3" s="154">
        <f>IFERROR(__xludf.DUMMYFUNCTION("""COMPUTED_VALUE"""),1465.0)</f>
        <v>1465</v>
      </c>
      <c r="T3" s="154">
        <f>IFERROR(__xludf.DUMMYFUNCTION("""COMPUTED_VALUE"""),401013.51266987895)</f>
        <v>401013.5127</v>
      </c>
      <c r="U3" s="156">
        <f>IFERROR(__xludf.DUMMYFUNCTION("""COMPUTED_VALUE"""),381.14000000000004)</f>
        <v>381.14</v>
      </c>
      <c r="V3" s="156">
        <f>IFERROR(__xludf.DUMMYFUNCTION("""COMPUTED_VALUE"""),17.324545454545458)</f>
        <v>17.32454545</v>
      </c>
      <c r="W3" s="157">
        <f>IFERROR(__xludf.DUMMYFUNCTION("""COMPUTED_VALUE"""),0.23594827747572772)</f>
        <v>0.2359482775</v>
      </c>
      <c r="X3" s="154">
        <f>IFERROR(__xludf.DUMMYFUNCTION("""COMPUTED_VALUE"""),1342821.18704)</f>
        <v>1342821.187</v>
      </c>
      <c r="Y3" s="154"/>
    </row>
    <row r="4">
      <c r="A4" s="150">
        <f>IFERROR(__xludf.DUMMYFUNCTION("""COMPUTED_VALUE"""),45931.0)</f>
        <v>45931</v>
      </c>
      <c r="B4" s="151">
        <f>IFERROR(__xludf.DUMMYFUNCTION("""COMPUTED_VALUE"""),5076526.0)</f>
        <v>5076526</v>
      </c>
      <c r="C4" s="151" t="str">
        <f>IFERROR(__xludf.DUMMYFUNCTION("""COMPUTED_VALUE"""),"Martín Lecuona ")</f>
        <v>Martín Lecuona </v>
      </c>
      <c r="D4" s="152">
        <f>IFERROR(__xludf.DUMMYFUNCTION("""COMPUTED_VALUE"""),0.27)</f>
        <v>0.27</v>
      </c>
      <c r="E4" s="153">
        <f>IFERROR(__xludf.DUMMYFUNCTION("""COMPUTED_VALUE"""),8130.0)</f>
        <v>8130</v>
      </c>
      <c r="F4" s="153">
        <f>IFERROR(__xludf.DUMMYFUNCTION("""COMPUTED_VALUE"""),30.0)</f>
        <v>30</v>
      </c>
      <c r="G4" s="153">
        <f>IFERROR(__xludf.DUMMYFUNCTION("""COMPUTED_VALUE"""),2850.0)</f>
        <v>2850</v>
      </c>
      <c r="H4" s="153">
        <f>IFERROR(__xludf.DUMMYFUNCTION("""COMPUTED_VALUE"""),5250.0)</f>
        <v>5250</v>
      </c>
      <c r="I4" s="151" t="str">
        <f>IFERROR(__xludf.DUMMYFUNCTION("""COMPUTED_VALUE"""),"T4-Ba")</f>
        <v>T4-Ba</v>
      </c>
      <c r="J4" s="154">
        <f>IFERROR(__xludf.DUMMYFUNCTION("""COMPUTED_VALUE"""),159.8077)</f>
        <v>159.8077</v>
      </c>
      <c r="K4" s="154">
        <f>IFERROR(__xludf.DUMMYFUNCTION("""COMPUTED_VALUE"""),156.9735)</f>
        <v>156.9735</v>
      </c>
      <c r="L4" s="154">
        <f>IFERROR(__xludf.DUMMYFUNCTION("""COMPUTED_VALUE"""),158.2241)</f>
        <v>158.2241</v>
      </c>
      <c r="M4" s="152">
        <f>IFERROR(__xludf.DUMMYFUNCTION("""COMPUTED_VALUE"""),2660.3)</f>
        <v>2660.3</v>
      </c>
      <c r="N4" s="153">
        <f>IFERROR(__xludf.DUMMYFUNCTION("""COMPUTED_VALUE"""),10790.3)</f>
        <v>10790.3</v>
      </c>
      <c r="O4" s="154">
        <f>IFERROR(__xludf.DUMMYFUNCTION("""COMPUTED_VALUE"""),1282845.231)</f>
        <v>1282845.231</v>
      </c>
      <c r="P4" s="154">
        <f>IFERROR(__xludf.DUMMYFUNCTION("""COMPUTED_VALUE"""),1450.0)</f>
        <v>1450</v>
      </c>
      <c r="Q4" s="155">
        <f>IFERROR(__xludf.DUMMYFUNCTION("""COMPUTED_VALUE"""),290.29211946896555)</f>
        <v>290.2921195</v>
      </c>
      <c r="R4" s="154">
        <f>IFERROR(__xludf.DUMMYFUNCTION("""COMPUTED_VALUE"""),420923.57323000004)</f>
        <v>420923.5732</v>
      </c>
      <c r="S4" s="154">
        <f>IFERROR(__xludf.DUMMYFUNCTION("""COMPUTED_VALUE"""),1465.0)</f>
        <v>1465</v>
      </c>
      <c r="T4" s="154">
        <f>IFERROR(__xludf.DUMMYFUNCTION("""COMPUTED_VALUE"""),540103.0028779838)</f>
        <v>540103.0029</v>
      </c>
      <c r="U4" s="156">
        <f>IFERROR(__xludf.DUMMYFUNCTION("""COMPUTED_VALUE"""),532.0600000000001)</f>
        <v>532.06</v>
      </c>
      <c r="V4" s="156">
        <f>IFERROR(__xludf.DUMMYFUNCTION("""COMPUTED_VALUE"""),24.184545454545457)</f>
        <v>24.18454545</v>
      </c>
      <c r="W4" s="157">
        <f>IFERROR(__xludf.DUMMYFUNCTION("""COMPUTED_VALUE"""),0.24705439622145917)</f>
        <v>0.2470543962</v>
      </c>
      <c r="X4" s="154">
        <f>IFERROR(__xludf.DUMMYFUNCTION("""COMPUTED_VALUE"""),1703768.80423)</f>
        <v>1703768.804</v>
      </c>
      <c r="Y4" s="154"/>
    </row>
    <row r="5">
      <c r="A5" s="150">
        <f>IFERROR(__xludf.DUMMYFUNCTION("""COMPUTED_VALUE"""),45907.0)</f>
        <v>45907</v>
      </c>
      <c r="B5" s="151">
        <f>IFERROR(__xludf.DUMMYFUNCTION("""COMPUTED_VALUE"""),5076526.0)</f>
        <v>5076526</v>
      </c>
      <c r="C5" s="151" t="str">
        <f>IFERROR(__xludf.DUMMYFUNCTION("""COMPUTED_VALUE"""),"Martín Lecuona ")</f>
        <v>Martín Lecuona </v>
      </c>
      <c r="D5" s="152">
        <f>IFERROR(__xludf.DUMMYFUNCTION("""COMPUTED_VALUE"""),0.27)</f>
        <v>0.27</v>
      </c>
      <c r="E5" s="153">
        <f>IFERROR(__xludf.DUMMYFUNCTION("""COMPUTED_VALUE"""),7140.0)</f>
        <v>7140</v>
      </c>
      <c r="F5" s="153">
        <f>IFERROR(__xludf.DUMMYFUNCTION("""COMPUTED_VALUE"""),30.0)</f>
        <v>30</v>
      </c>
      <c r="G5" s="153">
        <f>IFERROR(__xludf.DUMMYFUNCTION("""COMPUTED_VALUE"""),2340.0)</f>
        <v>2340</v>
      </c>
      <c r="H5" s="153">
        <f>IFERROR(__xludf.DUMMYFUNCTION("""COMPUTED_VALUE"""),4770.0)</f>
        <v>4770</v>
      </c>
      <c r="I5" s="151" t="str">
        <f>IFERROR(__xludf.DUMMYFUNCTION("""COMPUTED_VALUE"""),"T4-Ba")</f>
        <v>T4-Ba</v>
      </c>
      <c r="J5" s="154">
        <f>IFERROR(__xludf.DUMMYFUNCTION("""COMPUTED_VALUE"""),159.1156)</f>
        <v>159.1156</v>
      </c>
      <c r="K5" s="154">
        <f>IFERROR(__xludf.DUMMYFUNCTION("""COMPUTED_VALUE"""),156.2753)</f>
        <v>156.2753</v>
      </c>
      <c r="L5" s="154">
        <f>IFERROR(__xludf.DUMMYFUNCTION("""COMPUTED_VALUE"""),157.5295)</f>
        <v>157.5295</v>
      </c>
      <c r="M5" s="152">
        <f>IFERROR(__xludf.DUMMYFUNCTION("""COMPUTED_VALUE"""),1880.8)</f>
        <v>1880.8</v>
      </c>
      <c r="N5" s="153">
        <f>IFERROR(__xludf.DUMMYFUNCTION("""COMPUTED_VALUE"""),9020.8)</f>
        <v>9020.8</v>
      </c>
      <c r="O5" s="154">
        <f>IFERROR(__xludf.DUMMYFUNCTION("""COMPUTED_VALUE"""),1121873.385)</f>
        <v>1121873.385</v>
      </c>
      <c r="P5" s="154">
        <f>IFERROR(__xludf.DUMMYFUNCTION("""COMPUTED_VALUE"""),1425.0)</f>
        <v>1425</v>
      </c>
      <c r="Q5" s="155">
        <f>IFERROR(__xludf.DUMMYFUNCTION("""COMPUTED_VALUE"""),207.91683059649125)</f>
        <v>207.9168306</v>
      </c>
      <c r="R5" s="154">
        <f>IFERROR(__xludf.DUMMYFUNCTION("""COMPUTED_VALUE"""),296281.48360000004)</f>
        <v>296281.4836</v>
      </c>
      <c r="S5" s="154">
        <f>IFERROR(__xludf.DUMMYFUNCTION("""COMPUTED_VALUE"""),1465.0)</f>
        <v>1465</v>
      </c>
      <c r="T5" s="154">
        <f>IFERROR(__xludf.DUMMYFUNCTION("""COMPUTED_VALUE"""),386839.6591663018)</f>
        <v>386839.6592</v>
      </c>
      <c r="U5" s="156">
        <f>IFERROR(__xludf.DUMMYFUNCTION("""COMPUTED_VALUE"""),376.16)</f>
        <v>376.16</v>
      </c>
      <c r="V5" s="156">
        <f>IFERROR(__xludf.DUMMYFUNCTION("""COMPUTED_VALUE"""),17.098181818181818)</f>
        <v>17.09818182</v>
      </c>
      <c r="W5" s="157">
        <f>IFERROR(__xludf.DUMMYFUNCTION("""COMPUTED_VALUE"""),0.20892040083921762)</f>
        <v>0.2089204008</v>
      </c>
      <c r="X5" s="154">
        <f>IFERROR(__xludf.DUMMYFUNCTION("""COMPUTED_VALUE"""),1418154.8686000002)</f>
        <v>1418154.869</v>
      </c>
      <c r="Y5" s="154"/>
    </row>
    <row r="6">
      <c r="A6" s="150">
        <f>IFERROR(__xludf.DUMMYFUNCTION("""COMPUTED_VALUE"""),45875.0)</f>
        <v>45875</v>
      </c>
      <c r="B6" s="151">
        <f>IFERROR(__xludf.DUMMYFUNCTION("""COMPUTED_VALUE"""),5076526.0)</f>
        <v>5076526</v>
      </c>
      <c r="C6" s="151" t="str">
        <f>IFERROR(__xludf.DUMMYFUNCTION("""COMPUTED_VALUE"""),"Martín Lecuona ")</f>
        <v>Martín Lecuona </v>
      </c>
      <c r="D6" s="152">
        <f>IFERROR(__xludf.DUMMYFUNCTION("""COMPUTED_VALUE"""),0.27)</f>
        <v>0.27</v>
      </c>
      <c r="E6" s="153">
        <f>IFERROR(__xludf.DUMMYFUNCTION("""COMPUTED_VALUE"""),90.0)</f>
        <v>90</v>
      </c>
      <c r="F6" s="153">
        <f>IFERROR(__xludf.DUMMYFUNCTION("""COMPUTED_VALUE"""),30.0)</f>
        <v>30</v>
      </c>
      <c r="G6" s="153">
        <f>IFERROR(__xludf.DUMMYFUNCTION("""COMPUTED_VALUE"""),30.0)</f>
        <v>30</v>
      </c>
      <c r="H6" s="153">
        <f>IFERROR(__xludf.DUMMYFUNCTION("""COMPUTED_VALUE"""),30.0)</f>
        <v>30</v>
      </c>
      <c r="I6" s="151" t="str">
        <f>IFERROR(__xludf.DUMMYFUNCTION("""COMPUTED_VALUE"""),"T4-Ba")</f>
        <v>T4-Ba</v>
      </c>
      <c r="J6" s="154">
        <f>IFERROR(__xludf.DUMMYFUNCTION("""COMPUTED_VALUE"""),149.9317)</f>
        <v>149.9317</v>
      </c>
      <c r="K6" s="154">
        <f>IFERROR(__xludf.DUMMYFUNCTION("""COMPUTED_VALUE"""),147.0841)</f>
        <v>147.0841</v>
      </c>
      <c r="L6" s="154">
        <f>IFERROR(__xludf.DUMMYFUNCTION("""COMPUTED_VALUE"""),148.3408)</f>
        <v>148.3408</v>
      </c>
      <c r="M6" s="152">
        <f>IFERROR(__xludf.DUMMYFUNCTION("""COMPUTED_VALUE"""),392.7)</f>
        <v>392.7</v>
      </c>
      <c r="N6" s="153">
        <f>IFERROR(__xludf.DUMMYFUNCTION("""COMPUTED_VALUE"""),482.7)</f>
        <v>482.7</v>
      </c>
      <c r="O6" s="154">
        <f>IFERROR(__xludf.DUMMYFUNCTION("""COMPUTED_VALUE"""),13360.698)</f>
        <v>13360.698</v>
      </c>
      <c r="P6" s="154">
        <f>IFERROR(__xludf.DUMMYFUNCTION("""COMPUTED_VALUE"""),1340.0)</f>
        <v>1340</v>
      </c>
      <c r="Q6" s="155">
        <f>IFERROR(__xludf.DUMMYFUNCTION("""COMPUTED_VALUE"""),43.47271056716418)</f>
        <v>43.47271057</v>
      </c>
      <c r="R6" s="154">
        <f>IFERROR(__xludf.DUMMYFUNCTION("""COMPUTED_VALUE"""),58253.43216)</f>
        <v>58253.43216</v>
      </c>
      <c r="S6" s="154">
        <f>IFERROR(__xludf.DUMMYFUNCTION("""COMPUTED_VALUE"""),1465.0)</f>
        <v>1465</v>
      </c>
      <c r="T6" s="154">
        <f>IFERROR(__xludf.DUMMYFUNCTION("""COMPUTED_VALUE"""),80883.1516457373)</f>
        <v>80883.15165</v>
      </c>
      <c r="U6" s="156">
        <f>IFERROR(__xludf.DUMMYFUNCTION("""COMPUTED_VALUE"""),78.54)</f>
        <v>78.54</v>
      </c>
      <c r="V6" s="156">
        <f>IFERROR(__xludf.DUMMYFUNCTION("""COMPUTED_VALUE"""),3.5700000000000003)</f>
        <v>3.57</v>
      </c>
      <c r="W6" s="157">
        <f>IFERROR(__xludf.DUMMYFUNCTION("""COMPUTED_VALUE"""),0.8134348909893957)</f>
        <v>0.813434891</v>
      </c>
      <c r="X6" s="154">
        <f>IFERROR(__xludf.DUMMYFUNCTION("""COMPUTED_VALUE"""),71614.13016)</f>
        <v>71614.13016</v>
      </c>
      <c r="Y6" s="154"/>
    </row>
    <row r="7">
      <c r="A7" s="150">
        <f>IFERROR(__xludf.DUMMYFUNCTION("""COMPUTED_VALUE"""),45843.0)</f>
        <v>45843</v>
      </c>
      <c r="B7" s="151">
        <f>IFERROR(__xludf.DUMMYFUNCTION("""COMPUTED_VALUE"""),5076526.0)</f>
        <v>5076526</v>
      </c>
      <c r="C7" s="151" t="str">
        <f>IFERROR(__xludf.DUMMYFUNCTION("""COMPUTED_VALUE"""),"Martín Lecuona ")</f>
        <v>Martín Lecuona </v>
      </c>
      <c r="D7" s="152">
        <f>IFERROR(__xludf.DUMMYFUNCTION("""COMPUTED_VALUE"""),0.27)</f>
        <v>0.27</v>
      </c>
      <c r="E7" s="153">
        <f>IFERROR(__xludf.DUMMYFUNCTION("""COMPUTED_VALUE"""),90.0)</f>
        <v>90</v>
      </c>
      <c r="F7" s="153">
        <f>IFERROR(__xludf.DUMMYFUNCTION("""COMPUTED_VALUE"""),30.0)</f>
        <v>30</v>
      </c>
      <c r="G7" s="153">
        <f>IFERROR(__xludf.DUMMYFUNCTION("""COMPUTED_VALUE"""),30.0)</f>
        <v>30</v>
      </c>
      <c r="H7" s="153">
        <f>IFERROR(__xludf.DUMMYFUNCTION("""COMPUTED_VALUE"""),30.0)</f>
        <v>30</v>
      </c>
      <c r="I7" s="151" t="str">
        <f>IFERROR(__xludf.DUMMYFUNCTION("""COMPUTED_VALUE"""),"T4-Ba")</f>
        <v>T4-Ba</v>
      </c>
      <c r="J7" s="154">
        <f>IFERROR(__xludf.DUMMYFUNCTION("""COMPUTED_VALUE"""),149.9317)</f>
        <v>149.9317</v>
      </c>
      <c r="K7" s="154">
        <f>IFERROR(__xludf.DUMMYFUNCTION("""COMPUTED_VALUE"""),147.0841)</f>
        <v>147.0841</v>
      </c>
      <c r="L7" s="154">
        <f>IFERROR(__xludf.DUMMYFUNCTION("""COMPUTED_VALUE"""),148.3408)</f>
        <v>148.3408</v>
      </c>
      <c r="M7" s="152">
        <f>IFERROR(__xludf.DUMMYFUNCTION("""COMPUTED_VALUE"""),364.0)</f>
        <v>364</v>
      </c>
      <c r="N7" s="153">
        <f>IFERROR(__xludf.DUMMYFUNCTION("""COMPUTED_VALUE"""),454.0)</f>
        <v>454</v>
      </c>
      <c r="O7" s="154">
        <f>IFERROR(__xludf.DUMMYFUNCTION("""COMPUTED_VALUE"""),13360.698)</f>
        <v>13360.698</v>
      </c>
      <c r="P7" s="154">
        <f>IFERROR(__xludf.DUMMYFUNCTION("""COMPUTED_VALUE"""),1280.0)</f>
        <v>1280</v>
      </c>
      <c r="Q7" s="155">
        <f>IFERROR(__xludf.DUMMYFUNCTION("""COMPUTED_VALUE"""),42.184415)</f>
        <v>42.184415</v>
      </c>
      <c r="R7" s="154">
        <f>IFERROR(__xludf.DUMMYFUNCTION("""COMPUTED_VALUE"""),53996.0512)</f>
        <v>53996.0512</v>
      </c>
      <c r="S7" s="154">
        <f>IFERROR(__xludf.DUMMYFUNCTION("""COMPUTED_VALUE"""),1465.0)</f>
        <v>1465</v>
      </c>
      <c r="T7" s="154">
        <f>IFERROR(__xludf.DUMMYFUNCTION("""COMPUTED_VALUE"""),78486.21332825)</f>
        <v>78486.21333</v>
      </c>
      <c r="U7" s="156">
        <f>IFERROR(__xludf.DUMMYFUNCTION("""COMPUTED_VALUE"""),72.8)</f>
        <v>72.8</v>
      </c>
      <c r="V7" s="156">
        <f>IFERROR(__xludf.DUMMYFUNCTION("""COMPUTED_VALUE"""),3.309090909090909)</f>
        <v>3.309090909</v>
      </c>
      <c r="W7" s="157">
        <f>IFERROR(__xludf.DUMMYFUNCTION("""COMPUTED_VALUE"""),0.801642772867073)</f>
        <v>0.8016427729</v>
      </c>
      <c r="X7" s="154">
        <f>IFERROR(__xludf.DUMMYFUNCTION("""COMPUTED_VALUE"""),67356.7492)</f>
        <v>67356.7492</v>
      </c>
      <c r="Y7" s="154"/>
    </row>
    <row r="8">
      <c r="A8" s="150">
        <f>IFERROR(__xludf.DUMMYFUNCTION("""COMPUTED_VALUE"""),45812.0)</f>
        <v>45812</v>
      </c>
      <c r="B8" s="151">
        <f>IFERROR(__xludf.DUMMYFUNCTION("""COMPUTED_VALUE"""),5076526.0)</f>
        <v>5076526</v>
      </c>
      <c r="C8" s="151" t="str">
        <f>IFERROR(__xludf.DUMMYFUNCTION("""COMPUTED_VALUE"""),"Martín Lecuona ")</f>
        <v>Martín Lecuona </v>
      </c>
      <c r="D8" s="152">
        <f>IFERROR(__xludf.DUMMYFUNCTION("""COMPUTED_VALUE"""),0.27)</f>
        <v>0.27</v>
      </c>
      <c r="E8" s="153">
        <f>IFERROR(__xludf.DUMMYFUNCTION("""COMPUTED_VALUE"""),120.0)</f>
        <v>120</v>
      </c>
      <c r="F8" s="153">
        <f>IFERROR(__xludf.DUMMYFUNCTION("""COMPUTED_VALUE"""),30.0)</f>
        <v>30</v>
      </c>
      <c r="G8" s="153">
        <f>IFERROR(__xludf.DUMMYFUNCTION("""COMPUTED_VALUE"""),30.0)</f>
        <v>30</v>
      </c>
      <c r="H8" s="153">
        <f>IFERROR(__xludf.DUMMYFUNCTION("""COMPUTED_VALUE"""),60.0)</f>
        <v>60</v>
      </c>
      <c r="I8" s="151" t="str">
        <f>IFERROR(__xludf.DUMMYFUNCTION("""COMPUTED_VALUE"""),"T4-Ba")</f>
        <v>T4-Ba</v>
      </c>
      <c r="J8" s="154">
        <f>IFERROR(__xludf.DUMMYFUNCTION("""COMPUTED_VALUE"""),147.7231)</f>
        <v>147.7231</v>
      </c>
      <c r="K8" s="154">
        <f>IFERROR(__xludf.DUMMYFUNCTION("""COMPUTED_VALUE"""),144.9122)</f>
        <v>144.9122</v>
      </c>
      <c r="L8" s="154">
        <f>IFERROR(__xludf.DUMMYFUNCTION("""COMPUTED_VALUE"""),146.1531)</f>
        <v>146.1531</v>
      </c>
      <c r="M8" s="152">
        <f>IFERROR(__xludf.DUMMYFUNCTION("""COMPUTED_VALUE"""),612.2)</f>
        <v>612.2</v>
      </c>
      <c r="N8" s="153">
        <f>IFERROR(__xludf.DUMMYFUNCTION("""COMPUTED_VALUE"""),732.2)</f>
        <v>732.2</v>
      </c>
      <c r="O8" s="154">
        <f>IFERROR(__xludf.DUMMYFUNCTION("""COMPUTED_VALUE"""),17548.245)</f>
        <v>17548.245</v>
      </c>
      <c r="P8" s="154">
        <f>IFERROR(__xludf.DUMMYFUNCTION("""COMPUTED_VALUE"""),1280.0)</f>
        <v>1280</v>
      </c>
      <c r="Q8" s="155">
        <f>IFERROR(__xludf.DUMMYFUNCTION("""COMPUTED_VALUE"""),69.902287359375)</f>
        <v>69.90228736</v>
      </c>
      <c r="R8" s="154">
        <f>IFERROR(__xludf.DUMMYFUNCTION("""COMPUTED_VALUE"""),89474.92782)</f>
        <v>89474.92782</v>
      </c>
      <c r="S8" s="154">
        <f>IFERROR(__xludf.DUMMYFUNCTION("""COMPUTED_VALUE"""),1465.0)</f>
        <v>1465</v>
      </c>
      <c r="T8" s="154">
        <f>IFERROR(__xludf.DUMMYFUNCTION("""COMPUTED_VALUE"""),130056.70074648515)</f>
        <v>130056.7007</v>
      </c>
      <c r="U8" s="156">
        <f>IFERROR(__xludf.DUMMYFUNCTION("""COMPUTED_VALUE"""),122.44000000000001)</f>
        <v>122.44</v>
      </c>
      <c r="V8" s="156">
        <f>IFERROR(__xludf.DUMMYFUNCTION("""COMPUTED_VALUE"""),5.565454545454546)</f>
        <v>5.565454545</v>
      </c>
      <c r="W8" s="157">
        <f>IFERROR(__xludf.DUMMYFUNCTION("""COMPUTED_VALUE"""),0.8360332203053443)</f>
        <v>0.8360332203</v>
      </c>
      <c r="X8" s="154">
        <f>IFERROR(__xludf.DUMMYFUNCTION("""COMPUTED_VALUE"""),107023.17281999999)</f>
        <v>107023.1728</v>
      </c>
      <c r="Y8" s="154"/>
    </row>
    <row r="9">
      <c r="A9" s="150">
        <f>IFERROR(__xludf.DUMMYFUNCTION("""COMPUTED_VALUE"""),45780.0)</f>
        <v>45780</v>
      </c>
      <c r="B9" s="151">
        <f>IFERROR(__xludf.DUMMYFUNCTION("""COMPUTED_VALUE"""),5076526.0)</f>
        <v>5076526</v>
      </c>
      <c r="C9" s="151" t="str">
        <f>IFERROR(__xludf.DUMMYFUNCTION("""COMPUTED_VALUE"""),"Martín Lecuona ")</f>
        <v>Martín Lecuona </v>
      </c>
      <c r="D9" s="152">
        <f>IFERROR(__xludf.DUMMYFUNCTION("""COMPUTED_VALUE"""),0.27)</f>
        <v>0.27</v>
      </c>
      <c r="E9" s="153">
        <f>IFERROR(__xludf.DUMMYFUNCTION("""COMPUTED_VALUE"""),4770.0)</f>
        <v>4770</v>
      </c>
      <c r="F9" s="153">
        <f>IFERROR(__xludf.DUMMYFUNCTION("""COMPUTED_VALUE"""),390.0)</f>
        <v>390</v>
      </c>
      <c r="G9" s="153">
        <f>IFERROR(__xludf.DUMMYFUNCTION("""COMPUTED_VALUE"""),450.0)</f>
        <v>450</v>
      </c>
      <c r="H9" s="153">
        <f>IFERROR(__xludf.DUMMYFUNCTION("""COMPUTED_VALUE"""),3930.0)</f>
        <v>3930</v>
      </c>
      <c r="I9" s="151" t="str">
        <f>IFERROR(__xludf.DUMMYFUNCTION("""COMPUTED_VALUE"""),"T4-Ba")</f>
        <v>T4-Ba</v>
      </c>
      <c r="J9" s="154">
        <f>IFERROR(__xludf.DUMMYFUNCTION("""COMPUTED_VALUE"""),145.3784)</f>
        <v>145.3784</v>
      </c>
      <c r="K9" s="154">
        <f>IFERROR(__xludf.DUMMYFUNCTION("""COMPUTED_VALUE"""),142.6091)</f>
        <v>142.6091</v>
      </c>
      <c r="L9" s="154">
        <f>IFERROR(__xludf.DUMMYFUNCTION("""COMPUTED_VALUE"""),143.8316)</f>
        <v>143.8316</v>
      </c>
      <c r="M9" s="152">
        <f>IFERROR(__xludf.DUMMYFUNCTION("""COMPUTED_VALUE"""),481.0)</f>
        <v>481</v>
      </c>
      <c r="N9" s="153">
        <f>IFERROR(__xludf.DUMMYFUNCTION("""COMPUTED_VALUE"""),5251.0)</f>
        <v>5251</v>
      </c>
      <c r="O9" s="154">
        <f>IFERROR(__xludf.DUMMYFUNCTION("""COMPUTED_VALUE"""),686129.859)</f>
        <v>686129.859</v>
      </c>
      <c r="P9" s="154">
        <f>IFERROR(__xludf.DUMMYFUNCTION("""COMPUTED_VALUE"""),1200.0)</f>
        <v>1200</v>
      </c>
      <c r="Q9" s="155">
        <f>IFERROR(__xludf.DUMMYFUNCTION("""COMPUTED_VALUE"""),57.65249966666668)</f>
        <v>57.65249967</v>
      </c>
      <c r="R9" s="154">
        <f>IFERROR(__xludf.DUMMYFUNCTION("""COMPUTED_VALUE"""),69182.99960000001)</f>
        <v>69182.9996</v>
      </c>
      <c r="S9" s="154">
        <f>IFERROR(__xludf.DUMMYFUNCTION("""COMPUTED_VALUE"""),1465.0)</f>
        <v>1465</v>
      </c>
      <c r="T9" s="154">
        <f>IFERROR(__xludf.DUMMYFUNCTION("""COMPUTED_VALUE"""),107265.3582548167)</f>
        <v>107265.3583</v>
      </c>
      <c r="U9" s="156">
        <f>IFERROR(__xludf.DUMMYFUNCTION("""COMPUTED_VALUE"""),96.2)</f>
        <v>96.2</v>
      </c>
      <c r="V9" s="156">
        <f>IFERROR(__xludf.DUMMYFUNCTION("""COMPUTED_VALUE"""),4.372727272727273)</f>
        <v>4.372727273</v>
      </c>
      <c r="W9" s="157">
        <f>IFERROR(__xludf.DUMMYFUNCTION("""COMPUTED_VALUE"""),0.09159515664572854)</f>
        <v>0.09159515665</v>
      </c>
      <c r="X9" s="154">
        <f>IFERROR(__xludf.DUMMYFUNCTION("""COMPUTED_VALUE"""),755312.8586)</f>
        <v>755312.8586</v>
      </c>
      <c r="Y9" s="154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sheetData>
    <row r="1">
      <c r="A1" s="168" t="str">
        <f>Datos!A1</f>
        <v>   Fecha </v>
      </c>
      <c r="B1" s="168" t="str">
        <f>Datos!B1</f>
        <v>NIS</v>
      </c>
      <c r="C1" s="168" t="str">
        <f>Datos!C1</f>
        <v>Cliente</v>
      </c>
      <c r="D1" s="168" t="str">
        <f>Datos!D1</f>
        <v>IVA</v>
      </c>
      <c r="E1" s="168" t="str">
        <f>Datos!E1</f>
        <v>Consumo [kWh]</v>
      </c>
      <c r="F1" s="168" t="str">
        <f>Datos!F1</f>
        <v>Consumo hs punta [kWh]</v>
      </c>
      <c r="G1" s="168" t="str">
        <f>Datos!G1</f>
        <v>Consumo hs valle [kWh]</v>
      </c>
      <c r="H1" s="168" t="str">
        <f>Datos!H1</f>
        <v>Consumo hs resto[kWh]</v>
      </c>
      <c r="I1" s="168" t="str">
        <f>Datos!I1</f>
        <v>Catergoria</v>
      </c>
      <c r="J1" s="168" t="str">
        <f>Datos!J1</f>
        <v>Tarifa punta</v>
      </c>
      <c r="K1" s="168" t="str">
        <f>Datos!K1</f>
        <v>Tarifa valle</v>
      </c>
      <c r="L1" s="168" t="str">
        <f>Datos!L1</f>
        <v>Tarifa resto</v>
      </c>
      <c r="M1" s="168" t="str">
        <f>Datos!M1</f>
        <v>Generacion FV [kWh]</v>
      </c>
      <c r="N1" s="168" t="str">
        <f>Datos!N1</f>
        <v>CONSUMO TOTAL</v>
      </c>
      <c r="O1" s="168" t="str">
        <f>Datos!O1</f>
        <v>Total a pagar S / IVA</v>
      </c>
      <c r="P1" s="168" t="str">
        <f>Datos!P1</f>
        <v>Valor USD</v>
      </c>
      <c r="Q1" s="168" t="str">
        <f>Datos!Q1</f>
        <v>Ahorro (USD)</v>
      </c>
      <c r="R1" s="168" t="str">
        <f>Datos!R1</f>
        <v>Ahorro ($)</v>
      </c>
      <c r="S1" s="168" t="str">
        <f>Datos!S1</f>
        <v>Valor dolar Actual ($)</v>
      </c>
      <c r="T1" s="168" t="str">
        <f>Datos!T1</f>
        <v>Ahorro ($)-A precio actual</v>
      </c>
      <c r="U1" s="168" t="str">
        <f>Datos!U1</f>
        <v>kg CO2e evitados</v>
      </c>
      <c r="V1" s="168" t="str">
        <f>Datos!V1</f>
        <v>Equivalente en árboles</v>
      </c>
      <c r="W1" s="168" t="str">
        <f>Datos!W1</f>
        <v>% de ahorro sobre los consumos</v>
      </c>
      <c r="X1" s="168" t="str">
        <f>Datos!X1</f>
        <v>SIN PANELES S/IVA</v>
      </c>
    </row>
    <row r="2">
      <c r="A2" s="150">
        <f>'MartÍn Lecuona '!A2</f>
        <v>45994</v>
      </c>
      <c r="B2" s="151">
        <f>'MartÍn Lecuona '!B2</f>
        <v>5076526</v>
      </c>
      <c r="C2" s="151" t="str">
        <f>'MartÍn Lecuona '!C2</f>
        <v>Martin Lecuona </v>
      </c>
      <c r="D2" s="152">
        <f>'MartÍn Lecuona '!D2</f>
        <v>0.27</v>
      </c>
      <c r="E2" s="153">
        <f>'MartÍn Lecuona '!E2</f>
        <v>4410</v>
      </c>
      <c r="F2" s="153">
        <f>'MartÍn Lecuona '!F2</f>
        <v>30</v>
      </c>
      <c r="G2" s="153">
        <f>'MartÍn Lecuona '!G2</f>
        <v>570</v>
      </c>
      <c r="H2" s="153">
        <f>'MartÍn Lecuona '!H2</f>
        <v>3810</v>
      </c>
      <c r="I2" s="153" t="str">
        <f>'MartÍn Lecuona '!I2</f>
        <v>T4-Ba</v>
      </c>
      <c r="J2" s="154">
        <f>'MartÍn Lecuona '!J2</f>
        <v>152.0913</v>
      </c>
      <c r="K2" s="154">
        <f>'MartÍn Lecuona '!K2</f>
        <v>153.7589</v>
      </c>
      <c r="L2" s="154">
        <f>'MartÍn Lecuona '!L2</f>
        <v>154.5615</v>
      </c>
      <c r="M2" s="151" t="str">
        <f>'MartÍn Lecuona '!M2</f>
        <v/>
      </c>
      <c r="N2" s="152" t="str">
        <f>'MartÍn Lecuona '!N2</f>
        <v/>
      </c>
      <c r="O2" s="154" t="str">
        <f>'MartÍn Lecuona '!O2</f>
        <v/>
      </c>
      <c r="P2" s="154" t="str">
        <f>'MartÍn Lecuona '!P2</f>
        <v/>
      </c>
      <c r="Q2" s="155" t="str">
        <f>'MartÍn Lecuona '!Q2</f>
        <v/>
      </c>
      <c r="R2" s="154" t="str">
        <f>'MartÍn Lecuona '!R2</f>
        <v/>
      </c>
      <c r="S2" s="154" t="str">
        <f>'MartÍn Lecuona '!S2</f>
        <v/>
      </c>
      <c r="T2" s="154" t="str">
        <f>'MartÍn Lecuona '!T2</f>
        <v/>
      </c>
      <c r="U2" s="156" t="str">
        <f>'MartÍn Lecuona '!U2</f>
        <v/>
      </c>
      <c r="V2" s="156" t="str">
        <f>'MartÍn Lecuona '!V2</f>
        <v/>
      </c>
      <c r="W2" s="157" t="str">
        <f>'MartÍn Lecuona '!W2</f>
        <v/>
      </c>
      <c r="X2" s="154" t="str">
        <f>'MartÍn Lecuona '!X2</f>
        <v/>
      </c>
    </row>
    <row r="3">
      <c r="A3" s="150">
        <f>'MartÍn Lecuona '!A3</f>
        <v>45968</v>
      </c>
      <c r="B3" s="151">
        <f>'MartÍn Lecuona '!B3</f>
        <v>5076526</v>
      </c>
      <c r="C3" s="151" t="str">
        <f>'MartÍn Lecuona '!C3</f>
        <v>Martín Lecuona </v>
      </c>
      <c r="D3" s="152">
        <f>'MartÍn Lecuona '!D3</f>
        <v>0.27</v>
      </c>
      <c r="E3" s="153">
        <f>'MartÍn Lecuona '!E3</f>
        <v>6180</v>
      </c>
      <c r="F3" s="153">
        <f>'MartÍn Lecuona '!F3</f>
        <v>30</v>
      </c>
      <c r="G3" s="153">
        <f>'MartÍn Lecuona '!G3</f>
        <v>2130</v>
      </c>
      <c r="H3" s="153">
        <f>'MartÍn Lecuona '!H3</f>
        <v>4020</v>
      </c>
      <c r="I3" s="153" t="str">
        <f>'MartÍn Lecuona '!I3</f>
        <v>T4-Ba</v>
      </c>
      <c r="J3" s="154">
        <f>'MartÍn Lecuona '!J3</f>
        <v>152.0913</v>
      </c>
      <c r="K3" s="154">
        <f>'MartÍn Lecuona '!K3</f>
        <v>149.3017</v>
      </c>
      <c r="L3" s="154">
        <f>'MartÍn Lecuona '!L3</f>
        <v>150.1043</v>
      </c>
      <c r="M3" s="152">
        <f>'MartÍn Lecuona '!M3</f>
        <v>1905.7</v>
      </c>
      <c r="N3" s="153">
        <f>'MartÍn Lecuona '!N3</f>
        <v>1935.7</v>
      </c>
      <c r="O3" s="154">
        <f>'MartÍn Lecuona '!O3</f>
        <v>1025984.841</v>
      </c>
      <c r="P3" s="154">
        <f>'MartÍn Lecuona '!P3</f>
        <v>1470</v>
      </c>
      <c r="Q3" s="155">
        <f>'MartÍn Lecuona '!Q3</f>
        <v>215.5349293</v>
      </c>
      <c r="R3" s="154">
        <f>'MartÍn Lecuona '!R3</f>
        <v>316836.346</v>
      </c>
      <c r="S3" s="154">
        <f>'MartÍn Lecuona '!S3</f>
        <v>1465</v>
      </c>
      <c r="T3" s="154">
        <f>'MartÍn Lecuona '!T3</f>
        <v>401013.5127</v>
      </c>
      <c r="U3" s="156">
        <f>'MartÍn Lecuona '!U3</f>
        <v>381.14</v>
      </c>
      <c r="V3" s="156">
        <f>'MartÍn Lecuona '!V3</f>
        <v>17.32454545</v>
      </c>
      <c r="W3" s="157">
        <f>'MartÍn Lecuona '!W3</f>
        <v>0.2359482775</v>
      </c>
      <c r="X3" s="154">
        <f>'MartÍn Lecuona '!X3</f>
        <v>1342821.187</v>
      </c>
    </row>
    <row r="4">
      <c r="A4" s="150">
        <f>'MartÍn Lecuona '!A4</f>
        <v>45931</v>
      </c>
      <c r="B4" s="151">
        <f>'MartÍn Lecuona '!B4</f>
        <v>5076526</v>
      </c>
      <c r="C4" s="151" t="str">
        <f>'MartÍn Lecuona '!C4</f>
        <v>Martín Lecuona </v>
      </c>
      <c r="D4" s="152">
        <f>'MartÍn Lecuona '!D4</f>
        <v>0.27</v>
      </c>
      <c r="E4" s="153">
        <f>'MartÍn Lecuona '!E4</f>
        <v>8130</v>
      </c>
      <c r="F4" s="153">
        <f>'MartÍn Lecuona '!F4</f>
        <v>30</v>
      </c>
      <c r="G4" s="153">
        <f>'MartÍn Lecuona '!G4</f>
        <v>2850</v>
      </c>
      <c r="H4" s="153">
        <f>'MartÍn Lecuona '!H4</f>
        <v>5250</v>
      </c>
      <c r="I4" s="151" t="str">
        <f>'MartÍn Lecuona '!I4</f>
        <v>T4-Ba</v>
      </c>
      <c r="J4" s="154">
        <f>'MartÍn Lecuona '!J4</f>
        <v>159.8077</v>
      </c>
      <c r="K4" s="154">
        <f>'MartÍn Lecuona '!K4</f>
        <v>156.9735</v>
      </c>
      <c r="L4" s="154">
        <f>'MartÍn Lecuona '!L4</f>
        <v>158.2241</v>
      </c>
      <c r="M4" s="152">
        <f>'MartÍn Lecuona '!M4</f>
        <v>2660.3</v>
      </c>
      <c r="N4" s="153">
        <f>'MartÍn Lecuona '!N4</f>
        <v>10790.3</v>
      </c>
      <c r="O4" s="154">
        <f>'MartÍn Lecuona '!O4</f>
        <v>1282845.231</v>
      </c>
      <c r="P4" s="154">
        <f>'MartÍn Lecuona '!P4</f>
        <v>1450</v>
      </c>
      <c r="Q4" s="155">
        <f>'MartÍn Lecuona '!Q4</f>
        <v>290.2921195</v>
      </c>
      <c r="R4" s="154">
        <f>'MartÍn Lecuona '!R4</f>
        <v>420923.5732</v>
      </c>
      <c r="S4" s="154">
        <f>'MartÍn Lecuona '!S4</f>
        <v>1465</v>
      </c>
      <c r="T4" s="154">
        <f>'MartÍn Lecuona '!T4</f>
        <v>540103.0029</v>
      </c>
      <c r="U4" s="156">
        <f>'MartÍn Lecuona '!U4</f>
        <v>532.06</v>
      </c>
      <c r="V4" s="156">
        <f>'MartÍn Lecuona '!V4</f>
        <v>24.18454545</v>
      </c>
      <c r="W4" s="157">
        <f>'MartÍn Lecuona '!W4</f>
        <v>0.2470543962</v>
      </c>
      <c r="X4" s="154">
        <f>'MartÍn Lecuona '!X4</f>
        <v>1703768.804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0"/>
  <sheetData>
    <row r="1">
      <c r="A1" s="168" t="str">
        <f>Datos!A1</f>
        <v>   Fecha </v>
      </c>
      <c r="B1" s="168" t="str">
        <f>Datos!B1</f>
        <v>NIS</v>
      </c>
      <c r="C1" s="168" t="str">
        <f>Datos!C1</f>
        <v>Cliente</v>
      </c>
      <c r="D1" s="168" t="str">
        <f>Datos!D1</f>
        <v>IVA</v>
      </c>
      <c r="E1" s="168" t="str">
        <f>Datos!E1</f>
        <v>Consumo [kWh]</v>
      </c>
      <c r="F1" s="168" t="str">
        <f>Datos!F1</f>
        <v>Consumo hs punta [kWh]</v>
      </c>
      <c r="G1" s="168" t="str">
        <f>Datos!G1</f>
        <v>Consumo hs valle [kWh]</v>
      </c>
      <c r="H1" s="168" t="str">
        <f>Datos!H1</f>
        <v>Consumo hs resto[kWh]</v>
      </c>
      <c r="I1" s="168" t="str">
        <f>Datos!I1</f>
        <v>Catergoria</v>
      </c>
      <c r="J1" s="168" t="str">
        <f>Datos!J1</f>
        <v>Tarifa punta</v>
      </c>
      <c r="K1" s="168" t="str">
        <f>Datos!K1</f>
        <v>Tarifa valle</v>
      </c>
      <c r="L1" s="168" t="str">
        <f>Datos!L1</f>
        <v>Tarifa resto</v>
      </c>
      <c r="M1" s="168" t="str">
        <f>Datos!M1</f>
        <v>Generacion FV [kWh]</v>
      </c>
      <c r="N1" s="168" t="str">
        <f>Datos!N1</f>
        <v>CONSUMO TOTAL</v>
      </c>
      <c r="O1" s="168" t="str">
        <f>Datos!O1</f>
        <v>Total a pagar S / IVA</v>
      </c>
      <c r="P1" s="168" t="str">
        <f>Datos!P1</f>
        <v>Valor USD</v>
      </c>
      <c r="Q1" s="168" t="str">
        <f>Datos!Q1</f>
        <v>Ahorro (USD)</v>
      </c>
      <c r="R1" s="168" t="str">
        <f>Datos!R1</f>
        <v>Ahorro ($)</v>
      </c>
      <c r="S1" s="168" t="str">
        <f>Datos!S1</f>
        <v>Valor dolar Actual ($)</v>
      </c>
      <c r="T1" s="168" t="str">
        <f>Datos!T1</f>
        <v>Ahorro ($)-A precio actual</v>
      </c>
      <c r="U1" s="168" t="str">
        <f>Datos!U1</f>
        <v>kg CO2e evitados</v>
      </c>
      <c r="V1" s="168" t="str">
        <f>Datos!V1</f>
        <v>Equivalente en árboles</v>
      </c>
      <c r="W1" s="168" t="str">
        <f>Datos!W1</f>
        <v>% de ahorro sobre los consumos</v>
      </c>
      <c r="X1" s="168" t="str">
        <f>Datos!X1</f>
        <v>SIN PANELES S/IVA</v>
      </c>
      <c r="Y1" s="151" t="str">
        <f>Datos!Z1</f>
        <v/>
      </c>
      <c r="Z1" s="151" t="str">
        <f>Datos!AA1</f>
        <v/>
      </c>
    </row>
    <row r="2">
      <c r="A2" s="150">
        <f>IFERROR(__xludf.DUMMYFUNCTION("FILTER(Datos!1:1247,Datos!B:B=5213946)"),45992.0)</f>
        <v>45992</v>
      </c>
      <c r="B2" s="151">
        <f>IFERROR(__xludf.DUMMYFUNCTION("""COMPUTED_VALUE"""),5213946.0)</f>
        <v>5213946</v>
      </c>
      <c r="C2" s="151" t="str">
        <f>IFERROR(__xludf.DUMMYFUNCTION("""COMPUTED_VALUE"""),"Tambo Martorell")</f>
        <v>Tambo Martorell</v>
      </c>
      <c r="D2" s="152">
        <f>IFERROR(__xludf.DUMMYFUNCTION("""COMPUTED_VALUE"""),0.27)</f>
        <v>0.27</v>
      </c>
      <c r="E2" s="153">
        <f>IFERROR(__xludf.DUMMYFUNCTION("""COMPUTED_VALUE"""),6604.0)</f>
        <v>6604</v>
      </c>
      <c r="F2" s="153">
        <f>IFERROR(__xludf.DUMMYFUNCTION("""COMPUTED_VALUE"""),2584.0)</f>
        <v>2584</v>
      </c>
      <c r="G2" s="153">
        <f>IFERROR(__xludf.DUMMYFUNCTION("""COMPUTED_VALUE"""),869.0)</f>
        <v>869</v>
      </c>
      <c r="H2" s="153">
        <f>IFERROR(__xludf.DUMMYFUNCTION("""COMPUTED_VALUE"""),3151.0)</f>
        <v>3151</v>
      </c>
      <c r="I2" s="153" t="str">
        <f>IFERROR(__xludf.DUMMYFUNCTION("""COMPUTED_VALUE"""),"T6-Me")</f>
        <v>T6-Me</v>
      </c>
      <c r="J2" s="154">
        <f>IFERROR(__xludf.DUMMYFUNCTION("""COMPUTED_VALUE"""),174.6648)</f>
        <v>174.6648</v>
      </c>
      <c r="K2" s="154">
        <f>IFERROR(__xludf.DUMMYFUNCTION("""COMPUTED_VALUE"""),172.155)</f>
        <v>172.155</v>
      </c>
      <c r="L2" s="154">
        <f>IFERROR(__xludf.DUMMYFUNCTION("""COMPUTED_VALUE"""),172.8771)</f>
        <v>172.8771</v>
      </c>
      <c r="M2" s="151">
        <f>IFERROR(__xludf.DUMMYFUNCTION("""COMPUTED_VALUE"""),1179.2)</f>
        <v>1179.2</v>
      </c>
      <c r="N2" s="152">
        <f>IFERROR(__xludf.DUMMYFUNCTION("""COMPUTED_VALUE"""),7783.2)</f>
        <v>7783.2</v>
      </c>
      <c r="O2" s="154">
        <f>IFERROR(__xludf.DUMMYFUNCTION("""COMPUTED_VALUE"""),1145672.2803000002)</f>
        <v>1145672.28</v>
      </c>
      <c r="P2" s="154">
        <f>IFERROR(__xludf.DUMMYFUNCTION("""COMPUTED_VALUE"""),1470.0)</f>
        <v>1470</v>
      </c>
      <c r="Q2" s="155">
        <f>IFERROR(__xludf.DUMMYFUNCTION("""COMPUTED_VALUE"""),138.67801110204084)</f>
        <v>138.6780111</v>
      </c>
      <c r="R2" s="154">
        <f>IFERROR(__xludf.DUMMYFUNCTION("""COMPUTED_VALUE"""),203856.67632000003)</f>
        <v>203856.6763</v>
      </c>
      <c r="S2" s="154">
        <f>IFERROR(__xludf.DUMMYFUNCTION("""COMPUTED_VALUE"""),1465.0)</f>
        <v>1465</v>
      </c>
      <c r="T2" s="154">
        <f>IFERROR(__xludf.DUMMYFUNCTION("""COMPUTED_VALUE"""),258017.3735559021)</f>
        <v>258017.3736</v>
      </c>
      <c r="U2" s="156">
        <f>IFERROR(__xludf.DUMMYFUNCTION("""COMPUTED_VALUE"""),235.84000000000003)</f>
        <v>235.84</v>
      </c>
      <c r="V2" s="156">
        <f>IFERROR(__xludf.DUMMYFUNCTION("""COMPUTED_VALUE"""),10.72)</f>
        <v>10.72</v>
      </c>
      <c r="W2" s="157">
        <f>IFERROR(__xludf.DUMMYFUNCTION("""COMPUTED_VALUE"""),0.15105765261278636)</f>
        <v>0.1510576526</v>
      </c>
      <c r="X2" s="154">
        <f>IFERROR(__xludf.DUMMYFUNCTION("""COMPUTED_VALUE"""),1349528.9566200003)</f>
        <v>1349528.957</v>
      </c>
      <c r="Y2" s="154"/>
    </row>
    <row r="3">
      <c r="A3" s="150">
        <f>IFERROR(__xludf.DUMMYFUNCTION("""COMPUTED_VALUE"""),45969.0)</f>
        <v>45969</v>
      </c>
      <c r="B3" s="151">
        <f>IFERROR(__xludf.DUMMYFUNCTION("""COMPUTED_VALUE"""),5213946.0)</f>
        <v>5213946</v>
      </c>
      <c r="C3" s="151" t="str">
        <f>IFERROR(__xludf.DUMMYFUNCTION("""COMPUTED_VALUE"""),"Tambo Martorell")</f>
        <v>Tambo Martorell</v>
      </c>
      <c r="D3" s="152">
        <f>IFERROR(__xludf.DUMMYFUNCTION("""COMPUTED_VALUE"""),0.27)</f>
        <v>0.27</v>
      </c>
      <c r="E3" s="153">
        <f>IFERROR(__xludf.DUMMYFUNCTION("""COMPUTED_VALUE"""),5951.0)</f>
        <v>5951</v>
      </c>
      <c r="F3" s="153">
        <f>IFERROR(__xludf.DUMMYFUNCTION("""COMPUTED_VALUE"""),2497.0)</f>
        <v>2497</v>
      </c>
      <c r="G3" s="153">
        <f>IFERROR(__xludf.DUMMYFUNCTION("""COMPUTED_VALUE"""),732.0)</f>
        <v>732</v>
      </c>
      <c r="H3" s="153">
        <f>IFERROR(__xludf.DUMMYFUNCTION("""COMPUTED_VALUE"""),2722.0)</f>
        <v>2722</v>
      </c>
      <c r="I3" s="153" t="str">
        <f>IFERROR(__xludf.DUMMYFUNCTION("""COMPUTED_VALUE"""),"T6-Me")</f>
        <v>T6-Me</v>
      </c>
      <c r="J3" s="154">
        <f>IFERROR(__xludf.DUMMYFUNCTION("""COMPUTED_VALUE"""),168.0449)</f>
        <v>168.0449</v>
      </c>
      <c r="K3" s="154">
        <f>IFERROR(__xludf.DUMMYFUNCTION("""COMPUTED_VALUE"""),165.535)</f>
        <v>165.535</v>
      </c>
      <c r="L3" s="154">
        <f>IFERROR(__xludf.DUMMYFUNCTION("""COMPUTED_VALUE"""),166.2572)</f>
        <v>166.2572</v>
      </c>
      <c r="M3" s="152">
        <f>IFERROR(__xludf.DUMMYFUNCTION("""COMPUTED_VALUE"""),1195.1)</f>
        <v>1195.1</v>
      </c>
      <c r="N3" s="153">
        <f>IFERROR(__xludf.DUMMYFUNCTION("""COMPUTED_VALUE"""),7146.1)</f>
        <v>7146.1</v>
      </c>
      <c r="O3" s="154">
        <f>IFERROR(__xludf.DUMMYFUNCTION("""COMPUTED_VALUE"""),993331.8337000001)</f>
        <v>993331.8337</v>
      </c>
      <c r="P3" s="154">
        <f>IFERROR(__xludf.DUMMYFUNCTION("""COMPUTED_VALUE"""),1470.0)</f>
        <v>1470</v>
      </c>
      <c r="Q3" s="155">
        <f>IFERROR(__xludf.DUMMYFUNCTION("""COMPUTED_VALUE"""),135.16597259863946)</f>
        <v>135.1659726</v>
      </c>
      <c r="R3" s="154">
        <f>IFERROR(__xludf.DUMMYFUNCTION("""COMPUTED_VALUE"""),198693.97972)</f>
        <v>198693.9797</v>
      </c>
      <c r="S3" s="154">
        <f>IFERROR(__xludf.DUMMYFUNCTION("""COMPUTED_VALUE"""),1465.0)</f>
        <v>1465</v>
      </c>
      <c r="T3" s="154">
        <f>IFERROR(__xludf.DUMMYFUNCTION("""COMPUTED_VALUE"""),251483.05031839863)</f>
        <v>251483.0503</v>
      </c>
      <c r="U3" s="156">
        <f>IFERROR(__xludf.DUMMYFUNCTION("""COMPUTED_VALUE"""),239.01999999999998)</f>
        <v>239.02</v>
      </c>
      <c r="V3" s="156">
        <f>IFERROR(__xludf.DUMMYFUNCTION("""COMPUTED_VALUE"""),10.864545454545453)</f>
        <v>10.86454545</v>
      </c>
      <c r="W3" s="157">
        <f>IFERROR(__xludf.DUMMYFUNCTION("""COMPUTED_VALUE"""),0.16668597062502696)</f>
        <v>0.1666859706</v>
      </c>
      <c r="X3" s="154">
        <f>IFERROR(__xludf.DUMMYFUNCTION("""COMPUTED_VALUE"""),1192025.81342)</f>
        <v>1192025.813</v>
      </c>
      <c r="Y3" s="154"/>
    </row>
    <row r="4">
      <c r="A4" s="150">
        <f>IFERROR(__xludf.DUMMYFUNCTION("""COMPUTED_VALUE"""),45931.0)</f>
        <v>45931</v>
      </c>
      <c r="B4" s="151">
        <f>IFERROR(__xludf.DUMMYFUNCTION("""COMPUTED_VALUE"""),5213946.0)</f>
        <v>5213946</v>
      </c>
      <c r="C4" s="151" t="str">
        <f>IFERROR(__xludf.DUMMYFUNCTION("""COMPUTED_VALUE"""),"Tambo Martorell")</f>
        <v>Tambo Martorell</v>
      </c>
      <c r="D4" s="152">
        <f>IFERROR(__xludf.DUMMYFUNCTION("""COMPUTED_VALUE"""),0.27)</f>
        <v>0.27</v>
      </c>
      <c r="E4" s="153">
        <f>IFERROR(__xludf.DUMMYFUNCTION("""COMPUTED_VALUE"""),6293.0)</f>
        <v>6293</v>
      </c>
      <c r="F4" s="153">
        <f>IFERROR(__xludf.DUMMYFUNCTION("""COMPUTED_VALUE"""),2683.0)</f>
        <v>2683</v>
      </c>
      <c r="G4" s="153">
        <f>IFERROR(__xludf.DUMMYFUNCTION("""COMPUTED_VALUE"""),679.0)</f>
        <v>679</v>
      </c>
      <c r="H4" s="153">
        <f>IFERROR(__xludf.DUMMYFUNCTION("""COMPUTED_VALUE"""),2931.0)</f>
        <v>2931</v>
      </c>
      <c r="I4" s="151" t="str">
        <f>IFERROR(__xludf.DUMMYFUNCTION("""COMPUTED_VALUE"""),"T6-Me")</f>
        <v>T6-Me</v>
      </c>
      <c r="J4" s="154">
        <f>IFERROR(__xludf.DUMMYFUNCTION("""COMPUTED_VALUE"""),191.9806)</f>
        <v>191.9806</v>
      </c>
      <c r="K4" s="154">
        <f>IFERROR(__xludf.DUMMYFUNCTION("""COMPUTED_VALUE"""),189.4307)</f>
        <v>189.4307</v>
      </c>
      <c r="L4" s="154">
        <f>IFERROR(__xludf.DUMMYFUNCTION("""COMPUTED_VALUE"""),190.5558)</f>
        <v>190.5558</v>
      </c>
      <c r="M4" s="152">
        <f>IFERROR(__xludf.DUMMYFUNCTION("""COMPUTED_VALUE"""),1129.0)</f>
        <v>1129</v>
      </c>
      <c r="N4" s="153">
        <f>IFERROR(__xludf.DUMMYFUNCTION("""COMPUTED_VALUE"""),7422.0)</f>
        <v>7422</v>
      </c>
      <c r="O4" s="154">
        <f>IFERROR(__xludf.DUMMYFUNCTION("""COMPUTED_VALUE"""),1202226.4449)</f>
        <v>1202226.445</v>
      </c>
      <c r="P4" s="154">
        <f>IFERROR(__xludf.DUMMYFUNCTION("""COMPUTED_VALUE"""),1450.0)</f>
        <v>1450</v>
      </c>
      <c r="Q4" s="155">
        <f>IFERROR(__xludf.DUMMYFUNCTION("""COMPUTED_VALUE"""),148.37068841379312)</f>
        <v>148.3706884</v>
      </c>
      <c r="R4" s="154">
        <f>IFERROR(__xludf.DUMMYFUNCTION("""COMPUTED_VALUE"""),215137.49820000003)</f>
        <v>215137.4982</v>
      </c>
      <c r="S4" s="154">
        <f>IFERROR(__xludf.DUMMYFUNCTION("""COMPUTED_VALUE"""),1465.0)</f>
        <v>1465</v>
      </c>
      <c r="T4" s="154">
        <f>IFERROR(__xludf.DUMMYFUNCTION("""COMPUTED_VALUE"""),276051.0843282828)</f>
        <v>276051.0843</v>
      </c>
      <c r="U4" s="156">
        <f>IFERROR(__xludf.DUMMYFUNCTION("""COMPUTED_VALUE"""),225.8)</f>
        <v>225.8</v>
      </c>
      <c r="V4" s="156">
        <f>IFERROR(__xludf.DUMMYFUNCTION("""COMPUTED_VALUE"""),10.263636363636364)</f>
        <v>10.26363636</v>
      </c>
      <c r="W4" s="157">
        <f>IFERROR(__xludf.DUMMYFUNCTION("""COMPUTED_VALUE"""),0.15178705458631897)</f>
        <v>0.1517870546</v>
      </c>
      <c r="X4" s="154">
        <f>IFERROR(__xludf.DUMMYFUNCTION("""COMPUTED_VALUE"""),1417363.9431)</f>
        <v>1417363.943</v>
      </c>
      <c r="Y4" s="154"/>
    </row>
    <row r="5">
      <c r="A5" s="150">
        <f>IFERROR(__xludf.DUMMYFUNCTION("""COMPUTED_VALUE"""),45908.0)</f>
        <v>45908</v>
      </c>
      <c r="B5" s="151">
        <f>IFERROR(__xludf.DUMMYFUNCTION("""COMPUTED_VALUE"""),5213946.0)</f>
        <v>5213946</v>
      </c>
      <c r="C5" s="151" t="str">
        <f>IFERROR(__xludf.DUMMYFUNCTION("""COMPUTED_VALUE"""),"Tambo Martorell")</f>
        <v>Tambo Martorell</v>
      </c>
      <c r="D5" s="152">
        <f>IFERROR(__xludf.DUMMYFUNCTION("""COMPUTED_VALUE"""),0.27)</f>
        <v>0.27</v>
      </c>
      <c r="E5" s="153">
        <f>IFERROR(__xludf.DUMMYFUNCTION("""COMPUTED_VALUE"""),6004.0)</f>
        <v>6004</v>
      </c>
      <c r="F5" s="153">
        <f>IFERROR(__xludf.DUMMYFUNCTION("""COMPUTED_VALUE"""),2590.0)</f>
        <v>2590</v>
      </c>
      <c r="G5" s="153">
        <f>IFERROR(__xludf.DUMMYFUNCTION("""COMPUTED_VALUE"""),589.0)</f>
        <v>589</v>
      </c>
      <c r="H5" s="153">
        <f>IFERROR(__xludf.DUMMYFUNCTION("""COMPUTED_VALUE"""),2825.0)</f>
        <v>2825</v>
      </c>
      <c r="I5" s="151" t="str">
        <f>IFERROR(__xludf.DUMMYFUNCTION("""COMPUTED_VALUE"""),"T6-Me")</f>
        <v>T6-Me</v>
      </c>
      <c r="J5" s="154">
        <f>IFERROR(__xludf.DUMMYFUNCTION("""COMPUTED_VALUE"""),193.8383)</f>
        <v>193.8383</v>
      </c>
      <c r="K5" s="154">
        <f>IFERROR(__xludf.DUMMYFUNCTION("""COMPUTED_VALUE"""),191.2829)</f>
        <v>191.2829</v>
      </c>
      <c r="L5" s="154">
        <f>IFERROR(__xludf.DUMMYFUNCTION("""COMPUTED_VALUE"""),192.4113)</f>
        <v>192.4113</v>
      </c>
      <c r="M5" s="152">
        <f>IFERROR(__xludf.DUMMYFUNCTION("""COMPUTED_VALUE"""),1010.3)</f>
        <v>1010.3</v>
      </c>
      <c r="N5" s="153">
        <f>IFERROR(__xludf.DUMMYFUNCTION("""COMPUTED_VALUE"""),7014.3)</f>
        <v>7014.3</v>
      </c>
      <c r="O5" s="154">
        <f>IFERROR(__xludf.DUMMYFUNCTION("""COMPUTED_VALUE"""),1158268.7476)</f>
        <v>1158268.748</v>
      </c>
      <c r="P5" s="154">
        <f>IFERROR(__xludf.DUMMYFUNCTION("""COMPUTED_VALUE"""),1425.0)</f>
        <v>1425</v>
      </c>
      <c r="Q5" s="155">
        <f>IFERROR(__xludf.DUMMYFUNCTION("""COMPUTED_VALUE"""),136.4162360631579)</f>
        <v>136.4162361</v>
      </c>
      <c r="R5" s="154">
        <f>IFERROR(__xludf.DUMMYFUNCTION("""COMPUTED_VALUE"""),194393.13639)</f>
        <v>194393.1364</v>
      </c>
      <c r="S5" s="154">
        <f>IFERROR(__xludf.DUMMYFUNCTION("""COMPUTED_VALUE"""),1465.0)</f>
        <v>1465</v>
      </c>
      <c r="T5" s="154">
        <f>IFERROR(__xludf.DUMMYFUNCTION("""COMPUTED_VALUE"""),253809.2280073084)</f>
        <v>253809.228</v>
      </c>
      <c r="U5" s="156">
        <f>IFERROR(__xludf.DUMMYFUNCTION("""COMPUTED_VALUE"""),202.06)</f>
        <v>202.06</v>
      </c>
      <c r="V5" s="156">
        <f>IFERROR(__xludf.DUMMYFUNCTION("""COMPUTED_VALUE"""),9.184545454545455)</f>
        <v>9.184545455</v>
      </c>
      <c r="W5" s="157">
        <f>IFERROR(__xludf.DUMMYFUNCTION("""COMPUTED_VALUE"""),0.14371155030745075)</f>
        <v>0.1437115503</v>
      </c>
      <c r="X5" s="154">
        <f>IFERROR(__xludf.DUMMYFUNCTION("""COMPUTED_VALUE"""),1352661.88399)</f>
        <v>1352661.884</v>
      </c>
      <c r="Y5" s="154"/>
    </row>
    <row r="6">
      <c r="A6" s="150">
        <f>IFERROR(__xludf.DUMMYFUNCTION("""COMPUTED_VALUE"""),45876.0)</f>
        <v>45876</v>
      </c>
      <c r="B6" s="151">
        <f>IFERROR(__xludf.DUMMYFUNCTION("""COMPUTED_VALUE"""),5213946.0)</f>
        <v>5213946</v>
      </c>
      <c r="C6" s="151" t="str">
        <f>IFERROR(__xludf.DUMMYFUNCTION("""COMPUTED_VALUE"""),"Tambo Martorell")</f>
        <v>Tambo Martorell</v>
      </c>
      <c r="D6" s="152">
        <f>IFERROR(__xludf.DUMMYFUNCTION("""COMPUTED_VALUE"""),0.27)</f>
        <v>0.27</v>
      </c>
      <c r="E6" s="153">
        <f>IFERROR(__xludf.DUMMYFUNCTION("""COMPUTED_VALUE"""),5933.0)</f>
        <v>5933</v>
      </c>
      <c r="F6" s="153">
        <f>IFERROR(__xludf.DUMMYFUNCTION("""COMPUTED_VALUE"""),2550.0)</f>
        <v>2550</v>
      </c>
      <c r="G6" s="153">
        <f>IFERROR(__xludf.DUMMYFUNCTION("""COMPUTED_VALUE"""),659.0)</f>
        <v>659</v>
      </c>
      <c r="H6" s="153">
        <f>IFERROR(__xludf.DUMMYFUNCTION("""COMPUTED_VALUE"""),2724.0)</f>
        <v>2724</v>
      </c>
      <c r="I6" s="151" t="str">
        <f>IFERROR(__xludf.DUMMYFUNCTION("""COMPUTED_VALUE"""),"T6-Me")</f>
        <v>T6-Me</v>
      </c>
      <c r="J6" s="154">
        <f>IFERROR(__xludf.DUMMYFUNCTION("""COMPUTED_VALUE"""),194.1304)</f>
        <v>194.1304</v>
      </c>
      <c r="K6" s="154">
        <f>IFERROR(__xludf.DUMMYFUNCTION("""COMPUTED_VALUE"""),191.5662)</f>
        <v>191.5662</v>
      </c>
      <c r="L6" s="154">
        <f>IFERROR(__xludf.DUMMYFUNCTION("""COMPUTED_VALUE"""),192.6979)</f>
        <v>192.6979</v>
      </c>
      <c r="M6" s="152">
        <f>IFERROR(__xludf.DUMMYFUNCTION("""COMPUTED_VALUE"""),1211.8)</f>
        <v>1211.8</v>
      </c>
      <c r="N6" s="153">
        <f>IFERROR(__xludf.DUMMYFUNCTION("""COMPUTED_VALUE"""),7144.8)</f>
        <v>7144.8</v>
      </c>
      <c r="O6" s="154">
        <f>IFERROR(__xludf.DUMMYFUNCTION("""COMPUTED_VALUE"""),1146183.7254)</f>
        <v>1146183.725</v>
      </c>
      <c r="P6" s="154">
        <f>IFERROR(__xludf.DUMMYFUNCTION("""COMPUTED_VALUE"""),1340.0)</f>
        <v>1340</v>
      </c>
      <c r="Q6" s="155">
        <f>IFERROR(__xludf.DUMMYFUNCTION("""COMPUTED_VALUE"""),174.26217553731342)</f>
        <v>174.2621755</v>
      </c>
      <c r="R6" s="154">
        <f>IFERROR(__xludf.DUMMYFUNCTION("""COMPUTED_VALUE"""),233511.31522)</f>
        <v>233511.3152</v>
      </c>
      <c r="S6" s="154">
        <f>IFERROR(__xludf.DUMMYFUNCTION("""COMPUTED_VALUE"""),1465.0)</f>
        <v>1465</v>
      </c>
      <c r="T6" s="154">
        <f>IFERROR(__xludf.DUMMYFUNCTION("""COMPUTED_VALUE"""),324223.4906959485)</f>
        <v>324223.4907</v>
      </c>
      <c r="U6" s="156">
        <f>IFERROR(__xludf.DUMMYFUNCTION("""COMPUTED_VALUE"""),242.36)</f>
        <v>242.36</v>
      </c>
      <c r="V6" s="156">
        <f>IFERROR(__xludf.DUMMYFUNCTION("""COMPUTED_VALUE"""),11.016363636363637)</f>
        <v>11.01636364</v>
      </c>
      <c r="W6" s="157">
        <f>IFERROR(__xludf.DUMMYFUNCTION("""COMPUTED_VALUE"""),0.16924849937495312)</f>
        <v>0.1692484994</v>
      </c>
      <c r="X6" s="154">
        <f>IFERROR(__xludf.DUMMYFUNCTION("""COMPUTED_VALUE"""),1379695.04062)</f>
        <v>1379695.041</v>
      </c>
      <c r="Y6" s="154"/>
    </row>
    <row r="7">
      <c r="A7" s="150">
        <f>IFERROR(__xludf.DUMMYFUNCTION("""COMPUTED_VALUE"""),45839.0)</f>
        <v>45839</v>
      </c>
      <c r="B7" s="151">
        <f>IFERROR(__xludf.DUMMYFUNCTION("""COMPUTED_VALUE"""),5213946.0)</f>
        <v>5213946</v>
      </c>
      <c r="C7" s="151" t="str">
        <f>IFERROR(__xludf.DUMMYFUNCTION("""COMPUTED_VALUE"""),"Tambo Martorell")</f>
        <v>Tambo Martorell</v>
      </c>
      <c r="D7" s="152">
        <f>IFERROR(__xludf.DUMMYFUNCTION("""COMPUTED_VALUE"""),0.27)</f>
        <v>0.27</v>
      </c>
      <c r="E7" s="153">
        <f>IFERROR(__xludf.DUMMYFUNCTION("""COMPUTED_VALUE"""),5561.0)</f>
        <v>5561</v>
      </c>
      <c r="F7" s="153">
        <f>IFERROR(__xludf.DUMMYFUNCTION("""COMPUTED_VALUE"""),2482.0)</f>
        <v>2482</v>
      </c>
      <c r="G7" s="153">
        <f>IFERROR(__xludf.DUMMYFUNCTION("""COMPUTED_VALUE"""),575.0)</f>
        <v>575</v>
      </c>
      <c r="H7" s="153">
        <f>IFERROR(__xludf.DUMMYFUNCTION("""COMPUTED_VALUE"""),2504.0)</f>
        <v>2504</v>
      </c>
      <c r="I7" s="151" t="str">
        <f>IFERROR(__xludf.DUMMYFUNCTION("""COMPUTED_VALUE"""),"T6-Me")</f>
        <v>T6-Me</v>
      </c>
      <c r="J7" s="154">
        <f>IFERROR(__xludf.DUMMYFUNCTION("""COMPUTED_VALUE"""),185.8715)</f>
        <v>185.8715</v>
      </c>
      <c r="K7" s="154">
        <f>IFERROR(__xludf.DUMMYFUNCTION("""COMPUTED_VALUE"""),183.3095)</f>
        <v>183.3095</v>
      </c>
      <c r="L7" s="154">
        <f>IFERROR(__xludf.DUMMYFUNCTION("""COMPUTED_VALUE"""),184.4402)</f>
        <v>184.4402</v>
      </c>
      <c r="M7" s="152">
        <f>IFERROR(__xludf.DUMMYFUNCTION("""COMPUTED_VALUE"""),1305.4)</f>
        <v>1305.4</v>
      </c>
      <c r="N7" s="153">
        <f>IFERROR(__xludf.DUMMYFUNCTION("""COMPUTED_VALUE"""),6866.4)</f>
        <v>6866.4</v>
      </c>
      <c r="O7" s="154">
        <f>IFERROR(__xludf.DUMMYFUNCTION("""COMPUTED_VALUE"""),1028574.2863)</f>
        <v>1028574.286</v>
      </c>
      <c r="P7" s="154">
        <f>IFERROR(__xludf.DUMMYFUNCTION("""COMPUTED_VALUE"""),1280.0)</f>
        <v>1280</v>
      </c>
      <c r="Q7" s="155">
        <f>IFERROR(__xludf.DUMMYFUNCTION("""COMPUTED_VALUE"""),188.10018521875003)</f>
        <v>188.1001852</v>
      </c>
      <c r="R7" s="154">
        <f>IFERROR(__xludf.DUMMYFUNCTION("""COMPUTED_VALUE"""),240768.23708000005)</f>
        <v>240768.2371</v>
      </c>
      <c r="S7" s="154">
        <f>IFERROR(__xludf.DUMMYFUNCTION("""COMPUTED_VALUE"""),1465.0)</f>
        <v>1465</v>
      </c>
      <c r="T7" s="154">
        <f>IFERROR(__xludf.DUMMYFUNCTION("""COMPUTED_VALUE"""),349969.7996087453)</f>
        <v>349969.7996</v>
      </c>
      <c r="U7" s="156">
        <f>IFERROR(__xludf.DUMMYFUNCTION("""COMPUTED_VALUE"""),261.08000000000004)</f>
        <v>261.08</v>
      </c>
      <c r="V7" s="156">
        <f>IFERROR(__xludf.DUMMYFUNCTION("""COMPUTED_VALUE"""),11.867272727272729)</f>
        <v>11.86727273</v>
      </c>
      <c r="W7" s="157">
        <f>IFERROR(__xludf.DUMMYFUNCTION("""COMPUTED_VALUE"""),0.1896794857536824)</f>
        <v>0.1896794858</v>
      </c>
      <c r="X7" s="154">
        <f>IFERROR(__xludf.DUMMYFUNCTION("""COMPUTED_VALUE"""),1269342.5233800001)</f>
        <v>1269342.523</v>
      </c>
      <c r="Y7" s="154"/>
    </row>
    <row r="8">
      <c r="A8" s="150">
        <f>IFERROR(__xludf.DUMMYFUNCTION("""COMPUTED_VALUE"""),45809.0)</f>
        <v>45809</v>
      </c>
      <c r="B8" s="151">
        <f>IFERROR(__xludf.DUMMYFUNCTION("""COMPUTED_VALUE"""),5213946.0)</f>
        <v>5213946</v>
      </c>
      <c r="C8" s="151" t="str">
        <f>IFERROR(__xludf.DUMMYFUNCTION("""COMPUTED_VALUE"""),"Tambo Martorell")</f>
        <v>Tambo Martorell</v>
      </c>
      <c r="D8" s="152">
        <f>IFERROR(__xludf.DUMMYFUNCTION("""COMPUTED_VALUE"""),0.27)</f>
        <v>0.27</v>
      </c>
      <c r="E8" s="153">
        <f>IFERROR(__xludf.DUMMYFUNCTION("""COMPUTED_VALUE"""),6870.0)</f>
        <v>6870</v>
      </c>
      <c r="F8" s="153">
        <f>IFERROR(__xludf.DUMMYFUNCTION("""COMPUTED_VALUE"""),1686.0)</f>
        <v>1686</v>
      </c>
      <c r="G8" s="153">
        <f>IFERROR(__xludf.DUMMYFUNCTION("""COMPUTED_VALUE"""),906.0)</f>
        <v>906</v>
      </c>
      <c r="H8" s="153">
        <f>IFERROR(__xludf.DUMMYFUNCTION("""COMPUTED_VALUE"""),4278.0)</f>
        <v>4278</v>
      </c>
      <c r="I8" s="151" t="str">
        <f>IFERROR(__xludf.DUMMYFUNCTION("""COMPUTED_VALUE"""),"T6-Me")</f>
        <v>T6-Me</v>
      </c>
      <c r="J8" s="154">
        <f>IFERROR(__xludf.DUMMYFUNCTION("""COMPUTED_VALUE"""),185.9218)</f>
        <v>185.9218</v>
      </c>
      <c r="K8" s="154">
        <f>IFERROR(__xludf.DUMMYFUNCTION("""COMPUTED_VALUE"""),183.3928)</f>
        <v>183.3928</v>
      </c>
      <c r="L8" s="154">
        <f>IFERROR(__xludf.DUMMYFUNCTION("""COMPUTED_VALUE"""),184.5092)</f>
        <v>184.5092</v>
      </c>
      <c r="M8" s="152">
        <f>IFERROR(__xludf.DUMMYFUNCTION("""COMPUTED_VALUE"""),837.7)</f>
        <v>837.7</v>
      </c>
      <c r="N8" s="153">
        <f>IFERROR(__xludf.DUMMYFUNCTION("""COMPUTED_VALUE"""),7707.7)</f>
        <v>7707.7</v>
      </c>
      <c r="O8" s="154">
        <f>IFERROR(__xludf.DUMMYFUNCTION("""COMPUTED_VALUE"""),1268948.3892)</f>
        <v>1268948.389</v>
      </c>
      <c r="P8" s="154">
        <f>IFERROR(__xludf.DUMMYFUNCTION("""COMPUTED_VALUE"""),1280.0)</f>
        <v>1280</v>
      </c>
      <c r="Q8" s="155">
        <f>IFERROR(__xludf.DUMMYFUNCTION("""COMPUTED_VALUE"""),120.75262253125)</f>
        <v>120.7526225</v>
      </c>
      <c r="R8" s="154">
        <f>IFERROR(__xludf.DUMMYFUNCTION("""COMPUTED_VALUE"""),154563.35684)</f>
        <v>154563.3568</v>
      </c>
      <c r="S8" s="154">
        <f>IFERROR(__xludf.DUMMYFUNCTION("""COMPUTED_VALUE"""),1465.0)</f>
        <v>1465</v>
      </c>
      <c r="T8" s="154">
        <f>IFERROR(__xludf.DUMMYFUNCTION("""COMPUTED_VALUE"""),224666.29185051718)</f>
        <v>224666.2919</v>
      </c>
      <c r="U8" s="156">
        <f>IFERROR(__xludf.DUMMYFUNCTION("""COMPUTED_VALUE"""),167.54000000000002)</f>
        <v>167.54</v>
      </c>
      <c r="V8" s="156">
        <f>IFERROR(__xludf.DUMMYFUNCTION("""COMPUTED_VALUE"""),7.615454545454546)</f>
        <v>7.615454545</v>
      </c>
      <c r="W8" s="157">
        <f>IFERROR(__xludf.DUMMYFUNCTION("""COMPUTED_VALUE"""),0.10857891216561612)</f>
        <v>0.1085789122</v>
      </c>
      <c r="X8" s="154">
        <f>IFERROR(__xludf.DUMMYFUNCTION("""COMPUTED_VALUE"""),1423511.74604)</f>
        <v>1423511.746</v>
      </c>
      <c r="Y8" s="154"/>
    </row>
    <row r="9">
      <c r="A9" s="150">
        <f>IFERROR(__xludf.DUMMYFUNCTION("""COMPUTED_VALUE"""),45779.0)</f>
        <v>45779</v>
      </c>
      <c r="B9" s="151">
        <f>IFERROR(__xludf.DUMMYFUNCTION("""COMPUTED_VALUE"""),5213946.0)</f>
        <v>5213946</v>
      </c>
      <c r="C9" s="151" t="str">
        <f>IFERROR(__xludf.DUMMYFUNCTION("""COMPUTED_VALUE"""),"Tambo Martorell")</f>
        <v>Tambo Martorell</v>
      </c>
      <c r="D9" s="152">
        <f>IFERROR(__xludf.DUMMYFUNCTION("""COMPUTED_VALUE"""),0.27)</f>
        <v>0.27</v>
      </c>
      <c r="E9" s="153">
        <f>IFERROR(__xludf.DUMMYFUNCTION("""COMPUTED_VALUE"""),7527.0)</f>
        <v>7527</v>
      </c>
      <c r="F9" s="153">
        <f>IFERROR(__xludf.DUMMYFUNCTION("""COMPUTED_VALUE"""),1777.0)</f>
        <v>1777</v>
      </c>
      <c r="G9" s="153">
        <f>IFERROR(__xludf.DUMMYFUNCTION("""COMPUTED_VALUE"""),871.0)</f>
        <v>871</v>
      </c>
      <c r="H9" s="153">
        <f>IFERROR(__xludf.DUMMYFUNCTION("""COMPUTED_VALUE"""),4879.0)</f>
        <v>4879</v>
      </c>
      <c r="I9" s="151" t="str">
        <f>IFERROR(__xludf.DUMMYFUNCTION("""COMPUTED_VALUE"""),"T6-Me")</f>
        <v>T6-Me</v>
      </c>
      <c r="J9" s="154">
        <f>IFERROR(__xludf.DUMMYFUNCTION("""COMPUTED_VALUE"""),185.5394)</f>
        <v>185.5394</v>
      </c>
      <c r="K9" s="154">
        <f>IFERROR(__xludf.DUMMYFUNCTION("""COMPUTED_VALUE"""),183.0479)</f>
        <v>183.0479</v>
      </c>
      <c r="L9" s="154">
        <f>IFERROR(__xludf.DUMMYFUNCTION("""COMPUTED_VALUE"""),184.1477)</f>
        <v>184.1477</v>
      </c>
      <c r="M9" s="152">
        <f>IFERROR(__xludf.DUMMYFUNCTION("""COMPUTED_VALUE"""),837.7)</f>
        <v>837.7</v>
      </c>
      <c r="N9" s="153">
        <f>IFERROR(__xludf.DUMMYFUNCTION("""COMPUTED_VALUE"""),8364.7)</f>
        <v>8364.7</v>
      </c>
      <c r="O9" s="154">
        <f>IFERROR(__xludf.DUMMYFUNCTION("""COMPUTED_VALUE"""),1387594.863)</f>
        <v>1387594.863</v>
      </c>
      <c r="P9" s="154">
        <f>IFERROR(__xludf.DUMMYFUNCTION("""COMPUTED_VALUE"""),1200.0)</f>
        <v>1200</v>
      </c>
      <c r="Q9" s="155">
        <f>IFERROR(__xludf.DUMMYFUNCTION("""COMPUTED_VALUE"""),128.55044024166665)</f>
        <v>128.5504402</v>
      </c>
      <c r="R9" s="154">
        <f>IFERROR(__xludf.DUMMYFUNCTION("""COMPUTED_VALUE"""),154260.52829)</f>
        <v>154260.5283</v>
      </c>
      <c r="S9" s="154">
        <f>IFERROR(__xludf.DUMMYFUNCTION("""COMPUTED_VALUE"""),1465.0)</f>
        <v>1465</v>
      </c>
      <c r="T9" s="154">
        <f>IFERROR(__xludf.DUMMYFUNCTION("""COMPUTED_VALUE"""),239174.5215916329)</f>
        <v>239174.5216</v>
      </c>
      <c r="U9" s="156">
        <f>IFERROR(__xludf.DUMMYFUNCTION("""COMPUTED_VALUE"""),167.54000000000002)</f>
        <v>167.54</v>
      </c>
      <c r="V9" s="156">
        <f>IFERROR(__xludf.DUMMYFUNCTION("""COMPUTED_VALUE"""),7.615454545454546)</f>
        <v>7.615454545</v>
      </c>
      <c r="W9" s="157">
        <f>IFERROR(__xludf.DUMMYFUNCTION("""COMPUTED_VALUE"""),0.10004863566416383)</f>
        <v>0.1000486357</v>
      </c>
      <c r="X9" s="154">
        <f>IFERROR(__xludf.DUMMYFUNCTION("""COMPUTED_VALUE"""),1541855.39129)</f>
        <v>1541855.391</v>
      </c>
      <c r="Y9" s="154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0"/>
  <sheetData>
    <row r="1">
      <c r="A1" s="168" t="str">
        <f>Datos!A1</f>
        <v>   Fecha </v>
      </c>
      <c r="B1" s="168" t="str">
        <f>Datos!B1</f>
        <v>NIS</v>
      </c>
      <c r="C1" s="168" t="str">
        <f>Datos!C1</f>
        <v>Cliente</v>
      </c>
      <c r="D1" s="168" t="str">
        <f>Datos!D1</f>
        <v>IVA</v>
      </c>
      <c r="E1" s="168" t="str">
        <f>Datos!E1</f>
        <v>Consumo [kWh]</v>
      </c>
      <c r="F1" s="168" t="str">
        <f>Datos!F1</f>
        <v>Consumo hs punta [kWh]</v>
      </c>
      <c r="G1" s="168" t="str">
        <f>Datos!G1</f>
        <v>Consumo hs valle [kWh]</v>
      </c>
      <c r="H1" s="168" t="str">
        <f>Datos!H1</f>
        <v>Consumo hs resto[kWh]</v>
      </c>
      <c r="I1" s="168" t="str">
        <f>Datos!I1</f>
        <v>Catergoria</v>
      </c>
      <c r="J1" s="168" t="str">
        <f>Datos!J1</f>
        <v>Tarifa punta</v>
      </c>
      <c r="K1" s="168" t="str">
        <f>Datos!K1</f>
        <v>Tarifa valle</v>
      </c>
      <c r="L1" s="168" t="str">
        <f>Datos!L1</f>
        <v>Tarifa resto</v>
      </c>
      <c r="M1" s="168" t="str">
        <f>Datos!M1</f>
        <v>Generacion FV [kWh]</v>
      </c>
      <c r="N1" s="168" t="str">
        <f>Datos!N1</f>
        <v>CONSUMO TOTAL</v>
      </c>
      <c r="O1" s="168" t="str">
        <f>Datos!O1</f>
        <v>Total a pagar S / IVA</v>
      </c>
      <c r="P1" s="168" t="str">
        <f>Datos!P1</f>
        <v>Valor USD</v>
      </c>
      <c r="Q1" s="168" t="str">
        <f>Datos!Q1</f>
        <v>Ahorro (USD)</v>
      </c>
      <c r="R1" s="168" t="str">
        <f>Datos!R1</f>
        <v>Ahorro ($)</v>
      </c>
      <c r="S1" s="168" t="str">
        <f>Datos!S1</f>
        <v>Valor dolar Actual ($)</v>
      </c>
      <c r="T1" s="168" t="str">
        <f>Datos!T1</f>
        <v>Ahorro ($)-A precio actual</v>
      </c>
      <c r="U1" s="168" t="str">
        <f>Datos!U1</f>
        <v>kg CO2e evitados</v>
      </c>
      <c r="V1" s="168" t="str">
        <f>Datos!V1</f>
        <v>Equivalente en árboles</v>
      </c>
      <c r="W1" s="168" t="str">
        <f>Datos!W1</f>
        <v>% de ahorro sobre los consumos</v>
      </c>
      <c r="X1" s="168" t="str">
        <f>Datos!X1</f>
        <v>SIN PANELES S/IVA</v>
      </c>
      <c r="Y1" s="151" t="str">
        <f>Datos!Z1</f>
        <v/>
      </c>
      <c r="Z1" s="151" t="str">
        <f>Datos!AA1</f>
        <v/>
      </c>
    </row>
    <row r="2">
      <c r="A2" s="150">
        <f>'Tambo Martorel '!A2</f>
        <v>45992</v>
      </c>
      <c r="B2" s="151">
        <f>'Tambo Martorel '!B2</f>
        <v>5213946</v>
      </c>
      <c r="C2" s="151" t="str">
        <f>'Tambo Martorel '!C2</f>
        <v>Tambo Martorell</v>
      </c>
      <c r="D2" s="152">
        <f>'Tambo Martorel '!D2</f>
        <v>0.27</v>
      </c>
      <c r="E2" s="153">
        <f>'Tambo Martorel '!E2</f>
        <v>6604</v>
      </c>
      <c r="F2" s="153">
        <f>'Tambo Martorel '!F2</f>
        <v>2584</v>
      </c>
      <c r="G2" s="153">
        <f>'Tambo Martorel '!G2</f>
        <v>869</v>
      </c>
      <c r="H2" s="153">
        <f>'Tambo Martorel '!H2</f>
        <v>3151</v>
      </c>
      <c r="I2" s="153" t="str">
        <f>'Tambo Martorel '!I2</f>
        <v>T6-Me</v>
      </c>
      <c r="J2" s="154">
        <f>'Tambo Martorel '!J2</f>
        <v>174.6648</v>
      </c>
      <c r="K2" s="154">
        <f>'Tambo Martorel '!K2</f>
        <v>172.155</v>
      </c>
      <c r="L2" s="154">
        <f>'Tambo Martorel '!L2</f>
        <v>172.8771</v>
      </c>
      <c r="M2" s="151">
        <f>'Tambo Martorel '!M2</f>
        <v>1179.2</v>
      </c>
      <c r="N2" s="152">
        <f>'Tambo Martorel '!N2</f>
        <v>7783.2</v>
      </c>
      <c r="O2" s="154">
        <f>'Tambo Martorel '!O2</f>
        <v>1145672.28</v>
      </c>
      <c r="P2" s="154">
        <f>'Tambo Martorel '!P2</f>
        <v>1470</v>
      </c>
      <c r="Q2" s="155">
        <f>'Tambo Martorel '!Q2</f>
        <v>138.6780111</v>
      </c>
      <c r="R2" s="154">
        <f>'Tambo Martorel '!R2</f>
        <v>203856.6763</v>
      </c>
      <c r="S2" s="154">
        <f>'Tambo Martorel '!S2</f>
        <v>1465</v>
      </c>
      <c r="T2" s="154">
        <f>'Tambo Martorel '!T2</f>
        <v>258017.3736</v>
      </c>
      <c r="U2" s="156">
        <f>'Tambo Martorel '!U2</f>
        <v>235.84</v>
      </c>
      <c r="V2" s="156">
        <f>'Tambo Martorel '!V2</f>
        <v>10.72</v>
      </c>
      <c r="W2" s="157">
        <f>'Tambo Martorel '!W2</f>
        <v>0.1510576526</v>
      </c>
      <c r="X2" s="154">
        <f>'Tambo Martorel '!X2</f>
        <v>1349528.957</v>
      </c>
    </row>
    <row r="3">
      <c r="A3" s="150">
        <f>'Tambo Martorel '!A3</f>
        <v>45969</v>
      </c>
      <c r="B3" s="151">
        <f>'Tambo Martorel '!B3</f>
        <v>5213946</v>
      </c>
      <c r="C3" s="151" t="str">
        <f>'Tambo Martorel '!C3</f>
        <v>Tambo Martorell</v>
      </c>
      <c r="D3" s="152">
        <f>'Tambo Martorel '!D3</f>
        <v>0.27</v>
      </c>
      <c r="E3" s="153">
        <f>'Tambo Martorel '!E3</f>
        <v>5951</v>
      </c>
      <c r="F3" s="153">
        <f>'Tambo Martorel '!F3</f>
        <v>2497</v>
      </c>
      <c r="G3" s="153">
        <f>'Tambo Martorel '!G3</f>
        <v>732</v>
      </c>
      <c r="H3" s="153">
        <f>'Tambo Martorel '!H3</f>
        <v>2722</v>
      </c>
      <c r="I3" s="153" t="str">
        <f>'Tambo Martorel '!I3</f>
        <v>T6-Me</v>
      </c>
      <c r="J3" s="154">
        <f>'Tambo Martorel '!J3</f>
        <v>168.0449</v>
      </c>
      <c r="K3" s="154">
        <f>'Tambo Martorel '!K3</f>
        <v>165.535</v>
      </c>
      <c r="L3" s="154">
        <f>'Tambo Martorel '!L3</f>
        <v>166.2572</v>
      </c>
      <c r="M3" s="152">
        <f>'Tambo Martorel '!M3</f>
        <v>1195.1</v>
      </c>
      <c r="N3" s="153">
        <f>'Tambo Martorel '!N3</f>
        <v>7146.1</v>
      </c>
      <c r="O3" s="154">
        <f>'Tambo Martorel '!O3</f>
        <v>993331.8337</v>
      </c>
      <c r="P3" s="154">
        <f>'Tambo Martorel '!P3</f>
        <v>1470</v>
      </c>
      <c r="Q3" s="155">
        <f>'Tambo Martorel '!Q3</f>
        <v>135.1659726</v>
      </c>
      <c r="R3" s="154">
        <f>'Tambo Martorel '!R3</f>
        <v>198693.9797</v>
      </c>
      <c r="S3" s="154">
        <f>'Tambo Martorel '!S3</f>
        <v>1465</v>
      </c>
      <c r="T3" s="154">
        <f>'Tambo Martorel '!T3</f>
        <v>251483.0503</v>
      </c>
      <c r="U3" s="156">
        <f>'Tambo Martorel '!U3</f>
        <v>239.02</v>
      </c>
      <c r="V3" s="156">
        <f>'Tambo Martorel '!V3</f>
        <v>10.86454545</v>
      </c>
      <c r="W3" s="157">
        <f>'Tambo Martorel '!W3</f>
        <v>0.1666859706</v>
      </c>
      <c r="X3" s="154">
        <f>'Tambo Martorel '!X3</f>
        <v>1192025.813</v>
      </c>
    </row>
    <row r="4">
      <c r="A4" s="150">
        <f>'Tambo Martorel '!A4</f>
        <v>45931</v>
      </c>
      <c r="B4" s="151">
        <f>'Tambo Martorel '!B4</f>
        <v>5213946</v>
      </c>
      <c r="C4" s="151" t="str">
        <f>'Tambo Martorel '!C4</f>
        <v>Tambo Martorell</v>
      </c>
      <c r="D4" s="152">
        <f>'Tambo Martorel '!D4</f>
        <v>0.27</v>
      </c>
      <c r="E4" s="153">
        <f>'Tambo Martorel '!E4</f>
        <v>6293</v>
      </c>
      <c r="F4" s="153">
        <f>'Tambo Martorel '!F4</f>
        <v>2683</v>
      </c>
      <c r="G4" s="153">
        <f>'Tambo Martorel '!G4</f>
        <v>679</v>
      </c>
      <c r="H4" s="153">
        <f>'Tambo Martorel '!H4</f>
        <v>2931</v>
      </c>
      <c r="I4" s="151" t="str">
        <f>'Tambo Martorel '!I4</f>
        <v>T6-Me</v>
      </c>
      <c r="J4" s="154">
        <f>'Tambo Martorel '!J4</f>
        <v>191.9806</v>
      </c>
      <c r="K4" s="154">
        <f>'Tambo Martorel '!K4</f>
        <v>189.4307</v>
      </c>
      <c r="L4" s="154">
        <f>'Tambo Martorel '!L4</f>
        <v>190.5558</v>
      </c>
      <c r="M4" s="152">
        <f>'Tambo Martorel '!M4</f>
        <v>1129</v>
      </c>
      <c r="N4" s="153">
        <f>'Tambo Martorel '!N4</f>
        <v>7422</v>
      </c>
      <c r="O4" s="154">
        <f>'Tambo Martorel '!O4</f>
        <v>1202226.445</v>
      </c>
      <c r="P4" s="154">
        <f>'Tambo Martorel '!P4</f>
        <v>1450</v>
      </c>
      <c r="Q4" s="155">
        <f>'Tambo Martorel '!Q4</f>
        <v>148.3706884</v>
      </c>
      <c r="R4" s="154">
        <f>'Tambo Martorel '!R4</f>
        <v>215137.4982</v>
      </c>
      <c r="S4" s="154">
        <f>'Tambo Martorel '!S4</f>
        <v>1465</v>
      </c>
      <c r="T4" s="154">
        <f>'Tambo Martorel '!T4</f>
        <v>276051.0843</v>
      </c>
      <c r="U4" s="156">
        <f>'Tambo Martorel '!U4</f>
        <v>225.8</v>
      </c>
      <c r="V4" s="156">
        <f>'Tambo Martorel '!V4</f>
        <v>10.26363636</v>
      </c>
      <c r="W4" s="157">
        <f>'Tambo Martorel '!W4</f>
        <v>0.1517870546</v>
      </c>
      <c r="X4" s="154">
        <f>'Tambo Martorel '!X4</f>
        <v>1417363.943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sheetData>
    <row r="1">
      <c r="A1" s="168" t="str">
        <f>Datos!A1</f>
        <v>   Fecha </v>
      </c>
      <c r="B1" s="168" t="str">
        <f>Datos!B1</f>
        <v>NIS</v>
      </c>
      <c r="C1" s="168" t="str">
        <f>Datos!C1</f>
        <v>Cliente</v>
      </c>
      <c r="D1" s="168" t="str">
        <f>Datos!D1</f>
        <v>IVA</v>
      </c>
      <c r="E1" s="168" t="str">
        <f>Datos!E1</f>
        <v>Consumo [kWh]</v>
      </c>
      <c r="F1" s="168" t="str">
        <f>Datos!F1</f>
        <v>Consumo hs punta [kWh]</v>
      </c>
      <c r="G1" s="168" t="str">
        <f>Datos!G1</f>
        <v>Consumo hs valle [kWh]</v>
      </c>
      <c r="H1" s="168" t="str">
        <f>Datos!H1</f>
        <v>Consumo hs resto[kWh]</v>
      </c>
      <c r="I1" s="168" t="str">
        <f>Datos!I1</f>
        <v>Catergoria</v>
      </c>
      <c r="J1" s="168" t="str">
        <f>Datos!J1</f>
        <v>Tarifa punta</v>
      </c>
      <c r="K1" s="168" t="str">
        <f>Datos!K1</f>
        <v>Tarifa valle</v>
      </c>
      <c r="L1" s="168" t="str">
        <f>Datos!L1</f>
        <v>Tarifa resto</v>
      </c>
      <c r="M1" s="168" t="str">
        <f>Datos!M1</f>
        <v>Generacion FV [kWh]</v>
      </c>
      <c r="N1" s="168" t="str">
        <f>Datos!N1</f>
        <v>CONSUMO TOTAL</v>
      </c>
      <c r="O1" s="168" t="str">
        <f>Datos!O1</f>
        <v>Total a pagar S / IVA</v>
      </c>
      <c r="P1" s="168" t="str">
        <f>Datos!P1</f>
        <v>Valor USD</v>
      </c>
      <c r="Q1" s="168" t="str">
        <f>Datos!Q1</f>
        <v>Ahorro (USD)</v>
      </c>
      <c r="R1" s="168" t="str">
        <f>Datos!R1</f>
        <v>Ahorro ($)</v>
      </c>
      <c r="S1" s="168" t="str">
        <f>Datos!S1</f>
        <v>Valor dolar Actual ($)</v>
      </c>
      <c r="T1" s="168" t="str">
        <f>Datos!T1</f>
        <v>Ahorro ($)-A precio actual</v>
      </c>
      <c r="U1" s="168" t="str">
        <f>Datos!U1</f>
        <v>kg CO2e evitados</v>
      </c>
      <c r="V1" s="168" t="str">
        <f>Datos!V1</f>
        <v>Equivalente en árboles</v>
      </c>
      <c r="W1" s="168" t="str">
        <f>Datos!W1</f>
        <v>% de ahorro sobre los consumos</v>
      </c>
      <c r="X1" s="168" t="str">
        <f>Datos!X1</f>
        <v>SIN PANELES S/IVA</v>
      </c>
      <c r="Y1" s="151" t="str">
        <f>Datos!Z1</f>
        <v/>
      </c>
      <c r="Z1" s="151" t="str">
        <f>Datos!AA1</f>
        <v/>
      </c>
    </row>
    <row r="2">
      <c r="A2" s="150">
        <f>IFERROR(__xludf.DUMMYFUNCTION("FILTER(Datos!1:1247,Datos!B:B=5320074)"),45977.0)</f>
        <v>45977</v>
      </c>
      <c r="B2" s="151">
        <f>IFERROR(__xludf.DUMMYFUNCTION("""COMPUTED_VALUE"""),5320074.0)</f>
        <v>5320074</v>
      </c>
      <c r="C2" s="151" t="str">
        <f>IFERROR(__xludf.DUMMYFUNCTION("""COMPUTED_VALUE"""),"Imac-RdL")</f>
        <v>Imac-RdL</v>
      </c>
      <c r="D2" s="152">
        <f>IFERROR(__xludf.DUMMYFUNCTION("""COMPUTED_VALUE"""),0.27)</f>
        <v>0.27</v>
      </c>
      <c r="E2" s="153">
        <f>IFERROR(__xludf.DUMMYFUNCTION("""COMPUTED_VALUE"""),16473.0)</f>
        <v>16473</v>
      </c>
      <c r="F2" s="153">
        <f>IFERROR(__xludf.DUMMYFUNCTION("""COMPUTED_VALUE"""),4042.0)</f>
        <v>4042</v>
      </c>
      <c r="G2" s="153">
        <f>IFERROR(__xludf.DUMMYFUNCTION("""COMPUTED_VALUE"""),3998.0)</f>
        <v>3998</v>
      </c>
      <c r="H2" s="153">
        <f>IFERROR(__xludf.DUMMYFUNCTION("""COMPUTED_VALUE"""),8433.0)</f>
        <v>8433</v>
      </c>
      <c r="I2" s="153" t="str">
        <f>IFERROR(__xludf.DUMMYFUNCTION("""COMPUTED_VALUE"""),"T4-Ba")</f>
        <v>T4-Ba</v>
      </c>
      <c r="J2" s="154">
        <f>IFERROR(__xludf.DUMMYFUNCTION("""COMPUTED_VALUE"""),152.0913)</f>
        <v>152.0913</v>
      </c>
      <c r="K2" s="154">
        <f>IFERROR(__xludf.DUMMYFUNCTION("""COMPUTED_VALUE"""),149.3017)</f>
        <v>149.3017</v>
      </c>
      <c r="L2" s="154">
        <f>IFERROR(__xludf.DUMMYFUNCTION("""COMPUTED_VALUE"""),150.1043)</f>
        <v>150.1043</v>
      </c>
      <c r="M2" s="152">
        <f>IFERROR(__xludf.DUMMYFUNCTION("""COMPUTED_VALUE"""),2222.4)</f>
        <v>2222.4</v>
      </c>
      <c r="N2" s="153">
        <f>IFERROR(__xludf.DUMMYFUNCTION("""COMPUTED_VALUE"""),18695.4)</f>
        <v>18695.4</v>
      </c>
      <c r="O2" s="154">
        <f>IFERROR(__xludf.DUMMYFUNCTION("""COMPUTED_VALUE"""),2477490.7931)</f>
        <v>2477490.793</v>
      </c>
      <c r="P2" s="154">
        <f>IFERROR(__xludf.DUMMYFUNCTION("""COMPUTED_VALUE"""),1470.0)</f>
        <v>1470</v>
      </c>
      <c r="Q2" s="155">
        <f>IFERROR(__xludf.DUMMYFUNCTION("""COMPUTED_VALUE"""),226.93319477551023)</f>
        <v>226.9331948</v>
      </c>
      <c r="R2" s="154">
        <f>IFERROR(__xludf.DUMMYFUNCTION("""COMPUTED_VALUE"""),333591.79632)</f>
        <v>333591.7963</v>
      </c>
      <c r="S2" s="154">
        <f>IFERROR(__xludf.DUMMYFUNCTION("""COMPUTED_VALUE"""),1465.0)</f>
        <v>1465</v>
      </c>
      <c r="T2" s="154">
        <f>IFERROR(__xludf.DUMMYFUNCTION("""COMPUTED_VALUE"""),422220.5555395756)</f>
        <v>422220.5555</v>
      </c>
      <c r="U2" s="156">
        <f>IFERROR(__xludf.DUMMYFUNCTION("""COMPUTED_VALUE"""),444.48)</f>
        <v>444.48</v>
      </c>
      <c r="V2" s="156">
        <f>IFERROR(__xludf.DUMMYFUNCTION("""COMPUTED_VALUE"""),20.203636363636363)</f>
        <v>20.20363636</v>
      </c>
      <c r="W2" s="157">
        <f>IFERROR(__xludf.DUMMYFUNCTION("""COMPUTED_VALUE"""),0.11867022248849288)</f>
        <v>0.1186702225</v>
      </c>
      <c r="X2" s="154">
        <f>IFERROR(__xludf.DUMMYFUNCTION("""COMPUTED_VALUE"""),2811082.58942)</f>
        <v>2811082.589</v>
      </c>
      <c r="Y2" s="154"/>
    </row>
    <row r="3">
      <c r="A3" s="150">
        <f>IFERROR(__xludf.DUMMYFUNCTION("""COMPUTED_VALUE"""),45931.0)</f>
        <v>45931</v>
      </c>
      <c r="B3" s="151">
        <f>IFERROR(__xludf.DUMMYFUNCTION("""COMPUTED_VALUE"""),5320074.0)</f>
        <v>5320074</v>
      </c>
      <c r="C3" s="151" t="str">
        <f>IFERROR(__xludf.DUMMYFUNCTION("""COMPUTED_VALUE"""),"Imac-RdL")</f>
        <v>Imac-RdL</v>
      </c>
      <c r="D3" s="152">
        <f>IFERROR(__xludf.DUMMYFUNCTION("""COMPUTED_VALUE"""),0.27)</f>
        <v>0.27</v>
      </c>
      <c r="E3" s="153">
        <f>IFERROR(__xludf.DUMMYFUNCTION("""COMPUTED_VALUE"""),17195.0)</f>
        <v>17195</v>
      </c>
      <c r="F3" s="153">
        <f>IFERROR(__xludf.DUMMYFUNCTION("""COMPUTED_VALUE"""),4089.0)</f>
        <v>4089</v>
      </c>
      <c r="G3" s="153">
        <f>IFERROR(__xludf.DUMMYFUNCTION("""COMPUTED_VALUE"""),4303.0)</f>
        <v>4303</v>
      </c>
      <c r="H3" s="153">
        <f>IFERROR(__xludf.DUMMYFUNCTION("""COMPUTED_VALUE"""),8803.0)</f>
        <v>8803</v>
      </c>
      <c r="I3" s="151" t="str">
        <f>IFERROR(__xludf.DUMMYFUNCTION("""COMPUTED_VALUE"""),"T4-Ba")</f>
        <v>T4-Ba</v>
      </c>
      <c r="J3" s="154">
        <f>IFERROR(__xludf.DUMMYFUNCTION("""COMPUTED_VALUE"""),159.8077)</f>
        <v>159.8077</v>
      </c>
      <c r="K3" s="154">
        <f>IFERROR(__xludf.DUMMYFUNCTION("""COMPUTED_VALUE"""),156.9735)</f>
        <v>156.9735</v>
      </c>
      <c r="L3" s="154">
        <f>IFERROR(__xludf.DUMMYFUNCTION("""COMPUTED_VALUE"""),158.2241)</f>
        <v>158.2241</v>
      </c>
      <c r="M3" s="152">
        <f>IFERROR(__xludf.DUMMYFUNCTION("""COMPUTED_VALUE"""),2277.8)</f>
        <v>2277.8</v>
      </c>
      <c r="N3" s="153">
        <f>IFERROR(__xludf.DUMMYFUNCTION("""COMPUTED_VALUE"""),19472.8)</f>
        <v>19472.8</v>
      </c>
      <c r="O3" s="154">
        <f>IFERROR(__xludf.DUMMYFUNCTION("""COMPUTED_VALUE"""),2721757.4081)</f>
        <v>2721757.408</v>
      </c>
      <c r="P3" s="154">
        <f>IFERROR(__xludf.DUMMYFUNCTION("""COMPUTED_VALUE"""),1450.0)</f>
        <v>1450</v>
      </c>
      <c r="Q3" s="155">
        <f>IFERROR(__xludf.DUMMYFUNCTION("""COMPUTED_VALUE"""),248.55369308965518)</f>
        <v>248.5536931</v>
      </c>
      <c r="R3" s="154">
        <f>IFERROR(__xludf.DUMMYFUNCTION("""COMPUTED_VALUE"""),360402.85498)</f>
        <v>360402.855</v>
      </c>
      <c r="S3" s="154">
        <f>IFERROR(__xludf.DUMMYFUNCTION("""COMPUTED_VALUE"""),1465.0)</f>
        <v>1465</v>
      </c>
      <c r="T3" s="154">
        <f>IFERROR(__xludf.DUMMYFUNCTION("""COMPUTED_VALUE"""),462446.573677958)</f>
        <v>462446.5737</v>
      </c>
      <c r="U3" s="156">
        <f>IFERROR(__xludf.DUMMYFUNCTION("""COMPUTED_VALUE"""),455.56000000000006)</f>
        <v>455.56</v>
      </c>
      <c r="V3" s="156">
        <f>IFERROR(__xludf.DUMMYFUNCTION("""COMPUTED_VALUE"""),20.70727272727273)</f>
        <v>20.70727273</v>
      </c>
      <c r="W3" s="157">
        <f>IFERROR(__xludf.DUMMYFUNCTION("""COMPUTED_VALUE"""),0.1169318997772847)</f>
        <v>0.1169318998</v>
      </c>
      <c r="X3" s="154">
        <f>IFERROR(__xludf.DUMMYFUNCTION("""COMPUTED_VALUE"""),3082160.26308)</f>
        <v>3082160.263</v>
      </c>
      <c r="Y3" s="154"/>
    </row>
    <row r="4">
      <c r="A4" s="150">
        <f>IFERROR(__xludf.DUMMYFUNCTION("""COMPUTED_VALUE"""),45931.0)</f>
        <v>45931</v>
      </c>
      <c r="B4" s="151">
        <f>IFERROR(__xludf.DUMMYFUNCTION("""COMPUTED_VALUE"""),5320074.0)</f>
        <v>5320074</v>
      </c>
      <c r="C4" s="151" t="str">
        <f>IFERROR(__xludf.DUMMYFUNCTION("""COMPUTED_VALUE"""),"Imac-RdelaF")</f>
        <v>Imac-RdelaF</v>
      </c>
      <c r="D4" s="152">
        <f>IFERROR(__xludf.DUMMYFUNCTION("""COMPUTED_VALUE"""),0.27)</f>
        <v>0.27</v>
      </c>
      <c r="E4" s="153">
        <f>IFERROR(__xludf.DUMMYFUNCTION("""COMPUTED_VALUE"""),2045.0)</f>
        <v>2045</v>
      </c>
      <c r="F4" s="153">
        <f>IFERROR(__xludf.DUMMYFUNCTION("""COMPUTED_VALUE"""),589.0)</f>
        <v>589</v>
      </c>
      <c r="G4" s="153">
        <f>IFERROR(__xludf.DUMMYFUNCTION("""COMPUTED_VALUE"""),396.0)</f>
        <v>396</v>
      </c>
      <c r="H4" s="153">
        <f>IFERROR(__xludf.DUMMYFUNCTION("""COMPUTED_VALUE"""),1060.0)</f>
        <v>1060</v>
      </c>
      <c r="I4" s="151" t="str">
        <f>IFERROR(__xludf.DUMMYFUNCTION("""COMPUTED_VALUE"""),"T4-Ba")</f>
        <v>T4-Ba</v>
      </c>
      <c r="J4" s="154">
        <f>IFERROR(__xludf.DUMMYFUNCTION("""COMPUTED_VALUE"""),159.8077)</f>
        <v>159.8077</v>
      </c>
      <c r="K4" s="154">
        <f>IFERROR(__xludf.DUMMYFUNCTION("""COMPUTED_VALUE"""),156.9735)</f>
        <v>156.9735</v>
      </c>
      <c r="L4" s="154">
        <f>IFERROR(__xludf.DUMMYFUNCTION("""COMPUTED_VALUE"""),158.2241)</f>
        <v>158.2241</v>
      </c>
      <c r="M4" s="152">
        <f>IFERROR(__xludf.DUMMYFUNCTION("""COMPUTED_VALUE"""),713.1)</f>
        <v>713.1</v>
      </c>
      <c r="N4" s="153">
        <f>IFERROR(__xludf.DUMMYFUNCTION("""COMPUTED_VALUE"""),2758.1)</f>
        <v>2758.1</v>
      </c>
      <c r="O4" s="154">
        <f>IFERROR(__xludf.DUMMYFUNCTION("""COMPUTED_VALUE"""),324005.78729999997)</f>
        <v>324005.7873</v>
      </c>
      <c r="P4" s="154">
        <f>IFERROR(__xludf.DUMMYFUNCTION("""COMPUTED_VALUE"""),1450.0)</f>
        <v>1450</v>
      </c>
      <c r="Q4" s="155">
        <f>IFERROR(__xludf.DUMMYFUNCTION("""COMPUTED_VALUE"""),77.81352117931034)</f>
        <v>77.81352118</v>
      </c>
      <c r="R4" s="154">
        <f>IFERROR(__xludf.DUMMYFUNCTION("""COMPUTED_VALUE"""),112829.60571)</f>
        <v>112829.6057</v>
      </c>
      <c r="S4" s="154">
        <f>IFERROR(__xludf.DUMMYFUNCTION("""COMPUTED_VALUE"""),1465.0)</f>
        <v>1465</v>
      </c>
      <c r="T4" s="154">
        <f>IFERROR(__xludf.DUMMYFUNCTION("""COMPUTED_VALUE"""),144775.94683016586)</f>
        <v>144775.9468</v>
      </c>
      <c r="U4" s="156">
        <f>IFERROR(__xludf.DUMMYFUNCTION("""COMPUTED_VALUE"""),142.62)</f>
        <v>142.62</v>
      </c>
      <c r="V4" s="156">
        <f>IFERROR(__xludf.DUMMYFUNCTION("""COMPUTED_VALUE"""),6.482727272727273)</f>
        <v>6.482727273</v>
      </c>
      <c r="W4" s="157">
        <f>IFERROR(__xludf.DUMMYFUNCTION("""COMPUTED_VALUE"""),0.258288608284579)</f>
        <v>0.2582886083</v>
      </c>
      <c r="X4" s="154">
        <f>IFERROR(__xludf.DUMMYFUNCTION("""COMPUTED_VALUE"""),436835.39301)</f>
        <v>436835.393</v>
      </c>
      <c r="Y4" s="154"/>
    </row>
    <row r="5">
      <c r="A5" s="150">
        <f>IFERROR(__xludf.DUMMYFUNCTION("""COMPUTED_VALUE"""),45916.0)</f>
        <v>45916</v>
      </c>
      <c r="B5" s="151">
        <f>IFERROR(__xludf.DUMMYFUNCTION("""COMPUTED_VALUE"""),5320074.0)</f>
        <v>5320074</v>
      </c>
      <c r="C5" s="151" t="str">
        <f>IFERROR(__xludf.DUMMYFUNCTION("""COMPUTED_VALUE"""),"Imac-RdL")</f>
        <v>Imac-RdL</v>
      </c>
      <c r="D5" s="152">
        <f>IFERROR(__xludf.DUMMYFUNCTION("""COMPUTED_VALUE"""),0.27)</f>
        <v>0.27</v>
      </c>
      <c r="E5" s="153">
        <f>IFERROR(__xludf.DUMMYFUNCTION("""COMPUTED_VALUE"""),19794.0)</f>
        <v>19794</v>
      </c>
      <c r="F5" s="153">
        <f>IFERROR(__xludf.DUMMYFUNCTION("""COMPUTED_VALUE"""),4729.0)</f>
        <v>4729</v>
      </c>
      <c r="G5" s="153">
        <f>IFERROR(__xludf.DUMMYFUNCTION("""COMPUTED_VALUE"""),4961.0)</f>
        <v>4961</v>
      </c>
      <c r="H5" s="153">
        <f>IFERROR(__xludf.DUMMYFUNCTION("""COMPUTED_VALUE"""),10104.0)</f>
        <v>10104</v>
      </c>
      <c r="I5" s="151" t="str">
        <f>IFERROR(__xludf.DUMMYFUNCTION("""COMPUTED_VALUE"""),"T4-Ba")</f>
        <v>T4-Ba</v>
      </c>
      <c r="J5" s="154">
        <f>IFERROR(__xludf.DUMMYFUNCTION("""COMPUTED_VALUE"""),159.1156)</f>
        <v>159.1156</v>
      </c>
      <c r="K5" s="154">
        <f>IFERROR(__xludf.DUMMYFUNCTION("""COMPUTED_VALUE"""),156.2753)</f>
        <v>156.2753</v>
      </c>
      <c r="L5" s="154">
        <f>IFERROR(__xludf.DUMMYFUNCTION("""COMPUTED_VALUE"""),157.5295)</f>
        <v>157.5295</v>
      </c>
      <c r="M5" s="152">
        <f>IFERROR(__xludf.DUMMYFUNCTION("""COMPUTED_VALUE"""),2458.1)</f>
        <v>2458.1</v>
      </c>
      <c r="N5" s="153">
        <f>IFERROR(__xludf.DUMMYFUNCTION("""COMPUTED_VALUE"""),22252.1)</f>
        <v>22252.1</v>
      </c>
      <c r="O5" s="154">
        <f>IFERROR(__xludf.DUMMYFUNCTION("""COMPUTED_VALUE"""),3119417.5037000002)</f>
        <v>3119417.504</v>
      </c>
      <c r="P5" s="154">
        <f>IFERROR(__xludf.DUMMYFUNCTION("""COMPUTED_VALUE"""),1425.0)</f>
        <v>1425</v>
      </c>
      <c r="Q5" s="155">
        <f>IFERROR(__xludf.DUMMYFUNCTION("""COMPUTED_VALUE"""),271.7356238245614)</f>
        <v>271.7356238</v>
      </c>
      <c r="R5" s="154">
        <f>IFERROR(__xludf.DUMMYFUNCTION("""COMPUTED_VALUE"""),387223.26395)</f>
        <v>387223.264</v>
      </c>
      <c r="S5" s="154">
        <f>IFERROR(__xludf.DUMMYFUNCTION("""COMPUTED_VALUE"""),1465.0)</f>
        <v>1465</v>
      </c>
      <c r="T5" s="154">
        <f>IFERROR(__xludf.DUMMYFUNCTION("""COMPUTED_VALUE"""),505577.71490678773)</f>
        <v>505577.7149</v>
      </c>
      <c r="U5" s="156">
        <f>IFERROR(__xludf.DUMMYFUNCTION("""COMPUTED_VALUE"""),491.62)</f>
        <v>491.62</v>
      </c>
      <c r="V5" s="156">
        <f>IFERROR(__xludf.DUMMYFUNCTION("""COMPUTED_VALUE"""),22.346363636363638)</f>
        <v>22.34636364</v>
      </c>
      <c r="W5" s="157">
        <f>IFERROR(__xludf.DUMMYFUNCTION("""COMPUTED_VALUE"""),0.1104257007225466)</f>
        <v>0.1104257007</v>
      </c>
      <c r="X5" s="154">
        <f>IFERROR(__xludf.DUMMYFUNCTION("""COMPUTED_VALUE"""),3506640.7676500003)</f>
        <v>3506640.768</v>
      </c>
      <c r="Y5" s="154"/>
    </row>
    <row r="6">
      <c r="A6" s="150">
        <f>IFERROR(__xludf.DUMMYFUNCTION("""COMPUTED_VALUE"""),45839.0)</f>
        <v>45839</v>
      </c>
      <c r="B6" s="151">
        <f>IFERROR(__xludf.DUMMYFUNCTION("""COMPUTED_VALUE"""),5320074.0)</f>
        <v>5320074</v>
      </c>
      <c r="C6" s="151" t="str">
        <f>IFERROR(__xludf.DUMMYFUNCTION("""COMPUTED_VALUE"""),"Imac-RdL")</f>
        <v>Imac-RdL</v>
      </c>
      <c r="D6" s="152">
        <f>IFERROR(__xludf.DUMMYFUNCTION("""COMPUTED_VALUE"""),0.27)</f>
        <v>0.27</v>
      </c>
      <c r="E6" s="153">
        <f>IFERROR(__xludf.DUMMYFUNCTION("""COMPUTED_VALUE"""),24776.0)</f>
        <v>24776</v>
      </c>
      <c r="F6" s="153">
        <f>IFERROR(__xludf.DUMMYFUNCTION("""COMPUTED_VALUE"""),5288.0)</f>
        <v>5288</v>
      </c>
      <c r="G6" s="153">
        <f>IFERROR(__xludf.DUMMYFUNCTION("""COMPUTED_VALUE"""),6052.0)</f>
        <v>6052</v>
      </c>
      <c r="H6" s="153">
        <f>IFERROR(__xludf.DUMMYFUNCTION("""COMPUTED_VALUE"""),13436.0)</f>
        <v>13436</v>
      </c>
      <c r="I6" s="151" t="str">
        <f>IFERROR(__xludf.DUMMYFUNCTION("""COMPUTED_VALUE"""),"T4-Ba")</f>
        <v>T4-Ba</v>
      </c>
      <c r="J6" s="154">
        <f>IFERROR(__xludf.DUMMYFUNCTION("""COMPUTED_VALUE"""),149.9317)</f>
        <v>149.9317</v>
      </c>
      <c r="K6" s="154">
        <f>IFERROR(__xludf.DUMMYFUNCTION("""COMPUTED_VALUE"""),147.0841)</f>
        <v>147.0841</v>
      </c>
      <c r="L6" s="154">
        <f>IFERROR(__xludf.DUMMYFUNCTION("""COMPUTED_VALUE"""),148.3408)</f>
        <v>148.3408</v>
      </c>
      <c r="M6" s="152">
        <f>IFERROR(__xludf.DUMMYFUNCTION("""COMPUTED_VALUE"""),2113.1)</f>
        <v>2113.1</v>
      </c>
      <c r="N6" s="153">
        <f>IFERROR(__xludf.DUMMYFUNCTION("""COMPUTED_VALUE"""),26889.1)</f>
        <v>26889.1</v>
      </c>
      <c r="O6" s="154">
        <f>IFERROR(__xludf.DUMMYFUNCTION("""COMPUTED_VALUE"""),3676098.7916)</f>
        <v>3676098.792</v>
      </c>
      <c r="P6" s="154">
        <f>IFERROR(__xludf.DUMMYFUNCTION("""COMPUTED_VALUE"""),1280.0)</f>
        <v>1280</v>
      </c>
      <c r="Q6" s="155">
        <f>IFERROR(__xludf.DUMMYFUNCTION("""COMPUTED_VALUE"""),244.889800375)</f>
        <v>244.8898004</v>
      </c>
      <c r="R6" s="154">
        <f>IFERROR(__xludf.DUMMYFUNCTION("""COMPUTED_VALUE"""),313458.94448)</f>
        <v>313458.9445</v>
      </c>
      <c r="S6" s="154">
        <f>IFERROR(__xludf.DUMMYFUNCTION("""COMPUTED_VALUE"""),1465.0)</f>
        <v>1465</v>
      </c>
      <c r="T6" s="154">
        <f>IFERROR(__xludf.DUMMYFUNCTION("""COMPUTED_VALUE"""),455629.71808770625)</f>
        <v>455629.7181</v>
      </c>
      <c r="U6" s="156">
        <f>IFERROR(__xludf.DUMMYFUNCTION("""COMPUTED_VALUE"""),422.62)</f>
        <v>422.62</v>
      </c>
      <c r="V6" s="156">
        <f>IFERROR(__xludf.DUMMYFUNCTION("""COMPUTED_VALUE"""),19.21)</f>
        <v>19.21</v>
      </c>
      <c r="W6" s="157">
        <f>IFERROR(__xludf.DUMMYFUNCTION("""COMPUTED_VALUE"""),0.07856984789196053)</f>
        <v>0.07856984789</v>
      </c>
      <c r="X6" s="154">
        <f>IFERROR(__xludf.DUMMYFUNCTION("""COMPUTED_VALUE"""),3989557.73608)</f>
        <v>3989557.736</v>
      </c>
      <c r="Y6" s="154"/>
    </row>
    <row r="7">
      <c r="A7" s="150">
        <f>IFERROR(__xludf.DUMMYFUNCTION("""COMPUTED_VALUE"""),45809.0)</f>
        <v>45809</v>
      </c>
      <c r="B7" s="151">
        <f>IFERROR(__xludf.DUMMYFUNCTION("""COMPUTED_VALUE"""),5320074.0)</f>
        <v>5320074</v>
      </c>
      <c r="C7" s="151" t="str">
        <f>IFERROR(__xludf.DUMMYFUNCTION("""COMPUTED_VALUE"""),"Imac-RdL")</f>
        <v>Imac-RdL</v>
      </c>
      <c r="D7" s="152">
        <f>IFERROR(__xludf.DUMMYFUNCTION("""COMPUTED_VALUE"""),0.27)</f>
        <v>0.27</v>
      </c>
      <c r="E7" s="153">
        <f>IFERROR(__xludf.DUMMYFUNCTION("""COMPUTED_VALUE"""),25754.0)</f>
        <v>25754</v>
      </c>
      <c r="F7" s="153">
        <f>IFERROR(__xludf.DUMMYFUNCTION("""COMPUTED_VALUE"""),5515.0)</f>
        <v>5515</v>
      </c>
      <c r="G7" s="153">
        <f>IFERROR(__xludf.DUMMYFUNCTION("""COMPUTED_VALUE"""),6352.0)</f>
        <v>6352</v>
      </c>
      <c r="H7" s="153">
        <f>IFERROR(__xludf.DUMMYFUNCTION("""COMPUTED_VALUE"""),13887.0)</f>
        <v>13887</v>
      </c>
      <c r="I7" s="151" t="str">
        <f>IFERROR(__xludf.DUMMYFUNCTION("""COMPUTED_VALUE"""),"T4-Ba")</f>
        <v>T4-Ba</v>
      </c>
      <c r="J7" s="154">
        <f>IFERROR(__xludf.DUMMYFUNCTION("""COMPUTED_VALUE"""),147.7231)</f>
        <v>147.7231</v>
      </c>
      <c r="K7" s="154">
        <f>IFERROR(__xludf.DUMMYFUNCTION("""COMPUTED_VALUE"""),144.9122)</f>
        <v>144.9122</v>
      </c>
      <c r="L7" s="154">
        <f>IFERROR(__xludf.DUMMYFUNCTION("""COMPUTED_VALUE"""),146.1513)</f>
        <v>146.1513</v>
      </c>
      <c r="M7" s="152">
        <f>IFERROR(__xludf.DUMMYFUNCTION("""COMPUTED_VALUE"""),1946.6)</f>
        <v>1946.6</v>
      </c>
      <c r="N7" s="153">
        <f>IFERROR(__xludf.DUMMYFUNCTION("""COMPUTED_VALUE"""),27700.6)</f>
        <v>27700.6</v>
      </c>
      <c r="O7" s="154">
        <f>IFERROR(__xludf.DUMMYFUNCTION("""COMPUTED_VALUE"""),3764778.2939999998)</f>
        <v>3764778.294</v>
      </c>
      <c r="P7" s="154">
        <f>IFERROR(__xludf.DUMMYFUNCTION("""COMPUTED_VALUE"""),1280.0)</f>
        <v>1280</v>
      </c>
      <c r="Q7" s="155">
        <f>IFERROR(__xludf.DUMMYFUNCTION("""COMPUTED_VALUE"""),222.264156703125)</f>
        <v>222.2641567</v>
      </c>
      <c r="R7" s="154">
        <f>IFERROR(__xludf.DUMMYFUNCTION("""COMPUTED_VALUE"""),284498.12058)</f>
        <v>284498.1206</v>
      </c>
      <c r="S7" s="154">
        <f>IFERROR(__xludf.DUMMYFUNCTION("""COMPUTED_VALUE"""),1465.0)</f>
        <v>1465</v>
      </c>
      <c r="T7" s="154">
        <f>IFERROR(__xludf.DUMMYFUNCTION("""COMPUTED_VALUE"""),413533.57675399916)</f>
        <v>413533.5768</v>
      </c>
      <c r="U7" s="156">
        <f>IFERROR(__xludf.DUMMYFUNCTION("""COMPUTED_VALUE"""),389.32)</f>
        <v>389.32</v>
      </c>
      <c r="V7" s="156">
        <f>IFERROR(__xludf.DUMMYFUNCTION("""COMPUTED_VALUE"""),17.696363636363635)</f>
        <v>17.69636364</v>
      </c>
      <c r="W7" s="157">
        <f>IFERROR(__xludf.DUMMYFUNCTION("""COMPUTED_VALUE"""),0.07025900221472255)</f>
        <v>0.07025900221</v>
      </c>
      <c r="X7" s="154">
        <f>IFERROR(__xludf.DUMMYFUNCTION("""COMPUTED_VALUE"""),4049276.4145799996)</f>
        <v>4049276.415</v>
      </c>
      <c r="Y7" s="154"/>
    </row>
    <row r="8">
      <c r="A8" s="150">
        <f>IFERROR(__xludf.DUMMYFUNCTION("""COMPUTED_VALUE"""),45778.0)</f>
        <v>45778</v>
      </c>
      <c r="B8" s="151">
        <f>IFERROR(__xludf.DUMMYFUNCTION("""COMPUTED_VALUE"""),5320074.0)</f>
        <v>5320074</v>
      </c>
      <c r="C8" s="151" t="str">
        <f>IFERROR(__xludf.DUMMYFUNCTION("""COMPUTED_VALUE"""),"Imac-RdL")</f>
        <v>Imac-RdL</v>
      </c>
      <c r="D8" s="152">
        <f>IFERROR(__xludf.DUMMYFUNCTION("""COMPUTED_VALUE"""),0.27)</f>
        <v>0.27</v>
      </c>
      <c r="E8" s="153">
        <f>IFERROR(__xludf.DUMMYFUNCTION("""COMPUTED_VALUE"""),17995.0)</f>
        <v>17995</v>
      </c>
      <c r="F8" s="153">
        <f>IFERROR(__xludf.DUMMYFUNCTION("""COMPUTED_VALUE"""),4080.0)</f>
        <v>4080</v>
      </c>
      <c r="G8" s="153">
        <f>IFERROR(__xludf.DUMMYFUNCTION("""COMPUTED_VALUE"""),4277.0)</f>
        <v>4277</v>
      </c>
      <c r="H8" s="153">
        <f>IFERROR(__xludf.DUMMYFUNCTION("""COMPUTED_VALUE"""),9638.0)</f>
        <v>9638</v>
      </c>
      <c r="I8" s="151" t="str">
        <f>IFERROR(__xludf.DUMMYFUNCTION("""COMPUTED_VALUE"""),"T4-Ba")</f>
        <v>T4-Ba</v>
      </c>
      <c r="J8" s="154">
        <f>IFERROR(__xludf.DUMMYFUNCTION("""COMPUTED_VALUE"""),145.3784)</f>
        <v>145.3784</v>
      </c>
      <c r="K8" s="154">
        <f>IFERROR(__xludf.DUMMYFUNCTION("""COMPUTED_VALUE"""),142.6091)</f>
        <v>142.6091</v>
      </c>
      <c r="L8" s="154">
        <f>IFERROR(__xludf.DUMMYFUNCTION("""COMPUTED_VALUE"""),143.8316)</f>
        <v>143.8316</v>
      </c>
      <c r="M8" s="152">
        <f>IFERROR(__xludf.DUMMYFUNCTION("""COMPUTED_VALUE"""),1726.4)</f>
        <v>1726.4</v>
      </c>
      <c r="N8" s="153">
        <f>IFERROR(__xludf.DUMMYFUNCTION("""COMPUTED_VALUE"""),19721.4)</f>
        <v>19721.4</v>
      </c>
      <c r="O8" s="154">
        <f>IFERROR(__xludf.DUMMYFUNCTION("""COMPUTED_VALUE"""),2589331.9535)</f>
        <v>2589331.954</v>
      </c>
      <c r="P8" s="154">
        <f>IFERROR(__xludf.DUMMYFUNCTION("""COMPUTED_VALUE"""),1200.0)</f>
        <v>1200</v>
      </c>
      <c r="Q8" s="155">
        <f>IFERROR(__xludf.DUMMYFUNCTION("""COMPUTED_VALUE"""),206.92572853333337)</f>
        <v>206.9257285</v>
      </c>
      <c r="R8" s="154">
        <f>IFERROR(__xludf.DUMMYFUNCTION("""COMPUTED_VALUE"""),248310.87424000003)</f>
        <v>248310.8742</v>
      </c>
      <c r="S8" s="154">
        <f>IFERROR(__xludf.DUMMYFUNCTION("""COMPUTED_VALUE"""),1465.0)</f>
        <v>1465</v>
      </c>
      <c r="T8" s="154">
        <f>IFERROR(__xludf.DUMMYFUNCTION("""COMPUTED_VALUE"""),384995.66422269336)</f>
        <v>384995.6642</v>
      </c>
      <c r="U8" s="156">
        <f>IFERROR(__xludf.DUMMYFUNCTION("""COMPUTED_VALUE"""),345.28000000000003)</f>
        <v>345.28</v>
      </c>
      <c r="V8" s="156">
        <f>IFERROR(__xludf.DUMMYFUNCTION("""COMPUTED_VALUE"""),15.694545454545455)</f>
        <v>15.69454545</v>
      </c>
      <c r="W8" s="157">
        <f>IFERROR(__xludf.DUMMYFUNCTION("""COMPUTED_VALUE"""),0.08750603557733996)</f>
        <v>0.08750603558</v>
      </c>
      <c r="X8" s="154">
        <f>IFERROR(__xludf.DUMMYFUNCTION("""COMPUTED_VALUE"""),2837642.8277399996)</f>
        <v>2837642.828</v>
      </c>
      <c r="Y8" s="154"/>
    </row>
    <row r="9">
      <c r="A9" s="167">
        <f>IFERROR(__xludf.DUMMYFUNCTION("""COMPUTED_VALUE"""),45748.0)</f>
        <v>45748</v>
      </c>
      <c r="B9" s="151">
        <f>IFERROR(__xludf.DUMMYFUNCTION("""COMPUTED_VALUE"""),5320074.0)</f>
        <v>5320074</v>
      </c>
      <c r="C9" s="151" t="str">
        <f>IFERROR(__xludf.DUMMYFUNCTION("""COMPUTED_VALUE"""),"Imac-RdL")</f>
        <v>Imac-RdL</v>
      </c>
      <c r="D9" s="152">
        <f>IFERROR(__xludf.DUMMYFUNCTION("""COMPUTED_VALUE"""),0.27)</f>
        <v>0.27</v>
      </c>
      <c r="E9" s="153">
        <f>IFERROR(__xludf.DUMMYFUNCTION("""COMPUTED_VALUE"""),18432.0)</f>
        <v>18432</v>
      </c>
      <c r="F9" s="153">
        <f>IFERROR(__xludf.DUMMYFUNCTION("""COMPUTED_VALUE"""),4028.0)</f>
        <v>4028</v>
      </c>
      <c r="G9" s="153">
        <f>IFERROR(__xludf.DUMMYFUNCTION("""COMPUTED_VALUE"""),4348.0)</f>
        <v>4348</v>
      </c>
      <c r="H9" s="153">
        <f>IFERROR(__xludf.DUMMYFUNCTION("""COMPUTED_VALUE"""),10056.0)</f>
        <v>10056</v>
      </c>
      <c r="I9" s="151" t="str">
        <f>IFERROR(__xludf.DUMMYFUNCTION("""COMPUTED_VALUE"""),"T4-Ba")</f>
        <v>T4-Ba</v>
      </c>
      <c r="J9" s="154">
        <f>IFERROR(__xludf.DUMMYFUNCTION("""COMPUTED_VALUE"""),140.7177)</f>
        <v>140.7177</v>
      </c>
      <c r="K9" s="154">
        <f>IFERROR(__xludf.DUMMYFUNCTION("""COMPUTED_VALUE"""),138.0092)</f>
        <v>138.0092</v>
      </c>
      <c r="L9" s="154">
        <f>IFERROR(__xludf.DUMMYFUNCTION("""COMPUTED_VALUE"""),139.205)</f>
        <v>139.205</v>
      </c>
      <c r="M9" s="152">
        <f>IFERROR(__xludf.DUMMYFUNCTION("""COMPUTED_VALUE"""),735.3)</f>
        <v>735.3</v>
      </c>
      <c r="N9" s="153">
        <f>IFERROR(__xludf.DUMMYFUNCTION("""COMPUTED_VALUE"""),19167.3)</f>
        <v>19167.3</v>
      </c>
      <c r="O9" s="154">
        <f>IFERROR(__xludf.DUMMYFUNCTION("""COMPUTED_VALUE"""),2566720.3772)</f>
        <v>2566720.377</v>
      </c>
      <c r="P9" s="154">
        <f>IFERROR(__xludf.DUMMYFUNCTION("""COMPUTED_VALUE"""),1140.0)</f>
        <v>1140</v>
      </c>
      <c r="Q9" s="155">
        <f>IFERROR(__xludf.DUMMYFUNCTION("""COMPUTED_VALUE"""),89.78722499999999)</f>
        <v>89.787225</v>
      </c>
      <c r="R9" s="154">
        <f>IFERROR(__xludf.DUMMYFUNCTION("""COMPUTED_VALUE"""),102357.4365)</f>
        <v>102357.4365</v>
      </c>
      <c r="S9" s="154">
        <f>IFERROR(__xludf.DUMMYFUNCTION("""COMPUTED_VALUE"""),1465.0)</f>
        <v>1465</v>
      </c>
      <c r="T9" s="154">
        <f>IFERROR(__xludf.DUMMYFUNCTION("""COMPUTED_VALUE"""),167053.62147375)</f>
        <v>167053.6215</v>
      </c>
      <c r="U9" s="156">
        <f>IFERROR(__xludf.DUMMYFUNCTION("""COMPUTED_VALUE"""),147.06)</f>
        <v>147.06</v>
      </c>
      <c r="V9" s="156">
        <f>IFERROR(__xludf.DUMMYFUNCTION("""COMPUTED_VALUE"""),6.684545454545455)</f>
        <v>6.684545455</v>
      </c>
      <c r="W9" s="157">
        <f>IFERROR(__xludf.DUMMYFUNCTION("""COMPUTED_VALUE"""),0.03834936395432673)</f>
        <v>0.03834936395</v>
      </c>
      <c r="X9" s="154">
        <f>IFERROR(__xludf.DUMMYFUNCTION("""COMPUTED_VALUE"""),2669077.8137)</f>
        <v>2669077.814</v>
      </c>
      <c r="Y9" s="154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sheetData>
    <row r="1">
      <c r="A1" s="168" t="str">
        <f>Datos!A1</f>
        <v>   Fecha </v>
      </c>
      <c r="B1" s="168" t="str">
        <f>Datos!B1</f>
        <v>NIS</v>
      </c>
      <c r="C1" s="168" t="str">
        <f>Datos!C1</f>
        <v>Cliente</v>
      </c>
      <c r="D1" s="168" t="str">
        <f>Datos!D1</f>
        <v>IVA</v>
      </c>
      <c r="E1" s="168" t="str">
        <f>Datos!E1</f>
        <v>Consumo [kWh]</v>
      </c>
      <c r="F1" s="168" t="str">
        <f>Datos!F1</f>
        <v>Consumo hs punta [kWh]</v>
      </c>
      <c r="G1" s="168" t="str">
        <f>Datos!G1</f>
        <v>Consumo hs valle [kWh]</v>
      </c>
      <c r="H1" s="168" t="str">
        <f>Datos!H1</f>
        <v>Consumo hs resto[kWh]</v>
      </c>
      <c r="I1" s="168" t="str">
        <f>Datos!I1</f>
        <v>Catergoria</v>
      </c>
      <c r="J1" s="168" t="str">
        <f>Datos!J1</f>
        <v>Tarifa punta</v>
      </c>
      <c r="K1" s="168" t="str">
        <f>Datos!K1</f>
        <v>Tarifa valle</v>
      </c>
      <c r="L1" s="168" t="str">
        <f>Datos!L1</f>
        <v>Tarifa resto</v>
      </c>
      <c r="M1" s="168" t="str">
        <f>Datos!M1</f>
        <v>Generacion FV [kWh]</v>
      </c>
      <c r="N1" s="168" t="str">
        <f>Datos!N1</f>
        <v>CONSUMO TOTAL</v>
      </c>
      <c r="O1" s="168" t="str">
        <f>Datos!O1</f>
        <v>Total a pagar S / IVA</v>
      </c>
      <c r="P1" s="168" t="str">
        <f>Datos!P1</f>
        <v>Valor USD</v>
      </c>
      <c r="Q1" s="168" t="str">
        <f>Datos!Q1</f>
        <v>Ahorro (USD)</v>
      </c>
      <c r="R1" s="168" t="str">
        <f>Datos!R1</f>
        <v>Ahorro ($)</v>
      </c>
      <c r="S1" s="168" t="str">
        <f>Datos!S1</f>
        <v>Valor dolar Actual ($)</v>
      </c>
      <c r="T1" s="168" t="str">
        <f>Datos!T1</f>
        <v>Ahorro ($)-A precio actual</v>
      </c>
      <c r="U1" s="168" t="str">
        <f>Datos!U1</f>
        <v>kg CO2e evitados</v>
      </c>
      <c r="V1" s="168" t="str">
        <f>Datos!V1</f>
        <v>Equivalente en árboles</v>
      </c>
      <c r="W1" s="168" t="str">
        <f>Datos!W1</f>
        <v>% de ahorro sobre los consumos</v>
      </c>
      <c r="X1" s="168" t="str">
        <f>Datos!X1</f>
        <v>SIN PANELES S/IVA</v>
      </c>
      <c r="Y1" s="151" t="str">
        <f>Datos!Z1</f>
        <v/>
      </c>
      <c r="Z1" s="151" t="str">
        <f>Datos!AA1</f>
        <v/>
      </c>
    </row>
    <row r="2">
      <c r="A2" s="12">
        <f>'Imac-RdelL'!A2</f>
        <v>45977</v>
      </c>
      <c r="B2" s="14">
        <f>'Imac-RdelL'!B2</f>
        <v>5320074</v>
      </c>
      <c r="C2" s="14" t="str">
        <f>'Imac-RdelL'!C2</f>
        <v>Imac-RdL</v>
      </c>
      <c r="D2" s="15">
        <f>'Imac-RdelL'!D2</f>
        <v>0.27</v>
      </c>
      <c r="E2" s="17">
        <f>'Imac-RdelL'!E2</f>
        <v>16473</v>
      </c>
      <c r="F2" s="17">
        <f>'Imac-RdelL'!F2</f>
        <v>4042</v>
      </c>
      <c r="G2" s="17">
        <f>'Imac-RdelL'!G2</f>
        <v>3998</v>
      </c>
      <c r="H2" s="17">
        <f>'Imac-RdelL'!H2</f>
        <v>8433</v>
      </c>
      <c r="I2" s="16" t="str">
        <f>'Imac-RdelL'!I2</f>
        <v>T4-Ba</v>
      </c>
      <c r="J2" s="18">
        <f>'Imac-RdelL'!J2</f>
        <v>152.0913</v>
      </c>
      <c r="K2" s="18">
        <f>'Imac-RdelL'!K2</f>
        <v>149.3017</v>
      </c>
      <c r="L2" s="18">
        <f>'Imac-RdelL'!L2</f>
        <v>150.1043</v>
      </c>
      <c r="M2" s="15">
        <f>'Imac-RdelL'!M2</f>
        <v>2222.4</v>
      </c>
      <c r="N2" s="17">
        <f>'Imac-RdelL'!N2</f>
        <v>18695.4</v>
      </c>
      <c r="O2" s="19">
        <f>'Imac-RdelL'!O2</f>
        <v>2477490.793</v>
      </c>
      <c r="P2" s="20">
        <f>'Imac-RdelL'!P2</f>
        <v>1470</v>
      </c>
      <c r="Q2" s="169">
        <f>'Imac-RdelL'!Q2</f>
        <v>226.9331948</v>
      </c>
      <c r="R2" s="20">
        <f>'Imac-RdelL'!R2</f>
        <v>333591.7963</v>
      </c>
      <c r="S2" s="46">
        <f>'Imac-RdelL'!S2</f>
        <v>1465</v>
      </c>
      <c r="T2" s="22">
        <f>'Imac-RdelL'!T2</f>
        <v>422220.5555</v>
      </c>
      <c r="U2" s="23">
        <f>'Imac-RdelL'!U2</f>
        <v>444.48</v>
      </c>
      <c r="V2" s="24">
        <f>'Imac-RdelL'!V2</f>
        <v>20.20363636</v>
      </c>
      <c r="W2" s="25">
        <f>'Imac-RdelL'!W2</f>
        <v>0.1186702225</v>
      </c>
      <c r="X2" s="19">
        <f>'Imac-RdelL'!X2</f>
        <v>2811082.589</v>
      </c>
    </row>
    <row r="3">
      <c r="A3" s="12">
        <f>'Imac-RdelL'!A3</f>
        <v>45931</v>
      </c>
      <c r="B3" s="14">
        <f>'Imac-RdelL'!B3</f>
        <v>5320074</v>
      </c>
      <c r="C3" s="14" t="str">
        <f>'Imac-RdelL'!C3</f>
        <v>Imac-RdL</v>
      </c>
      <c r="D3" s="15">
        <f>'Imac-RdelL'!D3</f>
        <v>0.27</v>
      </c>
      <c r="E3" s="17">
        <f>'Imac-RdelL'!E3</f>
        <v>17195</v>
      </c>
      <c r="F3" s="17">
        <f>'Imac-RdelL'!F3</f>
        <v>4089</v>
      </c>
      <c r="G3" s="17">
        <f>'Imac-RdelL'!G3</f>
        <v>4303</v>
      </c>
      <c r="H3" s="17">
        <f>'Imac-RdelL'!H3</f>
        <v>8803</v>
      </c>
      <c r="I3" s="14" t="str">
        <f>'Imac-RdelL'!I3</f>
        <v>T4-Ba</v>
      </c>
      <c r="J3" s="18">
        <f>'Imac-RdelL'!J3</f>
        <v>159.8077</v>
      </c>
      <c r="K3" s="18">
        <f>'Imac-RdelL'!K3</f>
        <v>156.9735</v>
      </c>
      <c r="L3" s="18">
        <f>'Imac-RdelL'!L3</f>
        <v>158.2241</v>
      </c>
      <c r="M3" s="15">
        <f>'Imac-RdelL'!M3</f>
        <v>2277.8</v>
      </c>
      <c r="N3" s="17">
        <f>'Imac-RdelL'!N3</f>
        <v>19472.8</v>
      </c>
      <c r="O3" s="19">
        <f>'Imac-RdelL'!O3</f>
        <v>2721757.408</v>
      </c>
      <c r="P3" s="20">
        <f>'Imac-RdelL'!P3</f>
        <v>1450</v>
      </c>
      <c r="Q3" s="169">
        <f>'Imac-RdelL'!Q3</f>
        <v>248.5536931</v>
      </c>
      <c r="R3" s="20">
        <f>'Imac-RdelL'!R3</f>
        <v>360402.855</v>
      </c>
      <c r="S3" s="46">
        <f>'Imac-RdelL'!S3</f>
        <v>1465</v>
      </c>
      <c r="T3" s="22">
        <f>'Imac-RdelL'!T3</f>
        <v>462446.5737</v>
      </c>
      <c r="U3" s="23">
        <f>'Imac-RdelL'!U3</f>
        <v>455.56</v>
      </c>
      <c r="V3" s="24">
        <f>'Imac-RdelL'!V3</f>
        <v>20.70727273</v>
      </c>
      <c r="W3" s="25">
        <f>'Imac-RdelL'!W3</f>
        <v>0.1169318998</v>
      </c>
      <c r="X3" s="19">
        <f>'Imac-RdelL'!X3</f>
        <v>3082160.263</v>
      </c>
    </row>
    <row r="4">
      <c r="A4" s="12">
        <f>'Imac-RdelL'!A4</f>
        <v>45931</v>
      </c>
      <c r="B4" s="14">
        <f>'Imac-RdelL'!B4</f>
        <v>5320074</v>
      </c>
      <c r="C4" s="14" t="str">
        <f>'Imac-RdelL'!C4</f>
        <v>Imac-RdelaF</v>
      </c>
      <c r="D4" s="15">
        <f>'Imac-RdelL'!D4</f>
        <v>0.27</v>
      </c>
      <c r="E4" s="17">
        <f>'Imac-RdelL'!E4</f>
        <v>2045</v>
      </c>
      <c r="F4" s="17">
        <f>'Imac-RdelL'!F4</f>
        <v>589</v>
      </c>
      <c r="G4" s="17">
        <f>'Imac-RdelL'!G4</f>
        <v>396</v>
      </c>
      <c r="H4" s="17">
        <f>'Imac-RdelL'!H4</f>
        <v>1060</v>
      </c>
      <c r="I4" s="14" t="str">
        <f>'Imac-RdelL'!I4</f>
        <v>T4-Ba</v>
      </c>
      <c r="J4" s="18">
        <f>'Imac-RdelL'!J4</f>
        <v>159.8077</v>
      </c>
      <c r="K4" s="18">
        <f>'Imac-RdelL'!K4</f>
        <v>156.9735</v>
      </c>
      <c r="L4" s="18">
        <f>'Imac-RdelL'!L4</f>
        <v>158.2241</v>
      </c>
      <c r="M4" s="15">
        <f>'Imac-RdelL'!M4</f>
        <v>713.1</v>
      </c>
      <c r="N4" s="17">
        <f>'Imac-RdelL'!N4</f>
        <v>2758.1</v>
      </c>
      <c r="O4" s="19">
        <f>'Imac-RdelL'!O4</f>
        <v>324005.7873</v>
      </c>
      <c r="P4" s="20">
        <f>'Imac-RdelL'!P4</f>
        <v>1450</v>
      </c>
      <c r="Q4" s="169">
        <f>'Imac-RdelL'!Q4</f>
        <v>77.81352118</v>
      </c>
      <c r="R4" s="20">
        <f>'Imac-RdelL'!R4</f>
        <v>112829.6057</v>
      </c>
      <c r="S4" s="46">
        <f>'Imac-RdelL'!S4</f>
        <v>1465</v>
      </c>
      <c r="T4" s="22">
        <f>'Imac-RdelL'!T4</f>
        <v>144775.9468</v>
      </c>
      <c r="U4" s="23">
        <f>'Imac-RdelL'!U4</f>
        <v>142.62</v>
      </c>
      <c r="V4" s="24">
        <f>'Imac-RdelL'!V4</f>
        <v>6.482727273</v>
      </c>
      <c r="W4" s="25">
        <f>'Imac-RdelL'!W4</f>
        <v>0.2582886083</v>
      </c>
      <c r="X4" s="19">
        <f>'Imac-RdelL'!X4</f>
        <v>436835.393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sheetData>
    <row r="1">
      <c r="A1" s="168" t="str">
        <f>Datos!A1</f>
        <v>   Fecha </v>
      </c>
      <c r="B1" s="168" t="str">
        <f>Datos!B1</f>
        <v>NIS</v>
      </c>
      <c r="C1" s="168" t="str">
        <f>Datos!C1</f>
        <v>Cliente</v>
      </c>
      <c r="D1" s="168" t="str">
        <f>Datos!D1</f>
        <v>IVA</v>
      </c>
      <c r="E1" s="168" t="str">
        <f>Datos!E1</f>
        <v>Consumo [kWh]</v>
      </c>
      <c r="F1" s="168" t="str">
        <f>Datos!F1</f>
        <v>Consumo hs punta [kWh]</v>
      </c>
      <c r="G1" s="168" t="str">
        <f>Datos!G1</f>
        <v>Consumo hs valle [kWh]</v>
      </c>
      <c r="H1" s="168" t="str">
        <f>Datos!H1</f>
        <v>Consumo hs resto[kWh]</v>
      </c>
      <c r="I1" s="168" t="str">
        <f>Datos!I1</f>
        <v>Catergoria</v>
      </c>
      <c r="J1" s="168" t="str">
        <f>Datos!J1</f>
        <v>Tarifa punta</v>
      </c>
      <c r="K1" s="168" t="str">
        <f>Datos!K1</f>
        <v>Tarifa valle</v>
      </c>
      <c r="L1" s="168" t="str">
        <f>Datos!L1</f>
        <v>Tarifa resto</v>
      </c>
      <c r="M1" s="168" t="str">
        <f>Datos!M1</f>
        <v>Generacion FV [kWh]</v>
      </c>
      <c r="N1" s="168" t="str">
        <f>Datos!N1</f>
        <v>CONSUMO TOTAL</v>
      </c>
      <c r="O1" s="168" t="str">
        <f>Datos!O1</f>
        <v>Total a pagar S / IVA</v>
      </c>
      <c r="P1" s="168" t="str">
        <f>Datos!P1</f>
        <v>Valor USD</v>
      </c>
      <c r="Q1" s="168" t="str">
        <f>Datos!Q1</f>
        <v>Ahorro (USD)</v>
      </c>
      <c r="R1" s="168" t="str">
        <f>Datos!R1</f>
        <v>Ahorro ($)</v>
      </c>
      <c r="S1" s="168" t="str">
        <f>Datos!S1</f>
        <v>Valor dolar Actual ($)</v>
      </c>
      <c r="T1" s="168" t="str">
        <f>Datos!T1</f>
        <v>Ahorro ($)-A precio actual</v>
      </c>
      <c r="U1" s="168" t="str">
        <f>Datos!U1</f>
        <v>kg CO2e evitados</v>
      </c>
      <c r="V1" s="168" t="str">
        <f>Datos!V1</f>
        <v>Equivalente en árboles</v>
      </c>
      <c r="W1" s="168" t="str">
        <f>Datos!W1</f>
        <v>% de ahorro sobre los consumos</v>
      </c>
      <c r="X1" s="168" t="str">
        <f>Datos!X1</f>
        <v>SIN PANELES S/IVA</v>
      </c>
      <c r="Y1" s="151" t="str">
        <f>Datos!Z1</f>
        <v/>
      </c>
      <c r="Z1" s="151" t="str">
        <f>Datos!AA1</f>
        <v/>
      </c>
    </row>
    <row r="2" ht="15.75" customHeight="1">
      <c r="A2" s="12">
        <f>IFERROR(__xludf.DUMMYFUNCTION("FILTER(Datos!1:1247,Datos!B:B=5238577)"),45992.0)</f>
        <v>45992</v>
      </c>
      <c r="B2" s="14">
        <f>IFERROR(__xludf.DUMMYFUNCTION("""COMPUTED_VALUE"""),5238577.0)</f>
        <v>5238577</v>
      </c>
      <c r="C2" s="14" t="str">
        <f>IFERROR(__xludf.DUMMYFUNCTION("""COMPUTED_VALUE"""),"Agustín Lanús")</f>
        <v>Agustín Lanús</v>
      </c>
      <c r="D2" s="15">
        <f>IFERROR(__xludf.DUMMYFUNCTION("""COMPUTED_VALUE"""),0.27)</f>
        <v>0.27</v>
      </c>
      <c r="E2" s="17">
        <f>IFERROR(__xludf.DUMMYFUNCTION("""COMPUTED_VALUE"""),6223.0)</f>
        <v>6223</v>
      </c>
      <c r="F2" s="17">
        <f>IFERROR(__xludf.DUMMYFUNCTION("""COMPUTED_VALUE"""),0.0)</f>
        <v>0</v>
      </c>
      <c r="G2" s="17">
        <f>IFERROR(__xludf.DUMMYFUNCTION("""COMPUTED_VALUE"""),0.0)</f>
        <v>0</v>
      </c>
      <c r="H2" s="17">
        <f>IFERROR(__xludf.DUMMYFUNCTION("""COMPUTED_VALUE"""),6223.0)</f>
        <v>6223</v>
      </c>
      <c r="I2" s="16" t="str">
        <f>IFERROR(__xludf.DUMMYFUNCTION("""COMPUTED_VALUE"""),"T2-Ba")</f>
        <v>T2-Ba</v>
      </c>
      <c r="J2" s="18">
        <f>IFERROR(__xludf.DUMMYFUNCTION("""COMPUTED_VALUE"""),148.2814)</f>
        <v>148.2814</v>
      </c>
      <c r="K2" s="18">
        <f>IFERROR(__xludf.DUMMYFUNCTION("""COMPUTED_VALUE"""),148.2814)</f>
        <v>148.2814</v>
      </c>
      <c r="L2" s="18">
        <f>IFERROR(__xludf.DUMMYFUNCTION("""COMPUTED_VALUE"""),148.2814)</f>
        <v>148.2814</v>
      </c>
      <c r="M2" s="15">
        <f>IFERROR(__xludf.DUMMYFUNCTION("""COMPUTED_VALUE"""),1543.5)</f>
        <v>1543.5</v>
      </c>
      <c r="N2" s="17">
        <f>IFERROR(__xludf.DUMMYFUNCTION("""COMPUTED_VALUE"""),7766.5)</f>
        <v>7766.5</v>
      </c>
      <c r="O2" s="19">
        <f>IFERROR(__xludf.DUMMYFUNCTION("""COMPUTED_VALUE"""),922755.1521999999)</f>
        <v>922755.1522</v>
      </c>
      <c r="P2" s="20">
        <f>IFERROR(__xludf.DUMMYFUNCTION("""COMPUTED_VALUE"""),1470.0)</f>
        <v>1470</v>
      </c>
      <c r="Q2" s="169">
        <f>IFERROR(__xludf.DUMMYFUNCTION("""COMPUTED_VALUE"""),155.69547)</f>
        <v>155.69547</v>
      </c>
      <c r="R2" s="20">
        <f>IFERROR(__xludf.DUMMYFUNCTION("""COMPUTED_VALUE"""),228872.3409)</f>
        <v>228872.3409</v>
      </c>
      <c r="S2" s="46">
        <f>IFERROR(__xludf.DUMMYFUNCTION("""COMPUTED_VALUE"""),1465.0)</f>
        <v>1465</v>
      </c>
      <c r="T2" s="22">
        <f>IFERROR(__xludf.DUMMYFUNCTION("""COMPUTED_VALUE"""),289679.2067085)</f>
        <v>289679.2067</v>
      </c>
      <c r="U2" s="23">
        <f>IFERROR(__xludf.DUMMYFUNCTION("""COMPUTED_VALUE"""),308.70000000000005)</f>
        <v>308.7</v>
      </c>
      <c r="V2" s="24">
        <f>IFERROR(__xludf.DUMMYFUNCTION("""COMPUTED_VALUE"""),14.031818181818183)</f>
        <v>14.03181818</v>
      </c>
      <c r="W2" s="25">
        <f>IFERROR(__xludf.DUMMYFUNCTION("""COMPUTED_VALUE"""),0.19873817034700317)</f>
        <v>0.1987381703</v>
      </c>
      <c r="X2" s="19">
        <f>IFERROR(__xludf.DUMMYFUNCTION("""COMPUTED_VALUE"""),1151627.4930999998)</f>
        <v>1151627.493</v>
      </c>
      <c r="Y2" s="154"/>
    </row>
    <row r="3" ht="15.75" customHeight="1">
      <c r="A3" s="12">
        <f>IFERROR(__xludf.DUMMYFUNCTION("""COMPUTED_VALUE"""),45975.0)</f>
        <v>45975</v>
      </c>
      <c r="B3" s="14">
        <f>IFERROR(__xludf.DUMMYFUNCTION("""COMPUTED_VALUE"""),5238577.0)</f>
        <v>5238577</v>
      </c>
      <c r="C3" s="14" t="str">
        <f>IFERROR(__xludf.DUMMYFUNCTION("""COMPUTED_VALUE"""),"Agustín Lanús")</f>
        <v>Agustín Lanús</v>
      </c>
      <c r="D3" s="15">
        <f>IFERROR(__xludf.DUMMYFUNCTION("""COMPUTED_VALUE"""),0.27)</f>
        <v>0.27</v>
      </c>
      <c r="E3" s="17">
        <f>IFERROR(__xludf.DUMMYFUNCTION("""COMPUTED_VALUE"""),6333.0)</f>
        <v>6333</v>
      </c>
      <c r="F3" s="17"/>
      <c r="G3" s="17"/>
      <c r="H3" s="17">
        <f>IFERROR(__xludf.DUMMYFUNCTION("""COMPUTED_VALUE"""),6333.0)</f>
        <v>6333</v>
      </c>
      <c r="I3" s="16" t="str">
        <f>IFERROR(__xludf.DUMMYFUNCTION("""COMPUTED_VALUE"""),"T2-Ba")</f>
        <v>T2-Ba</v>
      </c>
      <c r="J3" s="18">
        <f>IFERROR(__xludf.DUMMYFUNCTION("""COMPUTED_VALUE"""),145.8675)</f>
        <v>145.8675</v>
      </c>
      <c r="K3" s="18">
        <f>IFERROR(__xludf.DUMMYFUNCTION("""COMPUTED_VALUE"""),145.8675)</f>
        <v>145.8675</v>
      </c>
      <c r="L3" s="18">
        <f>IFERROR(__xludf.DUMMYFUNCTION("""COMPUTED_VALUE"""),145.8675)</f>
        <v>145.8675</v>
      </c>
      <c r="M3" s="15">
        <f>IFERROR(__xludf.DUMMYFUNCTION("""COMPUTED_VALUE"""),1722.9)</f>
        <v>1722.9</v>
      </c>
      <c r="N3" s="17">
        <f>IFERROR(__xludf.DUMMYFUNCTION("""COMPUTED_VALUE"""),8055.9)</f>
        <v>8055.9</v>
      </c>
      <c r="O3" s="19">
        <f>IFERROR(__xludf.DUMMYFUNCTION("""COMPUTED_VALUE"""),923778.8775000001)</f>
        <v>923778.8775</v>
      </c>
      <c r="P3" s="20">
        <f>IFERROR(__xludf.DUMMYFUNCTION("""COMPUTED_VALUE"""),1470.0)</f>
        <v>1470</v>
      </c>
      <c r="Q3" s="169">
        <f>IFERROR(__xludf.DUMMYFUNCTION("""COMPUTED_VALUE"""),170.9626637755102)</f>
        <v>170.9626638</v>
      </c>
      <c r="R3" s="20">
        <f>IFERROR(__xludf.DUMMYFUNCTION("""COMPUTED_VALUE"""),251315.11575)</f>
        <v>251315.1158</v>
      </c>
      <c r="S3" s="46">
        <f>IFERROR(__xludf.DUMMYFUNCTION("""COMPUTED_VALUE"""),1465.0)</f>
        <v>1465</v>
      </c>
      <c r="T3" s="22">
        <f>IFERROR(__xludf.DUMMYFUNCTION("""COMPUTED_VALUE"""),318084.58408752555)</f>
        <v>318084.5841</v>
      </c>
      <c r="U3" s="23">
        <f>IFERROR(__xludf.DUMMYFUNCTION("""COMPUTED_VALUE"""),344.58000000000004)</f>
        <v>344.58</v>
      </c>
      <c r="V3" s="24">
        <f>IFERROR(__xludf.DUMMYFUNCTION("""COMPUTED_VALUE"""),15.662727272727274)</f>
        <v>15.66272727</v>
      </c>
      <c r="W3" s="25">
        <f>IFERROR(__xludf.DUMMYFUNCTION("""COMPUTED_VALUE"""),0.21386809667448703)</f>
        <v>0.2138680967</v>
      </c>
      <c r="X3" s="19">
        <f>IFERROR(__xludf.DUMMYFUNCTION("""COMPUTED_VALUE"""),1175093.99325)</f>
        <v>1175093.993</v>
      </c>
      <c r="Y3" s="154"/>
    </row>
    <row r="4" ht="15.75" customHeight="1">
      <c r="A4" s="12">
        <f>IFERROR(__xludf.DUMMYFUNCTION("""COMPUTED_VALUE"""),45931.0)</f>
        <v>45931</v>
      </c>
      <c r="B4" s="14">
        <f>IFERROR(__xludf.DUMMYFUNCTION("""COMPUTED_VALUE"""),5238577.0)</f>
        <v>5238577</v>
      </c>
      <c r="C4" s="14" t="str">
        <f>IFERROR(__xludf.DUMMYFUNCTION("""COMPUTED_VALUE"""),"Agustín Lanús")</f>
        <v>Agustín Lanús</v>
      </c>
      <c r="D4" s="15">
        <f>IFERROR(__xludf.DUMMYFUNCTION("""COMPUTED_VALUE"""),0.27)</f>
        <v>0.27</v>
      </c>
      <c r="E4" s="17">
        <f>IFERROR(__xludf.DUMMYFUNCTION("""COMPUTED_VALUE"""),7040.0)</f>
        <v>7040</v>
      </c>
      <c r="F4" s="17"/>
      <c r="G4" s="17"/>
      <c r="H4" s="17">
        <f>IFERROR(__xludf.DUMMYFUNCTION("""COMPUTED_VALUE"""),7040.0)</f>
        <v>7040</v>
      </c>
      <c r="I4" s="14" t="str">
        <f>IFERROR(__xludf.DUMMYFUNCTION("""COMPUTED_VALUE"""),"T2-Ba")</f>
        <v>T2-Ba</v>
      </c>
      <c r="J4" s="18">
        <f>IFERROR(__xludf.DUMMYFUNCTION("""COMPUTED_VALUE"""),157.071)</f>
        <v>157.071</v>
      </c>
      <c r="K4" s="18">
        <f>IFERROR(__xludf.DUMMYFUNCTION("""COMPUTED_VALUE"""),157.071)</f>
        <v>157.071</v>
      </c>
      <c r="L4" s="18">
        <f>IFERROR(__xludf.DUMMYFUNCTION("""COMPUTED_VALUE"""),157.071)</f>
        <v>157.071</v>
      </c>
      <c r="M4" s="15">
        <f>IFERROR(__xludf.DUMMYFUNCTION("""COMPUTED_VALUE"""),2127.4)</f>
        <v>2127.4</v>
      </c>
      <c r="N4" s="17">
        <f>IFERROR(__xludf.DUMMYFUNCTION("""COMPUTED_VALUE"""),9167.4)</f>
        <v>9167.4</v>
      </c>
      <c r="O4" s="19">
        <f>IFERROR(__xludf.DUMMYFUNCTION("""COMPUTED_VALUE"""),1105779.84)</f>
        <v>1105779.84</v>
      </c>
      <c r="P4" s="20">
        <f>IFERROR(__xludf.DUMMYFUNCTION("""COMPUTED_VALUE"""),1450.0)</f>
        <v>1450</v>
      </c>
      <c r="Q4" s="169">
        <f>IFERROR(__xludf.DUMMYFUNCTION("""COMPUTED_VALUE"""),230.45023820689656)</f>
        <v>230.4502382</v>
      </c>
      <c r="R4" s="20">
        <f>IFERROR(__xludf.DUMMYFUNCTION("""COMPUTED_VALUE"""),334152.8454)</f>
        <v>334152.8454</v>
      </c>
      <c r="S4" s="46">
        <f>IFERROR(__xludf.DUMMYFUNCTION("""COMPUTED_VALUE"""),1465.0)</f>
        <v>1465</v>
      </c>
      <c r="T4" s="22">
        <f>IFERROR(__xludf.DUMMYFUNCTION("""COMPUTED_VALUE"""),428764.1906958414)</f>
        <v>428764.1907</v>
      </c>
      <c r="U4" s="23">
        <f>IFERROR(__xludf.DUMMYFUNCTION("""COMPUTED_VALUE"""),425.48)</f>
        <v>425.48</v>
      </c>
      <c r="V4" s="24">
        <f>IFERROR(__xludf.DUMMYFUNCTION("""COMPUTED_VALUE"""),19.34)</f>
        <v>19.34</v>
      </c>
      <c r="W4" s="25">
        <f>IFERROR(__xludf.DUMMYFUNCTION("""COMPUTED_VALUE"""),0.23206143508519317)</f>
        <v>0.2320614351</v>
      </c>
      <c r="X4" s="19">
        <f>IFERROR(__xludf.DUMMYFUNCTION("""COMPUTED_VALUE"""),1439932.6854)</f>
        <v>1439932.685</v>
      </c>
      <c r="Y4" s="154"/>
    </row>
    <row r="5" ht="15.75" customHeight="1">
      <c r="A5" s="12">
        <f>IFERROR(__xludf.DUMMYFUNCTION("""COMPUTED_VALUE"""),45914.0)</f>
        <v>45914</v>
      </c>
      <c r="B5" s="14">
        <f>IFERROR(__xludf.DUMMYFUNCTION("""COMPUTED_VALUE"""),5238577.0)</f>
        <v>5238577</v>
      </c>
      <c r="C5" s="14" t="str">
        <f>IFERROR(__xludf.DUMMYFUNCTION("""COMPUTED_VALUE"""),"Agustín Lanús")</f>
        <v>Agustín Lanús</v>
      </c>
      <c r="D5" s="15">
        <f>IFERROR(__xludf.DUMMYFUNCTION("""COMPUTED_VALUE"""),0.27)</f>
        <v>0.27</v>
      </c>
      <c r="E5" s="17">
        <f>IFERROR(__xludf.DUMMYFUNCTION("""COMPUTED_VALUE"""),2067.0)</f>
        <v>2067</v>
      </c>
      <c r="F5" s="17"/>
      <c r="G5" s="17"/>
      <c r="H5" s="17">
        <f>IFERROR(__xludf.DUMMYFUNCTION("""COMPUTED_VALUE"""),2067.0)</f>
        <v>2067</v>
      </c>
      <c r="I5" s="14" t="str">
        <f>IFERROR(__xludf.DUMMYFUNCTION("""COMPUTED_VALUE"""),"T2-Ba")</f>
        <v>T2-Ba</v>
      </c>
      <c r="J5" s="18">
        <f>IFERROR(__xludf.DUMMYFUNCTION("""COMPUTED_VALUE"""),156.8264)</f>
        <v>156.8264</v>
      </c>
      <c r="K5" s="18">
        <f>IFERROR(__xludf.DUMMYFUNCTION("""COMPUTED_VALUE"""),156.8264)</f>
        <v>156.8264</v>
      </c>
      <c r="L5" s="18">
        <f>IFERROR(__xludf.DUMMYFUNCTION("""COMPUTED_VALUE"""),156.8264)</f>
        <v>156.8264</v>
      </c>
      <c r="M5" s="15">
        <f>IFERROR(__xludf.DUMMYFUNCTION("""COMPUTED_VALUE"""),808.1)</f>
        <v>808.1</v>
      </c>
      <c r="N5" s="17">
        <f>IFERROR(__xludf.DUMMYFUNCTION("""COMPUTED_VALUE"""),2875.1)</f>
        <v>2875.1</v>
      </c>
      <c r="O5" s="19">
        <f>IFERROR(__xludf.DUMMYFUNCTION("""COMPUTED_VALUE"""),324160.1688)</f>
        <v>324160.1688</v>
      </c>
      <c r="P5" s="20">
        <f>IFERROR(__xludf.DUMMYFUNCTION("""COMPUTED_VALUE"""),1425.0)</f>
        <v>1425</v>
      </c>
      <c r="Q5" s="169">
        <f>IFERROR(__xludf.DUMMYFUNCTION("""COMPUTED_VALUE"""),88.93432550175439)</f>
        <v>88.9343255</v>
      </c>
      <c r="R5" s="20">
        <f>IFERROR(__xludf.DUMMYFUNCTION("""COMPUTED_VALUE"""),126731.41384000001)</f>
        <v>126731.4138</v>
      </c>
      <c r="S5" s="46">
        <f>IFERROR(__xludf.DUMMYFUNCTION("""COMPUTED_VALUE"""),1465.0)</f>
        <v>1465</v>
      </c>
      <c r="T5" s="22">
        <f>IFERROR(__xludf.DUMMYFUNCTION("""COMPUTED_VALUE"""),165466.75931228913)</f>
        <v>165466.7593</v>
      </c>
      <c r="U5" s="23">
        <f>IFERROR(__xludf.DUMMYFUNCTION("""COMPUTED_VALUE"""),161.62)</f>
        <v>161.62</v>
      </c>
      <c r="V5" s="24">
        <f>IFERROR(__xludf.DUMMYFUNCTION("""COMPUTED_VALUE"""),7.346363636363637)</f>
        <v>7.346363636</v>
      </c>
      <c r="W5" s="25">
        <f>IFERROR(__xludf.DUMMYFUNCTION("""COMPUTED_VALUE"""),0.2810684845744496)</f>
        <v>0.2810684846</v>
      </c>
      <c r="X5" s="19">
        <f>IFERROR(__xludf.DUMMYFUNCTION("""COMPUTED_VALUE"""),450891.58264)</f>
        <v>450891.5826</v>
      </c>
      <c r="Y5" s="154"/>
    </row>
    <row r="6" ht="15.75" customHeight="1">
      <c r="A6" s="12">
        <f>IFERROR(__xludf.DUMMYFUNCTION("""COMPUTED_VALUE"""),45882.0)</f>
        <v>45882</v>
      </c>
      <c r="B6" s="14">
        <f>IFERROR(__xludf.DUMMYFUNCTION("""COMPUTED_VALUE"""),5238577.0)</f>
        <v>5238577</v>
      </c>
      <c r="C6" s="14" t="str">
        <f>IFERROR(__xludf.DUMMYFUNCTION("""COMPUTED_VALUE"""),"Agustín Lanús")</f>
        <v>Agustín Lanús</v>
      </c>
      <c r="D6" s="15">
        <f>IFERROR(__xludf.DUMMYFUNCTION("""COMPUTED_VALUE"""),0.27)</f>
        <v>0.27</v>
      </c>
      <c r="E6" s="17">
        <f>IFERROR(__xludf.DUMMYFUNCTION("""COMPUTED_VALUE"""),2588.0)</f>
        <v>2588</v>
      </c>
      <c r="F6" s="17"/>
      <c r="G6" s="17"/>
      <c r="H6" s="17">
        <f>IFERROR(__xludf.DUMMYFUNCTION("""COMPUTED_VALUE"""),2588.0)</f>
        <v>2588</v>
      </c>
      <c r="I6" s="14" t="str">
        <f>IFERROR(__xludf.DUMMYFUNCTION("""COMPUTED_VALUE"""),"T2-Ba")</f>
        <v>T2-Ba</v>
      </c>
      <c r="J6" s="18">
        <f>IFERROR(__xludf.DUMMYFUNCTION("""COMPUTED_VALUE"""),156.5178)</f>
        <v>156.5178</v>
      </c>
      <c r="K6" s="18">
        <f>IFERROR(__xludf.DUMMYFUNCTION("""COMPUTED_VALUE"""),156.5178)</f>
        <v>156.5178</v>
      </c>
      <c r="L6" s="18">
        <f>IFERROR(__xludf.DUMMYFUNCTION("""COMPUTED_VALUE"""),156.5178)</f>
        <v>156.5178</v>
      </c>
      <c r="M6" s="15">
        <f>IFERROR(__xludf.DUMMYFUNCTION("""COMPUTED_VALUE"""),1056.9)</f>
        <v>1056.9</v>
      </c>
      <c r="N6" s="17">
        <f>IFERROR(__xludf.DUMMYFUNCTION("""COMPUTED_VALUE"""),3644.9)</f>
        <v>3644.9</v>
      </c>
      <c r="O6" s="19">
        <f>IFERROR(__xludf.DUMMYFUNCTION("""COMPUTED_VALUE"""),405068.0664)</f>
        <v>405068.0664</v>
      </c>
      <c r="P6" s="20">
        <f>IFERROR(__xludf.DUMMYFUNCTION("""COMPUTED_VALUE"""),1340.0)</f>
        <v>1340</v>
      </c>
      <c r="Q6" s="169">
        <f>IFERROR(__xludf.DUMMYFUNCTION("""COMPUTED_VALUE"""),123.45049464179104)</f>
        <v>123.4504946</v>
      </c>
      <c r="R6" s="20">
        <f>IFERROR(__xludf.DUMMYFUNCTION("""COMPUTED_VALUE"""),165423.66282)</f>
        <v>165423.6628</v>
      </c>
      <c r="S6" s="46">
        <f>IFERROR(__xludf.DUMMYFUNCTION("""COMPUTED_VALUE"""),1465.0)</f>
        <v>1465</v>
      </c>
      <c r="T6" s="22">
        <f>IFERROR(__xludf.DUMMYFUNCTION("""COMPUTED_VALUE"""),229685.81780578435)</f>
        <v>229685.8178</v>
      </c>
      <c r="U6" s="23">
        <f>IFERROR(__xludf.DUMMYFUNCTION("""COMPUTED_VALUE"""),211.38000000000002)</f>
        <v>211.38</v>
      </c>
      <c r="V6" s="24">
        <f>IFERROR(__xludf.DUMMYFUNCTION("""COMPUTED_VALUE"""),9.60818181818182)</f>
        <v>9.608181818</v>
      </c>
      <c r="W6" s="25">
        <f>IFERROR(__xludf.DUMMYFUNCTION("""COMPUTED_VALUE"""),0.28996680293012156)</f>
        <v>0.2899668029</v>
      </c>
      <c r="X6" s="19">
        <f>IFERROR(__xludf.DUMMYFUNCTION("""COMPUTED_VALUE"""),570491.72922)</f>
        <v>570491.7292</v>
      </c>
      <c r="Y6" s="154"/>
    </row>
    <row r="7" ht="15.75" customHeight="1">
      <c r="A7" s="12">
        <f>IFERROR(__xludf.DUMMYFUNCTION("""COMPUTED_VALUE"""),45839.0)</f>
        <v>45839</v>
      </c>
      <c r="B7" s="14">
        <f>IFERROR(__xludf.DUMMYFUNCTION("""COMPUTED_VALUE"""),5238577.0)</f>
        <v>5238577</v>
      </c>
      <c r="C7" s="14" t="str">
        <f>IFERROR(__xludf.DUMMYFUNCTION("""COMPUTED_VALUE"""),"Agustín Lanús")</f>
        <v>Agustín Lanús</v>
      </c>
      <c r="D7" s="15">
        <f>IFERROR(__xludf.DUMMYFUNCTION("""COMPUTED_VALUE"""),0.27)</f>
        <v>0.27</v>
      </c>
      <c r="E7" s="17">
        <f>IFERROR(__xludf.DUMMYFUNCTION("""COMPUTED_VALUE"""),680.0)</f>
        <v>680</v>
      </c>
      <c r="F7" s="17"/>
      <c r="G7" s="17"/>
      <c r="H7" s="17">
        <f>IFERROR(__xludf.DUMMYFUNCTION("""COMPUTED_VALUE"""),680.0)</f>
        <v>680</v>
      </c>
      <c r="I7" s="14" t="str">
        <f>IFERROR(__xludf.DUMMYFUNCTION("""COMPUTED_VALUE"""),"T2-Ba")</f>
        <v>T2-Ba</v>
      </c>
      <c r="J7" s="18">
        <f>IFERROR(__xludf.DUMMYFUNCTION("""COMPUTED_VALUE"""),148.82)</f>
        <v>148.82</v>
      </c>
      <c r="K7" s="18">
        <f>IFERROR(__xludf.DUMMYFUNCTION("""COMPUTED_VALUE"""),148.82)</f>
        <v>148.82</v>
      </c>
      <c r="L7" s="18">
        <f>IFERROR(__xludf.DUMMYFUNCTION("""COMPUTED_VALUE"""),148.82)</f>
        <v>148.82</v>
      </c>
      <c r="M7" s="15">
        <f>IFERROR(__xludf.DUMMYFUNCTION("""COMPUTED_VALUE"""),246.8)</f>
        <v>246.8</v>
      </c>
      <c r="N7" s="17">
        <f>IFERROR(__xludf.DUMMYFUNCTION("""COMPUTED_VALUE"""),926.8)</f>
        <v>926.8</v>
      </c>
      <c r="O7" s="19">
        <f>IFERROR(__xludf.DUMMYFUNCTION("""COMPUTED_VALUE"""),101197.59999999999)</f>
        <v>101197.6</v>
      </c>
      <c r="P7" s="20">
        <f>IFERROR(__xludf.DUMMYFUNCTION("""COMPUTED_VALUE"""),1280.0)</f>
        <v>1280</v>
      </c>
      <c r="Q7" s="169">
        <f>IFERROR(__xludf.DUMMYFUNCTION("""COMPUTED_VALUE"""),28.69435625)</f>
        <v>28.69435625</v>
      </c>
      <c r="R7" s="20">
        <f>IFERROR(__xludf.DUMMYFUNCTION("""COMPUTED_VALUE"""),36728.776)</f>
        <v>36728.776</v>
      </c>
      <c r="S7" s="46">
        <f>IFERROR(__xludf.DUMMYFUNCTION("""COMPUTED_VALUE"""),1465.0)</f>
        <v>1465</v>
      </c>
      <c r="T7" s="22">
        <f>IFERROR(__xludf.DUMMYFUNCTION("""COMPUTED_VALUE"""),53387.284520937494)</f>
        <v>53387.28452</v>
      </c>
      <c r="U7" s="23">
        <f>IFERROR(__xludf.DUMMYFUNCTION("""COMPUTED_VALUE"""),49.36000000000001)</f>
        <v>49.36</v>
      </c>
      <c r="V7" s="24">
        <f>IFERROR(__xludf.DUMMYFUNCTION("""COMPUTED_VALUE"""),2.243636363636364)</f>
        <v>2.243636364</v>
      </c>
      <c r="W7" s="25">
        <f>IFERROR(__xludf.DUMMYFUNCTION("""COMPUTED_VALUE"""),0.26629261976694)</f>
        <v>0.2662926198</v>
      </c>
      <c r="X7" s="19">
        <f>IFERROR(__xludf.DUMMYFUNCTION("""COMPUTED_VALUE"""),137926.376)</f>
        <v>137926.376</v>
      </c>
      <c r="Y7" s="154"/>
    </row>
    <row r="8" ht="17.25" customHeight="1">
      <c r="A8" s="12">
        <f>IFERROR(__xludf.DUMMYFUNCTION("""COMPUTED_VALUE"""),45809.0)</f>
        <v>45809</v>
      </c>
      <c r="B8" s="14">
        <f>IFERROR(__xludf.DUMMYFUNCTION("""COMPUTED_VALUE"""),5238577.0)</f>
        <v>5238577</v>
      </c>
      <c r="C8" s="14" t="str">
        <f>IFERROR(__xludf.DUMMYFUNCTION("""COMPUTED_VALUE"""),"Agustín Lanús")</f>
        <v>Agustín Lanús</v>
      </c>
      <c r="D8" s="15">
        <f>IFERROR(__xludf.DUMMYFUNCTION("""COMPUTED_VALUE"""),0.27)</f>
        <v>0.27</v>
      </c>
      <c r="E8" s="17">
        <f>IFERROR(__xludf.DUMMYFUNCTION("""COMPUTED_VALUE"""),1805.0)</f>
        <v>1805</v>
      </c>
      <c r="F8" s="17"/>
      <c r="G8" s="17"/>
      <c r="H8" s="17">
        <f>IFERROR(__xludf.DUMMYFUNCTION("""COMPUTED_VALUE"""),1805.0)</f>
        <v>1805</v>
      </c>
      <c r="I8" s="14" t="str">
        <f>IFERROR(__xludf.DUMMYFUNCTION("""COMPUTED_VALUE"""),"T2-Ba")</f>
        <v>T2-Ba</v>
      </c>
      <c r="J8" s="18">
        <f>IFERROR(__xludf.DUMMYFUNCTION("""COMPUTED_VALUE"""),142.9)</f>
        <v>142.9</v>
      </c>
      <c r="K8" s="18">
        <f>IFERROR(__xludf.DUMMYFUNCTION("""COMPUTED_VALUE"""),142.9)</f>
        <v>142.9</v>
      </c>
      <c r="L8" s="18">
        <f>IFERROR(__xludf.DUMMYFUNCTION("""COMPUTED_VALUE"""),142.9)</f>
        <v>142.9</v>
      </c>
      <c r="M8" s="15">
        <f>IFERROR(__xludf.DUMMYFUNCTION("""COMPUTED_VALUE"""),0.3)</f>
        <v>0.3</v>
      </c>
      <c r="N8" s="17">
        <f>IFERROR(__xludf.DUMMYFUNCTION("""COMPUTED_VALUE"""),1805.3)</f>
        <v>1805.3</v>
      </c>
      <c r="O8" s="19">
        <f>IFERROR(__xludf.DUMMYFUNCTION("""COMPUTED_VALUE"""),257934.5)</f>
        <v>257934.5</v>
      </c>
      <c r="P8" s="20">
        <f>IFERROR(__xludf.DUMMYFUNCTION("""COMPUTED_VALUE"""),1280.0)</f>
        <v>1280</v>
      </c>
      <c r="Q8" s="169">
        <f>IFERROR(__xludf.DUMMYFUNCTION("""COMPUTED_VALUE"""),0.0334921875)</f>
        <v>0.0334921875</v>
      </c>
      <c r="R8" s="20">
        <f>IFERROR(__xludf.DUMMYFUNCTION("""COMPUTED_VALUE"""),42.87)</f>
        <v>42.87</v>
      </c>
      <c r="S8" s="46">
        <f>IFERROR(__xludf.DUMMYFUNCTION("""COMPUTED_VALUE"""),1465.0)</f>
        <v>1465</v>
      </c>
      <c r="T8" s="22">
        <f>IFERROR(__xludf.DUMMYFUNCTION("""COMPUTED_VALUE"""),62.313889453125)</f>
        <v>62.31388945</v>
      </c>
      <c r="U8" s="23">
        <f>IFERROR(__xludf.DUMMYFUNCTION("""COMPUTED_VALUE"""),0.06)</f>
        <v>0.06</v>
      </c>
      <c r="V8" s="24">
        <f>IFERROR(__xludf.DUMMYFUNCTION("""COMPUTED_VALUE"""),0.002727272727272727)</f>
        <v>0.002727272727</v>
      </c>
      <c r="W8" s="25">
        <f>IFERROR(__xludf.DUMMYFUNCTION("""COMPUTED_VALUE"""),1.6617736664266327E-4)</f>
        <v>0.0001661773666</v>
      </c>
      <c r="X8" s="19">
        <f>IFERROR(__xludf.DUMMYFUNCTION("""COMPUTED_VALUE"""),257977.37)</f>
        <v>257977.37</v>
      </c>
      <c r="Y8" s="154"/>
    </row>
    <row r="9" ht="15.75" customHeight="1">
      <c r="A9" s="12">
        <f>IFERROR(__xludf.DUMMYFUNCTION("""COMPUTED_VALUE"""),45778.0)</f>
        <v>45778</v>
      </c>
      <c r="B9" s="14">
        <f>IFERROR(__xludf.DUMMYFUNCTION("""COMPUTED_VALUE"""),5238577.0)</f>
        <v>5238577</v>
      </c>
      <c r="C9" s="14" t="str">
        <f>IFERROR(__xludf.DUMMYFUNCTION("""COMPUTED_VALUE"""),"Agustín Lanús")</f>
        <v>Agustín Lanús</v>
      </c>
      <c r="D9" s="15">
        <f>IFERROR(__xludf.DUMMYFUNCTION("""COMPUTED_VALUE"""),0.27)</f>
        <v>0.27</v>
      </c>
      <c r="E9" s="17">
        <f>IFERROR(__xludf.DUMMYFUNCTION("""COMPUTED_VALUE"""),1569.0)</f>
        <v>1569</v>
      </c>
      <c r="F9" s="17"/>
      <c r="G9" s="17"/>
      <c r="H9" s="17">
        <f>IFERROR(__xludf.DUMMYFUNCTION("""COMPUTED_VALUE"""),1569.0)</f>
        <v>1569</v>
      </c>
      <c r="I9" s="14" t="str">
        <f>IFERROR(__xludf.DUMMYFUNCTION("""COMPUTED_VALUE"""),"T2-Ba")</f>
        <v>T2-Ba</v>
      </c>
      <c r="J9" s="18">
        <f>IFERROR(__xludf.DUMMYFUNCTION("""COMPUTED_VALUE"""),145.8875)</f>
        <v>145.8875</v>
      </c>
      <c r="K9" s="18">
        <f>IFERROR(__xludf.DUMMYFUNCTION("""COMPUTED_VALUE"""),145.89)</f>
        <v>145.89</v>
      </c>
      <c r="L9" s="18">
        <f>IFERROR(__xludf.DUMMYFUNCTION("""COMPUTED_VALUE"""),145.89)</f>
        <v>145.89</v>
      </c>
      <c r="M9" s="15">
        <f>IFERROR(__xludf.DUMMYFUNCTION("""COMPUTED_VALUE"""),8.6)</f>
        <v>8.6</v>
      </c>
      <c r="N9" s="17">
        <f>IFERROR(__xludf.DUMMYFUNCTION("""COMPUTED_VALUE"""),1577.6)</f>
        <v>1577.6</v>
      </c>
      <c r="O9" s="19">
        <f>IFERROR(__xludf.DUMMYFUNCTION("""COMPUTED_VALUE"""),228901.40999999997)</f>
        <v>228901.41</v>
      </c>
      <c r="P9" s="20">
        <f>IFERROR(__xludf.DUMMYFUNCTION("""COMPUTED_VALUE"""),1200.0)</f>
        <v>1200</v>
      </c>
      <c r="Q9" s="169">
        <f>IFERROR(__xludf.DUMMYFUNCTION("""COMPUTED_VALUE"""),1.0455449999999997)</f>
        <v>1.045545</v>
      </c>
      <c r="R9" s="20">
        <f>IFERROR(__xludf.DUMMYFUNCTION("""COMPUTED_VALUE"""),1254.6539999999998)</f>
        <v>1254.654</v>
      </c>
      <c r="S9" s="46">
        <f>IFERROR(__xludf.DUMMYFUNCTION("""COMPUTED_VALUE"""),1465.0)</f>
        <v>1465</v>
      </c>
      <c r="T9" s="22">
        <f>IFERROR(__xludf.DUMMYFUNCTION("""COMPUTED_VALUE"""),1945.2887497499996)</f>
        <v>1945.28875</v>
      </c>
      <c r="U9" s="23">
        <f>IFERROR(__xludf.DUMMYFUNCTION("""COMPUTED_VALUE"""),1.72)</f>
        <v>1.72</v>
      </c>
      <c r="V9" s="24">
        <f>IFERROR(__xludf.DUMMYFUNCTION("""COMPUTED_VALUE"""),0.07818181818181819)</f>
        <v>0.07818181818</v>
      </c>
      <c r="W9" s="25">
        <f>IFERROR(__xludf.DUMMYFUNCTION("""COMPUTED_VALUE"""),0.005451318458417849)</f>
        <v>0.005451318458</v>
      </c>
      <c r="X9" s="19">
        <f>IFERROR(__xludf.DUMMYFUNCTION("""COMPUTED_VALUE"""),230156.06399999998)</f>
        <v>230156.064</v>
      </c>
      <c r="Y9" s="154"/>
    </row>
    <row r="10">
      <c r="A10" s="167">
        <f>IFERROR(__xludf.DUMMYFUNCTION("""COMPUTED_VALUE"""),45748.0)</f>
        <v>45748</v>
      </c>
      <c r="B10" s="151">
        <f>IFERROR(__xludf.DUMMYFUNCTION("""COMPUTED_VALUE"""),5238577.0)</f>
        <v>5238577</v>
      </c>
      <c r="C10" s="151" t="str">
        <f>IFERROR(__xludf.DUMMYFUNCTION("""COMPUTED_VALUE"""),"Agustín Lanús")</f>
        <v>Agustín Lanús</v>
      </c>
      <c r="D10" s="152">
        <f>IFERROR(__xludf.DUMMYFUNCTION("""COMPUTED_VALUE"""),0.27)</f>
        <v>0.27</v>
      </c>
      <c r="E10" s="153">
        <f>IFERROR(__xludf.DUMMYFUNCTION("""COMPUTED_VALUE"""),4919.0)</f>
        <v>4919</v>
      </c>
      <c r="F10" s="153"/>
      <c r="G10" s="153"/>
      <c r="H10" s="153">
        <f>IFERROR(__xludf.DUMMYFUNCTION("""COMPUTED_VALUE"""),4919.0)</f>
        <v>4919</v>
      </c>
      <c r="I10" s="151" t="str">
        <f>IFERROR(__xludf.DUMMYFUNCTION("""COMPUTED_VALUE"""),"T2-Ba")</f>
        <v>T2-Ba</v>
      </c>
      <c r="J10" s="154">
        <f>IFERROR(__xludf.DUMMYFUNCTION("""COMPUTED_VALUE"""),141.2146)</f>
        <v>141.2146</v>
      </c>
      <c r="K10" s="154">
        <f>IFERROR(__xludf.DUMMYFUNCTION("""COMPUTED_VALUE"""),141.21)</f>
        <v>141.21</v>
      </c>
      <c r="L10" s="154">
        <f>IFERROR(__xludf.DUMMYFUNCTION("""COMPUTED_VALUE"""),141.21)</f>
        <v>141.21</v>
      </c>
      <c r="M10" s="152">
        <f>IFERROR(__xludf.DUMMYFUNCTION("""COMPUTED_VALUE"""),712.4)</f>
        <v>712.4</v>
      </c>
      <c r="N10" s="153">
        <f>IFERROR(__xludf.DUMMYFUNCTION("""COMPUTED_VALUE"""),5631.4)</f>
        <v>5631.4</v>
      </c>
      <c r="O10" s="154">
        <f>IFERROR(__xludf.DUMMYFUNCTION("""COMPUTED_VALUE"""),694611.99)</f>
        <v>694611.99</v>
      </c>
      <c r="P10" s="154">
        <f>IFERROR(__xludf.DUMMYFUNCTION("""COMPUTED_VALUE"""),1140.0)</f>
        <v>1140</v>
      </c>
      <c r="Q10" s="155">
        <f>IFERROR(__xludf.DUMMYFUNCTION("""COMPUTED_VALUE"""),88.24386315789474)</f>
        <v>88.24386316</v>
      </c>
      <c r="R10" s="154">
        <f>IFERROR(__xludf.DUMMYFUNCTION("""COMPUTED_VALUE"""),100598.004)</f>
        <v>100598.004</v>
      </c>
      <c r="S10" s="154">
        <f>IFERROR(__xludf.DUMMYFUNCTION("""COMPUTED_VALUE"""),1465.0)</f>
        <v>1465</v>
      </c>
      <c r="T10" s="154">
        <f>IFERROR(__xludf.DUMMYFUNCTION("""COMPUTED_VALUE"""),164182.11959842104)</f>
        <v>164182.1196</v>
      </c>
      <c r="U10" s="156">
        <f>IFERROR(__xludf.DUMMYFUNCTION("""COMPUTED_VALUE"""),142.48)</f>
        <v>142.48</v>
      </c>
      <c r="V10" s="156">
        <f>IFERROR(__xludf.DUMMYFUNCTION("""COMPUTED_VALUE"""),6.476363636363636)</f>
        <v>6.476363636</v>
      </c>
      <c r="W10" s="157">
        <f>IFERROR(__xludf.DUMMYFUNCTION("""COMPUTED_VALUE"""),0.12650495436303585)</f>
        <v>0.1265049544</v>
      </c>
      <c r="X10" s="154">
        <f>IFERROR(__xludf.DUMMYFUNCTION("""COMPUTED_VALUE"""),795209.994)</f>
        <v>795209.994</v>
      </c>
      <c r="Y10" s="154"/>
    </row>
    <row r="11">
      <c r="A11" s="167">
        <f>IFERROR(__xludf.DUMMYFUNCTION("""COMPUTED_VALUE"""),45717.0)</f>
        <v>45717</v>
      </c>
      <c r="B11" s="151">
        <f>IFERROR(__xludf.DUMMYFUNCTION("""COMPUTED_VALUE"""),5238577.0)</f>
        <v>5238577</v>
      </c>
      <c r="C11" s="151" t="str">
        <f>IFERROR(__xludf.DUMMYFUNCTION("""COMPUTED_VALUE"""),"Agustín Lanús")</f>
        <v>Agustín Lanús</v>
      </c>
      <c r="D11" s="152">
        <f>IFERROR(__xludf.DUMMYFUNCTION("""COMPUTED_VALUE"""),0.27)</f>
        <v>0.27</v>
      </c>
      <c r="E11" s="153">
        <f>IFERROR(__xludf.DUMMYFUNCTION("""COMPUTED_VALUE"""),4158.0)</f>
        <v>4158</v>
      </c>
      <c r="F11" s="153"/>
      <c r="G11" s="153"/>
      <c r="H11" s="153">
        <f>IFERROR(__xludf.DUMMYFUNCTION("""COMPUTED_VALUE"""),4158.0)</f>
        <v>4158</v>
      </c>
      <c r="I11" s="151" t="str">
        <f>IFERROR(__xludf.DUMMYFUNCTION("""COMPUTED_VALUE"""),"T2-Ba")</f>
        <v>T2-Ba</v>
      </c>
      <c r="J11" s="154">
        <f>IFERROR(__xludf.DUMMYFUNCTION("""COMPUTED_VALUE"""),140.1738)</f>
        <v>140.1738</v>
      </c>
      <c r="K11" s="154">
        <f>IFERROR(__xludf.DUMMYFUNCTION("""COMPUTED_VALUE"""),140.1738)</f>
        <v>140.1738</v>
      </c>
      <c r="L11" s="154">
        <f>IFERROR(__xludf.DUMMYFUNCTION("""COMPUTED_VALUE"""),140.1738)</f>
        <v>140.1738</v>
      </c>
      <c r="M11" s="152">
        <f>IFERROR(__xludf.DUMMYFUNCTION("""COMPUTED_VALUE"""),604.5)</f>
        <v>604.5</v>
      </c>
      <c r="N11" s="153">
        <f>IFERROR(__xludf.DUMMYFUNCTION("""COMPUTED_VALUE"""),4762.5)</f>
        <v>4762.5</v>
      </c>
      <c r="O11" s="154">
        <f>IFERROR(__xludf.DUMMYFUNCTION("""COMPUTED_VALUE"""),582842.6604)</f>
        <v>582842.6604</v>
      </c>
      <c r="P11" s="154">
        <f>IFERROR(__xludf.DUMMYFUNCTION("""COMPUTED_VALUE"""),1095.75)</f>
        <v>1095.75</v>
      </c>
      <c r="Q11" s="155">
        <f>IFERROR(__xludf.DUMMYFUNCTION("""COMPUTED_VALUE"""),77.3306521560575)</f>
        <v>77.33065216</v>
      </c>
      <c r="R11" s="154">
        <f>IFERROR(__xludf.DUMMYFUNCTION("""COMPUTED_VALUE"""),84735.0621)</f>
        <v>84735.0621</v>
      </c>
      <c r="S11" s="154">
        <f>IFERROR(__xludf.DUMMYFUNCTION("""COMPUTED_VALUE"""),1465.0)</f>
        <v>1465</v>
      </c>
      <c r="T11" s="154">
        <f>IFERROR(__xludf.DUMMYFUNCTION("""COMPUTED_VALUE"""),143877.5448689528)</f>
        <v>143877.5449</v>
      </c>
      <c r="U11" s="156">
        <f>IFERROR(__xludf.DUMMYFUNCTION("""COMPUTED_VALUE"""),120.9)</f>
        <v>120.9</v>
      </c>
      <c r="V11" s="156">
        <f>IFERROR(__xludf.DUMMYFUNCTION("""COMPUTED_VALUE"""),5.495454545454546)</f>
        <v>5.495454545</v>
      </c>
      <c r="W11" s="157">
        <f>IFERROR(__xludf.DUMMYFUNCTION("""COMPUTED_VALUE"""),0.1269291338582677)</f>
        <v>0.1269291339</v>
      </c>
      <c r="X11" s="154">
        <f>IFERROR(__xludf.DUMMYFUNCTION("""COMPUTED_VALUE"""),667577.7225)</f>
        <v>667577.7225</v>
      </c>
      <c r="Y11" s="154"/>
    </row>
    <row r="12">
      <c r="A12" s="167">
        <f>IFERROR(__xludf.DUMMYFUNCTION("""COMPUTED_VALUE"""),45713.0)</f>
        <v>45713</v>
      </c>
      <c r="B12" s="151">
        <f>IFERROR(__xludf.DUMMYFUNCTION("""COMPUTED_VALUE"""),5238577.0)</f>
        <v>5238577</v>
      </c>
      <c r="C12" s="151" t="str">
        <f>IFERROR(__xludf.DUMMYFUNCTION("""COMPUTED_VALUE"""),"Agustín Lanús")</f>
        <v>Agustín Lanús</v>
      </c>
      <c r="D12" s="152">
        <f>IFERROR(__xludf.DUMMYFUNCTION("""COMPUTED_VALUE"""),0.27)</f>
        <v>0.27</v>
      </c>
      <c r="E12" s="153">
        <f>IFERROR(__xludf.DUMMYFUNCTION("""COMPUTED_VALUE"""),2863.0)</f>
        <v>2863</v>
      </c>
      <c r="F12" s="153"/>
      <c r="G12" s="153"/>
      <c r="H12" s="153">
        <f>IFERROR(__xludf.DUMMYFUNCTION("""COMPUTED_VALUE"""),2863.0)</f>
        <v>2863</v>
      </c>
      <c r="I12" s="151" t="str">
        <f>IFERROR(__xludf.DUMMYFUNCTION("""COMPUTED_VALUE"""),"T2-Ba")</f>
        <v>T2-Ba</v>
      </c>
      <c r="J12" s="154">
        <f>IFERROR(__xludf.DUMMYFUNCTION("""COMPUTED_VALUE"""),137.1997)</f>
        <v>137.1997</v>
      </c>
      <c r="K12" s="154">
        <f>IFERROR(__xludf.DUMMYFUNCTION("""COMPUTED_VALUE"""),137.1997)</f>
        <v>137.1997</v>
      </c>
      <c r="L12" s="154">
        <f>IFERROR(__xludf.DUMMYFUNCTION("""COMPUTED_VALUE"""),137.1997)</f>
        <v>137.1997</v>
      </c>
      <c r="M12" s="152">
        <f>IFERROR(__xludf.DUMMYFUNCTION("""COMPUTED_VALUE"""),587.7)</f>
        <v>587.7</v>
      </c>
      <c r="N12" s="153">
        <f>IFERROR(__xludf.DUMMYFUNCTION("""COMPUTED_VALUE"""),3450.7)</f>
        <v>3450.7</v>
      </c>
      <c r="O12" s="154">
        <f>IFERROR(__xludf.DUMMYFUNCTION("""COMPUTED_VALUE"""),392802.74110000004)</f>
        <v>392802.7411</v>
      </c>
      <c r="P12" s="154">
        <f>IFERROR(__xludf.DUMMYFUNCTION("""COMPUTED_VALUE"""),1086.0)</f>
        <v>1086</v>
      </c>
      <c r="Q12" s="155">
        <f>IFERROR(__xludf.DUMMYFUNCTION("""COMPUTED_VALUE"""),74.2470199723757)</f>
        <v>74.24701997</v>
      </c>
      <c r="R12" s="154">
        <f>IFERROR(__xludf.DUMMYFUNCTION("""COMPUTED_VALUE"""),80632.26369)</f>
        <v>80632.26369</v>
      </c>
      <c r="S12" s="154">
        <f>IFERROR(__xludf.DUMMYFUNCTION("""COMPUTED_VALUE"""),1465.0)</f>
        <v>1465</v>
      </c>
      <c r="T12" s="154">
        <f>IFERROR(__xludf.DUMMYFUNCTION("""COMPUTED_VALUE"""),138140.2930096036)</f>
        <v>138140.293</v>
      </c>
      <c r="U12" s="156">
        <f>IFERROR(__xludf.DUMMYFUNCTION("""COMPUTED_VALUE"""),117.54000000000002)</f>
        <v>117.54</v>
      </c>
      <c r="V12" s="156">
        <f>IFERROR(__xludf.DUMMYFUNCTION("""COMPUTED_VALUE"""),5.342727272727274)</f>
        <v>5.342727273</v>
      </c>
      <c r="W12" s="157">
        <f>IFERROR(__xludf.DUMMYFUNCTION("""COMPUTED_VALUE"""),0.17031326977135075)</f>
        <v>0.1703132698</v>
      </c>
      <c r="X12" s="154">
        <f>IFERROR(__xludf.DUMMYFUNCTION("""COMPUTED_VALUE"""),473435.00479000004)</f>
        <v>473435.0048</v>
      </c>
      <c r="Y12" s="154"/>
    </row>
    <row r="13">
      <c r="A13" s="167">
        <f>IFERROR(__xludf.DUMMYFUNCTION("""COMPUTED_VALUE"""),45683.0)</f>
        <v>45683</v>
      </c>
      <c r="B13" s="151">
        <f>IFERROR(__xludf.DUMMYFUNCTION("""COMPUTED_VALUE"""),5238577.0)</f>
        <v>5238577</v>
      </c>
      <c r="C13" s="151" t="str">
        <f>IFERROR(__xludf.DUMMYFUNCTION("""COMPUTED_VALUE"""),"Agustín Lanús")</f>
        <v>Agustín Lanús</v>
      </c>
      <c r="D13" s="152">
        <f>IFERROR(__xludf.DUMMYFUNCTION("""COMPUTED_VALUE"""),0.27)</f>
        <v>0.27</v>
      </c>
      <c r="E13" s="153">
        <f>IFERROR(__xludf.DUMMYFUNCTION("""COMPUTED_VALUE"""),1805.0)</f>
        <v>1805</v>
      </c>
      <c r="F13" s="153"/>
      <c r="G13" s="153"/>
      <c r="H13" s="153">
        <f>IFERROR(__xludf.DUMMYFUNCTION("""COMPUTED_VALUE"""),1805.0)</f>
        <v>1805</v>
      </c>
      <c r="I13" s="151" t="str">
        <f>IFERROR(__xludf.DUMMYFUNCTION("""COMPUTED_VALUE"""),"T2-Ba")</f>
        <v>T2-Ba</v>
      </c>
      <c r="J13" s="154">
        <f>IFERROR(__xludf.DUMMYFUNCTION("""COMPUTED_VALUE"""),142.9)</f>
        <v>142.9</v>
      </c>
      <c r="K13" s="154">
        <f>IFERROR(__xludf.DUMMYFUNCTION("""COMPUTED_VALUE"""),142.9)</f>
        <v>142.9</v>
      </c>
      <c r="L13" s="154">
        <f>IFERROR(__xludf.DUMMYFUNCTION("""COMPUTED_VALUE"""),142.9)</f>
        <v>142.9</v>
      </c>
      <c r="M13" s="152">
        <f>IFERROR(__xludf.DUMMYFUNCTION("""COMPUTED_VALUE"""),359.8)</f>
        <v>359.8</v>
      </c>
      <c r="N13" s="153">
        <f>IFERROR(__xludf.DUMMYFUNCTION("""COMPUTED_VALUE"""),2164.8)</f>
        <v>2164.8</v>
      </c>
      <c r="O13" s="154">
        <f>IFERROR(__xludf.DUMMYFUNCTION("""COMPUTED_VALUE"""),257934.5)</f>
        <v>257934.5</v>
      </c>
      <c r="P13" s="154">
        <f>IFERROR(__xludf.DUMMYFUNCTION("""COMPUTED_VALUE"""),1075.5)</f>
        <v>1075.5</v>
      </c>
      <c r="Q13" s="155">
        <f>IFERROR(__xludf.DUMMYFUNCTION("""COMPUTED_VALUE"""),47.806062296606235)</f>
        <v>47.8060623</v>
      </c>
      <c r="R13" s="154">
        <f>IFERROR(__xludf.DUMMYFUNCTION("""COMPUTED_VALUE"""),51415.420000000006)</f>
        <v>51415.42</v>
      </c>
      <c r="S13" s="154">
        <f>IFERROR(__xludf.DUMMYFUNCTION("""COMPUTED_VALUE"""),1465.0)</f>
        <v>1465</v>
      </c>
      <c r="T13" s="154">
        <f>IFERROR(__xludf.DUMMYFUNCTION("""COMPUTED_VALUE"""),88945.56920595073)</f>
        <v>88945.56921</v>
      </c>
      <c r="U13" s="156">
        <f>IFERROR(__xludf.DUMMYFUNCTION("""COMPUTED_VALUE"""),71.96000000000001)</f>
        <v>71.96</v>
      </c>
      <c r="V13" s="156">
        <f>IFERROR(__xludf.DUMMYFUNCTION("""COMPUTED_VALUE"""),3.2709090909090914)</f>
        <v>3.270909091</v>
      </c>
      <c r="W13" s="157">
        <f>IFERROR(__xludf.DUMMYFUNCTION("""COMPUTED_VALUE"""),0.1662047302291205)</f>
        <v>0.1662047302</v>
      </c>
      <c r="X13" s="154">
        <f>IFERROR(__xludf.DUMMYFUNCTION("""COMPUTED_VALUE"""),309349.92)</f>
        <v>309349.92</v>
      </c>
      <c r="Y13" s="154"/>
    </row>
    <row r="16">
      <c r="E16" s="66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sheetData>
    <row r="1">
      <c r="A1" s="168" t="str">
        <f>Datos!A1</f>
        <v>   Fecha </v>
      </c>
      <c r="B1" s="168" t="str">
        <f>Datos!B1</f>
        <v>NIS</v>
      </c>
      <c r="C1" s="168" t="str">
        <f>Datos!C1</f>
        <v>Cliente</v>
      </c>
      <c r="D1" s="168" t="str">
        <f>Datos!D1</f>
        <v>IVA</v>
      </c>
      <c r="E1" s="168" t="str">
        <f>Datos!E1</f>
        <v>Consumo [kWh]</v>
      </c>
      <c r="F1" s="168" t="str">
        <f>Datos!F1</f>
        <v>Consumo hs punta [kWh]</v>
      </c>
      <c r="G1" s="168" t="str">
        <f>Datos!G1</f>
        <v>Consumo hs valle [kWh]</v>
      </c>
      <c r="H1" s="168" t="str">
        <f>Datos!H1</f>
        <v>Consumo hs resto[kWh]</v>
      </c>
      <c r="I1" s="168" t="str">
        <f>Datos!I1</f>
        <v>Catergoria</v>
      </c>
      <c r="J1" s="168" t="str">
        <f>Datos!J1</f>
        <v>Tarifa punta</v>
      </c>
      <c r="K1" s="168" t="str">
        <f>Datos!K1</f>
        <v>Tarifa valle</v>
      </c>
      <c r="L1" s="168" t="str">
        <f>Datos!L1</f>
        <v>Tarifa resto</v>
      </c>
      <c r="M1" s="168" t="str">
        <f>Datos!M1</f>
        <v>Generacion FV [kWh]</v>
      </c>
      <c r="N1" s="168" t="str">
        <f>Datos!N1</f>
        <v>CONSUMO TOTAL</v>
      </c>
      <c r="O1" s="168" t="str">
        <f>Datos!O1</f>
        <v>Total a pagar S / IVA</v>
      </c>
      <c r="P1" s="168" t="str">
        <f>Datos!P1</f>
        <v>Valor USD</v>
      </c>
      <c r="Q1" s="168" t="str">
        <f>Datos!Q1</f>
        <v>Ahorro (USD)</v>
      </c>
      <c r="R1" s="168" t="str">
        <f>Datos!R1</f>
        <v>Ahorro ($)</v>
      </c>
      <c r="S1" s="168" t="str">
        <f>Datos!S1</f>
        <v>Valor dolar Actual ($)</v>
      </c>
      <c r="T1" s="168" t="str">
        <f>Datos!T1</f>
        <v>Ahorro ($)-A precio actual</v>
      </c>
      <c r="U1" s="168" t="str">
        <f>Datos!U1</f>
        <v>kg CO2e evitados</v>
      </c>
      <c r="V1" s="168" t="str">
        <f>Datos!V1</f>
        <v>Equivalente en árboles</v>
      </c>
      <c r="W1" s="168" t="str">
        <f>Datos!W1</f>
        <v>% de ahorro sobre los consumos</v>
      </c>
      <c r="X1" s="168" t="str">
        <f>Datos!X1</f>
        <v>SIN PANELES S/IVA</v>
      </c>
      <c r="Y1" s="151" t="str">
        <f>Datos!Z1</f>
        <v/>
      </c>
      <c r="Z1" s="151" t="str">
        <f>Datos!AA1</f>
        <v/>
      </c>
    </row>
    <row r="2">
      <c r="A2" s="12">
        <f>'Agustín Lanus'!A2</f>
        <v>45992</v>
      </c>
      <c r="B2" s="14">
        <f>'Agustín Lanus'!B2</f>
        <v>5238577</v>
      </c>
      <c r="C2" s="14" t="str">
        <f>'Agustín Lanus'!C2</f>
        <v>Agustín Lanús</v>
      </c>
      <c r="D2" s="15">
        <f>'Agustín Lanus'!D2</f>
        <v>0.27</v>
      </c>
      <c r="E2" s="17">
        <f>'Agustín Lanus'!E2</f>
        <v>6223</v>
      </c>
      <c r="F2" s="17">
        <f>'Agustín Lanus'!F2</f>
        <v>0</v>
      </c>
      <c r="G2" s="17">
        <f>'Agustín Lanus'!G2</f>
        <v>0</v>
      </c>
      <c r="H2" s="17">
        <f>'Agustín Lanus'!H2</f>
        <v>6223</v>
      </c>
      <c r="I2" s="16" t="str">
        <f>'Agustín Lanus'!I2</f>
        <v>T2-Ba</v>
      </c>
      <c r="J2" s="18">
        <f>'Agustín Lanus'!J2</f>
        <v>148.2814</v>
      </c>
      <c r="K2" s="18">
        <f>'Agustín Lanus'!K2</f>
        <v>148.2814</v>
      </c>
      <c r="L2" s="18">
        <f>'Agustín Lanus'!L2</f>
        <v>148.2814</v>
      </c>
      <c r="M2" s="15">
        <f>'Agustín Lanus'!M2</f>
        <v>1543.5</v>
      </c>
      <c r="N2" s="17">
        <f>'Agustín Lanus'!N2</f>
        <v>7766.5</v>
      </c>
      <c r="O2" s="19">
        <f>'Agustín Lanus'!O2</f>
        <v>922755.1522</v>
      </c>
      <c r="P2" s="20">
        <f>'Agustín Lanus'!P2</f>
        <v>1470</v>
      </c>
      <c r="Q2" s="169">
        <f>'Agustín Lanus'!Q2</f>
        <v>155.69547</v>
      </c>
      <c r="R2" s="20">
        <f>'Agustín Lanus'!R2</f>
        <v>228872.3409</v>
      </c>
      <c r="S2" s="46">
        <f>'Agustín Lanus'!S2</f>
        <v>1465</v>
      </c>
      <c r="T2" s="22">
        <f>'Agustín Lanus'!T2</f>
        <v>289679.2067</v>
      </c>
      <c r="U2" s="23">
        <f>'Agustín Lanus'!U2</f>
        <v>308.7</v>
      </c>
      <c r="V2" s="24">
        <f>'Agustín Lanus'!V2</f>
        <v>14.03181818</v>
      </c>
      <c r="W2" s="25">
        <f>'Agustín Lanus'!W2</f>
        <v>0.1987381703</v>
      </c>
      <c r="X2" s="19">
        <f>'Agustín Lanus'!X2</f>
        <v>1151627.493</v>
      </c>
    </row>
    <row r="3">
      <c r="A3" s="12">
        <f>'Agustín Lanus'!A3</f>
        <v>45975</v>
      </c>
      <c r="B3" s="14">
        <f>'Agustín Lanus'!B3</f>
        <v>5238577</v>
      </c>
      <c r="C3" s="14" t="str">
        <f>'Agustín Lanus'!C3</f>
        <v>Agustín Lanús</v>
      </c>
      <c r="D3" s="15">
        <f>'Agustín Lanus'!D3</f>
        <v>0.27</v>
      </c>
      <c r="E3" s="17">
        <f>'Agustín Lanus'!E3</f>
        <v>6333</v>
      </c>
      <c r="F3" s="17" t="str">
        <f>'Agustín Lanus'!F3</f>
        <v/>
      </c>
      <c r="G3" s="17" t="str">
        <f>'Agustín Lanus'!G3</f>
        <v/>
      </c>
      <c r="H3" s="17">
        <f>'Agustín Lanus'!H3</f>
        <v>6333</v>
      </c>
      <c r="I3" s="16" t="str">
        <f>'Agustín Lanus'!I3</f>
        <v>T2-Ba</v>
      </c>
      <c r="J3" s="18">
        <f>'Agustín Lanus'!J3</f>
        <v>145.8675</v>
      </c>
      <c r="K3" s="18">
        <f>'Agustín Lanus'!K3</f>
        <v>145.8675</v>
      </c>
      <c r="L3" s="18">
        <f>'Agustín Lanus'!L3</f>
        <v>145.8675</v>
      </c>
      <c r="M3" s="15">
        <f>'Agustín Lanus'!M3</f>
        <v>1722.9</v>
      </c>
      <c r="N3" s="17">
        <f>'Agustín Lanus'!N3</f>
        <v>8055.9</v>
      </c>
      <c r="O3" s="19">
        <f>'Agustín Lanus'!O3</f>
        <v>923778.8775</v>
      </c>
      <c r="P3" s="20">
        <f>'Agustín Lanus'!P3</f>
        <v>1470</v>
      </c>
      <c r="Q3" s="169">
        <f>'Agustín Lanus'!Q3</f>
        <v>170.9626638</v>
      </c>
      <c r="R3" s="20">
        <f>'Agustín Lanus'!R3</f>
        <v>251315.1158</v>
      </c>
      <c r="S3" s="46">
        <f>'Agustín Lanus'!S3</f>
        <v>1465</v>
      </c>
      <c r="T3" s="22">
        <f>'Agustín Lanus'!T3</f>
        <v>318084.5841</v>
      </c>
      <c r="U3" s="23">
        <f>'Agustín Lanus'!U3</f>
        <v>344.58</v>
      </c>
      <c r="V3" s="24">
        <f>'Agustín Lanus'!V3</f>
        <v>15.66272727</v>
      </c>
      <c r="W3" s="25">
        <f>'Agustín Lanus'!W3</f>
        <v>0.2138680967</v>
      </c>
      <c r="X3" s="19">
        <f>'Agustín Lanus'!X3</f>
        <v>1175093.993</v>
      </c>
    </row>
    <row r="4">
      <c r="A4" s="12">
        <f>'Agustín Lanus'!A4</f>
        <v>45931</v>
      </c>
      <c r="B4" s="14">
        <f>'Agustín Lanus'!B4</f>
        <v>5238577</v>
      </c>
      <c r="C4" s="14" t="str">
        <f>'Agustín Lanus'!C4</f>
        <v>Agustín Lanús</v>
      </c>
      <c r="D4" s="15">
        <f>'Agustín Lanus'!D4</f>
        <v>0.27</v>
      </c>
      <c r="E4" s="17">
        <f>'Agustín Lanus'!E4</f>
        <v>7040</v>
      </c>
      <c r="F4" s="17" t="str">
        <f>'Agustín Lanus'!F4</f>
        <v/>
      </c>
      <c r="G4" s="17" t="str">
        <f>'Agustín Lanus'!G4</f>
        <v/>
      </c>
      <c r="H4" s="17">
        <f>'Agustín Lanus'!H4</f>
        <v>7040</v>
      </c>
      <c r="I4" s="14" t="str">
        <f>'Agustín Lanus'!I4</f>
        <v>T2-Ba</v>
      </c>
      <c r="J4" s="18">
        <f>'Agustín Lanus'!J4</f>
        <v>157.071</v>
      </c>
      <c r="K4" s="18">
        <f>'Agustín Lanus'!K4</f>
        <v>157.071</v>
      </c>
      <c r="L4" s="18">
        <f>'Agustín Lanus'!L4</f>
        <v>157.071</v>
      </c>
      <c r="M4" s="15">
        <f>'Agustín Lanus'!M4</f>
        <v>2127.4</v>
      </c>
      <c r="N4" s="17">
        <f>'Agustín Lanus'!N4</f>
        <v>9167.4</v>
      </c>
      <c r="O4" s="19">
        <f>'Agustín Lanus'!O4</f>
        <v>1105779.84</v>
      </c>
      <c r="P4" s="20">
        <f>'Agustín Lanus'!P4</f>
        <v>1450</v>
      </c>
      <c r="Q4" s="169">
        <f>'Agustín Lanus'!Q4</f>
        <v>230.4502382</v>
      </c>
      <c r="R4" s="20">
        <f>'Agustín Lanus'!R4</f>
        <v>334152.8454</v>
      </c>
      <c r="S4" s="20">
        <f>'Agustín Lanus'!S4</f>
        <v>1465</v>
      </c>
      <c r="T4" s="22">
        <f>'Agustín Lanus'!T4</f>
        <v>428764.1907</v>
      </c>
      <c r="U4" s="23">
        <f>'Agustín Lanus'!U4</f>
        <v>425.48</v>
      </c>
      <c r="V4" s="24">
        <f>'Agustín Lanus'!V4</f>
        <v>19.34</v>
      </c>
      <c r="W4" s="25">
        <f>'Agustín Lanus'!W4</f>
        <v>0.2320614351</v>
      </c>
      <c r="X4" s="19">
        <f>'Agustín Lanus'!X4</f>
        <v>1439932.685</v>
      </c>
    </row>
    <row r="5">
      <c r="A5" s="12"/>
      <c r="B5" s="14"/>
      <c r="C5" s="14"/>
      <c r="D5" s="15"/>
      <c r="E5" s="17"/>
      <c r="F5" s="17"/>
      <c r="G5" s="17"/>
      <c r="H5" s="17"/>
      <c r="I5" s="14"/>
      <c r="J5" s="18"/>
      <c r="K5" s="18"/>
      <c r="L5" s="18"/>
      <c r="M5" s="15"/>
      <c r="N5" s="17"/>
      <c r="O5" s="19"/>
      <c r="P5" s="20"/>
      <c r="Q5" s="169"/>
      <c r="R5" s="20"/>
      <c r="S5" s="20"/>
      <c r="T5" s="22"/>
      <c r="U5" s="23"/>
      <c r="V5" s="24"/>
      <c r="W5" s="25"/>
      <c r="X5" s="19"/>
    </row>
    <row r="6">
      <c r="A6" s="12"/>
      <c r="B6" s="14"/>
      <c r="C6" s="14"/>
      <c r="D6" s="15"/>
      <c r="E6" s="17"/>
      <c r="F6" s="17"/>
      <c r="G6" s="17"/>
      <c r="H6" s="17"/>
      <c r="I6" s="14"/>
      <c r="J6" s="18"/>
      <c r="K6" s="18"/>
      <c r="L6" s="18"/>
      <c r="M6" s="15"/>
      <c r="N6" s="17"/>
      <c r="O6" s="19"/>
      <c r="P6" s="20"/>
      <c r="Q6" s="169"/>
      <c r="R6" s="20"/>
      <c r="S6" s="20"/>
      <c r="T6" s="22"/>
      <c r="U6" s="23"/>
      <c r="V6" s="24"/>
      <c r="W6" s="25"/>
      <c r="X6" s="19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sheetData>
    <row r="1">
      <c r="A1" s="168" t="str">
        <f>Datos!A1</f>
        <v>   Fecha </v>
      </c>
      <c r="B1" s="168" t="str">
        <f>Datos!B1</f>
        <v>NIS</v>
      </c>
      <c r="C1" s="168" t="str">
        <f>Datos!C1</f>
        <v>Cliente</v>
      </c>
      <c r="D1" s="168" t="str">
        <f>Datos!D1</f>
        <v>IVA</v>
      </c>
      <c r="E1" s="168" t="str">
        <f>Datos!E1</f>
        <v>Consumo [kWh]</v>
      </c>
      <c r="F1" s="168" t="str">
        <f>Datos!F1</f>
        <v>Consumo hs punta [kWh]</v>
      </c>
      <c r="G1" s="168" t="str">
        <f>Datos!G1</f>
        <v>Consumo hs valle [kWh]</v>
      </c>
      <c r="H1" s="168" t="str">
        <f>Datos!H1</f>
        <v>Consumo hs resto[kWh]</v>
      </c>
      <c r="I1" s="168" t="str">
        <f>Datos!I1</f>
        <v>Catergoria</v>
      </c>
      <c r="J1" s="168" t="str">
        <f>Datos!J1</f>
        <v>Tarifa punta</v>
      </c>
      <c r="K1" s="168" t="str">
        <f>Datos!K1</f>
        <v>Tarifa valle</v>
      </c>
      <c r="L1" s="168" t="str">
        <f>Datos!L1</f>
        <v>Tarifa resto</v>
      </c>
      <c r="M1" s="168" t="str">
        <f>Datos!M1</f>
        <v>Generacion FV [kWh]</v>
      </c>
      <c r="N1" s="168" t="str">
        <f>Datos!N1</f>
        <v>CONSUMO TOTAL</v>
      </c>
      <c r="O1" s="168" t="str">
        <f>Datos!O1</f>
        <v>Total a pagar S / IVA</v>
      </c>
      <c r="P1" s="168" t="str">
        <f>Datos!P1</f>
        <v>Valor USD</v>
      </c>
      <c r="Q1" s="168" t="str">
        <f>Datos!Q1</f>
        <v>Ahorro (USD)</v>
      </c>
      <c r="R1" s="168" t="str">
        <f>Datos!R1</f>
        <v>Ahorro ($)</v>
      </c>
      <c r="S1" s="168" t="str">
        <f>Datos!S1</f>
        <v>Valor dolar Actual ($)</v>
      </c>
      <c r="T1" s="168" t="str">
        <f>Datos!T1</f>
        <v>Ahorro ($)-A precio actual</v>
      </c>
      <c r="U1" s="168" t="str">
        <f>Datos!U1</f>
        <v>kg CO2e evitados</v>
      </c>
      <c r="V1" s="168" t="str">
        <f>Datos!V1</f>
        <v>Equivalente en árboles</v>
      </c>
      <c r="W1" s="168" t="str">
        <f>Datos!W1</f>
        <v>% de ahorro sobre los consumos</v>
      </c>
      <c r="X1" s="168" t="str">
        <f>Datos!X1</f>
        <v>SIN PANELES S/IVA</v>
      </c>
      <c r="Y1" s="151" t="str">
        <f>Datos!Z1</f>
        <v/>
      </c>
      <c r="Z1" s="151" t="str">
        <f>Datos!AA1</f>
        <v/>
      </c>
    </row>
    <row r="2" ht="15.75" customHeight="1">
      <c r="A2" s="12">
        <f>IFERROR(__xludf.DUMMYFUNCTION("FILTER(Datos!1:1247,Datos!B:B=5272486)"),45992.0)</f>
        <v>45992</v>
      </c>
      <c r="B2" s="66">
        <f>IFERROR(__xludf.DUMMYFUNCTION("""COMPUTED_VALUE"""),5272486.0)</f>
        <v>5272486</v>
      </c>
      <c r="C2" s="14" t="str">
        <f>IFERROR(__xludf.DUMMYFUNCTION("""COMPUTED_VALUE"""),"Linea C")</f>
        <v>Linea C</v>
      </c>
      <c r="D2" s="15">
        <f>IFERROR(__xludf.DUMMYFUNCTION("""COMPUTED_VALUE"""),0.27)</f>
        <v>0.27</v>
      </c>
      <c r="E2" s="17">
        <f>IFERROR(__xludf.DUMMYFUNCTION("""COMPUTED_VALUE"""),4539.0)</f>
        <v>4539</v>
      </c>
      <c r="F2" s="17">
        <f>IFERROR(__xludf.DUMMYFUNCTION("""COMPUTED_VALUE"""),0.0)</f>
        <v>0</v>
      </c>
      <c r="G2" s="17">
        <f>IFERROR(__xludf.DUMMYFUNCTION("""COMPUTED_VALUE"""),0.0)</f>
        <v>0</v>
      </c>
      <c r="H2" s="17">
        <f>IFERROR(__xludf.DUMMYFUNCTION("""COMPUTED_VALUE"""),4539.0)</f>
        <v>4539</v>
      </c>
      <c r="I2" s="16" t="str">
        <f>IFERROR(__xludf.DUMMYFUNCTION("""COMPUTED_VALUE"""),"T1-G2")</f>
        <v>T1-G2</v>
      </c>
      <c r="J2" s="18">
        <f>IFERROR(__xludf.DUMMYFUNCTION("""COMPUTED_VALUE"""),195.2987)</f>
        <v>195.2987</v>
      </c>
      <c r="K2" s="18">
        <f>IFERROR(__xludf.DUMMYFUNCTION("""COMPUTED_VALUE"""),195.2987)</f>
        <v>195.2987</v>
      </c>
      <c r="L2" s="18">
        <f>IFERROR(__xludf.DUMMYFUNCTION("""COMPUTED_VALUE"""),195.2987)</f>
        <v>195.2987</v>
      </c>
      <c r="M2" s="15">
        <f>IFERROR(__xludf.DUMMYFUNCTION("""COMPUTED_VALUE"""),1113.6)</f>
        <v>1113.6</v>
      </c>
      <c r="N2" s="17">
        <f>IFERROR(__xludf.DUMMYFUNCTION("""COMPUTED_VALUE"""),5652.6)</f>
        <v>5652.6</v>
      </c>
      <c r="O2" s="19">
        <f>IFERROR(__xludf.DUMMYFUNCTION("""COMPUTED_VALUE"""),886460.7993)</f>
        <v>886460.7993</v>
      </c>
      <c r="P2" s="20">
        <f>IFERROR(__xludf.DUMMYFUNCTION("""COMPUTED_VALUE"""),1470.0)</f>
        <v>1470</v>
      </c>
      <c r="Q2" s="169">
        <f>IFERROR(__xludf.DUMMYFUNCTION("""COMPUTED_VALUE"""),147.94872946938773)</f>
        <v>147.9487295</v>
      </c>
      <c r="R2" s="20">
        <f>IFERROR(__xludf.DUMMYFUNCTION("""COMPUTED_VALUE"""),217484.63231999998)</f>
        <v>217484.6323</v>
      </c>
      <c r="S2" s="46">
        <f>IFERROR(__xludf.DUMMYFUNCTION("""COMPUTED_VALUE"""),1465.0)</f>
        <v>1465</v>
      </c>
      <c r="T2" s="22">
        <f>IFERROR(__xludf.DUMMYFUNCTION("""COMPUTED_VALUE"""),275266.0086142694)</f>
        <v>275266.0086</v>
      </c>
      <c r="U2" s="23">
        <f>IFERROR(__xludf.DUMMYFUNCTION("""COMPUTED_VALUE"""),222.72)</f>
        <v>222.72</v>
      </c>
      <c r="V2" s="24">
        <f>IFERROR(__xludf.DUMMYFUNCTION("""COMPUTED_VALUE"""),10.123636363636363)</f>
        <v>10.12363636</v>
      </c>
      <c r="W2" s="25">
        <f>IFERROR(__xludf.DUMMYFUNCTION("""COMPUTED_VALUE"""),0.19700668718819658)</f>
        <v>0.1970066872</v>
      </c>
      <c r="X2" s="19">
        <f>IFERROR(__xludf.DUMMYFUNCTION("""COMPUTED_VALUE"""),1103945.43162)</f>
        <v>1103945.432</v>
      </c>
      <c r="Y2" s="154"/>
    </row>
    <row r="3" ht="15.75" customHeight="1">
      <c r="A3" s="12">
        <f>IFERROR(__xludf.DUMMYFUNCTION("""COMPUTED_VALUE"""),45974.0)</f>
        <v>45974</v>
      </c>
      <c r="B3" s="66">
        <f>IFERROR(__xludf.DUMMYFUNCTION("""COMPUTED_VALUE"""),5272486.0)</f>
        <v>5272486</v>
      </c>
      <c r="C3" s="14" t="str">
        <f>IFERROR(__xludf.DUMMYFUNCTION("""COMPUTED_VALUE"""),"Linea C")</f>
        <v>Linea C</v>
      </c>
      <c r="D3" s="15">
        <f>IFERROR(__xludf.DUMMYFUNCTION("""COMPUTED_VALUE"""),0.27)</f>
        <v>0.27</v>
      </c>
      <c r="E3" s="17">
        <f>IFERROR(__xludf.DUMMYFUNCTION("""COMPUTED_VALUE"""),4054.0)</f>
        <v>4054</v>
      </c>
      <c r="F3" s="17"/>
      <c r="G3" s="17"/>
      <c r="H3" s="17">
        <f>IFERROR(__xludf.DUMMYFUNCTION("""COMPUTED_VALUE"""),4054.0)</f>
        <v>4054</v>
      </c>
      <c r="I3" s="16" t="str">
        <f>IFERROR(__xludf.DUMMYFUNCTION("""COMPUTED_VALUE"""),"T1-G2")</f>
        <v>T1-G2</v>
      </c>
      <c r="J3" s="18">
        <f>IFERROR(__xludf.DUMMYFUNCTION("""COMPUTED_VALUE"""),195.1016)</f>
        <v>195.1016</v>
      </c>
      <c r="K3" s="18">
        <f>IFERROR(__xludf.DUMMYFUNCTION("""COMPUTED_VALUE"""),195.1016)</f>
        <v>195.1016</v>
      </c>
      <c r="L3" s="18">
        <f>IFERROR(__xludf.DUMMYFUNCTION("""COMPUTED_VALUE"""),195.1016)</f>
        <v>195.1016</v>
      </c>
      <c r="M3" s="15">
        <f>IFERROR(__xludf.DUMMYFUNCTION("""COMPUTED_VALUE"""),1105.9)</f>
        <v>1105.9</v>
      </c>
      <c r="N3" s="17">
        <f>IFERROR(__xludf.DUMMYFUNCTION("""COMPUTED_VALUE"""),5159.9)</f>
        <v>5159.9</v>
      </c>
      <c r="O3" s="19">
        <f>IFERROR(__xludf.DUMMYFUNCTION("""COMPUTED_VALUE"""),790941.8864)</f>
        <v>790941.8864</v>
      </c>
      <c r="P3" s="20">
        <f>IFERROR(__xludf.DUMMYFUNCTION("""COMPUTED_VALUE"""),1470.0)</f>
        <v>1470</v>
      </c>
      <c r="Q3" s="169">
        <f>IFERROR(__xludf.DUMMYFUNCTION("""COMPUTED_VALUE"""),146.77745540136056)</f>
        <v>146.7774554</v>
      </c>
      <c r="R3" s="20">
        <f>IFERROR(__xludf.DUMMYFUNCTION("""COMPUTED_VALUE"""),215762.85944000003)</f>
        <v>215762.8594</v>
      </c>
      <c r="S3" s="46">
        <f>IFERROR(__xludf.DUMMYFUNCTION("""COMPUTED_VALUE"""),1465.0)</f>
        <v>1465</v>
      </c>
      <c r="T3" s="22">
        <f>IFERROR(__xludf.DUMMYFUNCTION("""COMPUTED_VALUE"""),273086.79464700137)</f>
        <v>273086.7946</v>
      </c>
      <c r="U3" s="23">
        <f>IFERROR(__xludf.DUMMYFUNCTION("""COMPUTED_VALUE"""),221.18000000000004)</f>
        <v>221.18</v>
      </c>
      <c r="V3" s="24">
        <f>IFERROR(__xludf.DUMMYFUNCTION("""COMPUTED_VALUE"""),10.053636363636365)</f>
        <v>10.05363636</v>
      </c>
      <c r="W3" s="25">
        <f>IFERROR(__xludf.DUMMYFUNCTION("""COMPUTED_VALUE"""),0.21432585902827575)</f>
        <v>0.214325859</v>
      </c>
      <c r="X3" s="19">
        <f>IFERROR(__xludf.DUMMYFUNCTION("""COMPUTED_VALUE"""),1006704.74584)</f>
        <v>1006704.746</v>
      </c>
      <c r="Y3" s="154"/>
    </row>
    <row r="4" ht="15.75" customHeight="1">
      <c r="A4" s="12">
        <f>IFERROR(__xludf.DUMMYFUNCTION("""COMPUTED_VALUE"""),45932.0)</f>
        <v>45932</v>
      </c>
      <c r="B4" s="66">
        <f>IFERROR(__xludf.DUMMYFUNCTION("""COMPUTED_VALUE"""),5272486.0)</f>
        <v>5272486</v>
      </c>
      <c r="C4" s="14" t="str">
        <f>IFERROR(__xludf.DUMMYFUNCTION("""COMPUTED_VALUE"""),"Linea C")</f>
        <v>Linea C</v>
      </c>
      <c r="D4" s="15">
        <f>IFERROR(__xludf.DUMMYFUNCTION("""COMPUTED_VALUE"""),0.27)</f>
        <v>0.27</v>
      </c>
      <c r="E4" s="17">
        <f>IFERROR(__xludf.DUMMYFUNCTION("""COMPUTED_VALUE"""),2726.0)</f>
        <v>2726</v>
      </c>
      <c r="F4" s="17"/>
      <c r="G4" s="17"/>
      <c r="H4" s="17">
        <f>IFERROR(__xludf.DUMMYFUNCTION("""COMPUTED_VALUE"""),5990.0)</f>
        <v>5990</v>
      </c>
      <c r="I4" s="14" t="str">
        <f>IFERROR(__xludf.DUMMYFUNCTION("""COMPUTED_VALUE"""),"T1-G2")</f>
        <v>T1-G2</v>
      </c>
      <c r="J4" s="18">
        <f>IFERROR(__xludf.DUMMYFUNCTION("""COMPUTED_VALUE"""),207.4306)</f>
        <v>207.4306</v>
      </c>
      <c r="K4" s="18">
        <f>IFERROR(__xludf.DUMMYFUNCTION("""COMPUTED_VALUE"""),207.4306)</f>
        <v>207.4306</v>
      </c>
      <c r="L4" s="18">
        <f>IFERROR(__xludf.DUMMYFUNCTION("""COMPUTED_VALUE"""),207.4306)</f>
        <v>207.4306</v>
      </c>
      <c r="M4" s="15">
        <f>IFERROR(__xludf.DUMMYFUNCTION("""COMPUTED_VALUE"""),106.2)</f>
        <v>106.2</v>
      </c>
      <c r="N4" s="17">
        <f>IFERROR(__xludf.DUMMYFUNCTION("""COMPUTED_VALUE"""),2832.2)</f>
        <v>2832.2</v>
      </c>
      <c r="O4" s="19">
        <f>IFERROR(__xludf.DUMMYFUNCTION("""COMPUTED_VALUE"""),1242509.294)</f>
        <v>1242509.294</v>
      </c>
      <c r="P4" s="20">
        <f>IFERROR(__xludf.DUMMYFUNCTION("""COMPUTED_VALUE"""),1450.0)</f>
        <v>1450</v>
      </c>
      <c r="Q4" s="169">
        <f>IFERROR(__xludf.DUMMYFUNCTION("""COMPUTED_VALUE"""),15.192503255172415)</f>
        <v>15.19250326</v>
      </c>
      <c r="R4" s="20">
        <f>IFERROR(__xludf.DUMMYFUNCTION("""COMPUTED_VALUE"""),22029.12972)</f>
        <v>22029.12972</v>
      </c>
      <c r="S4" s="46">
        <f>IFERROR(__xludf.DUMMYFUNCTION("""COMPUTED_VALUE"""),1465.0)</f>
        <v>1465</v>
      </c>
      <c r="T4" s="22">
        <f>IFERROR(__xludf.DUMMYFUNCTION("""COMPUTED_VALUE"""),28266.41193141104)</f>
        <v>28266.41193</v>
      </c>
      <c r="U4" s="23">
        <f>IFERROR(__xludf.DUMMYFUNCTION("""COMPUTED_VALUE"""),21.240000000000002)</f>
        <v>21.24</v>
      </c>
      <c r="V4" s="24">
        <f>IFERROR(__xludf.DUMMYFUNCTION("""COMPUTED_VALUE"""),0.9654545454545456)</f>
        <v>0.9654545455</v>
      </c>
      <c r="W4" s="25">
        <f>IFERROR(__xludf.DUMMYFUNCTION("""COMPUTED_VALUE"""),0.01742068829762803)</f>
        <v>0.0174206883</v>
      </c>
      <c r="X4" s="19">
        <f>IFERROR(__xludf.DUMMYFUNCTION("""COMPUTED_VALUE"""),1264538.42372)</f>
        <v>1264538.424</v>
      </c>
      <c r="Y4" s="154"/>
    </row>
    <row r="5" ht="15.75" customHeight="1">
      <c r="A5" s="12">
        <f>IFERROR(__xludf.DUMMYFUNCTION("""COMPUTED_VALUE"""),45913.0)</f>
        <v>45913</v>
      </c>
      <c r="B5" s="66">
        <f>IFERROR(__xludf.DUMMYFUNCTION("""COMPUTED_VALUE"""),5272486.0)</f>
        <v>5272486</v>
      </c>
      <c r="C5" s="14" t="str">
        <f>IFERROR(__xludf.DUMMYFUNCTION("""COMPUTED_VALUE"""),"Linea C")</f>
        <v>Linea C</v>
      </c>
      <c r="D5" s="15">
        <f>IFERROR(__xludf.DUMMYFUNCTION("""COMPUTED_VALUE"""),0.27)</f>
        <v>0.27</v>
      </c>
      <c r="E5" s="17">
        <f>IFERROR(__xludf.DUMMYFUNCTION("""COMPUTED_VALUE"""),2726.0)</f>
        <v>2726</v>
      </c>
      <c r="F5" s="17"/>
      <c r="G5" s="17"/>
      <c r="H5" s="17"/>
      <c r="I5" s="14" t="str">
        <f>IFERROR(__xludf.DUMMYFUNCTION("""COMPUTED_VALUE"""),"T1-G2")</f>
        <v>T1-G2</v>
      </c>
      <c r="J5" s="18"/>
      <c r="K5" s="18"/>
      <c r="L5" s="18"/>
      <c r="M5" s="15"/>
      <c r="N5" s="17">
        <f>IFERROR(__xludf.DUMMYFUNCTION("""COMPUTED_VALUE"""),2726.0)</f>
        <v>2726</v>
      </c>
      <c r="O5" s="19">
        <f>IFERROR(__xludf.DUMMYFUNCTION("""COMPUTED_VALUE"""),0.0)</f>
        <v>0</v>
      </c>
      <c r="P5" s="20">
        <f>IFERROR(__xludf.DUMMYFUNCTION("""COMPUTED_VALUE"""),1425.0)</f>
        <v>1425</v>
      </c>
      <c r="Q5" s="169">
        <f>IFERROR(__xludf.DUMMYFUNCTION("""COMPUTED_VALUE"""),0.0)</f>
        <v>0</v>
      </c>
      <c r="R5" s="20">
        <f>IFERROR(__xludf.DUMMYFUNCTION("""COMPUTED_VALUE"""),0.0)</f>
        <v>0</v>
      </c>
      <c r="S5" s="46">
        <f>IFERROR(__xludf.DUMMYFUNCTION("""COMPUTED_VALUE"""),1465.0)</f>
        <v>1465</v>
      </c>
      <c r="T5" s="22">
        <f>IFERROR(__xludf.DUMMYFUNCTION("""COMPUTED_VALUE"""),0.0)</f>
        <v>0</v>
      </c>
      <c r="U5" s="23">
        <f>IFERROR(__xludf.DUMMYFUNCTION("""COMPUTED_VALUE"""),0.0)</f>
        <v>0</v>
      </c>
      <c r="V5" s="24">
        <f>IFERROR(__xludf.DUMMYFUNCTION("""COMPUTED_VALUE"""),0.0)</f>
        <v>0</v>
      </c>
      <c r="W5" s="25" t="str">
        <f>IFERROR(__xludf.DUMMYFUNCTION("""COMPUTED_VALUE"""),"#DIV/0!")</f>
        <v>#DIV/0!</v>
      </c>
      <c r="X5" s="19">
        <f>IFERROR(__xludf.DUMMYFUNCTION("""COMPUTED_VALUE"""),0.0)</f>
        <v>0</v>
      </c>
      <c r="Y5" s="154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sheetData>
    <row r="1">
      <c r="A1" s="168" t="s">
        <v>73</v>
      </c>
      <c r="B1" s="168" t="s">
        <v>1</v>
      </c>
      <c r="C1" s="168" t="s">
        <v>2</v>
      </c>
      <c r="D1" s="168" t="s">
        <v>3</v>
      </c>
      <c r="E1" s="168" t="s">
        <v>4</v>
      </c>
      <c r="F1" s="168" t="s">
        <v>5</v>
      </c>
      <c r="G1" s="168" t="s">
        <v>6</v>
      </c>
      <c r="H1" s="168" t="s">
        <v>7</v>
      </c>
      <c r="I1" s="168" t="s">
        <v>8</v>
      </c>
      <c r="J1" s="168" t="s">
        <v>9</v>
      </c>
      <c r="K1" s="168" t="s">
        <v>10</v>
      </c>
      <c r="L1" s="168" t="s">
        <v>11</v>
      </c>
      <c r="M1" s="168" t="s">
        <v>12</v>
      </c>
      <c r="N1" s="168" t="s">
        <v>13</v>
      </c>
      <c r="O1" s="168" t="s">
        <v>14</v>
      </c>
      <c r="P1" s="168" t="s">
        <v>15</v>
      </c>
      <c r="Q1" s="168" t="s">
        <v>16</v>
      </c>
      <c r="R1" s="168" t="s">
        <v>17</v>
      </c>
      <c r="S1" s="168" t="s">
        <v>18</v>
      </c>
      <c r="T1" s="168" t="s">
        <v>19</v>
      </c>
      <c r="U1" s="168" t="s">
        <v>20</v>
      </c>
      <c r="V1" s="168" t="s">
        <v>21</v>
      </c>
      <c r="W1" s="168" t="s">
        <v>22</v>
      </c>
      <c r="X1" s="168" t="s">
        <v>23</v>
      </c>
    </row>
    <row r="2">
      <c r="A2" s="12">
        <f>'Saltapor SRL'!A2</f>
        <v>45992</v>
      </c>
      <c r="B2" s="66">
        <f>'Saltapor SRL'!B2</f>
        <v>5272486</v>
      </c>
      <c r="C2" s="14" t="str">
        <f>'Saltapor SRL'!C2</f>
        <v>Linea C</v>
      </c>
      <c r="D2" s="15">
        <f>'Saltapor SRL'!D2</f>
        <v>0.27</v>
      </c>
      <c r="E2" s="17">
        <f>'Saltapor SRL'!E2</f>
        <v>4539</v>
      </c>
      <c r="F2" s="17">
        <f>'Saltapor SRL'!F2</f>
        <v>0</v>
      </c>
      <c r="G2" s="17">
        <f>'Saltapor SRL'!G2</f>
        <v>0</v>
      </c>
      <c r="H2" s="17">
        <f>'Saltapor SRL'!H2</f>
        <v>4539</v>
      </c>
      <c r="I2" s="16" t="str">
        <f>'Saltapor SRL'!I2</f>
        <v>T1-G2</v>
      </c>
      <c r="J2" s="18">
        <f>'Saltapor SRL'!J2</f>
        <v>195.2987</v>
      </c>
      <c r="K2" s="18">
        <f>'Saltapor SRL'!K2</f>
        <v>195.2987</v>
      </c>
      <c r="L2" s="18">
        <f>'Saltapor SRL'!L2</f>
        <v>195.2987</v>
      </c>
      <c r="M2" s="15">
        <f>'Saltapor SRL'!M2</f>
        <v>1113.6</v>
      </c>
      <c r="N2" s="17">
        <f>'Saltapor SRL'!N2</f>
        <v>5652.6</v>
      </c>
      <c r="O2" s="19">
        <f>'Saltapor SRL'!O2</f>
        <v>886460.7993</v>
      </c>
      <c r="P2" s="20">
        <f>'Saltapor SRL'!P2</f>
        <v>1470</v>
      </c>
      <c r="Q2" s="169">
        <f>'Saltapor SRL'!Q2</f>
        <v>147.9487295</v>
      </c>
      <c r="R2" s="20">
        <f>'Saltapor SRL'!R2</f>
        <v>217484.6323</v>
      </c>
      <c r="S2" s="46">
        <f>'Saltapor SRL'!S2</f>
        <v>1465</v>
      </c>
      <c r="T2" s="22">
        <f>'Saltapor SRL'!T2</f>
        <v>275266.0086</v>
      </c>
      <c r="U2" s="23">
        <f>'Saltapor SRL'!U2</f>
        <v>222.72</v>
      </c>
      <c r="V2" s="24">
        <f>'Saltapor SRL'!V2</f>
        <v>10.12363636</v>
      </c>
      <c r="W2" s="25">
        <f>'Saltapor SRL'!W2</f>
        <v>0.1970066872</v>
      </c>
      <c r="X2" s="19">
        <f>'Saltapor SRL'!X2</f>
        <v>1103945.432</v>
      </c>
    </row>
    <row r="3">
      <c r="A3" s="12">
        <f>'Saltapor SRL'!A3</f>
        <v>45974</v>
      </c>
      <c r="B3" s="66">
        <f>'Saltapor SRL'!B3</f>
        <v>5272486</v>
      </c>
      <c r="C3" s="14" t="str">
        <f>'Saltapor SRL'!C3</f>
        <v>Linea C</v>
      </c>
      <c r="D3" s="15">
        <f>'Saltapor SRL'!D3</f>
        <v>0.27</v>
      </c>
      <c r="E3" s="17">
        <f>'Saltapor SRL'!E3</f>
        <v>4054</v>
      </c>
      <c r="F3" s="17" t="str">
        <f>'Saltapor SRL'!F3</f>
        <v/>
      </c>
      <c r="G3" s="17" t="str">
        <f>'Saltapor SRL'!G3</f>
        <v/>
      </c>
      <c r="H3" s="17">
        <f>'Saltapor SRL'!H3</f>
        <v>4054</v>
      </c>
      <c r="I3" s="16" t="str">
        <f>'Saltapor SRL'!I3</f>
        <v>T1-G2</v>
      </c>
      <c r="J3" s="18">
        <f>'Saltapor SRL'!J3</f>
        <v>195.1016</v>
      </c>
      <c r="K3" s="18">
        <f>'Saltapor SRL'!K3</f>
        <v>195.1016</v>
      </c>
      <c r="L3" s="18">
        <f>'Saltapor SRL'!L3</f>
        <v>195.1016</v>
      </c>
      <c r="M3" s="15">
        <f>'Saltapor SRL'!M3</f>
        <v>1105.9</v>
      </c>
      <c r="N3" s="17">
        <f>'Saltapor SRL'!N3</f>
        <v>5159.9</v>
      </c>
      <c r="O3" s="19">
        <f>'Saltapor SRL'!O3</f>
        <v>790941.8864</v>
      </c>
      <c r="P3" s="20">
        <f>'Saltapor SRL'!P3</f>
        <v>1470</v>
      </c>
      <c r="Q3" s="169">
        <f>'Saltapor SRL'!Q3</f>
        <v>146.7774554</v>
      </c>
      <c r="R3" s="20">
        <f>'Saltapor SRL'!R3</f>
        <v>215762.8594</v>
      </c>
      <c r="S3" s="46">
        <f>'Saltapor SRL'!S3</f>
        <v>1465</v>
      </c>
      <c r="T3" s="22">
        <f>'Saltapor SRL'!T3</f>
        <v>273086.7946</v>
      </c>
      <c r="U3" s="23">
        <f>'Saltapor SRL'!U3</f>
        <v>221.18</v>
      </c>
      <c r="V3" s="24">
        <f>'Saltapor SRL'!V3</f>
        <v>10.05363636</v>
      </c>
      <c r="W3" s="25">
        <f>'Saltapor SRL'!W3</f>
        <v>0.214325859</v>
      </c>
      <c r="X3" s="19">
        <f>'Saltapor SRL'!X3</f>
        <v>1006704.746</v>
      </c>
    </row>
    <row r="4">
      <c r="A4" s="12">
        <f>'Saltapor SRL'!A4</f>
        <v>45932</v>
      </c>
      <c r="B4" s="66">
        <f>'Saltapor SRL'!B4</f>
        <v>5272486</v>
      </c>
      <c r="C4" s="14" t="str">
        <f>'Saltapor SRL'!C4</f>
        <v>Linea C</v>
      </c>
      <c r="D4" s="15">
        <f>'Saltapor SRL'!D4</f>
        <v>0.27</v>
      </c>
      <c r="E4" s="17">
        <f>'Saltapor SRL'!E4</f>
        <v>2726</v>
      </c>
      <c r="F4" s="17" t="str">
        <f>'Saltapor SRL'!F4</f>
        <v/>
      </c>
      <c r="G4" s="17" t="str">
        <f>'Saltapor SRL'!G4</f>
        <v/>
      </c>
      <c r="H4" s="17">
        <f>'Saltapor SRL'!H4</f>
        <v>5990</v>
      </c>
      <c r="I4" s="14" t="str">
        <f>'Saltapor SRL'!I4</f>
        <v>T1-G2</v>
      </c>
      <c r="J4" s="18">
        <f>'Saltapor SRL'!J4</f>
        <v>207.4306</v>
      </c>
      <c r="K4" s="18">
        <f>'Saltapor SRL'!K4</f>
        <v>207.4306</v>
      </c>
      <c r="L4" s="18">
        <f>'Saltapor SRL'!L4</f>
        <v>207.4306</v>
      </c>
      <c r="M4" s="15">
        <f>'Saltapor SRL'!M4</f>
        <v>106.2</v>
      </c>
      <c r="N4" s="17">
        <f>'Saltapor SRL'!N4</f>
        <v>2832.2</v>
      </c>
      <c r="O4" s="19">
        <f>'Saltapor SRL'!O4</f>
        <v>1242509.294</v>
      </c>
      <c r="P4" s="20">
        <f>'Saltapor SRL'!P4</f>
        <v>1450</v>
      </c>
      <c r="Q4" s="169">
        <f>'Saltapor SRL'!Q4</f>
        <v>15.19250326</v>
      </c>
      <c r="R4" s="20">
        <f>'Saltapor SRL'!R4</f>
        <v>22029.12972</v>
      </c>
      <c r="S4" s="46">
        <f>'Saltapor SRL'!S4</f>
        <v>1465</v>
      </c>
      <c r="T4" s="22">
        <f>'Saltapor SRL'!T4</f>
        <v>28266.41193</v>
      </c>
      <c r="U4" s="23">
        <f>'Saltapor SRL'!U4</f>
        <v>21.24</v>
      </c>
      <c r="V4" s="24">
        <f>'Saltapor SRL'!V4</f>
        <v>0.9654545455</v>
      </c>
      <c r="W4" s="25">
        <f>'Saltapor SRL'!W4</f>
        <v>0.0174206883</v>
      </c>
      <c r="X4" s="19">
        <f>'Saltapor SRL'!X4</f>
        <v>1264538.424</v>
      </c>
    </row>
    <row r="5">
      <c r="A5" s="12"/>
      <c r="B5" s="66"/>
      <c r="C5" s="14"/>
      <c r="D5" s="15"/>
      <c r="E5" s="17"/>
      <c r="F5" s="17"/>
      <c r="G5" s="17"/>
      <c r="H5" s="17"/>
      <c r="I5" s="14"/>
      <c r="J5" s="18"/>
      <c r="K5" s="18"/>
      <c r="L5" s="18"/>
      <c r="M5" s="15"/>
      <c r="N5" s="17"/>
      <c r="O5" s="19"/>
      <c r="P5" s="20"/>
      <c r="Q5" s="169"/>
      <c r="R5" s="20"/>
      <c r="S5" s="46"/>
      <c r="T5" s="22"/>
      <c r="U5" s="23"/>
      <c r="V5" s="24"/>
      <c r="W5" s="25"/>
      <c r="X5" s="19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sheetData>
    <row r="1">
      <c r="A1" s="168" t="str">
        <f>Datos!A1</f>
        <v>   Fecha </v>
      </c>
      <c r="B1" s="168" t="str">
        <f>Datos!B1</f>
        <v>NIS</v>
      </c>
      <c r="C1" s="168" t="str">
        <f>Datos!C1</f>
        <v>Cliente</v>
      </c>
      <c r="D1" s="168" t="str">
        <f>Datos!D1</f>
        <v>IVA</v>
      </c>
      <c r="E1" s="168" t="str">
        <f>Datos!E1</f>
        <v>Consumo [kWh]</v>
      </c>
      <c r="F1" s="168" t="str">
        <f>Datos!F1</f>
        <v>Consumo hs punta [kWh]</v>
      </c>
      <c r="G1" s="168" t="str">
        <f>Datos!G1</f>
        <v>Consumo hs valle [kWh]</v>
      </c>
      <c r="H1" s="168" t="str">
        <f>Datos!H1</f>
        <v>Consumo hs resto[kWh]</v>
      </c>
      <c r="I1" s="168" t="str">
        <f>Datos!I1</f>
        <v>Catergoria</v>
      </c>
      <c r="J1" s="168" t="str">
        <f>Datos!J1</f>
        <v>Tarifa punta</v>
      </c>
      <c r="K1" s="168" t="str">
        <f>Datos!K1</f>
        <v>Tarifa valle</v>
      </c>
      <c r="L1" s="168" t="str">
        <f>Datos!L1</f>
        <v>Tarifa resto</v>
      </c>
      <c r="M1" s="168" t="str">
        <f>Datos!M1</f>
        <v>Generacion FV [kWh]</v>
      </c>
      <c r="N1" s="168" t="str">
        <f>Datos!N1</f>
        <v>CONSUMO TOTAL</v>
      </c>
      <c r="O1" s="168" t="str">
        <f>Datos!O1</f>
        <v>Total a pagar S / IVA</v>
      </c>
      <c r="P1" s="168" t="str">
        <f>Datos!P1</f>
        <v>Valor USD</v>
      </c>
      <c r="Q1" s="168" t="str">
        <f>Datos!Q1</f>
        <v>Ahorro (USD)</v>
      </c>
      <c r="R1" s="168" t="str">
        <f>Datos!R1</f>
        <v>Ahorro ($)</v>
      </c>
      <c r="S1" s="168" t="str">
        <f>Datos!S1</f>
        <v>Valor dolar Actual ($)</v>
      </c>
      <c r="T1" s="168" t="str">
        <f>Datos!T1</f>
        <v>Ahorro ($)-A precio actual</v>
      </c>
      <c r="U1" s="168" t="str">
        <f>Datos!U1</f>
        <v>kg CO2e evitados</v>
      </c>
      <c r="V1" s="168" t="str">
        <f>Datos!V1</f>
        <v>Equivalente en árboles</v>
      </c>
      <c r="W1" s="168" t="str">
        <f>Datos!W1</f>
        <v>% de ahorro sobre los consumos</v>
      </c>
      <c r="X1" s="168" t="str">
        <f>Datos!X1</f>
        <v>SIN PANELES S/IVA</v>
      </c>
      <c r="Y1" s="151" t="str">
        <f>Datos!Z1</f>
        <v/>
      </c>
      <c r="Z1" s="151" t="str">
        <f>Datos!AA1</f>
        <v/>
      </c>
    </row>
    <row r="2" ht="15.75" customHeight="1">
      <c r="A2" s="75">
        <f>IFERROR(__xludf.DUMMYFUNCTION("FILTER(Datos!1:1247,Datos!B:B=5068576)"),45962.0)</f>
        <v>45962</v>
      </c>
      <c r="B2" s="69">
        <f>IFERROR(__xludf.DUMMYFUNCTION("""COMPUTED_VALUE"""),5068576.0)</f>
        <v>5068576</v>
      </c>
      <c r="C2" s="69" t="str">
        <f>IFERROR(__xludf.DUMMYFUNCTION("""COMPUTED_VALUE"""),"Facundo Alvarado")</f>
        <v>Facundo Alvarado</v>
      </c>
      <c r="D2" s="72">
        <f>IFERROR(__xludf.DUMMYFUNCTION("""COMPUTED_VALUE"""),0.27)</f>
        <v>0.27</v>
      </c>
      <c r="E2" s="17">
        <f>IFERROR(__xludf.DUMMYFUNCTION("""COMPUTED_VALUE"""),13501.0)</f>
        <v>13501</v>
      </c>
      <c r="F2" s="17">
        <f>IFERROR(__xludf.DUMMYFUNCTION("""COMPUTED_VALUE"""),2929.0)</f>
        <v>2929</v>
      </c>
      <c r="G2" s="17">
        <f>IFERROR(__xludf.DUMMYFUNCTION("""COMPUTED_VALUE"""),3482.0)</f>
        <v>3482</v>
      </c>
      <c r="H2" s="17">
        <f>IFERROR(__xludf.DUMMYFUNCTION("""COMPUTED_VALUE"""),7090.0)</f>
        <v>7090</v>
      </c>
      <c r="I2" s="16" t="str">
        <f>IFERROR(__xludf.DUMMYFUNCTION("""COMPUTED_VALUE"""),"T4-Ba")</f>
        <v>T4-Ba</v>
      </c>
      <c r="J2" s="70">
        <f>IFERROR(__xludf.DUMMYFUNCTION("""COMPUTED_VALUE"""),152.0913)</f>
        <v>152.0913</v>
      </c>
      <c r="K2" s="70">
        <f>IFERROR(__xludf.DUMMYFUNCTION("""COMPUTED_VALUE"""),149.3017)</f>
        <v>149.3017</v>
      </c>
      <c r="L2" s="70">
        <f>IFERROR(__xludf.DUMMYFUNCTION("""COMPUTED_VALUE"""),150.1043)</f>
        <v>150.1043</v>
      </c>
      <c r="M2" s="15">
        <f>IFERROR(__xludf.DUMMYFUNCTION("""COMPUTED_VALUE"""),3862.5)</f>
        <v>3862.5</v>
      </c>
      <c r="N2" s="17">
        <f>IFERROR(__xludf.DUMMYFUNCTION("""COMPUTED_VALUE"""),17363.5)</f>
        <v>17363.5</v>
      </c>
      <c r="O2" s="70">
        <f>IFERROR(__xludf.DUMMYFUNCTION("""COMPUTED_VALUE"""),2029583.4241)</f>
        <v>2029583.424</v>
      </c>
      <c r="P2" s="70">
        <f>IFERROR(__xludf.DUMMYFUNCTION("""COMPUTED_VALUE"""),1470.0)</f>
        <v>1470</v>
      </c>
      <c r="Q2" s="170">
        <f>IFERROR(__xludf.DUMMYFUNCTION("""COMPUTED_VALUE"""),394.4067066326531)</f>
        <v>394.4067066</v>
      </c>
      <c r="R2" s="70">
        <f>IFERROR(__xludf.DUMMYFUNCTION("""COMPUTED_VALUE"""),579777.85875)</f>
        <v>579777.8588</v>
      </c>
      <c r="S2" s="120">
        <f>IFERROR(__xludf.DUMMYFUNCTION("""COMPUTED_VALUE"""),1465.0)</f>
        <v>1465</v>
      </c>
      <c r="T2" s="70">
        <f>IFERROR(__xludf.DUMMYFUNCTION("""COMPUTED_VALUE"""),733813.3980253827)</f>
        <v>733813.398</v>
      </c>
      <c r="U2" s="71">
        <f>IFERROR(__xludf.DUMMYFUNCTION("""COMPUTED_VALUE"""),772.5)</f>
        <v>772.5</v>
      </c>
      <c r="V2" s="71">
        <f>IFERROR(__xludf.DUMMYFUNCTION("""COMPUTED_VALUE"""),35.11363636363637)</f>
        <v>35.11363636</v>
      </c>
      <c r="W2" s="74">
        <f>IFERROR(__xludf.DUMMYFUNCTION("""COMPUTED_VALUE"""),0.22219148515791354)</f>
        <v>0.2221914852</v>
      </c>
      <c r="X2" s="70">
        <f>IFERROR(__xludf.DUMMYFUNCTION("""COMPUTED_VALUE"""),2609361.28285)</f>
        <v>2609361.283</v>
      </c>
      <c r="Y2" s="154"/>
    </row>
    <row r="3" ht="15.75" customHeight="1">
      <c r="A3" s="75">
        <f>IFERROR(__xludf.DUMMYFUNCTION("""COMPUTED_VALUE"""),45972.0)</f>
        <v>45972</v>
      </c>
      <c r="B3" s="69">
        <f>IFERROR(__xludf.DUMMYFUNCTION("""COMPUTED_VALUE"""),5068576.0)</f>
        <v>5068576</v>
      </c>
      <c r="C3" s="69" t="str">
        <f>IFERROR(__xludf.DUMMYFUNCTION("""COMPUTED_VALUE"""),"Facundo Alvarado ")</f>
        <v>Facundo Alvarado </v>
      </c>
      <c r="D3" s="72">
        <f>IFERROR(__xludf.DUMMYFUNCTION("""COMPUTED_VALUE"""),0.27)</f>
        <v>0.27</v>
      </c>
      <c r="E3" s="17">
        <f>IFERROR(__xludf.DUMMYFUNCTION("""COMPUTED_VALUE"""),13501.0)</f>
        <v>13501</v>
      </c>
      <c r="F3" s="17">
        <f>IFERROR(__xludf.DUMMYFUNCTION("""COMPUTED_VALUE"""),2929.0)</f>
        <v>2929</v>
      </c>
      <c r="G3" s="17">
        <f>IFERROR(__xludf.DUMMYFUNCTION("""COMPUTED_VALUE"""),3482.0)</f>
        <v>3482</v>
      </c>
      <c r="H3" s="17">
        <f>IFERROR(__xludf.DUMMYFUNCTION("""COMPUTED_VALUE"""),7090.0)</f>
        <v>7090</v>
      </c>
      <c r="I3" s="16" t="str">
        <f>IFERROR(__xludf.DUMMYFUNCTION("""COMPUTED_VALUE"""),"T4-Ba")</f>
        <v>T4-Ba</v>
      </c>
      <c r="J3" s="70">
        <f>IFERROR(__xludf.DUMMYFUNCTION("""COMPUTED_VALUE"""),152.0913)</f>
        <v>152.0913</v>
      </c>
      <c r="K3" s="70">
        <f>IFERROR(__xludf.DUMMYFUNCTION("""COMPUTED_VALUE"""),149.3017)</f>
        <v>149.3017</v>
      </c>
      <c r="L3" s="70">
        <f>IFERROR(__xludf.DUMMYFUNCTION("""COMPUTED_VALUE"""),150.1043)</f>
        <v>150.1043</v>
      </c>
      <c r="M3" s="15">
        <f>IFERROR(__xludf.DUMMYFUNCTION("""COMPUTED_VALUE"""),3529.5)</f>
        <v>3529.5</v>
      </c>
      <c r="N3" s="17">
        <f>IFERROR(__xludf.DUMMYFUNCTION("""COMPUTED_VALUE"""),17030.5)</f>
        <v>17030.5</v>
      </c>
      <c r="O3" s="70">
        <f>IFERROR(__xludf.DUMMYFUNCTION("""COMPUTED_VALUE"""),2029583.4241)</f>
        <v>2029583.424</v>
      </c>
      <c r="P3" s="70">
        <f>IFERROR(__xludf.DUMMYFUNCTION("""COMPUTED_VALUE"""),1470.0)</f>
        <v>1470</v>
      </c>
      <c r="Q3" s="170">
        <f>IFERROR(__xludf.DUMMYFUNCTION("""COMPUTED_VALUE"""),360.40348765306123)</f>
        <v>360.4034877</v>
      </c>
      <c r="R3" s="70">
        <f>IFERROR(__xludf.DUMMYFUNCTION("""COMPUTED_VALUE"""),529793.12685)</f>
        <v>529793.1269</v>
      </c>
      <c r="S3" s="120">
        <f>IFERROR(__xludf.DUMMYFUNCTION("""COMPUTED_VALUE"""),1465.0)</f>
        <v>1465</v>
      </c>
      <c r="T3" s="70">
        <f>IFERROR(__xludf.DUMMYFUNCTION("""COMPUTED_VALUE"""),670548.7089529032)</f>
        <v>670548.709</v>
      </c>
      <c r="U3" s="71">
        <f>IFERROR(__xludf.DUMMYFUNCTION("""COMPUTED_VALUE"""),705.9000000000001)</f>
        <v>705.9</v>
      </c>
      <c r="V3" s="71">
        <f>IFERROR(__xludf.DUMMYFUNCTION("""COMPUTED_VALUE"""),32.08636363636364)</f>
        <v>32.08636364</v>
      </c>
      <c r="W3" s="74">
        <f>IFERROR(__xludf.DUMMYFUNCTION("""COMPUTED_VALUE"""),0.20700085208382063)</f>
        <v>0.2070008521</v>
      </c>
      <c r="X3" s="70">
        <f>IFERROR(__xludf.DUMMYFUNCTION("""COMPUTED_VALUE"""),2559376.55095)</f>
        <v>2559376.551</v>
      </c>
      <c r="Y3" s="154"/>
    </row>
    <row r="4" ht="15.75" customHeight="1">
      <c r="A4" s="75">
        <f>IFERROR(__xludf.DUMMYFUNCTION("""COMPUTED_VALUE"""),45931.0)</f>
        <v>45931</v>
      </c>
      <c r="B4" s="69">
        <f>IFERROR(__xludf.DUMMYFUNCTION("""COMPUTED_VALUE"""),5068576.0)</f>
        <v>5068576</v>
      </c>
      <c r="C4" s="69" t="str">
        <f>IFERROR(__xludf.DUMMYFUNCTION("""COMPUTED_VALUE"""),"Facundo Alvarado ")</f>
        <v>Facundo Alvarado </v>
      </c>
      <c r="D4" s="72">
        <f>IFERROR(__xludf.DUMMYFUNCTION("""COMPUTED_VALUE"""),0.27)</f>
        <v>0.27</v>
      </c>
      <c r="E4" s="17">
        <f>IFERROR(__xludf.DUMMYFUNCTION("""COMPUTED_VALUE"""),16121.0)</f>
        <v>16121</v>
      </c>
      <c r="F4" s="17">
        <f>IFERROR(__xludf.DUMMYFUNCTION("""COMPUTED_VALUE"""),3507.0)</f>
        <v>3507</v>
      </c>
      <c r="G4" s="17">
        <f>IFERROR(__xludf.DUMMYFUNCTION("""COMPUTED_VALUE"""),4347.0)</f>
        <v>4347</v>
      </c>
      <c r="H4" s="17">
        <f>IFERROR(__xludf.DUMMYFUNCTION("""COMPUTED_VALUE"""),8267.0)</f>
        <v>8267</v>
      </c>
      <c r="I4" s="14" t="str">
        <f>IFERROR(__xludf.DUMMYFUNCTION("""COMPUTED_VALUE"""),"T4-Ba")</f>
        <v>T4-Ba</v>
      </c>
      <c r="J4" s="70">
        <f>IFERROR(__xludf.DUMMYFUNCTION("""COMPUTED_VALUE"""),159.8077)</f>
        <v>159.8077</v>
      </c>
      <c r="K4" s="70">
        <f>IFERROR(__xludf.DUMMYFUNCTION("""COMPUTED_VALUE"""),156.9735)</f>
        <v>156.9735</v>
      </c>
      <c r="L4" s="70">
        <f>IFERROR(__xludf.DUMMYFUNCTION("""COMPUTED_VALUE"""),158.2241)</f>
        <v>158.2241</v>
      </c>
      <c r="M4" s="15">
        <f>IFERROR(__xludf.DUMMYFUNCTION("""COMPUTED_VALUE"""),3708.5)</f>
        <v>3708.5</v>
      </c>
      <c r="N4" s="17">
        <f>IFERROR(__xludf.DUMMYFUNCTION("""COMPUTED_VALUE"""),19829.5)</f>
        <v>19829.5</v>
      </c>
      <c r="O4" s="70">
        <f>IFERROR(__xludf.DUMMYFUNCTION("""COMPUTED_VALUE"""),2550848.0431000004)</f>
        <v>2550848.043</v>
      </c>
      <c r="P4" s="70">
        <f>IFERROR(__xludf.DUMMYFUNCTION("""COMPUTED_VALUE"""),1450.0)</f>
        <v>1450</v>
      </c>
      <c r="Q4" s="170">
        <f>IFERROR(__xludf.DUMMYFUNCTION("""COMPUTED_VALUE"""),404.6717757586207)</f>
        <v>404.6717758</v>
      </c>
      <c r="R4" s="70">
        <f>IFERROR(__xludf.DUMMYFUNCTION("""COMPUTED_VALUE"""),586774.07485)</f>
        <v>586774.0749</v>
      </c>
      <c r="S4" s="120">
        <f>IFERROR(__xludf.DUMMYFUNCTION("""COMPUTED_VALUE"""),1465.0)</f>
        <v>1465</v>
      </c>
      <c r="T4" s="70">
        <f>IFERROR(__xludf.DUMMYFUNCTION("""COMPUTED_VALUE"""),752912.0723877017)</f>
        <v>752912.0724</v>
      </c>
      <c r="U4" s="71">
        <f>IFERROR(__xludf.DUMMYFUNCTION("""COMPUTED_VALUE"""),741.7)</f>
        <v>741.7</v>
      </c>
      <c r="V4" s="71">
        <f>IFERROR(__xludf.DUMMYFUNCTION("""COMPUTED_VALUE"""),33.71363636363637)</f>
        <v>33.71363636</v>
      </c>
      <c r="W4" s="74">
        <f>IFERROR(__xludf.DUMMYFUNCTION("""COMPUTED_VALUE"""),0.187012346545216)</f>
        <v>0.1870123465</v>
      </c>
      <c r="X4" s="70">
        <f>IFERROR(__xludf.DUMMYFUNCTION("""COMPUTED_VALUE"""),3137622.1179500003)</f>
        <v>3137622.118</v>
      </c>
      <c r="Y4" s="154"/>
    </row>
    <row r="5">
      <c r="A5" s="150">
        <f>IFERROR(__xludf.DUMMYFUNCTION("""COMPUTED_VALUE"""),45911.0)</f>
        <v>45911</v>
      </c>
      <c r="B5" s="151">
        <f>IFERROR(__xludf.DUMMYFUNCTION("""COMPUTED_VALUE"""),5068576.0)</f>
        <v>5068576</v>
      </c>
      <c r="C5" s="151" t="str">
        <f>IFERROR(__xludf.DUMMYFUNCTION("""COMPUTED_VALUE"""),"Facundo Alvarado ")</f>
        <v>Facundo Alvarado </v>
      </c>
      <c r="D5" s="152">
        <f>IFERROR(__xludf.DUMMYFUNCTION("""COMPUTED_VALUE"""),0.27)</f>
        <v>0.27</v>
      </c>
      <c r="E5" s="153">
        <f>IFERROR(__xludf.DUMMYFUNCTION("""COMPUTED_VALUE"""),13817.0)</f>
        <v>13817</v>
      </c>
      <c r="F5" s="153">
        <f>IFERROR(__xludf.DUMMYFUNCTION("""COMPUTED_VALUE"""),2965.0)</f>
        <v>2965</v>
      </c>
      <c r="G5" s="153">
        <f>IFERROR(__xludf.DUMMYFUNCTION("""COMPUTED_VALUE"""),3555.0)</f>
        <v>3555</v>
      </c>
      <c r="H5" s="153">
        <f>IFERROR(__xludf.DUMMYFUNCTION("""COMPUTED_VALUE"""),7297.0)</f>
        <v>7297</v>
      </c>
      <c r="I5" s="151" t="str">
        <f>IFERROR(__xludf.DUMMYFUNCTION("""COMPUTED_VALUE"""),"T4-Ba")</f>
        <v>T4-Ba</v>
      </c>
      <c r="J5" s="154">
        <f>IFERROR(__xludf.DUMMYFUNCTION("""COMPUTED_VALUE"""),159.1156)</f>
        <v>159.1156</v>
      </c>
      <c r="K5" s="154">
        <f>IFERROR(__xludf.DUMMYFUNCTION("""COMPUTED_VALUE"""),156.2753)</f>
        <v>156.2753</v>
      </c>
      <c r="L5" s="154">
        <f>IFERROR(__xludf.DUMMYFUNCTION("""COMPUTED_VALUE"""),157.5295)</f>
        <v>157.5295</v>
      </c>
      <c r="M5" s="152">
        <f>IFERROR(__xludf.DUMMYFUNCTION("""COMPUTED_VALUE"""),3655.3)</f>
        <v>3655.3</v>
      </c>
      <c r="N5" s="153">
        <f>IFERROR(__xludf.DUMMYFUNCTION("""COMPUTED_VALUE"""),17472.3)</f>
        <v>17472.3</v>
      </c>
      <c r="O5" s="154">
        <f>IFERROR(__xludf.DUMMYFUNCTION("""COMPUTED_VALUE"""),2176829.207)</f>
        <v>2176829.207</v>
      </c>
      <c r="P5" s="154">
        <f>IFERROR(__xludf.DUMMYFUNCTION("""COMPUTED_VALUE"""),1425.0)</f>
        <v>1425</v>
      </c>
      <c r="Q5" s="155">
        <f>IFERROR(__xludf.DUMMYFUNCTION("""COMPUTED_VALUE"""),404.08251322807024)</f>
        <v>404.0825132</v>
      </c>
      <c r="R5" s="154">
        <f>IFERROR(__xludf.DUMMYFUNCTION("""COMPUTED_VALUE"""),575817.5813500001)</f>
        <v>575817.5814</v>
      </c>
      <c r="S5" s="154">
        <f>IFERROR(__xludf.DUMMYFUNCTION("""COMPUTED_VALUE"""),1465.0)</f>
        <v>1465</v>
      </c>
      <c r="T5" s="154">
        <f>IFERROR(__xludf.DUMMYFUNCTION("""COMPUTED_VALUE"""),751815.7199864861)</f>
        <v>751815.72</v>
      </c>
      <c r="U5" s="156">
        <f>IFERROR(__xludf.DUMMYFUNCTION("""COMPUTED_VALUE"""),731.0600000000001)</f>
        <v>731.06</v>
      </c>
      <c r="V5" s="156">
        <f>IFERROR(__xludf.DUMMYFUNCTION("""COMPUTED_VALUE"""),33.230000000000004)</f>
        <v>33.23</v>
      </c>
      <c r="W5" s="157">
        <f>IFERROR(__xludf.DUMMYFUNCTION("""COMPUTED_VALUE"""),0.20918687562350066)</f>
        <v>0.2091868756</v>
      </c>
      <c r="X5" s="154">
        <f>IFERROR(__xludf.DUMMYFUNCTION("""COMPUTED_VALUE"""),2752646.78835)</f>
        <v>2752646.788</v>
      </c>
      <c r="Y5" s="154"/>
    </row>
    <row r="6">
      <c r="A6" s="150">
        <f>IFERROR(__xludf.DUMMYFUNCTION("""COMPUTED_VALUE"""),45879.0)</f>
        <v>45879</v>
      </c>
      <c r="B6" s="151">
        <f>IFERROR(__xludf.DUMMYFUNCTION("""COMPUTED_VALUE"""),5068576.0)</f>
        <v>5068576</v>
      </c>
      <c r="C6" s="151" t="str">
        <f>IFERROR(__xludf.DUMMYFUNCTION("""COMPUTED_VALUE"""),"Facundo Alvarado ")</f>
        <v>Facundo Alvarado </v>
      </c>
      <c r="D6" s="152">
        <f>IFERROR(__xludf.DUMMYFUNCTION("""COMPUTED_VALUE"""),0.27)</f>
        <v>0.27</v>
      </c>
      <c r="E6" s="153">
        <f>IFERROR(__xludf.DUMMYFUNCTION("""COMPUTED_VALUE"""),11476.0)</f>
        <v>11476</v>
      </c>
      <c r="F6" s="153">
        <f>IFERROR(__xludf.DUMMYFUNCTION("""COMPUTED_VALUE"""),2513.0)</f>
        <v>2513</v>
      </c>
      <c r="G6" s="153">
        <f>IFERROR(__xludf.DUMMYFUNCTION("""COMPUTED_VALUE"""),3085.0)</f>
        <v>3085</v>
      </c>
      <c r="H6" s="153">
        <f>IFERROR(__xludf.DUMMYFUNCTION("""COMPUTED_VALUE"""),5878.0)</f>
        <v>5878</v>
      </c>
      <c r="I6" s="151" t="str">
        <f>IFERROR(__xludf.DUMMYFUNCTION("""COMPUTED_VALUE"""),"T4-Ba")</f>
        <v>T4-Ba</v>
      </c>
      <c r="J6" s="154">
        <f>IFERROR(__xludf.DUMMYFUNCTION("""COMPUTED_VALUE"""),149.9317)</f>
        <v>149.9317</v>
      </c>
      <c r="K6" s="154">
        <f>IFERROR(__xludf.DUMMYFUNCTION("""COMPUTED_VALUE"""),147.0841)</f>
        <v>147.0841</v>
      </c>
      <c r="L6" s="154">
        <f>IFERROR(__xludf.DUMMYFUNCTION("""COMPUTED_VALUE"""),148.3408)</f>
        <v>148.3408</v>
      </c>
      <c r="M6" s="152">
        <f>IFERROR(__xludf.DUMMYFUNCTION("""COMPUTED_VALUE"""),2882.3)</f>
        <v>2882.3</v>
      </c>
      <c r="N6" s="153">
        <f>IFERROR(__xludf.DUMMYFUNCTION("""COMPUTED_VALUE"""),14358.3)</f>
        <v>14358.3</v>
      </c>
      <c r="O6" s="154">
        <f>IFERROR(__xludf.DUMMYFUNCTION("""COMPUTED_VALUE"""),1702480.0329999998)</f>
        <v>1702480.033</v>
      </c>
      <c r="P6" s="154">
        <f>IFERROR(__xludf.DUMMYFUNCTION("""COMPUTED_VALUE"""),1340.0)</f>
        <v>1340</v>
      </c>
      <c r="Q6" s="155">
        <f>IFERROR(__xludf.DUMMYFUNCTION("""COMPUTED_VALUE"""),319.0766327164179)</f>
        <v>319.0766327</v>
      </c>
      <c r="R6" s="154">
        <f>IFERROR(__xludf.DUMMYFUNCTION("""COMPUTED_VALUE"""),427562.68784)</f>
        <v>427562.6878</v>
      </c>
      <c r="S6" s="154">
        <f>IFERROR(__xludf.DUMMYFUNCTION("""COMPUTED_VALUE"""),1465.0)</f>
        <v>1465</v>
      </c>
      <c r="T6" s="154">
        <f>IFERROR(__xludf.DUMMYFUNCTION("""COMPUTED_VALUE"""),593658.0290005314)</f>
        <v>593658.029</v>
      </c>
      <c r="U6" s="156">
        <f>IFERROR(__xludf.DUMMYFUNCTION("""COMPUTED_VALUE"""),576.46)</f>
        <v>576.46</v>
      </c>
      <c r="V6" s="156">
        <f>IFERROR(__xludf.DUMMYFUNCTION("""COMPUTED_VALUE"""),26.202727272727273)</f>
        <v>26.20272727</v>
      </c>
      <c r="W6" s="157">
        <f>IFERROR(__xludf.DUMMYFUNCTION("""COMPUTED_VALUE"""),0.2007296302824326)</f>
        <v>0.2007296303</v>
      </c>
      <c r="X6" s="154">
        <f>IFERROR(__xludf.DUMMYFUNCTION("""COMPUTED_VALUE"""),2130042.7208399996)</f>
        <v>2130042.721</v>
      </c>
      <c r="Y6" s="154"/>
    </row>
    <row r="7">
      <c r="A7" s="150">
        <f>IFERROR(__xludf.DUMMYFUNCTION("""COMPUTED_VALUE"""),45839.0)</f>
        <v>45839</v>
      </c>
      <c r="B7" s="151">
        <f>IFERROR(__xludf.DUMMYFUNCTION("""COMPUTED_VALUE"""),5068576.0)</f>
        <v>5068576</v>
      </c>
      <c r="C7" s="151" t="str">
        <f>IFERROR(__xludf.DUMMYFUNCTION("""COMPUTED_VALUE"""),"Facundo Alvarado ")</f>
        <v>Facundo Alvarado </v>
      </c>
      <c r="D7" s="152">
        <f>IFERROR(__xludf.DUMMYFUNCTION("""COMPUTED_VALUE"""),0.27)</f>
        <v>0.27</v>
      </c>
      <c r="E7" s="153">
        <f>IFERROR(__xludf.DUMMYFUNCTION("""COMPUTED_VALUE"""),10354.0)</f>
        <v>10354</v>
      </c>
      <c r="F7" s="153">
        <f>IFERROR(__xludf.DUMMYFUNCTION("""COMPUTED_VALUE"""),2006.0)</f>
        <v>2006</v>
      </c>
      <c r="G7" s="153">
        <f>IFERROR(__xludf.DUMMYFUNCTION("""COMPUTED_VALUE"""),2651.0)</f>
        <v>2651</v>
      </c>
      <c r="H7" s="153">
        <f>IFERROR(__xludf.DUMMYFUNCTION("""COMPUTED_VALUE"""),5697.0)</f>
        <v>5697</v>
      </c>
      <c r="I7" s="151" t="str">
        <f>IFERROR(__xludf.DUMMYFUNCTION("""COMPUTED_VALUE"""),"T4-Ba")</f>
        <v>T4-Ba</v>
      </c>
      <c r="J7" s="154">
        <f>IFERROR(__xludf.DUMMYFUNCTION("""COMPUTED_VALUE"""),149.9317)</f>
        <v>149.9317</v>
      </c>
      <c r="K7" s="154">
        <f>IFERROR(__xludf.DUMMYFUNCTION("""COMPUTED_VALUE"""),147.0841)</f>
        <v>147.0841</v>
      </c>
      <c r="L7" s="154">
        <f>IFERROR(__xludf.DUMMYFUNCTION("""COMPUTED_VALUE"""),148.3408)</f>
        <v>148.3408</v>
      </c>
      <c r="M7" s="152">
        <f>IFERROR(__xludf.DUMMYFUNCTION("""COMPUTED_VALUE"""),2429.8)</f>
        <v>2429.8</v>
      </c>
      <c r="N7" s="153">
        <f>IFERROR(__xludf.DUMMYFUNCTION("""COMPUTED_VALUE"""),12783.8)</f>
        <v>12783.8</v>
      </c>
      <c r="O7" s="154">
        <f>IFERROR(__xludf.DUMMYFUNCTION("""COMPUTED_VALUE"""),1535780.4769000001)</f>
        <v>1535780.477</v>
      </c>
      <c r="P7" s="154">
        <f>IFERROR(__xludf.DUMMYFUNCTION("""COMPUTED_VALUE"""),1280.0)</f>
        <v>1280</v>
      </c>
      <c r="Q7" s="155">
        <f>IFERROR(__xludf.DUMMYFUNCTION("""COMPUTED_VALUE"""),281.59255925)</f>
        <v>281.5925593</v>
      </c>
      <c r="R7" s="154">
        <f>IFERROR(__xludf.DUMMYFUNCTION("""COMPUTED_VALUE"""),360438.47584)</f>
        <v>360438.4758</v>
      </c>
      <c r="S7" s="154">
        <f>IFERROR(__xludf.DUMMYFUNCTION("""COMPUTED_VALUE"""),1465.0)</f>
        <v>1465</v>
      </c>
      <c r="T7" s="154">
        <f>IFERROR(__xludf.DUMMYFUNCTION("""COMPUTED_VALUE"""),523917.03611258755)</f>
        <v>523917.0361</v>
      </c>
      <c r="U7" s="156">
        <f>IFERROR(__xludf.DUMMYFUNCTION("""COMPUTED_VALUE"""),485.96000000000004)</f>
        <v>485.96</v>
      </c>
      <c r="V7" s="156">
        <f>IFERROR(__xludf.DUMMYFUNCTION("""COMPUTED_VALUE"""),22.08909090909091)</f>
        <v>22.08909091</v>
      </c>
      <c r="W7" s="157">
        <f>IFERROR(__xludf.DUMMYFUNCTION("""COMPUTED_VALUE"""),0.19008273032983525)</f>
        <v>0.1900827303</v>
      </c>
      <c r="X7" s="154">
        <f>IFERROR(__xludf.DUMMYFUNCTION("""COMPUTED_VALUE"""),1896218.95274)</f>
        <v>1896218.953</v>
      </c>
      <c r="Y7" s="154"/>
    </row>
    <row r="8">
      <c r="A8" s="150">
        <f>IFERROR(__xludf.DUMMYFUNCTION("""COMPUTED_VALUE"""),45809.0)</f>
        <v>45809</v>
      </c>
      <c r="B8" s="151">
        <f>IFERROR(__xludf.DUMMYFUNCTION("""COMPUTED_VALUE"""),5068576.0)</f>
        <v>5068576</v>
      </c>
      <c r="C8" s="151" t="str">
        <f>IFERROR(__xludf.DUMMYFUNCTION("""COMPUTED_VALUE"""),"Facundo Alvarado ")</f>
        <v>Facundo Alvarado </v>
      </c>
      <c r="D8" s="152">
        <f>IFERROR(__xludf.DUMMYFUNCTION("""COMPUTED_VALUE"""),0.27)</f>
        <v>0.27</v>
      </c>
      <c r="E8" s="153">
        <f>IFERROR(__xludf.DUMMYFUNCTION("""COMPUTED_VALUE"""),10638.0)</f>
        <v>10638</v>
      </c>
      <c r="F8" s="153">
        <f>IFERROR(__xludf.DUMMYFUNCTION("""COMPUTED_VALUE"""),2108.0)</f>
        <v>2108</v>
      </c>
      <c r="G8" s="153">
        <f>IFERROR(__xludf.DUMMYFUNCTION("""COMPUTED_VALUE"""),2495.0)</f>
        <v>2495</v>
      </c>
      <c r="H8" s="153">
        <f>IFERROR(__xludf.DUMMYFUNCTION("""COMPUTED_VALUE"""),6035.0)</f>
        <v>6035</v>
      </c>
      <c r="I8" s="151" t="str">
        <f>IFERROR(__xludf.DUMMYFUNCTION("""COMPUTED_VALUE"""),"T4-Ba")</f>
        <v>T4-Ba</v>
      </c>
      <c r="J8" s="154">
        <f>IFERROR(__xludf.DUMMYFUNCTION("""COMPUTED_VALUE"""),147.7231)</f>
        <v>147.7231</v>
      </c>
      <c r="K8" s="154">
        <f>IFERROR(__xludf.DUMMYFUNCTION("""COMPUTED_VALUE"""),144.9122)</f>
        <v>144.9122</v>
      </c>
      <c r="L8" s="154">
        <f>IFERROR(__xludf.DUMMYFUNCTION("""COMPUTED_VALUE"""),146.1513)</f>
        <v>146.1513</v>
      </c>
      <c r="M8" s="152">
        <f>IFERROR(__xludf.DUMMYFUNCTION("""COMPUTED_VALUE"""),2230.6)</f>
        <v>2230.6</v>
      </c>
      <c r="N8" s="153">
        <f>IFERROR(__xludf.DUMMYFUNCTION("""COMPUTED_VALUE"""),12868.6)</f>
        <v>12868.6</v>
      </c>
      <c r="O8" s="154">
        <f>IFERROR(__xludf.DUMMYFUNCTION("""COMPUTED_VALUE"""),1554979.3292999999)</f>
        <v>1554979.329</v>
      </c>
      <c r="P8" s="154">
        <f>IFERROR(__xludf.DUMMYFUNCTION("""COMPUTED_VALUE"""),1280.0)</f>
        <v>1280</v>
      </c>
      <c r="Q8" s="155">
        <f>IFERROR(__xludf.DUMMYFUNCTION("""COMPUTED_VALUE"""),254.69147639062498)</f>
        <v>254.6914764</v>
      </c>
      <c r="R8" s="154">
        <f>IFERROR(__xludf.DUMMYFUNCTION("""COMPUTED_VALUE"""),326005.08978)</f>
        <v>326005.0898</v>
      </c>
      <c r="S8" s="154">
        <f>IFERROR(__xludf.DUMMYFUNCTION("""COMPUTED_VALUE"""),1465.0)</f>
        <v>1465</v>
      </c>
      <c r="T8" s="154">
        <f>IFERROR(__xludf.DUMMYFUNCTION("""COMPUTED_VALUE"""),473866.22639857733)</f>
        <v>473866.2264</v>
      </c>
      <c r="U8" s="156">
        <f>IFERROR(__xludf.DUMMYFUNCTION("""COMPUTED_VALUE"""),446.12)</f>
        <v>446.12</v>
      </c>
      <c r="V8" s="156">
        <f>IFERROR(__xludf.DUMMYFUNCTION("""COMPUTED_VALUE"""),20.278181818181817)</f>
        <v>20.27818182</v>
      </c>
      <c r="W8" s="157">
        <f>IFERROR(__xludf.DUMMYFUNCTION("""COMPUTED_VALUE"""),0.1733162095725657)</f>
        <v>0.1733162096</v>
      </c>
      <c r="X8" s="154">
        <f>IFERROR(__xludf.DUMMYFUNCTION("""COMPUTED_VALUE"""),1880984.41908)</f>
        <v>1880984.419</v>
      </c>
      <c r="Y8" s="154"/>
    </row>
    <row r="9">
      <c r="A9" s="150">
        <f>IFERROR(__xludf.DUMMYFUNCTION("""COMPUTED_VALUE"""),45778.0)</f>
        <v>45778</v>
      </c>
      <c r="B9" s="151">
        <f>IFERROR(__xludf.DUMMYFUNCTION("""COMPUTED_VALUE"""),5068576.0)</f>
        <v>5068576</v>
      </c>
      <c r="C9" s="151" t="str">
        <f>IFERROR(__xludf.DUMMYFUNCTION("""COMPUTED_VALUE"""),"Facundo Alvarado ")</f>
        <v>Facundo Alvarado </v>
      </c>
      <c r="D9" s="152">
        <f>IFERROR(__xludf.DUMMYFUNCTION("""COMPUTED_VALUE"""),0.27)</f>
        <v>0.27</v>
      </c>
      <c r="E9" s="153">
        <f>IFERROR(__xludf.DUMMYFUNCTION("""COMPUTED_VALUE"""),12510.0)</f>
        <v>12510</v>
      </c>
      <c r="F9" s="153">
        <f>IFERROR(__xludf.DUMMYFUNCTION("""COMPUTED_VALUE"""),2615.0)</f>
        <v>2615</v>
      </c>
      <c r="G9" s="153">
        <f>IFERROR(__xludf.DUMMYFUNCTION("""COMPUTED_VALUE"""),3156.0)</f>
        <v>3156</v>
      </c>
      <c r="H9" s="153">
        <f>IFERROR(__xludf.DUMMYFUNCTION("""COMPUTED_VALUE"""),6739.0)</f>
        <v>6739</v>
      </c>
      <c r="I9" s="151" t="str">
        <f>IFERROR(__xludf.DUMMYFUNCTION("""COMPUTED_VALUE"""),"T4-Ba")</f>
        <v>T4-Ba</v>
      </c>
      <c r="J9" s="154">
        <f>IFERROR(__xludf.DUMMYFUNCTION("""COMPUTED_VALUE"""),145.3784)</f>
        <v>145.3784</v>
      </c>
      <c r="K9" s="154">
        <f>IFERROR(__xludf.DUMMYFUNCTION("""COMPUTED_VALUE"""),142.6091)</f>
        <v>142.6091</v>
      </c>
      <c r="L9" s="154">
        <f>IFERROR(__xludf.DUMMYFUNCTION("""COMPUTED_VALUE"""),143.8316)</f>
        <v>143.8316</v>
      </c>
      <c r="M9" s="152">
        <f>IFERROR(__xludf.DUMMYFUNCTION("""COMPUTED_VALUE"""),2268.3)</f>
        <v>2268.3</v>
      </c>
      <c r="N9" s="153">
        <f>IFERROR(__xludf.DUMMYFUNCTION("""COMPUTED_VALUE"""),14778.3)</f>
        <v>14778.3</v>
      </c>
      <c r="O9" s="154">
        <f>IFERROR(__xludf.DUMMYFUNCTION("""COMPUTED_VALUE"""),1799519.9880000001)</f>
        <v>1799519.988</v>
      </c>
      <c r="P9" s="154">
        <f>IFERROR(__xludf.DUMMYFUNCTION("""COMPUTED_VALUE"""),1200.0)</f>
        <v>1200</v>
      </c>
      <c r="Q9" s="155">
        <f>IFERROR(__xludf.DUMMYFUNCTION("""COMPUTED_VALUE"""),271.8776819)</f>
        <v>271.8776819</v>
      </c>
      <c r="R9" s="154">
        <f>IFERROR(__xludf.DUMMYFUNCTION("""COMPUTED_VALUE"""),326253.21828000003)</f>
        <v>326253.2183</v>
      </c>
      <c r="S9" s="154">
        <f>IFERROR(__xludf.DUMMYFUNCTION("""COMPUTED_VALUE"""),1465.0)</f>
        <v>1465</v>
      </c>
      <c r="T9" s="154">
        <f>IFERROR(__xludf.DUMMYFUNCTION("""COMPUTED_VALUE"""),505842.0210590451)</f>
        <v>505842.0211</v>
      </c>
      <c r="U9" s="156">
        <f>IFERROR(__xludf.DUMMYFUNCTION("""COMPUTED_VALUE"""),453.6600000000001)</f>
        <v>453.66</v>
      </c>
      <c r="V9" s="156">
        <f>IFERROR(__xludf.DUMMYFUNCTION("""COMPUTED_VALUE"""),20.620909090909095)</f>
        <v>20.62090909</v>
      </c>
      <c r="W9" s="157">
        <f>IFERROR(__xludf.DUMMYFUNCTION("""COMPUTED_VALUE"""),0.15347508253287628)</f>
        <v>0.1534750825</v>
      </c>
      <c r="X9" s="154">
        <f>IFERROR(__xludf.DUMMYFUNCTION("""COMPUTED_VALUE"""),2125773.20628)</f>
        <v>2125773.206</v>
      </c>
      <c r="Y9" s="154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sheetData>
    <row r="1">
      <c r="A1" s="168" t="str">
        <f>Datos!A1</f>
        <v>   Fecha </v>
      </c>
      <c r="B1" s="168" t="str">
        <f>Datos!B1</f>
        <v>NIS</v>
      </c>
      <c r="C1" s="168" t="str">
        <f>Datos!C1</f>
        <v>Cliente</v>
      </c>
      <c r="D1" s="168" t="str">
        <f>Datos!D1</f>
        <v>IVA</v>
      </c>
      <c r="E1" s="168" t="str">
        <f>Datos!E1</f>
        <v>Consumo [kWh]</v>
      </c>
      <c r="F1" s="168" t="str">
        <f>Datos!F1</f>
        <v>Consumo hs punta [kWh]</v>
      </c>
      <c r="G1" s="168" t="str">
        <f>Datos!G1</f>
        <v>Consumo hs valle [kWh]</v>
      </c>
      <c r="H1" s="168" t="str">
        <f>Datos!H1</f>
        <v>Consumo hs resto[kWh]</v>
      </c>
      <c r="I1" s="168" t="str">
        <f>Datos!I1</f>
        <v>Catergoria</v>
      </c>
      <c r="J1" s="168" t="str">
        <f>Datos!J1</f>
        <v>Tarifa punta</v>
      </c>
      <c r="K1" s="168" t="str">
        <f>Datos!K1</f>
        <v>Tarifa valle</v>
      </c>
      <c r="L1" s="168" t="str">
        <f>Datos!L1</f>
        <v>Tarifa resto</v>
      </c>
      <c r="M1" s="168" t="str">
        <f>Datos!M1</f>
        <v>Generacion FV [kWh]</v>
      </c>
      <c r="N1" s="168" t="str">
        <f>Datos!N1</f>
        <v>CONSUMO TOTAL</v>
      </c>
      <c r="O1" s="168" t="str">
        <f>Datos!O1</f>
        <v>Total a pagar S / IVA</v>
      </c>
      <c r="P1" s="168" t="str">
        <f>Datos!P1</f>
        <v>Valor USD</v>
      </c>
      <c r="Q1" s="168" t="str">
        <f>Datos!Q1</f>
        <v>Ahorro (USD)</v>
      </c>
      <c r="R1" s="168" t="str">
        <f>Datos!R1</f>
        <v>Ahorro ($)</v>
      </c>
      <c r="S1" s="168" t="str">
        <f>Datos!S1</f>
        <v>Valor dolar Actual ($)</v>
      </c>
      <c r="T1" s="168" t="str">
        <f>Datos!T1</f>
        <v>Ahorro ($)-A precio actual</v>
      </c>
      <c r="U1" s="168" t="str">
        <f>Datos!U1</f>
        <v>kg CO2e evitados</v>
      </c>
      <c r="V1" s="168" t="str">
        <f>Datos!V1</f>
        <v>Equivalente en árboles</v>
      </c>
      <c r="W1" s="168" t="str">
        <f>Datos!W1</f>
        <v>% de ahorro sobre los consumos</v>
      </c>
      <c r="X1" s="168" t="str">
        <f>Datos!X1</f>
        <v>SIN PANELES S/IVA</v>
      </c>
      <c r="Y1" s="151" t="str">
        <f>Datos!Z1</f>
        <v/>
      </c>
      <c r="Z1" s="151" t="str">
        <f>Datos!AA1</f>
        <v/>
      </c>
    </row>
    <row r="2">
      <c r="A2" s="75">
        <f>'Facundo Alvarado'!A2</f>
        <v>45962</v>
      </c>
      <c r="B2" s="69">
        <f>'Facundo Alvarado'!B2</f>
        <v>5068576</v>
      </c>
      <c r="C2" s="69" t="str">
        <f>'Facundo Alvarado'!C2</f>
        <v>Facundo Alvarado</v>
      </c>
      <c r="D2" s="72">
        <f>'Facundo Alvarado'!D2</f>
        <v>0.27</v>
      </c>
      <c r="E2" s="17">
        <f>'Facundo Alvarado'!E2</f>
        <v>13501</v>
      </c>
      <c r="F2" s="17">
        <f>'Facundo Alvarado'!F2</f>
        <v>2929</v>
      </c>
      <c r="G2" s="17">
        <f>'Facundo Alvarado'!G2</f>
        <v>3482</v>
      </c>
      <c r="H2" s="17">
        <f>'Facundo Alvarado'!H2</f>
        <v>7090</v>
      </c>
      <c r="I2" s="16" t="str">
        <f>'Facundo Alvarado'!I2</f>
        <v>T4-Ba</v>
      </c>
      <c r="J2" s="70">
        <f>'Facundo Alvarado'!J2</f>
        <v>152.0913</v>
      </c>
      <c r="K2" s="70">
        <f>'Facundo Alvarado'!K2</f>
        <v>149.3017</v>
      </c>
      <c r="L2" s="70">
        <f>'Facundo Alvarado'!L2</f>
        <v>150.1043</v>
      </c>
      <c r="M2" s="15">
        <f>'Facundo Alvarado'!M2</f>
        <v>3862.5</v>
      </c>
      <c r="N2" s="17">
        <f>'Facundo Alvarado'!N2</f>
        <v>17363.5</v>
      </c>
      <c r="O2" s="70">
        <f>'Facundo Alvarado'!O2</f>
        <v>2029583.424</v>
      </c>
      <c r="P2" s="70">
        <f>'Facundo Alvarado'!P2</f>
        <v>1470</v>
      </c>
      <c r="Q2" s="170">
        <f>'Facundo Alvarado'!Q2</f>
        <v>394.4067066</v>
      </c>
      <c r="R2" s="70">
        <f>'Facundo Alvarado'!R2</f>
        <v>579777.8588</v>
      </c>
      <c r="S2" s="120">
        <f>'Facundo Alvarado'!S2</f>
        <v>1465</v>
      </c>
      <c r="T2" s="70">
        <f>'Facundo Alvarado'!T2</f>
        <v>733813.398</v>
      </c>
      <c r="U2" s="71">
        <f>'Facundo Alvarado'!U2</f>
        <v>772.5</v>
      </c>
      <c r="V2" s="71">
        <f>'Facundo Alvarado'!V2</f>
        <v>35.11363636</v>
      </c>
      <c r="W2" s="74">
        <f>'Facundo Alvarado'!W2</f>
        <v>0.2221914852</v>
      </c>
      <c r="X2" s="70">
        <f>'Facundo Alvarado'!X2</f>
        <v>2609361.283</v>
      </c>
    </row>
    <row r="3">
      <c r="A3" s="75">
        <f>'Facundo Alvarado'!A3</f>
        <v>45972</v>
      </c>
      <c r="B3" s="69">
        <f>'Facundo Alvarado'!B3</f>
        <v>5068576</v>
      </c>
      <c r="C3" s="69" t="str">
        <f>'Facundo Alvarado'!C3</f>
        <v>Facundo Alvarado </v>
      </c>
      <c r="D3" s="72">
        <f>'Facundo Alvarado'!D3</f>
        <v>0.27</v>
      </c>
      <c r="E3" s="17">
        <f>'Facundo Alvarado'!E3</f>
        <v>13501</v>
      </c>
      <c r="F3" s="17">
        <f>'Facundo Alvarado'!F3</f>
        <v>2929</v>
      </c>
      <c r="G3" s="17">
        <f>'Facundo Alvarado'!G3</f>
        <v>3482</v>
      </c>
      <c r="H3" s="17">
        <f>'Facundo Alvarado'!H3</f>
        <v>7090</v>
      </c>
      <c r="I3" s="16" t="str">
        <f>'Facundo Alvarado'!I3</f>
        <v>T4-Ba</v>
      </c>
      <c r="J3" s="70">
        <f>'Facundo Alvarado'!J3</f>
        <v>152.0913</v>
      </c>
      <c r="K3" s="70">
        <f>'Facundo Alvarado'!K3</f>
        <v>149.3017</v>
      </c>
      <c r="L3" s="70">
        <f>'Facundo Alvarado'!L3</f>
        <v>150.1043</v>
      </c>
      <c r="M3" s="15">
        <f>'Facundo Alvarado'!M3</f>
        <v>3529.5</v>
      </c>
      <c r="N3" s="17">
        <f>'Facundo Alvarado'!N3</f>
        <v>17030.5</v>
      </c>
      <c r="O3" s="70">
        <f>'Facundo Alvarado'!O3</f>
        <v>2029583.424</v>
      </c>
      <c r="P3" s="70">
        <f>'Facundo Alvarado'!P3</f>
        <v>1470</v>
      </c>
      <c r="Q3" s="170">
        <f>'Facundo Alvarado'!Q3</f>
        <v>360.4034877</v>
      </c>
      <c r="R3" s="70">
        <f>'Facundo Alvarado'!R3</f>
        <v>529793.1269</v>
      </c>
      <c r="S3" s="120">
        <f>'Facundo Alvarado'!S3</f>
        <v>1465</v>
      </c>
      <c r="T3" s="70">
        <f>'Facundo Alvarado'!T3</f>
        <v>670548.709</v>
      </c>
      <c r="U3" s="71">
        <f>'Facundo Alvarado'!U3</f>
        <v>705.9</v>
      </c>
      <c r="V3" s="71">
        <f>'Facundo Alvarado'!V3</f>
        <v>32.08636364</v>
      </c>
      <c r="W3" s="74">
        <f>'Facundo Alvarado'!W3</f>
        <v>0.2070008521</v>
      </c>
      <c r="X3" s="70">
        <f>'Facundo Alvarado'!X3</f>
        <v>2559376.551</v>
      </c>
    </row>
    <row r="4">
      <c r="A4" s="75">
        <f>'Facundo Alvarado'!A4</f>
        <v>45931</v>
      </c>
      <c r="B4" s="69">
        <f>'Facundo Alvarado'!B4</f>
        <v>5068576</v>
      </c>
      <c r="C4" s="69" t="str">
        <f>'Facundo Alvarado'!C4</f>
        <v>Facundo Alvarado </v>
      </c>
      <c r="D4" s="72">
        <f>'Facundo Alvarado'!D4</f>
        <v>0.27</v>
      </c>
      <c r="E4" s="17">
        <f>'Facundo Alvarado'!E4</f>
        <v>16121</v>
      </c>
      <c r="F4" s="17">
        <f>'Facundo Alvarado'!F4</f>
        <v>3507</v>
      </c>
      <c r="G4" s="17">
        <f>'Facundo Alvarado'!G4</f>
        <v>4347</v>
      </c>
      <c r="H4" s="17">
        <f>'Facundo Alvarado'!H4</f>
        <v>8267</v>
      </c>
      <c r="I4" s="14" t="str">
        <f>'Facundo Alvarado'!I4</f>
        <v>T4-Ba</v>
      </c>
      <c r="J4" s="70">
        <f>'Facundo Alvarado'!J4</f>
        <v>159.8077</v>
      </c>
      <c r="K4" s="70">
        <f>'Facundo Alvarado'!K4</f>
        <v>156.9735</v>
      </c>
      <c r="L4" s="70">
        <f>'Facundo Alvarado'!L4</f>
        <v>158.2241</v>
      </c>
      <c r="M4" s="15">
        <f>'Facundo Alvarado'!M4</f>
        <v>3708.5</v>
      </c>
      <c r="N4" s="17">
        <f>'Facundo Alvarado'!N4</f>
        <v>19829.5</v>
      </c>
      <c r="O4" s="70">
        <f>'Facundo Alvarado'!O4</f>
        <v>2550848.043</v>
      </c>
      <c r="P4" s="70">
        <f>'Facundo Alvarado'!P4</f>
        <v>1450</v>
      </c>
      <c r="Q4" s="170">
        <f>'Facundo Alvarado'!Q4</f>
        <v>404.6717758</v>
      </c>
      <c r="R4" s="70">
        <f>'Facundo Alvarado'!R4</f>
        <v>586774.0749</v>
      </c>
      <c r="S4" s="120">
        <f>'Facundo Alvarado'!S4</f>
        <v>1465</v>
      </c>
      <c r="T4" s="70">
        <f>'Facundo Alvarado'!T4</f>
        <v>752912.0724</v>
      </c>
      <c r="U4" s="71">
        <f>'Facundo Alvarado'!U4</f>
        <v>741.7</v>
      </c>
      <c r="V4" s="71">
        <f>'Facundo Alvarado'!V4</f>
        <v>33.71363636</v>
      </c>
      <c r="W4" s="74">
        <f>'Facundo Alvarado'!W4</f>
        <v>0.1870123465</v>
      </c>
      <c r="X4" s="70">
        <f>'Facundo Alvarado'!X4</f>
        <v>3137622.118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sheetData>
    <row r="1">
      <c r="A1" s="168" t="str">
        <f>Datos!A1</f>
        <v>   Fecha </v>
      </c>
      <c r="B1" s="168" t="str">
        <f>Datos!B1</f>
        <v>NIS</v>
      </c>
      <c r="C1" s="168" t="str">
        <f>Datos!C1</f>
        <v>Cliente</v>
      </c>
      <c r="D1" s="168" t="str">
        <f>Datos!D1</f>
        <v>IVA</v>
      </c>
      <c r="E1" s="168" t="str">
        <f>Datos!E1</f>
        <v>Consumo [kWh]</v>
      </c>
      <c r="F1" s="168" t="str">
        <f>Datos!F1</f>
        <v>Consumo hs punta [kWh]</v>
      </c>
      <c r="G1" s="168" t="str">
        <f>Datos!G1</f>
        <v>Consumo hs valle [kWh]</v>
      </c>
      <c r="H1" s="168" t="str">
        <f>Datos!H1</f>
        <v>Consumo hs resto[kWh]</v>
      </c>
      <c r="I1" s="168" t="str">
        <f>Datos!I1</f>
        <v>Catergoria</v>
      </c>
      <c r="J1" s="168" t="str">
        <f>Datos!J1</f>
        <v>Tarifa punta</v>
      </c>
      <c r="K1" s="168" t="str">
        <f>Datos!K1</f>
        <v>Tarifa valle</v>
      </c>
      <c r="L1" s="168" t="str">
        <f>Datos!L1</f>
        <v>Tarifa resto</v>
      </c>
      <c r="M1" s="168" t="str">
        <f>Datos!M1</f>
        <v>Generacion FV [kWh]</v>
      </c>
      <c r="N1" s="168" t="str">
        <f>Datos!N1</f>
        <v>CONSUMO TOTAL</v>
      </c>
      <c r="O1" s="168" t="str">
        <f>Datos!O1</f>
        <v>Total a pagar S / IVA</v>
      </c>
      <c r="P1" s="168" t="str">
        <f>Datos!P1</f>
        <v>Valor USD</v>
      </c>
      <c r="Q1" s="168" t="str">
        <f>Datos!Q1</f>
        <v>Ahorro (USD)</v>
      </c>
      <c r="R1" s="168" t="str">
        <f>Datos!R1</f>
        <v>Ahorro ($)</v>
      </c>
      <c r="S1" s="168" t="str">
        <f>Datos!S1</f>
        <v>Valor dolar Actual ($)</v>
      </c>
      <c r="T1" s="168" t="str">
        <f>Datos!T1</f>
        <v>Ahorro ($)-A precio actual</v>
      </c>
      <c r="U1" s="168" t="str">
        <f>Datos!U1</f>
        <v>kg CO2e evitados</v>
      </c>
      <c r="V1" s="168" t="str">
        <f>Datos!V1</f>
        <v>Equivalente en árboles</v>
      </c>
      <c r="W1" s="168" t="str">
        <f>Datos!W1</f>
        <v>% de ahorro sobre los consumos</v>
      </c>
      <c r="X1" s="168" t="str">
        <f>Datos!X1</f>
        <v>SIN PANELES S/IVA</v>
      </c>
    </row>
    <row r="2" ht="15.75" customHeight="1">
      <c r="A2" s="75">
        <f>IFERROR(__xludf.DUMMYFUNCTION("FILTER(Datos!1:1247,Datos!B:B=5214767)"),45992.0)</f>
        <v>45992</v>
      </c>
      <c r="B2" s="171">
        <f>IFERROR(__xludf.DUMMYFUNCTION("""COMPUTED_VALUE"""),5214767.0)</f>
        <v>5214767</v>
      </c>
      <c r="C2" s="69" t="str">
        <f>IFERROR(__xludf.DUMMYFUNCTION("""COMPUTED_VALUE"""),"La Carolina")</f>
        <v>La Carolina</v>
      </c>
      <c r="D2" s="72">
        <f>IFERROR(__xludf.DUMMYFUNCTION("""COMPUTED_VALUE"""),0.27)</f>
        <v>0.27</v>
      </c>
      <c r="E2" s="17">
        <f>IFERROR(__xludf.DUMMYFUNCTION("""COMPUTED_VALUE"""),6345.0)</f>
        <v>6345</v>
      </c>
      <c r="F2" s="17">
        <f>IFERROR(__xludf.DUMMYFUNCTION("""COMPUTED_VALUE"""),1180.0)</f>
        <v>1180</v>
      </c>
      <c r="G2" s="17">
        <f>IFERROR(__xludf.DUMMYFUNCTION("""COMPUTED_VALUE"""),343.0)</f>
        <v>343</v>
      </c>
      <c r="H2" s="17">
        <f>IFERROR(__xludf.DUMMYFUNCTION("""COMPUTED_VALUE"""),4822.0)</f>
        <v>4822</v>
      </c>
      <c r="I2" s="16" t="str">
        <f>IFERROR(__xludf.DUMMYFUNCTION("""COMPUTED_VALUE"""),"T2-Ba")</f>
        <v>T2-Ba</v>
      </c>
      <c r="J2" s="70">
        <f>IFERROR(__xludf.DUMMYFUNCTION("""COMPUTED_VALUE"""),148.2814)</f>
        <v>148.2814</v>
      </c>
      <c r="K2" s="70">
        <f>IFERROR(__xludf.DUMMYFUNCTION("""COMPUTED_VALUE"""),148.2814)</f>
        <v>148.2814</v>
      </c>
      <c r="L2" s="70">
        <f>IFERROR(__xludf.DUMMYFUNCTION("""COMPUTED_VALUE"""),148.2814)</f>
        <v>148.2814</v>
      </c>
      <c r="M2" s="15">
        <f>IFERROR(__xludf.DUMMYFUNCTION("""COMPUTED_VALUE"""),5109.8)</f>
        <v>5109.8</v>
      </c>
      <c r="N2" s="17">
        <f>IFERROR(__xludf.DUMMYFUNCTION("""COMPUTED_VALUE"""),11454.8)</f>
        <v>11454.8</v>
      </c>
      <c r="O2" s="70">
        <f>IFERROR(__xludf.DUMMYFUNCTION("""COMPUTED_VALUE"""),940845.483)</f>
        <v>940845.483</v>
      </c>
      <c r="P2" s="70">
        <f>IFERROR(__xludf.DUMMYFUNCTION("""COMPUTED_VALUE"""),1470.0)</f>
        <v>1470</v>
      </c>
      <c r="Q2" s="170">
        <f>IFERROR(__xludf.DUMMYFUNCTION("""COMPUTED_VALUE"""),515.4342161360545)</f>
        <v>515.4342161</v>
      </c>
      <c r="R2" s="70">
        <f>IFERROR(__xludf.DUMMYFUNCTION("""COMPUTED_VALUE"""),757688.2977200001)</f>
        <v>757688.2977</v>
      </c>
      <c r="S2" s="120">
        <f>IFERROR(__xludf.DUMMYFUNCTION("""COMPUTED_VALUE"""),1465.0)</f>
        <v>1465</v>
      </c>
      <c r="T2" s="70">
        <f>IFERROR(__xludf.DUMMYFUNCTION("""COMPUTED_VALUE"""),958991.1308319361)</f>
        <v>958991.1308</v>
      </c>
      <c r="U2" s="71">
        <f>IFERROR(__xludf.DUMMYFUNCTION("""COMPUTED_VALUE"""),1021.96)</f>
        <v>1021.96</v>
      </c>
      <c r="V2" s="71">
        <f>IFERROR(__xludf.DUMMYFUNCTION("""COMPUTED_VALUE"""),46.45272727272727)</f>
        <v>46.45272727</v>
      </c>
      <c r="W2" s="74">
        <f>IFERROR(__xludf.DUMMYFUNCTION("""COMPUTED_VALUE"""),0.4460837378216993)</f>
        <v>0.4460837378</v>
      </c>
      <c r="X2" s="70">
        <f>IFERROR(__xludf.DUMMYFUNCTION("""COMPUTED_VALUE"""),1698533.7807200002)</f>
        <v>1698533.781</v>
      </c>
      <c r="Y2" s="154"/>
    </row>
    <row r="3" ht="15.75" customHeight="1">
      <c r="A3" s="75">
        <f>IFERROR(__xludf.DUMMYFUNCTION("""COMPUTED_VALUE"""),45971.0)</f>
        <v>45971</v>
      </c>
      <c r="B3" s="171">
        <f>IFERROR(__xludf.DUMMYFUNCTION("""COMPUTED_VALUE"""),5214767.0)</f>
        <v>5214767</v>
      </c>
      <c r="C3" s="69" t="str">
        <f>IFERROR(__xludf.DUMMYFUNCTION("""COMPUTED_VALUE"""),"La Carolina ")</f>
        <v>La Carolina </v>
      </c>
      <c r="D3" s="72">
        <f>IFERROR(__xludf.DUMMYFUNCTION("""COMPUTED_VALUE"""),0.27)</f>
        <v>0.27</v>
      </c>
      <c r="E3" s="17">
        <f>IFERROR(__xludf.DUMMYFUNCTION("""COMPUTED_VALUE"""),4876.0)</f>
        <v>4876</v>
      </c>
      <c r="F3" s="17">
        <f>IFERROR(__xludf.DUMMYFUNCTION("""COMPUTED_VALUE"""),766.0)</f>
        <v>766</v>
      </c>
      <c r="G3" s="17">
        <f>IFERROR(__xludf.DUMMYFUNCTION("""COMPUTED_VALUE"""),2.0)</f>
        <v>2</v>
      </c>
      <c r="H3" s="17">
        <f>IFERROR(__xludf.DUMMYFUNCTION("""COMPUTED_VALUE"""),4108.0)</f>
        <v>4108</v>
      </c>
      <c r="I3" s="16" t="str">
        <f>IFERROR(__xludf.DUMMYFUNCTION("""COMPUTED_VALUE"""),"T2-Ba")</f>
        <v>T2-Ba</v>
      </c>
      <c r="J3" s="70">
        <f>IFERROR(__xludf.DUMMYFUNCTION("""COMPUTED_VALUE"""),145.8675)</f>
        <v>145.8675</v>
      </c>
      <c r="K3" s="70">
        <f>IFERROR(__xludf.DUMMYFUNCTION("""COMPUTED_VALUE"""),145.8675)</f>
        <v>145.8675</v>
      </c>
      <c r="L3" s="70">
        <f>IFERROR(__xludf.DUMMYFUNCTION("""COMPUTED_VALUE"""),145.8675)</f>
        <v>145.8675</v>
      </c>
      <c r="M3" s="15">
        <f>IFERROR(__xludf.DUMMYFUNCTION("""COMPUTED_VALUE"""),5400.1)</f>
        <v>5400.1</v>
      </c>
      <c r="N3" s="17">
        <f>IFERROR(__xludf.DUMMYFUNCTION("""COMPUTED_VALUE"""),10276.1)</f>
        <v>10276.1</v>
      </c>
      <c r="O3" s="70">
        <f>IFERROR(__xludf.DUMMYFUNCTION("""COMPUTED_VALUE"""),711249.93)</f>
        <v>711249.93</v>
      </c>
      <c r="P3" s="70">
        <f>IFERROR(__xludf.DUMMYFUNCTION("""COMPUTED_VALUE"""),1470.0)</f>
        <v>1470</v>
      </c>
      <c r="Q3" s="170">
        <f>IFERROR(__xludf.DUMMYFUNCTION("""COMPUTED_VALUE"""),535.8497188775511)</f>
        <v>535.8497189</v>
      </c>
      <c r="R3" s="70">
        <f>IFERROR(__xludf.DUMMYFUNCTION("""COMPUTED_VALUE"""),787699.0867500001)</f>
        <v>787699.0868</v>
      </c>
      <c r="S3" s="120">
        <f>IFERROR(__xludf.DUMMYFUNCTION("""COMPUTED_VALUE"""),1465.0)</f>
        <v>1465</v>
      </c>
      <c r="T3" s="70">
        <f>IFERROR(__xludf.DUMMYFUNCTION("""COMPUTED_VALUE"""),996975.1944576278)</f>
        <v>996975.1945</v>
      </c>
      <c r="U3" s="71">
        <f>IFERROR(__xludf.DUMMYFUNCTION("""COMPUTED_VALUE"""),1080.0200000000002)</f>
        <v>1080.02</v>
      </c>
      <c r="V3" s="71">
        <f>IFERROR(__xludf.DUMMYFUNCTION("""COMPUTED_VALUE"""),49.09181818181819)</f>
        <v>49.09181818</v>
      </c>
      <c r="W3" s="74">
        <f>IFERROR(__xludf.DUMMYFUNCTION("""COMPUTED_VALUE"""),0.5255009196095795)</f>
        <v>0.5255009196</v>
      </c>
      <c r="X3" s="70">
        <f>IFERROR(__xludf.DUMMYFUNCTION("""COMPUTED_VALUE"""),1498949.0167500002)</f>
        <v>1498949.017</v>
      </c>
      <c r="Y3" s="154"/>
    </row>
    <row r="4" ht="15.75" customHeight="1">
      <c r="A4" s="75">
        <f>IFERROR(__xludf.DUMMYFUNCTION("""COMPUTED_VALUE"""),45931.0)</f>
        <v>45931</v>
      </c>
      <c r="B4" s="171">
        <f>IFERROR(__xludf.DUMMYFUNCTION("""COMPUTED_VALUE"""),5214767.0)</f>
        <v>5214767</v>
      </c>
      <c r="C4" s="69" t="str">
        <f>IFERROR(__xludf.DUMMYFUNCTION("""COMPUTED_VALUE"""),"La Carolina ")</f>
        <v>La Carolina </v>
      </c>
      <c r="D4" s="72">
        <f>IFERROR(__xludf.DUMMYFUNCTION("""COMPUTED_VALUE"""),0.27)</f>
        <v>0.27</v>
      </c>
      <c r="E4" s="17">
        <f>IFERROR(__xludf.DUMMYFUNCTION("""COMPUTED_VALUE"""),4781.0)</f>
        <v>4781</v>
      </c>
      <c r="F4" s="17">
        <f>IFERROR(__xludf.DUMMYFUNCTION("""COMPUTED_VALUE"""),1034.0)</f>
        <v>1034</v>
      </c>
      <c r="G4" s="17">
        <f>IFERROR(__xludf.DUMMYFUNCTION("""COMPUTED_VALUE"""),31.0)</f>
        <v>31</v>
      </c>
      <c r="H4" s="17">
        <f>IFERROR(__xludf.DUMMYFUNCTION("""COMPUTED_VALUE"""),3716.0)</f>
        <v>3716</v>
      </c>
      <c r="I4" s="14" t="str">
        <f>IFERROR(__xludf.DUMMYFUNCTION("""COMPUTED_VALUE"""),"T2-Ba")</f>
        <v>T2-Ba</v>
      </c>
      <c r="J4" s="70">
        <f>IFERROR(__xludf.DUMMYFUNCTION("""COMPUTED_VALUE"""),157.071)</f>
        <v>157.071</v>
      </c>
      <c r="K4" s="70">
        <f>IFERROR(__xludf.DUMMYFUNCTION("""COMPUTED_VALUE"""),157.071)</f>
        <v>157.071</v>
      </c>
      <c r="L4" s="70">
        <f>IFERROR(__xludf.DUMMYFUNCTION("""COMPUTED_VALUE"""),157.071)</f>
        <v>157.071</v>
      </c>
      <c r="M4" s="15">
        <f>IFERROR(__xludf.DUMMYFUNCTION("""COMPUTED_VALUE"""),5813.3)</f>
        <v>5813.3</v>
      </c>
      <c r="N4" s="17">
        <f>IFERROR(__xludf.DUMMYFUNCTION("""COMPUTED_VALUE"""),10594.3)</f>
        <v>10594.3</v>
      </c>
      <c r="O4" s="70">
        <f>IFERROR(__xludf.DUMMYFUNCTION("""COMPUTED_VALUE"""),750956.451)</f>
        <v>750956.451</v>
      </c>
      <c r="P4" s="70">
        <f>IFERROR(__xludf.DUMMYFUNCTION("""COMPUTED_VALUE"""),1450.0)</f>
        <v>1450</v>
      </c>
      <c r="Q4" s="170">
        <f>IFERROR(__xludf.DUMMYFUNCTION("""COMPUTED_VALUE"""),629.7247202068966)</f>
        <v>629.7247202</v>
      </c>
      <c r="R4" s="70">
        <f>IFERROR(__xludf.DUMMYFUNCTION("""COMPUTED_VALUE"""),913100.8443)</f>
        <v>913100.8443</v>
      </c>
      <c r="S4" s="120">
        <f>IFERROR(__xludf.DUMMYFUNCTION("""COMPUTED_VALUE"""),1465.0)</f>
        <v>1465</v>
      </c>
      <c r="T4" s="70">
        <f>IFERROR(__xludf.DUMMYFUNCTION("""COMPUTED_VALUE"""),1171634.3281809413)</f>
        <v>1171634.328</v>
      </c>
      <c r="U4" s="71">
        <f>IFERROR(__xludf.DUMMYFUNCTION("""COMPUTED_VALUE"""),1162.66)</f>
        <v>1162.66</v>
      </c>
      <c r="V4" s="71">
        <f>IFERROR(__xludf.DUMMYFUNCTION("""COMPUTED_VALUE"""),52.84818181818182)</f>
        <v>52.84818182</v>
      </c>
      <c r="W4" s="74">
        <f>IFERROR(__xludf.DUMMYFUNCTION("""COMPUTED_VALUE"""),0.5487195944989287)</f>
        <v>0.5487195945</v>
      </c>
      <c r="X4" s="70">
        <f>IFERROR(__xludf.DUMMYFUNCTION("""COMPUTED_VALUE"""),1664057.2952999999)</f>
        <v>1664057.295</v>
      </c>
      <c r="Y4" s="154"/>
    </row>
    <row r="5" ht="15.75" customHeight="1">
      <c r="A5" s="75">
        <f>IFERROR(__xludf.DUMMYFUNCTION("""COMPUTED_VALUE"""),45910.0)</f>
        <v>45910</v>
      </c>
      <c r="B5" s="171">
        <f>IFERROR(__xludf.DUMMYFUNCTION("""COMPUTED_VALUE"""),5214767.0)</f>
        <v>5214767</v>
      </c>
      <c r="C5" s="69" t="str">
        <f>IFERROR(__xludf.DUMMYFUNCTION("""COMPUTED_VALUE"""),"La Carolina ")</f>
        <v>La Carolina </v>
      </c>
      <c r="D5" s="72">
        <f>IFERROR(__xludf.DUMMYFUNCTION("""COMPUTED_VALUE"""),0.27)</f>
        <v>0.27</v>
      </c>
      <c r="E5" s="17">
        <f>IFERROR(__xludf.DUMMYFUNCTION("""COMPUTED_VALUE"""),6396.0)</f>
        <v>6396</v>
      </c>
      <c r="F5" s="17">
        <f>IFERROR(__xludf.DUMMYFUNCTION("""COMPUTED_VALUE"""),1726.0)</f>
        <v>1726</v>
      </c>
      <c r="G5" s="17">
        <f>IFERROR(__xludf.DUMMYFUNCTION("""COMPUTED_VALUE"""),2.0)</f>
        <v>2</v>
      </c>
      <c r="H5" s="17">
        <f>IFERROR(__xludf.DUMMYFUNCTION("""COMPUTED_VALUE"""),4668.0)</f>
        <v>4668</v>
      </c>
      <c r="I5" s="14" t="str">
        <f>IFERROR(__xludf.DUMMYFUNCTION("""COMPUTED_VALUE"""),"T2-Ba")</f>
        <v>T2-Ba</v>
      </c>
      <c r="J5" s="70">
        <f>IFERROR(__xludf.DUMMYFUNCTION("""COMPUTED_VALUE"""),156.8264)</f>
        <v>156.8264</v>
      </c>
      <c r="K5" s="70">
        <f>IFERROR(__xludf.DUMMYFUNCTION("""COMPUTED_VALUE"""),156.8264)</f>
        <v>156.8264</v>
      </c>
      <c r="L5" s="70">
        <f>IFERROR(__xludf.DUMMYFUNCTION("""COMPUTED_VALUE"""),156.8264)</f>
        <v>156.8264</v>
      </c>
      <c r="M5" s="15">
        <f>IFERROR(__xludf.DUMMYFUNCTION("""COMPUTED_VALUE"""),4974.6)</f>
        <v>4974.6</v>
      </c>
      <c r="N5" s="17">
        <f>IFERROR(__xludf.DUMMYFUNCTION("""COMPUTED_VALUE"""),11370.6)</f>
        <v>11370.6</v>
      </c>
      <c r="O5" s="70">
        <f>IFERROR(__xludf.DUMMYFUNCTION("""COMPUTED_VALUE"""),1003061.6544)</f>
        <v>1003061.654</v>
      </c>
      <c r="P5" s="70">
        <f>IFERROR(__xludf.DUMMYFUNCTION("""COMPUTED_VALUE"""),1425.0)</f>
        <v>1425</v>
      </c>
      <c r="Q5" s="170">
        <f>IFERROR(__xludf.DUMMYFUNCTION("""COMPUTED_VALUE"""),547.4727083789475)</f>
        <v>547.4727084</v>
      </c>
      <c r="R5" s="70">
        <f>IFERROR(__xludf.DUMMYFUNCTION("""COMPUTED_VALUE"""),780148.6094400001)</f>
        <v>780148.6094</v>
      </c>
      <c r="S5" s="120">
        <f>IFERROR(__xludf.DUMMYFUNCTION("""COMPUTED_VALUE"""),1465.0)</f>
        <v>1465</v>
      </c>
      <c r="T5" s="70">
        <f>IFERROR(__xludf.DUMMYFUNCTION("""COMPUTED_VALUE"""),1018600.3475744508)</f>
        <v>1018600.348</v>
      </c>
      <c r="U5" s="71">
        <f>IFERROR(__xludf.DUMMYFUNCTION("""COMPUTED_VALUE"""),994.9200000000001)</f>
        <v>994.92</v>
      </c>
      <c r="V5" s="71">
        <f>IFERROR(__xludf.DUMMYFUNCTION("""COMPUTED_VALUE"""),45.223636363636366)</f>
        <v>45.22363636</v>
      </c>
      <c r="W5" s="74">
        <f>IFERROR(__xludf.DUMMYFUNCTION("""COMPUTED_VALUE"""),0.43749670202100155)</f>
        <v>0.437496702</v>
      </c>
      <c r="X5" s="70">
        <f>IFERROR(__xludf.DUMMYFUNCTION("""COMPUTED_VALUE"""),1783210.2638400001)</f>
        <v>1783210.264</v>
      </c>
      <c r="Y5" s="154"/>
    </row>
    <row r="6">
      <c r="A6" s="75">
        <f>IFERROR(__xludf.DUMMYFUNCTION("""COMPUTED_VALUE"""),45878.0)</f>
        <v>45878</v>
      </c>
      <c r="B6" s="171">
        <f>IFERROR(__xludf.DUMMYFUNCTION("""COMPUTED_VALUE"""),5214767.0)</f>
        <v>5214767</v>
      </c>
      <c r="C6" s="69" t="str">
        <f>IFERROR(__xludf.DUMMYFUNCTION("""COMPUTED_VALUE"""),"La Carolina ")</f>
        <v>La Carolina </v>
      </c>
      <c r="D6" s="72">
        <f>IFERROR(__xludf.DUMMYFUNCTION("""COMPUTED_VALUE"""),0.27)</f>
        <v>0.27</v>
      </c>
      <c r="E6" s="17">
        <f>IFERROR(__xludf.DUMMYFUNCTION("""COMPUTED_VALUE"""),7525.0)</f>
        <v>7525</v>
      </c>
      <c r="F6" s="17">
        <f>IFERROR(__xludf.DUMMYFUNCTION("""COMPUTED_VALUE"""),1040.0)</f>
        <v>1040</v>
      </c>
      <c r="G6" s="17">
        <f>IFERROR(__xludf.DUMMYFUNCTION("""COMPUTED_VALUE"""),342.0)</f>
        <v>342</v>
      </c>
      <c r="H6" s="17">
        <f>IFERROR(__xludf.DUMMYFUNCTION("""COMPUTED_VALUE"""),1579.0)</f>
        <v>1579</v>
      </c>
      <c r="I6" s="14" t="str">
        <f>IFERROR(__xludf.DUMMYFUNCTION("""COMPUTED_VALUE"""),"T2-Ba")</f>
        <v>T2-Ba</v>
      </c>
      <c r="J6" s="70">
        <f>IFERROR(__xludf.DUMMYFUNCTION("""COMPUTED_VALUE"""),156.5178)</f>
        <v>156.5178</v>
      </c>
      <c r="K6" s="70">
        <f>IFERROR(__xludf.DUMMYFUNCTION("""COMPUTED_VALUE"""),156.5178)</f>
        <v>156.5178</v>
      </c>
      <c r="L6" s="70">
        <f>IFERROR(__xludf.DUMMYFUNCTION("""COMPUTED_VALUE"""),156.5178)</f>
        <v>156.5178</v>
      </c>
      <c r="M6" s="15">
        <f>IFERROR(__xludf.DUMMYFUNCTION("""COMPUTED_VALUE"""),4748.5)</f>
        <v>4748.5</v>
      </c>
      <c r="N6" s="17">
        <f>IFERROR(__xludf.DUMMYFUNCTION("""COMPUTED_VALUE"""),12273.5)</f>
        <v>12273.5</v>
      </c>
      <c r="O6" s="70">
        <f>IFERROR(__xludf.DUMMYFUNCTION("""COMPUTED_VALUE"""),463449.2058)</f>
        <v>463449.2058</v>
      </c>
      <c r="P6" s="70">
        <f>IFERROR(__xludf.DUMMYFUNCTION("""COMPUTED_VALUE"""),1340.0)</f>
        <v>1340</v>
      </c>
      <c r="Q6" s="170">
        <f>IFERROR(__xludf.DUMMYFUNCTION("""COMPUTED_VALUE"""),554.6453532089553)</f>
        <v>554.6453532</v>
      </c>
      <c r="R6" s="70">
        <f>IFERROR(__xludf.DUMMYFUNCTION("""COMPUTED_VALUE"""),743224.7733000001)</f>
        <v>743224.7733</v>
      </c>
      <c r="S6" s="120">
        <f>IFERROR(__xludf.DUMMYFUNCTION("""COMPUTED_VALUE"""),1465.0)</f>
        <v>1465</v>
      </c>
      <c r="T6" s="70">
        <f>IFERROR(__xludf.DUMMYFUNCTION("""COMPUTED_VALUE"""),1031945.4119129217)</f>
        <v>1031945.412</v>
      </c>
      <c r="U6" s="71">
        <f>IFERROR(__xludf.DUMMYFUNCTION("""COMPUTED_VALUE"""),949.7)</f>
        <v>949.7</v>
      </c>
      <c r="V6" s="71">
        <f>IFERROR(__xludf.DUMMYFUNCTION("""COMPUTED_VALUE"""),43.16818181818182)</f>
        <v>43.16818182</v>
      </c>
      <c r="W6" s="74">
        <f>IFERROR(__xludf.DUMMYFUNCTION("""COMPUTED_VALUE"""),0.615928400025942)</f>
        <v>0.6159284</v>
      </c>
      <c r="X6" s="70">
        <f>IFERROR(__xludf.DUMMYFUNCTION("""COMPUTED_VALUE"""),1206673.9791)</f>
        <v>1206673.979</v>
      </c>
      <c r="Y6" s="154"/>
    </row>
    <row r="7" ht="15.75" customHeight="1">
      <c r="A7" s="75">
        <f>IFERROR(__xludf.DUMMYFUNCTION("""COMPUTED_VALUE"""),45839.0)</f>
        <v>45839</v>
      </c>
      <c r="B7" s="171">
        <f>IFERROR(__xludf.DUMMYFUNCTION("""COMPUTED_VALUE"""),5214767.0)</f>
        <v>5214767</v>
      </c>
      <c r="C7" s="69" t="str">
        <f>IFERROR(__xludf.DUMMYFUNCTION("""COMPUTED_VALUE"""),"La Carolina ")</f>
        <v>La Carolina </v>
      </c>
      <c r="D7" s="72">
        <f>IFERROR(__xludf.DUMMYFUNCTION("""COMPUTED_VALUE"""),0.27)</f>
        <v>0.27</v>
      </c>
      <c r="E7" s="17">
        <f>IFERROR(__xludf.DUMMYFUNCTION("""COMPUTED_VALUE"""),2963.0)</f>
        <v>2963</v>
      </c>
      <c r="F7" s="17"/>
      <c r="G7" s="17"/>
      <c r="H7" s="17">
        <f>IFERROR(__xludf.DUMMYFUNCTION("""COMPUTED_VALUE"""),2963.0)</f>
        <v>2963</v>
      </c>
      <c r="I7" s="16" t="str">
        <f>IFERROR(__xludf.DUMMYFUNCTION("""COMPUTED_VALUE"""),"T2-Ba")</f>
        <v>T2-Ba</v>
      </c>
      <c r="J7" s="70">
        <f>IFERROR(__xludf.DUMMYFUNCTION("""COMPUTED_VALUE"""),148.82)</f>
        <v>148.82</v>
      </c>
      <c r="K7" s="70">
        <f>IFERROR(__xludf.DUMMYFUNCTION("""COMPUTED_VALUE"""),148.82)</f>
        <v>148.82</v>
      </c>
      <c r="L7" s="70">
        <f>IFERROR(__xludf.DUMMYFUNCTION("""COMPUTED_VALUE"""),148.82)</f>
        <v>148.82</v>
      </c>
      <c r="M7" s="15">
        <f>IFERROR(__xludf.DUMMYFUNCTION("""COMPUTED_VALUE"""),4566.4)</f>
        <v>4566.4</v>
      </c>
      <c r="N7" s="17">
        <f>IFERROR(__xludf.DUMMYFUNCTION("""COMPUTED_VALUE"""),7529.4)</f>
        <v>7529.4</v>
      </c>
      <c r="O7" s="70">
        <f>IFERROR(__xludf.DUMMYFUNCTION("""COMPUTED_VALUE"""),238235.1788)</f>
        <v>238235.1788</v>
      </c>
      <c r="P7" s="70">
        <f>IFERROR(__xludf.DUMMYFUNCTION("""COMPUTED_VALUE"""),1280.0)</f>
        <v>1280</v>
      </c>
      <c r="Q7" s="170">
        <f>IFERROR(__xludf.DUMMYFUNCTION("""COMPUTED_VALUE"""),528.876167)</f>
        <v>528.876167</v>
      </c>
      <c r="R7" s="70">
        <f>IFERROR(__xludf.DUMMYFUNCTION("""COMPUTED_VALUE"""),676961.49376)</f>
        <v>676961.4938</v>
      </c>
      <c r="S7" s="120">
        <f>IFERROR(__xludf.DUMMYFUNCTION("""COMPUTED_VALUE"""),1465.0)</f>
        <v>1465</v>
      </c>
      <c r="T7" s="70">
        <f>IFERROR(__xludf.DUMMYFUNCTION("""COMPUTED_VALUE"""),984000.55251185)</f>
        <v>984000.5525</v>
      </c>
      <c r="U7" s="71">
        <f>IFERROR(__xludf.DUMMYFUNCTION("""COMPUTED_VALUE"""),913.28)</f>
        <v>913.28</v>
      </c>
      <c r="V7" s="71">
        <f>IFERROR(__xludf.DUMMYFUNCTION("""COMPUTED_VALUE"""),41.51272727272727)</f>
        <v>41.51272727</v>
      </c>
      <c r="W7" s="74">
        <f>IFERROR(__xludf.DUMMYFUNCTION("""COMPUTED_VALUE"""),0.7396896361810348)</f>
        <v>0.7396896362</v>
      </c>
      <c r="X7" s="70">
        <f>IFERROR(__xludf.DUMMYFUNCTION("""COMPUTED_VALUE"""),915196.67256)</f>
        <v>915196.6726</v>
      </c>
      <c r="Y7" s="154"/>
    </row>
    <row r="8" ht="15.75" customHeight="1">
      <c r="A8" s="75">
        <f>IFERROR(__xludf.DUMMYFUNCTION("""COMPUTED_VALUE"""),45809.0)</f>
        <v>45809</v>
      </c>
      <c r="B8" s="171">
        <f>IFERROR(__xludf.DUMMYFUNCTION("""COMPUTED_VALUE"""),5214767.0)</f>
        <v>5214767</v>
      </c>
      <c r="C8" s="69" t="str">
        <f>IFERROR(__xludf.DUMMYFUNCTION("""COMPUTED_VALUE"""),"La Carolina ")</f>
        <v>La Carolina </v>
      </c>
      <c r="D8" s="72">
        <f>IFERROR(__xludf.DUMMYFUNCTION("""COMPUTED_VALUE"""),0.27)</f>
        <v>0.27</v>
      </c>
      <c r="E8" s="17">
        <f>IFERROR(__xludf.DUMMYFUNCTION("""COMPUTED_VALUE"""),1607.0)</f>
        <v>1607</v>
      </c>
      <c r="F8" s="17"/>
      <c r="G8" s="17"/>
      <c r="H8" s="17">
        <f>IFERROR(__xludf.DUMMYFUNCTION("""COMPUTED_VALUE"""),1607.0)</f>
        <v>1607</v>
      </c>
      <c r="I8" s="16" t="str">
        <f>IFERROR(__xludf.DUMMYFUNCTION("""COMPUTED_VALUE"""),"T2-Ba")</f>
        <v>T2-Ba</v>
      </c>
      <c r="J8" s="70">
        <f>IFERROR(__xludf.DUMMYFUNCTION("""COMPUTED_VALUE"""),148.2484)</f>
        <v>148.2484</v>
      </c>
      <c r="K8" s="70">
        <f>IFERROR(__xludf.DUMMYFUNCTION("""COMPUTED_VALUE"""),148.2484)</f>
        <v>148.2484</v>
      </c>
      <c r="L8" s="70">
        <f>IFERROR(__xludf.DUMMYFUNCTION("""COMPUTED_VALUE"""),148.2484)</f>
        <v>148.2484</v>
      </c>
      <c r="M8" s="15">
        <f>IFERROR(__xludf.DUMMYFUNCTION("""COMPUTED_VALUE"""),2638.9)</f>
        <v>2638.9</v>
      </c>
      <c r="N8" s="17">
        <f>IFERROR(__xludf.DUMMYFUNCTION("""COMPUTED_VALUE"""),4245.9)</f>
        <v>4245.9</v>
      </c>
      <c r="O8" s="70">
        <f>IFERROR(__xludf.DUMMYFUNCTION("""COMPUTED_VALUE"""),238235.1788)</f>
        <v>238235.1788</v>
      </c>
      <c r="P8" s="70">
        <f>IFERROR(__xludf.DUMMYFUNCTION("""COMPUTED_VALUE"""),1280.0)</f>
        <v>1280</v>
      </c>
      <c r="Q8" s="170">
        <f>IFERROR(__xludf.DUMMYFUNCTION("""COMPUTED_VALUE"""),305.63492403125)</f>
        <v>305.634924</v>
      </c>
      <c r="R8" s="70">
        <f>IFERROR(__xludf.DUMMYFUNCTION("""COMPUTED_VALUE"""),391212.70276)</f>
        <v>391212.7028</v>
      </c>
      <c r="S8" s="120">
        <f>IFERROR(__xludf.DUMMYFUNCTION("""COMPUTED_VALUE"""),1465.0)</f>
        <v>1465</v>
      </c>
      <c r="T8" s="70">
        <f>IFERROR(__xludf.DUMMYFUNCTION("""COMPUTED_VALUE"""),568649.0579063422)</f>
        <v>568649.0579</v>
      </c>
      <c r="U8" s="71">
        <f>IFERROR(__xludf.DUMMYFUNCTION("""COMPUTED_VALUE"""),527.7800000000001)</f>
        <v>527.78</v>
      </c>
      <c r="V8" s="71">
        <f>IFERROR(__xludf.DUMMYFUNCTION("""COMPUTED_VALUE"""),23.990000000000006)</f>
        <v>23.99</v>
      </c>
      <c r="W8" s="74">
        <f>IFERROR(__xludf.DUMMYFUNCTION("""COMPUTED_VALUE"""),0.6215172283850303)</f>
        <v>0.6215172284</v>
      </c>
      <c r="X8" s="70">
        <f>IFERROR(__xludf.DUMMYFUNCTION("""COMPUTED_VALUE"""),629447.88156)</f>
        <v>629447.8816</v>
      </c>
      <c r="Y8" s="154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sheetData>
    <row r="1">
      <c r="A1" s="168" t="str">
        <f>Datos!A1</f>
        <v>   Fecha </v>
      </c>
      <c r="B1" s="168" t="str">
        <f>Datos!B1</f>
        <v>NIS</v>
      </c>
      <c r="C1" s="168" t="str">
        <f>Datos!C1</f>
        <v>Cliente</v>
      </c>
      <c r="D1" s="168" t="str">
        <f>Datos!D1</f>
        <v>IVA</v>
      </c>
      <c r="E1" s="168" t="str">
        <f>Datos!E1</f>
        <v>Consumo [kWh]</v>
      </c>
      <c r="F1" s="168" t="str">
        <f>Datos!F1</f>
        <v>Consumo hs punta [kWh]</v>
      </c>
      <c r="G1" s="168" t="str">
        <f>Datos!G1</f>
        <v>Consumo hs valle [kWh]</v>
      </c>
      <c r="H1" s="168" t="str">
        <f>Datos!H1</f>
        <v>Consumo hs resto[kWh]</v>
      </c>
      <c r="I1" s="168" t="str">
        <f>Datos!I1</f>
        <v>Catergoria</v>
      </c>
      <c r="J1" s="168" t="str">
        <f>Datos!J1</f>
        <v>Tarifa punta</v>
      </c>
      <c r="K1" s="168" t="str">
        <f>Datos!K1</f>
        <v>Tarifa valle</v>
      </c>
      <c r="L1" s="168" t="str">
        <f>Datos!L1</f>
        <v>Tarifa resto</v>
      </c>
      <c r="M1" s="168" t="str">
        <f>Datos!M1</f>
        <v>Generacion FV [kWh]</v>
      </c>
      <c r="N1" s="168" t="str">
        <f>Datos!N1</f>
        <v>CONSUMO TOTAL</v>
      </c>
      <c r="O1" s="168" t="str">
        <f>Datos!O1</f>
        <v>Total a pagar S / IVA</v>
      </c>
      <c r="P1" s="168" t="str">
        <f>Datos!P1</f>
        <v>Valor USD</v>
      </c>
      <c r="Q1" s="168" t="str">
        <f>Datos!Q1</f>
        <v>Ahorro (USD)</v>
      </c>
      <c r="R1" s="168" t="str">
        <f>Datos!R1</f>
        <v>Ahorro ($)</v>
      </c>
      <c r="S1" s="168" t="str">
        <f>Datos!S1</f>
        <v>Valor dolar Actual ($)</v>
      </c>
      <c r="T1" s="168" t="str">
        <f>Datos!T1</f>
        <v>Ahorro ($)-A precio actual</v>
      </c>
      <c r="U1" s="168" t="str">
        <f>Datos!U1</f>
        <v>kg CO2e evitados</v>
      </c>
      <c r="V1" s="168" t="str">
        <f>Datos!V1</f>
        <v>Equivalente en árboles</v>
      </c>
      <c r="W1" s="168" t="str">
        <f>Datos!W1</f>
        <v>% de ahorro sobre los consumos</v>
      </c>
      <c r="X1" s="168" t="str">
        <f>Datos!X1</f>
        <v>SIN PANELES S/IVA</v>
      </c>
    </row>
    <row r="2" ht="15.75" customHeight="1">
      <c r="A2" s="75">
        <f>'La carolina '!A2</f>
        <v>45992</v>
      </c>
      <c r="B2" s="171">
        <f>'La carolina '!B2</f>
        <v>5214767</v>
      </c>
      <c r="C2" s="69" t="str">
        <f>'La carolina '!C2</f>
        <v>La Carolina</v>
      </c>
      <c r="D2" s="72">
        <f>'La carolina '!D2</f>
        <v>0.27</v>
      </c>
      <c r="E2" s="17">
        <f>'La carolina '!E2</f>
        <v>6345</v>
      </c>
      <c r="F2" s="17">
        <f>'La carolina '!F2</f>
        <v>1180</v>
      </c>
      <c r="G2" s="17">
        <f>'La carolina '!G2</f>
        <v>343</v>
      </c>
      <c r="H2" s="17">
        <f>'La carolina '!H2</f>
        <v>4822</v>
      </c>
      <c r="I2" s="16" t="str">
        <f>'La carolina '!I2</f>
        <v>T2-Ba</v>
      </c>
      <c r="J2" s="70">
        <f>'La carolina '!J2</f>
        <v>148.2814</v>
      </c>
      <c r="K2" s="70">
        <f>'La carolina '!K2</f>
        <v>148.2814</v>
      </c>
      <c r="L2" s="70">
        <f>'La carolina '!L2</f>
        <v>148.2814</v>
      </c>
      <c r="M2" s="15">
        <f>'La carolina '!M2</f>
        <v>5109.8</v>
      </c>
      <c r="N2" s="17">
        <f>'La carolina '!N2</f>
        <v>11454.8</v>
      </c>
      <c r="O2" s="70">
        <f>'La carolina '!O2</f>
        <v>940845.483</v>
      </c>
      <c r="P2" s="70">
        <f>'La carolina '!P2</f>
        <v>1470</v>
      </c>
      <c r="Q2" s="170">
        <f>'La carolina '!Q2</f>
        <v>515.4342161</v>
      </c>
      <c r="R2" s="70">
        <f>'La carolina '!R2</f>
        <v>757688.2977</v>
      </c>
      <c r="S2" s="70">
        <f>'La carolina '!S2</f>
        <v>1465</v>
      </c>
      <c r="T2" s="70">
        <f>'La carolina '!T2</f>
        <v>958991.1308</v>
      </c>
      <c r="U2" s="71">
        <f>'La carolina '!U2</f>
        <v>1021.96</v>
      </c>
      <c r="V2" s="71">
        <f>'La carolina '!V2</f>
        <v>46.45272727</v>
      </c>
      <c r="W2" s="74">
        <f>'La carolina '!W2</f>
        <v>0.4460837378</v>
      </c>
      <c r="X2" s="70">
        <f>'La carolina '!X2</f>
        <v>1698533.781</v>
      </c>
    </row>
    <row r="3">
      <c r="A3" s="75">
        <f>'La carolina '!A3</f>
        <v>45971</v>
      </c>
      <c r="B3" s="171">
        <f>'La carolina '!B3</f>
        <v>5214767</v>
      </c>
      <c r="C3" s="69" t="str">
        <f>'La carolina '!C3</f>
        <v>La Carolina </v>
      </c>
      <c r="D3" s="72">
        <f>'La carolina '!D3</f>
        <v>0.27</v>
      </c>
      <c r="E3" s="17">
        <f>'La carolina '!E3</f>
        <v>4876</v>
      </c>
      <c r="F3" s="17">
        <f>'La carolina '!F3</f>
        <v>766</v>
      </c>
      <c r="G3" s="17">
        <f>'La carolina '!G3</f>
        <v>2</v>
      </c>
      <c r="H3" s="17">
        <f>'La carolina '!H3</f>
        <v>4108</v>
      </c>
      <c r="I3" s="16" t="str">
        <f>'La carolina '!I3</f>
        <v>T2-Ba</v>
      </c>
      <c r="J3" s="70">
        <f>'La carolina '!J3</f>
        <v>145.8675</v>
      </c>
      <c r="K3" s="70">
        <f>'La carolina '!K3</f>
        <v>145.8675</v>
      </c>
      <c r="L3" s="70">
        <f>'La carolina '!L3</f>
        <v>145.8675</v>
      </c>
      <c r="M3" s="15">
        <f>'La carolina '!M3</f>
        <v>5400.1</v>
      </c>
      <c r="N3" s="17">
        <f>'La carolina '!N3</f>
        <v>10276.1</v>
      </c>
      <c r="O3" s="70">
        <f>'La carolina '!O3</f>
        <v>711249.93</v>
      </c>
      <c r="P3" s="70">
        <f>'La carolina '!P3</f>
        <v>1470</v>
      </c>
      <c r="Q3" s="170">
        <f>'La carolina '!Q3</f>
        <v>535.8497189</v>
      </c>
      <c r="R3" s="70">
        <f>'La carolina '!R3</f>
        <v>787699.0868</v>
      </c>
      <c r="S3" s="70">
        <f>'La carolina '!S3</f>
        <v>1465</v>
      </c>
      <c r="T3" s="70">
        <f>'La carolina '!T3</f>
        <v>996975.1945</v>
      </c>
      <c r="U3" s="71">
        <f>'La carolina '!U3</f>
        <v>1080.02</v>
      </c>
      <c r="V3" s="71">
        <f>'La carolina '!V3</f>
        <v>49.09181818</v>
      </c>
      <c r="W3" s="74">
        <f>'La carolina '!W3</f>
        <v>0.5255009196</v>
      </c>
      <c r="X3" s="70">
        <f>'La carolina '!X3</f>
        <v>1498949.017</v>
      </c>
    </row>
    <row r="4">
      <c r="A4" s="75">
        <f>'La carolina '!A4</f>
        <v>45931</v>
      </c>
      <c r="B4" s="171">
        <f>'La carolina '!B4</f>
        <v>5214767</v>
      </c>
      <c r="C4" s="69" t="str">
        <f>'La carolina '!C4</f>
        <v>La Carolina </v>
      </c>
      <c r="D4" s="72">
        <f>'La carolina '!D4</f>
        <v>0.27</v>
      </c>
      <c r="E4" s="17">
        <f>'La carolina '!E4</f>
        <v>4781</v>
      </c>
      <c r="F4" s="17">
        <f>'La carolina '!F4</f>
        <v>1034</v>
      </c>
      <c r="G4" s="17">
        <f>'La carolina '!G4</f>
        <v>31</v>
      </c>
      <c r="H4" s="17">
        <f>'La carolina '!H4</f>
        <v>3716</v>
      </c>
      <c r="I4" s="14" t="str">
        <f>'La carolina '!I4</f>
        <v>T2-Ba</v>
      </c>
      <c r="J4" s="70">
        <f>'La carolina '!J4</f>
        <v>157.071</v>
      </c>
      <c r="K4" s="70">
        <f>'La carolina '!K4</f>
        <v>157.071</v>
      </c>
      <c r="L4" s="70">
        <f>'La carolina '!L4</f>
        <v>157.071</v>
      </c>
      <c r="M4" s="15">
        <f>'La carolina '!M4</f>
        <v>5813.3</v>
      </c>
      <c r="N4" s="17">
        <f>'La carolina '!N4</f>
        <v>10594.3</v>
      </c>
      <c r="O4" s="70">
        <f>'La carolina '!O4</f>
        <v>750956.451</v>
      </c>
      <c r="P4" s="70">
        <f>'La carolina '!P4</f>
        <v>1450</v>
      </c>
      <c r="Q4" s="170">
        <f>'La carolina '!Q4</f>
        <v>629.7247202</v>
      </c>
      <c r="R4" s="70">
        <f>'La carolina '!R4</f>
        <v>913100.8443</v>
      </c>
      <c r="S4" s="70">
        <f>'La carolina '!S4</f>
        <v>1465</v>
      </c>
      <c r="T4" s="70">
        <f>'La carolina '!T4</f>
        <v>1171634.328</v>
      </c>
      <c r="U4" s="71">
        <f>'La carolina '!U4</f>
        <v>1162.66</v>
      </c>
      <c r="V4" s="71">
        <f>'La carolina '!V4</f>
        <v>52.84818182</v>
      </c>
      <c r="W4" s="74">
        <f>'La carolina '!W4</f>
        <v>0.5487195945</v>
      </c>
      <c r="X4" s="70">
        <f>'La carolina '!X4</f>
        <v>1664057.295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0"/>
  <sheetData>
    <row r="1">
      <c r="A1" s="168" t="str">
        <f>Datos!A1</f>
        <v>   Fecha </v>
      </c>
      <c r="B1" s="168" t="str">
        <f>Datos!B1</f>
        <v>NIS</v>
      </c>
      <c r="C1" s="168" t="str">
        <f>Datos!C1</f>
        <v>Cliente</v>
      </c>
      <c r="D1" s="168" t="str">
        <f>Datos!D1</f>
        <v>IVA</v>
      </c>
      <c r="E1" s="168" t="str">
        <f>Datos!E1</f>
        <v>Consumo [kWh]</v>
      </c>
      <c r="F1" s="168" t="str">
        <f>Datos!F1</f>
        <v>Consumo hs punta [kWh]</v>
      </c>
      <c r="G1" s="168" t="str">
        <f>Datos!G1</f>
        <v>Consumo hs valle [kWh]</v>
      </c>
      <c r="H1" s="168" t="str">
        <f>Datos!H1</f>
        <v>Consumo hs resto[kWh]</v>
      </c>
      <c r="I1" s="168" t="str">
        <f>Datos!I1</f>
        <v>Catergoria</v>
      </c>
      <c r="J1" s="168" t="str">
        <f>Datos!J1</f>
        <v>Tarifa punta</v>
      </c>
      <c r="K1" s="168" t="str">
        <f>Datos!K1</f>
        <v>Tarifa valle</v>
      </c>
      <c r="L1" s="168" t="str">
        <f>Datos!L1</f>
        <v>Tarifa resto</v>
      </c>
      <c r="M1" s="168" t="str">
        <f>Datos!M1</f>
        <v>Generacion FV [kWh]</v>
      </c>
      <c r="N1" s="168" t="str">
        <f>Datos!N1</f>
        <v>CONSUMO TOTAL</v>
      </c>
      <c r="O1" s="168" t="str">
        <f>Datos!O1</f>
        <v>Total a pagar S / IVA</v>
      </c>
      <c r="P1" s="168" t="str">
        <f>Datos!P1</f>
        <v>Valor USD</v>
      </c>
      <c r="Q1" s="168" t="str">
        <f>Datos!Q1</f>
        <v>Ahorro (USD)</v>
      </c>
      <c r="R1" s="168" t="str">
        <f>Datos!R1</f>
        <v>Ahorro ($)</v>
      </c>
      <c r="S1" s="168" t="str">
        <f>Datos!S1</f>
        <v>Valor dolar Actual ($)</v>
      </c>
      <c r="T1" s="168" t="str">
        <f>Datos!T1</f>
        <v>Ahorro ($)-A precio actual</v>
      </c>
      <c r="U1" s="168" t="str">
        <f>Datos!U1</f>
        <v>kg CO2e evitados</v>
      </c>
      <c r="V1" s="168" t="str">
        <f>Datos!V1</f>
        <v>Equivalente en árboles</v>
      </c>
      <c r="W1" s="168" t="str">
        <f>Datos!W1</f>
        <v>% de ahorro sobre los consumos</v>
      </c>
      <c r="X1" s="168" t="str">
        <f>Datos!X1</f>
        <v>SIN PANELES S/IVA</v>
      </c>
    </row>
    <row r="2" ht="15.75" customHeight="1">
      <c r="A2" s="12">
        <f>IFERROR(__xludf.DUMMYFUNCTION("FILTER(Datos!1:1247,Datos!B:B=4000202)"),45992.0)</f>
        <v>45992</v>
      </c>
      <c r="B2" s="13">
        <f>IFERROR(__xludf.DUMMYFUNCTION("""COMPUTED_VALUE"""),4000202.0)</f>
        <v>4000202</v>
      </c>
      <c r="C2" s="14" t="str">
        <f>IFERROR(__xludf.DUMMYFUNCTION("""COMPUTED_VALUE"""),"Diagnostico Salta")</f>
        <v>Diagnostico Salta</v>
      </c>
      <c r="D2" s="15">
        <f>IFERROR(__xludf.DUMMYFUNCTION("""COMPUTED_VALUE"""),0.27)</f>
        <v>0.27</v>
      </c>
      <c r="E2" s="17">
        <f>IFERROR(__xludf.DUMMYFUNCTION("""COMPUTED_VALUE"""),16520.0)</f>
        <v>16520</v>
      </c>
      <c r="F2" s="17">
        <f>IFERROR(__xludf.DUMMYFUNCTION("""COMPUTED_VALUE"""),4270.0)</f>
        <v>4270</v>
      </c>
      <c r="G2" s="17">
        <f>IFERROR(__xludf.DUMMYFUNCTION("""COMPUTED_VALUE"""),3920.0)</f>
        <v>3920</v>
      </c>
      <c r="H2" s="17">
        <f>IFERROR(__xludf.DUMMYFUNCTION("""COMPUTED_VALUE"""),8330.0)</f>
        <v>8330</v>
      </c>
      <c r="I2" s="16" t="str">
        <f>IFERROR(__xludf.DUMMYFUNCTION("""COMPUTED_VALUE"""),"T4-Ba")</f>
        <v>T4-Ba</v>
      </c>
      <c r="J2" s="18">
        <f>IFERROR(__xludf.DUMMYFUNCTION("""COMPUTED_VALUE"""),156.5485)</f>
        <v>156.5485</v>
      </c>
      <c r="K2" s="18">
        <f>IFERROR(__xludf.DUMMYFUNCTION("""COMPUTED_VALUE"""),153.7589)</f>
        <v>153.7589</v>
      </c>
      <c r="L2" s="18">
        <f>IFERROR(__xludf.DUMMYFUNCTION("""COMPUTED_VALUE"""),154.5615)</f>
        <v>154.5615</v>
      </c>
      <c r="M2" s="15">
        <f>IFERROR(__xludf.DUMMYFUNCTION("""COMPUTED_VALUE"""),4092.3)</f>
        <v>4092.3</v>
      </c>
      <c r="N2" s="17">
        <f>IFERROR(__xludf.DUMMYFUNCTION("""COMPUTED_VALUE"""),20612.3)</f>
        <v>20612.3</v>
      </c>
      <c r="O2" s="19">
        <f>IFERROR(__xludf.DUMMYFUNCTION("""COMPUTED_VALUE"""),2558694.278)</f>
        <v>2558694.278</v>
      </c>
      <c r="P2" s="20">
        <f>IFERROR(__xludf.DUMMYFUNCTION("""COMPUTED_VALUE"""),1470.0)</f>
        <v>1470</v>
      </c>
      <c r="Q2" s="169">
        <f>IFERROR(__xludf.DUMMYFUNCTION("""COMPUTED_VALUE"""),430.2802901020408)</f>
        <v>430.2802901</v>
      </c>
      <c r="R2" s="20">
        <f>IFERROR(__xludf.DUMMYFUNCTION("""COMPUTED_VALUE"""),632512.02645)</f>
        <v>632512.0265</v>
      </c>
      <c r="S2" s="46">
        <f>IFERROR(__xludf.DUMMYFUNCTION("""COMPUTED_VALUE"""),1465.0)</f>
        <v>1465</v>
      </c>
      <c r="T2" s="22">
        <f>IFERROR(__xludf.DUMMYFUNCTION("""COMPUTED_VALUE"""),800557.9937493519)</f>
        <v>800557.9937</v>
      </c>
      <c r="U2" s="23">
        <f>IFERROR(__xludf.DUMMYFUNCTION("""COMPUTED_VALUE"""),818.46)</f>
        <v>818.46</v>
      </c>
      <c r="V2" s="24">
        <f>IFERROR(__xludf.DUMMYFUNCTION("""COMPUTED_VALUE"""),37.20272727272727)</f>
        <v>37.20272727</v>
      </c>
      <c r="W2" s="25">
        <f>IFERROR(__xludf.DUMMYFUNCTION("""COMPUTED_VALUE"""),0.19820468064630897)</f>
        <v>0.1982046806</v>
      </c>
      <c r="X2" s="19">
        <f>IFERROR(__xludf.DUMMYFUNCTION("""COMPUTED_VALUE"""),3191206.3044499997)</f>
        <v>3191206.304</v>
      </c>
      <c r="Y2" s="154"/>
    </row>
    <row r="3" ht="15.75" customHeight="1">
      <c r="A3" s="12">
        <f>IFERROR(__xludf.DUMMYFUNCTION("""COMPUTED_VALUE"""),45962.0)</f>
        <v>45962</v>
      </c>
      <c r="B3" s="13">
        <f>IFERROR(__xludf.DUMMYFUNCTION("""COMPUTED_VALUE"""),4000202.0)</f>
        <v>4000202</v>
      </c>
      <c r="C3" s="14" t="str">
        <f>IFERROR(__xludf.DUMMYFUNCTION("""COMPUTED_VALUE"""),"Diagnostico Salta")</f>
        <v>Diagnostico Salta</v>
      </c>
      <c r="D3" s="15">
        <f>IFERROR(__xludf.DUMMYFUNCTION("""COMPUTED_VALUE"""),0.27)</f>
        <v>0.27</v>
      </c>
      <c r="E3" s="17">
        <f>IFERROR(__xludf.DUMMYFUNCTION("""COMPUTED_VALUE"""),15680.0)</f>
        <v>15680</v>
      </c>
      <c r="F3" s="17">
        <f>IFERROR(__xludf.DUMMYFUNCTION("""COMPUTED_VALUE"""),4130.0)</f>
        <v>4130</v>
      </c>
      <c r="G3" s="17">
        <f>IFERROR(__xludf.DUMMYFUNCTION("""COMPUTED_VALUE"""),3780.0)</f>
        <v>3780</v>
      </c>
      <c r="H3" s="17">
        <f>IFERROR(__xludf.DUMMYFUNCTION("""COMPUTED_VALUE"""),7770.0)</f>
        <v>7770</v>
      </c>
      <c r="I3" s="16" t="str">
        <f>IFERROR(__xludf.DUMMYFUNCTION("""COMPUTED_VALUE"""),"T4-Ba")</f>
        <v>T4-Ba</v>
      </c>
      <c r="J3" s="18">
        <f>IFERROR(__xludf.DUMMYFUNCTION("""COMPUTED_VALUE"""),152.0913)</f>
        <v>152.0913</v>
      </c>
      <c r="K3" s="18">
        <f>IFERROR(__xludf.DUMMYFUNCTION("""COMPUTED_VALUE"""),149.3017)</f>
        <v>149.3017</v>
      </c>
      <c r="L3" s="18">
        <f>IFERROR(__xludf.DUMMYFUNCTION("""COMPUTED_VALUE"""),150.1043)</f>
        <v>150.1043</v>
      </c>
      <c r="M3" s="15">
        <f>IFERROR(__xludf.DUMMYFUNCTION("""COMPUTED_VALUE"""),3980.5)</f>
        <v>3980.5</v>
      </c>
      <c r="N3" s="17">
        <f>IFERROR(__xludf.DUMMYFUNCTION("""COMPUTED_VALUE"""),19660.5)</f>
        <v>19660.5</v>
      </c>
      <c r="O3" s="19">
        <f>IFERROR(__xludf.DUMMYFUNCTION("""COMPUTED_VALUE"""),2358807.906)</f>
        <v>2358807.906</v>
      </c>
      <c r="P3" s="20">
        <f>IFERROR(__xludf.DUMMYFUNCTION("""COMPUTED_VALUE"""),1470.0)</f>
        <v>1470</v>
      </c>
      <c r="Q3" s="169">
        <f>IFERROR(__xludf.DUMMYFUNCTION("""COMPUTED_VALUE"""),406.455895340136)</f>
        <v>406.4558953</v>
      </c>
      <c r="R3" s="20">
        <f>IFERROR(__xludf.DUMMYFUNCTION("""COMPUTED_VALUE"""),597490.16615)</f>
        <v>597490.1662</v>
      </c>
      <c r="S3" s="46">
        <f>IFERROR(__xludf.DUMMYFUNCTION("""COMPUTED_VALUE"""),1465.0)</f>
        <v>1465</v>
      </c>
      <c r="T3" s="22">
        <f>IFERROR(__xludf.DUMMYFUNCTION("""COMPUTED_VALUE"""),756231.51607509)</f>
        <v>756231.5161</v>
      </c>
      <c r="U3" s="23">
        <f>IFERROR(__xludf.DUMMYFUNCTION("""COMPUTED_VALUE"""),796.1)</f>
        <v>796.1</v>
      </c>
      <c r="V3" s="24">
        <f>IFERROR(__xludf.DUMMYFUNCTION("""COMPUTED_VALUE"""),36.18636363636364)</f>
        <v>36.18636364</v>
      </c>
      <c r="W3" s="25">
        <f>IFERROR(__xludf.DUMMYFUNCTION("""COMPUTED_VALUE"""),0.2021075519341894)</f>
        <v>0.2021075519</v>
      </c>
      <c r="X3" s="19">
        <f>IFERROR(__xludf.DUMMYFUNCTION("""COMPUTED_VALUE"""),2956298.07215)</f>
        <v>2956298.072</v>
      </c>
      <c r="Y3" s="154"/>
    </row>
    <row r="4" ht="15.75" customHeight="1">
      <c r="A4" s="12">
        <f>IFERROR(__xludf.DUMMYFUNCTION("""COMPUTED_VALUE"""),45931.0)</f>
        <v>45931</v>
      </c>
      <c r="B4" s="13">
        <f>IFERROR(__xludf.DUMMYFUNCTION("""COMPUTED_VALUE"""),4000202.0)</f>
        <v>4000202</v>
      </c>
      <c r="C4" s="14" t="str">
        <f>IFERROR(__xludf.DUMMYFUNCTION("""COMPUTED_VALUE"""),"Diagnostico Salta")</f>
        <v>Diagnostico Salta</v>
      </c>
      <c r="D4" s="15">
        <f>IFERROR(__xludf.DUMMYFUNCTION("""COMPUTED_VALUE"""),0.27)</f>
        <v>0.27</v>
      </c>
      <c r="E4" s="17">
        <f>IFERROR(__xludf.DUMMYFUNCTION("""COMPUTED_VALUE"""),16520.0)</f>
        <v>16520</v>
      </c>
      <c r="F4" s="17">
        <f>IFERROR(__xludf.DUMMYFUNCTION("""COMPUTED_VALUE"""),4200.0)</f>
        <v>4200</v>
      </c>
      <c r="G4" s="17">
        <f>IFERROR(__xludf.DUMMYFUNCTION("""COMPUTED_VALUE"""),3640.0)</f>
        <v>3640</v>
      </c>
      <c r="H4" s="17">
        <f>IFERROR(__xludf.DUMMYFUNCTION("""COMPUTED_VALUE"""),8680.0)</f>
        <v>8680</v>
      </c>
      <c r="I4" s="14" t="str">
        <f>IFERROR(__xludf.DUMMYFUNCTION("""COMPUTED_VALUE"""),"T4-Ba")</f>
        <v>T4-Ba</v>
      </c>
      <c r="J4" s="18">
        <f>IFERROR(__xludf.DUMMYFUNCTION("""COMPUTED_VALUE"""),159.8077)</f>
        <v>159.8077</v>
      </c>
      <c r="K4" s="18">
        <f>IFERROR(__xludf.DUMMYFUNCTION("""COMPUTED_VALUE"""),156.9735)</f>
        <v>156.9735</v>
      </c>
      <c r="L4" s="18">
        <f>IFERROR(__xludf.DUMMYFUNCTION("""COMPUTED_VALUE"""),158.2241)</f>
        <v>158.2241</v>
      </c>
      <c r="M4" s="15">
        <f>IFERROR(__xludf.DUMMYFUNCTION("""COMPUTED_VALUE"""),3585.9)</f>
        <v>3585.9</v>
      </c>
      <c r="N4" s="17">
        <f>IFERROR(__xludf.DUMMYFUNCTION("""COMPUTED_VALUE"""),20105.9)</f>
        <v>20105.9</v>
      </c>
      <c r="O4" s="19">
        <f>IFERROR(__xludf.DUMMYFUNCTION("""COMPUTED_VALUE"""),2615961.068)</f>
        <v>2615961.068</v>
      </c>
      <c r="P4" s="20">
        <f>IFERROR(__xludf.DUMMYFUNCTION("""COMPUTED_VALUE"""),1450.0)</f>
        <v>1450</v>
      </c>
      <c r="Q4" s="169">
        <f>IFERROR(__xludf.DUMMYFUNCTION("""COMPUTED_VALUE"""),391.29365530344825)</f>
        <v>391.2936553</v>
      </c>
      <c r="R4" s="20">
        <f>IFERROR(__xludf.DUMMYFUNCTION("""COMPUTED_VALUE"""),567375.80019)</f>
        <v>567375.8002</v>
      </c>
      <c r="S4" s="46">
        <f>IFERROR(__xludf.DUMMYFUNCTION("""COMPUTED_VALUE"""),1465.0)</f>
        <v>1465</v>
      </c>
      <c r="T4" s="22">
        <f>IFERROR(__xludf.DUMMYFUNCTION("""COMPUTED_VALUE"""),728021.4103748306)</f>
        <v>728021.4104</v>
      </c>
      <c r="U4" s="23">
        <f>IFERROR(__xludf.DUMMYFUNCTION("""COMPUTED_VALUE"""),717.1800000000001)</f>
        <v>717.18</v>
      </c>
      <c r="V4" s="24">
        <f>IFERROR(__xludf.DUMMYFUNCTION("""COMPUTED_VALUE"""),32.59909090909091)</f>
        <v>32.59909091</v>
      </c>
      <c r="W4" s="25">
        <f>IFERROR(__xludf.DUMMYFUNCTION("""COMPUTED_VALUE"""),0.17823303774714921)</f>
        <v>0.1782330377</v>
      </c>
      <c r="X4" s="19">
        <f>IFERROR(__xludf.DUMMYFUNCTION("""COMPUTED_VALUE"""),3183336.86819)</f>
        <v>3183336.868</v>
      </c>
      <c r="Y4" s="154"/>
    </row>
    <row r="5" ht="15.75" customHeight="1">
      <c r="A5" s="12">
        <f>IFERROR(__xludf.DUMMYFUNCTION("""COMPUTED_VALUE"""),45901.0)</f>
        <v>45901</v>
      </c>
      <c r="B5" s="13">
        <f>IFERROR(__xludf.DUMMYFUNCTION("""COMPUTED_VALUE"""),4000202.0)</f>
        <v>4000202</v>
      </c>
      <c r="C5" s="14" t="str">
        <f>IFERROR(__xludf.DUMMYFUNCTION("""COMPUTED_VALUE"""),"Diagnostico Salta")</f>
        <v>Diagnostico Salta</v>
      </c>
      <c r="D5" s="15">
        <f>IFERROR(__xludf.DUMMYFUNCTION("""COMPUTED_VALUE"""),0.27)</f>
        <v>0.27</v>
      </c>
      <c r="E5" s="17">
        <f>IFERROR(__xludf.DUMMYFUNCTION("""COMPUTED_VALUE"""),15120.0)</f>
        <v>15120</v>
      </c>
      <c r="F5" s="17">
        <f>IFERROR(__xludf.DUMMYFUNCTION("""COMPUTED_VALUE"""),4060.0)</f>
        <v>4060</v>
      </c>
      <c r="G5" s="17">
        <f>IFERROR(__xludf.DUMMYFUNCTION("""COMPUTED_VALUE"""),3500.0)</f>
        <v>3500</v>
      </c>
      <c r="H5" s="17">
        <f>IFERROR(__xludf.DUMMYFUNCTION("""COMPUTED_VALUE"""),7560.0)</f>
        <v>7560</v>
      </c>
      <c r="I5" s="14" t="str">
        <f>IFERROR(__xludf.DUMMYFUNCTION("""COMPUTED_VALUE"""),"T4-Ba")</f>
        <v>T4-Ba</v>
      </c>
      <c r="J5" s="18">
        <f>IFERROR(__xludf.DUMMYFUNCTION("""COMPUTED_VALUE"""),159.1156)</f>
        <v>159.1156</v>
      </c>
      <c r="K5" s="18">
        <f>IFERROR(__xludf.DUMMYFUNCTION("""COMPUTED_VALUE"""),156.2753)</f>
        <v>156.2753</v>
      </c>
      <c r="L5" s="18">
        <f>IFERROR(__xludf.DUMMYFUNCTION("""COMPUTED_VALUE"""),157.5295)</f>
        <v>157.5295</v>
      </c>
      <c r="M5" s="15">
        <f>IFERROR(__xludf.DUMMYFUNCTION("""COMPUTED_VALUE"""),3433.2)</f>
        <v>3433.2</v>
      </c>
      <c r="N5" s="17">
        <f>IFERROR(__xludf.DUMMYFUNCTION("""COMPUTED_VALUE"""),18553.2)</f>
        <v>18553.2</v>
      </c>
      <c r="O5" s="19">
        <f>IFERROR(__xludf.DUMMYFUNCTION("""COMPUTED_VALUE"""),2383895.906)</f>
        <v>2383895.906</v>
      </c>
      <c r="P5" s="20">
        <f>IFERROR(__xludf.DUMMYFUNCTION("""COMPUTED_VALUE"""),1425.0)</f>
        <v>1425</v>
      </c>
      <c r="Q5" s="169">
        <f>IFERROR(__xludf.DUMMYFUNCTION("""COMPUTED_VALUE"""),379.53002063157896)</f>
        <v>379.5300206</v>
      </c>
      <c r="R5" s="20">
        <f>IFERROR(__xludf.DUMMYFUNCTION("""COMPUTED_VALUE"""),540830.2794)</f>
        <v>540830.2794</v>
      </c>
      <c r="S5" s="46">
        <f>IFERROR(__xludf.DUMMYFUNCTION("""COMPUTED_VALUE"""),1465.0)</f>
        <v>1465</v>
      </c>
      <c r="T5" s="22">
        <f>IFERROR(__xludf.DUMMYFUNCTION("""COMPUTED_VALUE"""),706134.5798860842)</f>
        <v>706134.5799</v>
      </c>
      <c r="U5" s="23">
        <f>IFERROR(__xludf.DUMMYFUNCTION("""COMPUTED_VALUE"""),686.64)</f>
        <v>686.64</v>
      </c>
      <c r="V5" s="24">
        <f>IFERROR(__xludf.DUMMYFUNCTION("""COMPUTED_VALUE"""),31.21090909090909)</f>
        <v>31.21090909</v>
      </c>
      <c r="W5" s="25">
        <f>IFERROR(__xludf.DUMMYFUNCTION("""COMPUTED_VALUE"""),0.18491655119709383)</f>
        <v>0.1849165512</v>
      </c>
      <c r="X5" s="19">
        <f>IFERROR(__xludf.DUMMYFUNCTION("""COMPUTED_VALUE"""),2924726.1854)</f>
        <v>2924726.185</v>
      </c>
      <c r="Y5" s="154"/>
    </row>
    <row r="6" ht="15.75" customHeight="1">
      <c r="A6" s="12">
        <f>IFERROR(__xludf.DUMMYFUNCTION("""COMPUTED_VALUE"""),45870.0)</f>
        <v>45870</v>
      </c>
      <c r="B6" s="13">
        <f>IFERROR(__xludf.DUMMYFUNCTION("""COMPUTED_VALUE"""),4000202.0)</f>
        <v>4000202</v>
      </c>
      <c r="C6" s="14" t="str">
        <f>IFERROR(__xludf.DUMMYFUNCTION("""COMPUTED_VALUE"""),"Diagnostico Salta")</f>
        <v>Diagnostico Salta</v>
      </c>
      <c r="D6" s="15">
        <f>IFERROR(__xludf.DUMMYFUNCTION("""COMPUTED_VALUE"""),0.27)</f>
        <v>0.27</v>
      </c>
      <c r="E6" s="17">
        <f>IFERROR(__xludf.DUMMYFUNCTION("""COMPUTED_VALUE"""),15330.0)</f>
        <v>15330</v>
      </c>
      <c r="F6" s="17">
        <f>IFERROR(__xludf.DUMMYFUNCTION("""COMPUTED_VALUE"""),3990.0)</f>
        <v>3990</v>
      </c>
      <c r="G6" s="17">
        <f>IFERROR(__xludf.DUMMYFUNCTION("""COMPUTED_VALUE"""),3360.0)</f>
        <v>3360</v>
      </c>
      <c r="H6" s="17">
        <f>IFERROR(__xludf.DUMMYFUNCTION("""COMPUTED_VALUE"""),7980.0)</f>
        <v>7980</v>
      </c>
      <c r="I6" s="14" t="str">
        <f>IFERROR(__xludf.DUMMYFUNCTION("""COMPUTED_VALUE"""),"T4-Ba")</f>
        <v>T4-Ba</v>
      </c>
      <c r="J6" s="18">
        <f>IFERROR(__xludf.DUMMYFUNCTION("""COMPUTED_VALUE"""),157.6231)</f>
        <v>157.6231</v>
      </c>
      <c r="K6" s="18">
        <f>IFERROR(__xludf.DUMMYFUNCTION("""COMPUTED_VALUE"""),154.7731)</f>
        <v>154.7731</v>
      </c>
      <c r="L6" s="18">
        <f>IFERROR(__xludf.DUMMYFUNCTION("""COMPUTED_VALUE"""),156.0309)</f>
        <v>156.0309</v>
      </c>
      <c r="M6" s="15">
        <f>IFERROR(__xludf.DUMMYFUNCTION("""COMPUTED_VALUE"""),2805.5)</f>
        <v>2805.5</v>
      </c>
      <c r="N6" s="17">
        <f>IFERROR(__xludf.DUMMYFUNCTION("""COMPUTED_VALUE"""),18135.5)</f>
        <v>18135.5</v>
      </c>
      <c r="O6" s="19">
        <f>IFERROR(__xludf.DUMMYFUNCTION("""COMPUTED_VALUE"""),2394080.3669999996)</f>
        <v>2394080.367</v>
      </c>
      <c r="P6" s="20">
        <f>IFERROR(__xludf.DUMMYFUNCTION("""COMPUTED_VALUE"""),1340.0)</f>
        <v>1340</v>
      </c>
      <c r="Q6" s="169">
        <f>IFERROR(__xludf.DUMMYFUNCTION("""COMPUTED_VALUE"""),326.67514175373134)</f>
        <v>326.6751418</v>
      </c>
      <c r="R6" s="20">
        <f>IFERROR(__xludf.DUMMYFUNCTION("""COMPUTED_VALUE"""),437744.68994999997)</f>
        <v>437744.69</v>
      </c>
      <c r="S6" s="46">
        <f>IFERROR(__xludf.DUMMYFUNCTION("""COMPUTED_VALUE"""),1465.0)</f>
        <v>1465</v>
      </c>
      <c r="T6" s="22">
        <f>IFERROR(__xludf.DUMMYFUNCTION("""COMPUTED_VALUE"""),607795.4349899049)</f>
        <v>607795.435</v>
      </c>
      <c r="U6" s="23">
        <f>IFERROR(__xludf.DUMMYFUNCTION("""COMPUTED_VALUE"""),561.1)</f>
        <v>561.1</v>
      </c>
      <c r="V6" s="24">
        <f>IFERROR(__xludf.DUMMYFUNCTION("""COMPUTED_VALUE"""),25.504545454545454)</f>
        <v>25.50454545</v>
      </c>
      <c r="W6" s="25">
        <f>IFERROR(__xludf.DUMMYFUNCTION("""COMPUTED_VALUE"""),0.1545804140957317)</f>
        <v>0.1545804141</v>
      </c>
      <c r="X6" s="19">
        <f>IFERROR(__xludf.DUMMYFUNCTION("""COMPUTED_VALUE"""),2831825.0569499996)</f>
        <v>2831825.057</v>
      </c>
      <c r="Y6" s="154"/>
    </row>
    <row r="7" ht="15.75" customHeight="1">
      <c r="A7" s="12">
        <f>IFERROR(__xludf.DUMMYFUNCTION("""COMPUTED_VALUE"""),45839.0)</f>
        <v>45839</v>
      </c>
      <c r="B7" s="13">
        <f>IFERROR(__xludf.DUMMYFUNCTION("""COMPUTED_VALUE"""),4000202.0)</f>
        <v>4000202</v>
      </c>
      <c r="C7" s="14" t="str">
        <f>IFERROR(__xludf.DUMMYFUNCTION("""COMPUTED_VALUE"""),"Diagnostico Salta")</f>
        <v>Diagnostico Salta</v>
      </c>
      <c r="D7" s="15">
        <f>IFERROR(__xludf.DUMMYFUNCTION("""COMPUTED_VALUE"""),0.27)</f>
        <v>0.27</v>
      </c>
      <c r="E7" s="17">
        <f>IFERROR(__xludf.DUMMYFUNCTION("""COMPUTED_VALUE"""),10923.0)</f>
        <v>10923</v>
      </c>
      <c r="F7" s="17">
        <f>IFERROR(__xludf.DUMMYFUNCTION("""COMPUTED_VALUE"""),2319.0)</f>
        <v>2319</v>
      </c>
      <c r="G7" s="17">
        <f>IFERROR(__xludf.DUMMYFUNCTION("""COMPUTED_VALUE"""),2649.0)</f>
        <v>2649</v>
      </c>
      <c r="H7" s="17">
        <f>IFERROR(__xludf.DUMMYFUNCTION("""COMPUTED_VALUE"""),5955.0)</f>
        <v>5955</v>
      </c>
      <c r="I7" s="16" t="str">
        <f>IFERROR(__xludf.DUMMYFUNCTION("""COMPUTED_VALUE"""),"T4-Ba")</f>
        <v>T4-Ba</v>
      </c>
      <c r="J7" s="18">
        <f>IFERROR(__xludf.DUMMYFUNCTION("""COMPUTED_VALUE"""),149.9317)</f>
        <v>149.9317</v>
      </c>
      <c r="K7" s="18">
        <f>IFERROR(__xludf.DUMMYFUNCTION("""COMPUTED_VALUE"""),147.0841)</f>
        <v>147.0841</v>
      </c>
      <c r="L7" s="18">
        <f>IFERROR(__xludf.DUMMYFUNCTION("""COMPUTED_VALUE"""),148.3408)</f>
        <v>148.3408</v>
      </c>
      <c r="M7" s="15">
        <f>IFERROR(__xludf.DUMMYFUNCTION("""COMPUTED_VALUE"""),2167.6)</f>
        <v>2167.6</v>
      </c>
      <c r="N7" s="17">
        <f>IFERROR(__xludf.DUMMYFUNCTION("""COMPUTED_VALUE"""),13090.6)</f>
        <v>13090.6</v>
      </c>
      <c r="O7" s="19">
        <f>IFERROR(__xludf.DUMMYFUNCTION("""COMPUTED_VALUE"""),1620686.8572)</f>
        <v>1620686.857</v>
      </c>
      <c r="P7" s="20">
        <f>IFERROR(__xludf.DUMMYFUNCTION("""COMPUTED_VALUE"""),1280.0)</f>
        <v>1280</v>
      </c>
      <c r="Q7" s="169">
        <f>IFERROR(__xludf.DUMMYFUNCTION("""COMPUTED_VALUE"""),251.2058735)</f>
        <v>251.2058735</v>
      </c>
      <c r="R7" s="20">
        <f>IFERROR(__xludf.DUMMYFUNCTION("""COMPUTED_VALUE"""),321543.51808)</f>
        <v>321543.5181</v>
      </c>
      <c r="S7" s="46">
        <f>IFERROR(__xludf.DUMMYFUNCTION("""COMPUTED_VALUE"""),1465.0)</f>
        <v>1465</v>
      </c>
      <c r="T7" s="22">
        <f>IFERROR(__xludf.DUMMYFUNCTION("""COMPUTED_VALUE"""),467381.087940425)</f>
        <v>467381.0879</v>
      </c>
      <c r="U7" s="23">
        <f>IFERROR(__xludf.DUMMYFUNCTION("""COMPUTED_VALUE"""),433.52)</f>
        <v>433.52</v>
      </c>
      <c r="V7" s="24">
        <f>IFERROR(__xludf.DUMMYFUNCTION("""COMPUTED_VALUE"""),19.705454545454543)</f>
        <v>19.70545455</v>
      </c>
      <c r="W7" s="25">
        <f>IFERROR(__xludf.DUMMYFUNCTION("""COMPUTED_VALUE"""),0.16555374798607242)</f>
        <v>0.165553748</v>
      </c>
      <c r="X7" s="19">
        <f>IFERROR(__xludf.DUMMYFUNCTION("""COMPUTED_VALUE"""),1942230.37528)</f>
        <v>1942230.375</v>
      </c>
      <c r="Y7" s="154"/>
    </row>
    <row r="8" ht="15.75" customHeight="1">
      <c r="A8" s="12">
        <f>IFERROR(__xludf.DUMMYFUNCTION("""COMPUTED_VALUE"""),45809.0)</f>
        <v>45809</v>
      </c>
      <c r="B8" s="13">
        <f>IFERROR(__xludf.DUMMYFUNCTION("""COMPUTED_VALUE"""),4000202.0)</f>
        <v>4000202</v>
      </c>
      <c r="C8" s="14" t="str">
        <f>IFERROR(__xludf.DUMMYFUNCTION("""COMPUTED_VALUE"""),"Diagnostico Salta")</f>
        <v>Diagnostico Salta</v>
      </c>
      <c r="D8" s="15">
        <f>IFERROR(__xludf.DUMMYFUNCTION("""COMPUTED_VALUE"""),0.27)</f>
        <v>0.27</v>
      </c>
      <c r="E8" s="17">
        <f>IFERROR(__xludf.DUMMYFUNCTION("""COMPUTED_VALUE"""),14980.0)</f>
        <v>14980</v>
      </c>
      <c r="F8" s="17">
        <f>IFERROR(__xludf.DUMMYFUNCTION("""COMPUTED_VALUE"""),3500.0)</f>
        <v>3500</v>
      </c>
      <c r="G8" s="17">
        <f>IFERROR(__xludf.DUMMYFUNCTION("""COMPUTED_VALUE"""),3150.0)</f>
        <v>3150</v>
      </c>
      <c r="H8" s="17">
        <f>IFERROR(__xludf.DUMMYFUNCTION("""COMPUTED_VALUE"""),8330.0)</f>
        <v>8330</v>
      </c>
      <c r="I8" s="16" t="str">
        <f>IFERROR(__xludf.DUMMYFUNCTION("""COMPUTED_VALUE"""),"T4-Ba")</f>
        <v>T4-Ba</v>
      </c>
      <c r="J8" s="18">
        <f>IFERROR(__xludf.DUMMYFUNCTION("""COMPUTED_VALUE"""),147.7231)</f>
        <v>147.7231</v>
      </c>
      <c r="K8" s="18">
        <f>IFERROR(__xludf.DUMMYFUNCTION("""COMPUTED_VALUE"""),144.9122)</f>
        <v>144.9122</v>
      </c>
      <c r="L8" s="18">
        <f>IFERROR(__xludf.DUMMYFUNCTION("""COMPUTED_VALUE"""),146.1513)</f>
        <v>146.1513</v>
      </c>
      <c r="M8" s="15">
        <f>IFERROR(__xludf.DUMMYFUNCTION("""COMPUTED_VALUE"""),1969.5)</f>
        <v>1969.5</v>
      </c>
      <c r="N8" s="17">
        <f>IFERROR(__xludf.DUMMYFUNCTION("""COMPUTED_VALUE"""),16949.5)</f>
        <v>16949.5</v>
      </c>
      <c r="O8" s="19">
        <f>IFERROR(__xludf.DUMMYFUNCTION("""COMPUTED_VALUE"""),2190944.609)</f>
        <v>2190944.609</v>
      </c>
      <c r="P8" s="20">
        <f>IFERROR(__xludf.DUMMYFUNCTION("""COMPUTED_VALUE"""),1280.0)</f>
        <v>1280</v>
      </c>
      <c r="Q8" s="169">
        <f>IFERROR(__xludf.DUMMYFUNCTION("""COMPUTED_VALUE"""),224.8788948046875)</f>
        <v>224.8788948</v>
      </c>
      <c r="R8" s="20">
        <f>IFERROR(__xludf.DUMMYFUNCTION("""COMPUTED_VALUE"""),287844.98535)</f>
        <v>287844.9854</v>
      </c>
      <c r="S8" s="46">
        <f>IFERROR(__xludf.DUMMYFUNCTION("""COMPUTED_VALUE"""),1465.0)</f>
        <v>1465</v>
      </c>
      <c r="T8" s="22">
        <f>IFERROR(__xludf.DUMMYFUNCTION("""COMPUTED_VALUE"""),418398.4277288613)</f>
        <v>418398.4277</v>
      </c>
      <c r="U8" s="23">
        <f>IFERROR(__xludf.DUMMYFUNCTION("""COMPUTED_VALUE"""),393.90000000000003)</f>
        <v>393.9</v>
      </c>
      <c r="V8" s="24">
        <f>IFERROR(__xludf.DUMMYFUNCTION("""COMPUTED_VALUE"""),17.904545454545456)</f>
        <v>17.90454545</v>
      </c>
      <c r="W8" s="25">
        <f>IFERROR(__xludf.DUMMYFUNCTION("""COMPUTED_VALUE"""),0.116123202229869)</f>
        <v>0.1161232022</v>
      </c>
      <c r="X8" s="19">
        <f>IFERROR(__xludf.DUMMYFUNCTION("""COMPUTED_VALUE"""),2478789.59435)</f>
        <v>2478789.594</v>
      </c>
      <c r="Y8" s="154"/>
    </row>
    <row r="9" ht="15.75" customHeight="1">
      <c r="A9" s="12">
        <f>IFERROR(__xludf.DUMMYFUNCTION("""COMPUTED_VALUE"""),45778.0)</f>
        <v>45778</v>
      </c>
      <c r="B9" s="13">
        <f>IFERROR(__xludf.DUMMYFUNCTION("""COMPUTED_VALUE"""),4000202.0)</f>
        <v>4000202</v>
      </c>
      <c r="C9" s="14" t="str">
        <f>IFERROR(__xludf.DUMMYFUNCTION("""COMPUTED_VALUE"""),"Diagnostico Salta")</f>
        <v>Diagnostico Salta</v>
      </c>
      <c r="D9" s="15">
        <f>IFERROR(__xludf.DUMMYFUNCTION("""COMPUTED_VALUE"""),0.27)</f>
        <v>0.27</v>
      </c>
      <c r="E9" s="17">
        <f>IFERROR(__xludf.DUMMYFUNCTION("""COMPUTED_VALUE"""),16870.0)</f>
        <v>16870</v>
      </c>
      <c r="F9" s="17">
        <f>IFERROR(__xludf.DUMMYFUNCTION("""COMPUTED_VALUE"""),4060.0)</f>
        <v>4060</v>
      </c>
      <c r="G9" s="17">
        <f>IFERROR(__xludf.DUMMYFUNCTION("""COMPUTED_VALUE"""),3570.0)</f>
        <v>3570</v>
      </c>
      <c r="H9" s="17">
        <f>IFERROR(__xludf.DUMMYFUNCTION("""COMPUTED_VALUE"""),9240.0)</f>
        <v>9240</v>
      </c>
      <c r="I9" s="16" t="str">
        <f>IFERROR(__xludf.DUMMYFUNCTION("""COMPUTED_VALUE"""),"T4-Ba")</f>
        <v>T4-Ba</v>
      </c>
      <c r="J9" s="18">
        <f>IFERROR(__xludf.DUMMYFUNCTION("""COMPUTED_VALUE"""),145.3784)</f>
        <v>145.3784</v>
      </c>
      <c r="K9" s="18">
        <f>IFERROR(__xludf.DUMMYFUNCTION("""COMPUTED_VALUE"""),142.6091)</f>
        <v>142.6091</v>
      </c>
      <c r="L9" s="18">
        <f>IFERROR(__xludf.DUMMYFUNCTION("""COMPUTED_VALUE"""),143.8316)</f>
        <v>143.8316</v>
      </c>
      <c r="M9" s="15">
        <f>IFERROR(__xludf.DUMMYFUNCTION("""COMPUTED_VALUE"""),2336.1)</f>
        <v>2336.1</v>
      </c>
      <c r="N9" s="17">
        <f>IFERROR(__xludf.DUMMYFUNCTION("""COMPUTED_VALUE"""),19206.1)</f>
        <v>19206.1</v>
      </c>
      <c r="O9" s="19">
        <f>IFERROR(__xludf.DUMMYFUNCTION("""COMPUTED_VALUE"""),2428354.7750000004)</f>
        <v>2428354.775</v>
      </c>
      <c r="P9" s="20">
        <f>IFERROR(__xludf.DUMMYFUNCTION("""COMPUTED_VALUE"""),1200.0)</f>
        <v>1200</v>
      </c>
      <c r="Q9" s="169">
        <f>IFERROR(__xludf.DUMMYFUNCTION("""COMPUTED_VALUE"""),280.0041673)</f>
        <v>280.0041673</v>
      </c>
      <c r="R9" s="20">
        <f>IFERROR(__xludf.DUMMYFUNCTION("""COMPUTED_VALUE"""),336005.00076)</f>
        <v>336005.0008</v>
      </c>
      <c r="S9" s="46">
        <f>IFERROR(__xludf.DUMMYFUNCTION("""COMPUTED_VALUE"""),1465.0)</f>
        <v>1465</v>
      </c>
      <c r="T9" s="22">
        <f>IFERROR(__xludf.DUMMYFUNCTION("""COMPUTED_VALUE"""),520961.753470015)</f>
        <v>520961.7535</v>
      </c>
      <c r="U9" s="23">
        <f>IFERROR(__xludf.DUMMYFUNCTION("""COMPUTED_VALUE"""),467.22)</f>
        <v>467.22</v>
      </c>
      <c r="V9" s="24">
        <f>IFERROR(__xludf.DUMMYFUNCTION("""COMPUTED_VALUE"""),21.237272727272728)</f>
        <v>21.23727273</v>
      </c>
      <c r="W9" s="25">
        <f>IFERROR(__xludf.DUMMYFUNCTION("""COMPUTED_VALUE"""),0.12154894008599977)</f>
        <v>0.1215489401</v>
      </c>
      <c r="X9" s="19">
        <f>IFERROR(__xludf.DUMMYFUNCTION("""COMPUTED_VALUE"""),2764359.7757600006)</f>
        <v>2764359.776</v>
      </c>
      <c r="Y9" s="154"/>
    </row>
    <row r="10" ht="15.75" customHeight="1">
      <c r="A10" s="12">
        <f>IFERROR(__xludf.DUMMYFUNCTION("""COMPUTED_VALUE"""),45748.0)</f>
        <v>45748</v>
      </c>
      <c r="B10" s="13">
        <f>IFERROR(__xludf.DUMMYFUNCTION("""COMPUTED_VALUE"""),4000202.0)</f>
        <v>4000202</v>
      </c>
      <c r="C10" s="14" t="str">
        <f>IFERROR(__xludf.DUMMYFUNCTION("""COMPUTED_VALUE"""),"Diagnostico Salta")</f>
        <v>Diagnostico Salta</v>
      </c>
      <c r="D10" s="15">
        <f>IFERROR(__xludf.DUMMYFUNCTION("""COMPUTED_VALUE"""),0.27)</f>
        <v>0.27</v>
      </c>
      <c r="E10" s="17">
        <f>IFERROR(__xludf.DUMMYFUNCTION("""COMPUTED_VALUE"""),16240.0)</f>
        <v>16240</v>
      </c>
      <c r="F10" s="17">
        <f>IFERROR(__xludf.DUMMYFUNCTION("""COMPUTED_VALUE"""),4060.0)</f>
        <v>4060</v>
      </c>
      <c r="G10" s="17">
        <f>IFERROR(__xludf.DUMMYFUNCTION("""COMPUTED_VALUE"""),3570.0)</f>
        <v>3570</v>
      </c>
      <c r="H10" s="17">
        <f>IFERROR(__xludf.DUMMYFUNCTION("""COMPUTED_VALUE"""),8610.0)</f>
        <v>8610</v>
      </c>
      <c r="I10" s="16" t="str">
        <f>IFERROR(__xludf.DUMMYFUNCTION("""COMPUTED_VALUE"""),"T4-Ba")</f>
        <v>T4-Ba</v>
      </c>
      <c r="J10" s="18">
        <f>IFERROR(__xludf.DUMMYFUNCTION("""COMPUTED_VALUE"""),140.7177)</f>
        <v>140.7177</v>
      </c>
      <c r="K10" s="18">
        <f>IFERROR(__xludf.DUMMYFUNCTION("""COMPUTED_VALUE"""),138.0092)</f>
        <v>138.0092</v>
      </c>
      <c r="L10" s="18">
        <f>IFERROR(__xludf.DUMMYFUNCTION("""COMPUTED_VALUE"""),139.205)</f>
        <v>139.205</v>
      </c>
      <c r="M10" s="15">
        <f>IFERROR(__xludf.DUMMYFUNCTION("""COMPUTED_VALUE"""),2366.0)</f>
        <v>2366</v>
      </c>
      <c r="N10" s="17">
        <f>IFERROR(__xludf.DUMMYFUNCTION("""COMPUTED_VALUE"""),18606.0)</f>
        <v>18606</v>
      </c>
      <c r="O10" s="19">
        <f>IFERROR(__xludf.DUMMYFUNCTION("""COMPUTED_VALUE"""),2262561.756)</f>
        <v>2262561.756</v>
      </c>
      <c r="P10" s="20">
        <f>IFERROR(__xludf.DUMMYFUNCTION("""COMPUTED_VALUE"""),1140.0)</f>
        <v>1140</v>
      </c>
      <c r="Q10" s="169">
        <f>IFERROR(__xludf.DUMMYFUNCTION("""COMPUTED_VALUE"""),288.9114298245614)</f>
        <v>288.9114298</v>
      </c>
      <c r="R10" s="20">
        <f>IFERROR(__xludf.DUMMYFUNCTION("""COMPUTED_VALUE"""),329359.03)</f>
        <v>329359.03</v>
      </c>
      <c r="S10" s="46">
        <f>IFERROR(__xludf.DUMMYFUNCTION("""COMPUTED_VALUE"""),1465.0)</f>
        <v>1465</v>
      </c>
      <c r="T10" s="22">
        <f>IFERROR(__xludf.DUMMYFUNCTION("""COMPUTED_VALUE"""),537534.1607600878)</f>
        <v>537534.1608</v>
      </c>
      <c r="U10" s="23">
        <f>IFERROR(__xludf.DUMMYFUNCTION("""COMPUTED_VALUE"""),473.20000000000005)</f>
        <v>473.2</v>
      </c>
      <c r="V10" s="24">
        <f>IFERROR(__xludf.DUMMYFUNCTION("""COMPUTED_VALUE"""),21.50909090909091)</f>
        <v>21.50909091</v>
      </c>
      <c r="W10" s="25">
        <f>IFERROR(__xludf.DUMMYFUNCTION("""COMPUTED_VALUE"""),0.12707141043005624)</f>
        <v>0.1270714104</v>
      </c>
      <c r="X10" s="19">
        <f>IFERROR(__xludf.DUMMYFUNCTION("""COMPUTED_VALUE"""),2591920.7860000003)</f>
        <v>2591920.786</v>
      </c>
      <c r="Y10" s="154"/>
    </row>
    <row r="11" ht="15.75" customHeight="1">
      <c r="A11" s="12">
        <f>IFERROR(__xludf.DUMMYFUNCTION("""COMPUTED_VALUE"""),45717.0)</f>
        <v>45717</v>
      </c>
      <c r="B11" s="13">
        <f>IFERROR(__xludf.DUMMYFUNCTION("""COMPUTED_VALUE"""),4000202.0)</f>
        <v>4000202</v>
      </c>
      <c r="C11" s="14" t="str">
        <f>IFERROR(__xludf.DUMMYFUNCTION("""COMPUTED_VALUE"""),"Diagnostico Salta")</f>
        <v>Diagnostico Salta</v>
      </c>
      <c r="D11" s="15">
        <f>IFERROR(__xludf.DUMMYFUNCTION("""COMPUTED_VALUE"""),0.27)</f>
        <v>0.27</v>
      </c>
      <c r="E11" s="17">
        <f>IFERROR(__xludf.DUMMYFUNCTION("""COMPUTED_VALUE"""),18340.0)</f>
        <v>18340</v>
      </c>
      <c r="F11" s="17">
        <f>IFERROR(__xludf.DUMMYFUNCTION("""COMPUTED_VALUE"""),4200.0)</f>
        <v>4200</v>
      </c>
      <c r="G11" s="17">
        <f>IFERROR(__xludf.DUMMYFUNCTION("""COMPUTED_VALUE"""),3710.0)</f>
        <v>3710</v>
      </c>
      <c r="H11" s="17">
        <f>IFERROR(__xludf.DUMMYFUNCTION("""COMPUTED_VALUE"""),10430.0)</f>
        <v>10430</v>
      </c>
      <c r="I11" s="16" t="str">
        <f>IFERROR(__xludf.DUMMYFUNCTION("""COMPUTED_VALUE"""),"T4-Ba")</f>
        <v>T4-Ba</v>
      </c>
      <c r="J11" s="18">
        <f>IFERROR(__xludf.DUMMYFUNCTION("""COMPUTED_VALUE"""),139.7195)</f>
        <v>139.7195</v>
      </c>
      <c r="K11" s="18">
        <f>IFERROR(__xludf.DUMMYFUNCTION("""COMPUTED_VALUE"""),137.011)</f>
        <v>137.011</v>
      </c>
      <c r="L11" s="18">
        <f>IFERROR(__xludf.DUMMYFUNCTION("""COMPUTED_VALUE"""),138.2068)</f>
        <v>138.2068</v>
      </c>
      <c r="M11" s="15">
        <f>IFERROR(__xludf.DUMMYFUNCTION("""COMPUTED_VALUE"""),1347.6)</f>
        <v>1347.6</v>
      </c>
      <c r="N11" s="17">
        <f>IFERROR(__xludf.DUMMYFUNCTION("""COMPUTED_VALUE"""),19687.6)</f>
        <v>19687.6</v>
      </c>
      <c r="O11" s="19">
        <f>IFERROR(__xludf.DUMMYFUNCTION("""COMPUTED_VALUE"""),2536629.6339999996)</f>
        <v>2536629.634</v>
      </c>
      <c r="P11" s="20">
        <f>IFERROR(__xludf.DUMMYFUNCTION("""COMPUTED_VALUE"""),1095.75)</f>
        <v>1095.75</v>
      </c>
      <c r="Q11" s="169">
        <f>IFERROR(__xludf.DUMMYFUNCTION("""COMPUTED_VALUE"""),169.97260659822038)</f>
        <v>169.9726066</v>
      </c>
      <c r="R11" s="20">
        <f>IFERROR(__xludf.DUMMYFUNCTION("""COMPUTED_VALUE"""),186247.48367999998)</f>
        <v>186247.4837</v>
      </c>
      <c r="S11" s="46">
        <f>IFERROR(__xludf.DUMMYFUNCTION("""COMPUTED_VALUE"""),1465.0)</f>
        <v>1465</v>
      </c>
      <c r="T11" s="22">
        <f>IFERROR(__xludf.DUMMYFUNCTION("""COMPUTED_VALUE"""),316242.53320631897)</f>
        <v>316242.5332</v>
      </c>
      <c r="U11" s="23">
        <f>IFERROR(__xludf.DUMMYFUNCTION("""COMPUTED_VALUE"""),269.52)</f>
        <v>269.52</v>
      </c>
      <c r="V11" s="24">
        <f>IFERROR(__xludf.DUMMYFUNCTION("""COMPUTED_VALUE"""),12.25090909090909)</f>
        <v>12.25090909</v>
      </c>
      <c r="W11" s="25">
        <f>IFERROR(__xludf.DUMMYFUNCTION("""COMPUTED_VALUE"""),0.06840098749615638)</f>
        <v>0.0684009875</v>
      </c>
      <c r="X11" s="19">
        <f>IFERROR(__xludf.DUMMYFUNCTION("""COMPUTED_VALUE"""),2722877.1176799997)</f>
        <v>2722877.118</v>
      </c>
      <c r="Y11" s="154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0"/>
  <sheetData>
    <row r="1">
      <c r="A1" s="168" t="str">
        <f>Datos!A1</f>
        <v>   Fecha </v>
      </c>
      <c r="B1" s="168" t="str">
        <f>Datos!B1</f>
        <v>NIS</v>
      </c>
      <c r="C1" s="168" t="str">
        <f>Datos!C1</f>
        <v>Cliente</v>
      </c>
      <c r="D1" s="168" t="str">
        <f>Datos!D1</f>
        <v>IVA</v>
      </c>
      <c r="E1" s="168" t="str">
        <f>Datos!E1</f>
        <v>Consumo [kWh]</v>
      </c>
      <c r="F1" s="168" t="str">
        <f>Datos!F1</f>
        <v>Consumo hs punta [kWh]</v>
      </c>
      <c r="G1" s="168" t="str">
        <f>Datos!G1</f>
        <v>Consumo hs valle [kWh]</v>
      </c>
      <c r="H1" s="168" t="str">
        <f>Datos!H1</f>
        <v>Consumo hs resto[kWh]</v>
      </c>
      <c r="I1" s="168" t="str">
        <f>Datos!I1</f>
        <v>Catergoria</v>
      </c>
      <c r="J1" s="168" t="str">
        <f>Datos!J1</f>
        <v>Tarifa punta</v>
      </c>
      <c r="K1" s="168" t="str">
        <f>Datos!K1</f>
        <v>Tarifa valle</v>
      </c>
      <c r="L1" s="168" t="str">
        <f>Datos!L1</f>
        <v>Tarifa resto</v>
      </c>
      <c r="M1" s="168" t="str">
        <f>Datos!M1</f>
        <v>Generacion FV [kWh]</v>
      </c>
      <c r="N1" s="168" t="str">
        <f>Datos!N1</f>
        <v>CONSUMO TOTAL</v>
      </c>
      <c r="O1" s="168" t="str">
        <f>Datos!O1</f>
        <v>Total a pagar S / IVA</v>
      </c>
      <c r="P1" s="168" t="str">
        <f>Datos!P1</f>
        <v>Valor USD</v>
      </c>
      <c r="Q1" s="168" t="str">
        <f>Datos!Q1</f>
        <v>Ahorro (USD)</v>
      </c>
      <c r="R1" s="168" t="str">
        <f>Datos!R1</f>
        <v>Ahorro ($)</v>
      </c>
      <c r="S1" s="168" t="str">
        <f>Datos!S1</f>
        <v>Valor dolar Actual ($)</v>
      </c>
      <c r="T1" s="168" t="str">
        <f>Datos!T1</f>
        <v>Ahorro ($)-A precio actual</v>
      </c>
      <c r="U1" s="168" t="str">
        <f>Datos!U1</f>
        <v>kg CO2e evitados</v>
      </c>
      <c r="V1" s="168" t="str">
        <f>Datos!V1</f>
        <v>Equivalente en árboles</v>
      </c>
      <c r="W1" s="168" t="str">
        <f>Datos!W1</f>
        <v>% de ahorro sobre los consumos</v>
      </c>
      <c r="X1" s="168" t="str">
        <f>Datos!X1</f>
        <v>SIN PANELES S/IVA</v>
      </c>
    </row>
    <row r="2">
      <c r="A2" s="12">
        <f>'Diagnostico Salta '!A2</f>
        <v>45992</v>
      </c>
      <c r="B2" s="13">
        <f>'Diagnostico Salta '!B2</f>
        <v>4000202</v>
      </c>
      <c r="C2" s="14" t="str">
        <f>'Diagnostico Salta '!C2</f>
        <v>Diagnostico Salta</v>
      </c>
      <c r="D2" s="15">
        <f>'Diagnostico Salta '!D2</f>
        <v>0.27</v>
      </c>
      <c r="E2" s="17">
        <f>'Diagnostico Salta '!E2</f>
        <v>16520</v>
      </c>
      <c r="F2" s="17">
        <f>'Diagnostico Salta '!F2</f>
        <v>4270</v>
      </c>
      <c r="G2" s="17">
        <f>'Diagnostico Salta '!G2</f>
        <v>3920</v>
      </c>
      <c r="H2" s="17">
        <f>'Diagnostico Salta '!H2</f>
        <v>8330</v>
      </c>
      <c r="I2" s="16" t="str">
        <f>'Diagnostico Salta '!I2</f>
        <v>T4-Ba</v>
      </c>
      <c r="J2" s="18">
        <f>'Diagnostico Salta '!J2</f>
        <v>156.5485</v>
      </c>
      <c r="K2" s="18">
        <f>'Diagnostico Salta '!K2</f>
        <v>153.7589</v>
      </c>
      <c r="L2" s="18">
        <f>'Diagnostico Salta '!L2</f>
        <v>154.5615</v>
      </c>
      <c r="M2" s="15">
        <f>'Diagnostico Salta '!M2</f>
        <v>4092.3</v>
      </c>
      <c r="N2" s="17">
        <f>'Diagnostico Salta '!N2</f>
        <v>20612.3</v>
      </c>
      <c r="O2" s="19">
        <f>'Diagnostico Salta '!O2</f>
        <v>2558694.278</v>
      </c>
      <c r="P2" s="20">
        <f>'Diagnostico Salta '!P2</f>
        <v>1470</v>
      </c>
      <c r="Q2" s="169">
        <f>'Diagnostico Salta '!Q2</f>
        <v>430.2802901</v>
      </c>
      <c r="R2" s="20">
        <f>'Diagnostico Salta '!R2</f>
        <v>632512.0265</v>
      </c>
      <c r="S2" s="46">
        <f>'Diagnostico Salta '!S2</f>
        <v>1465</v>
      </c>
      <c r="T2" s="22">
        <f>'Diagnostico Salta '!T2</f>
        <v>800557.9937</v>
      </c>
      <c r="U2" s="23">
        <f>'Diagnostico Salta '!U2</f>
        <v>818.46</v>
      </c>
      <c r="V2" s="24">
        <f>'Diagnostico Salta '!V2</f>
        <v>37.20272727</v>
      </c>
      <c r="W2" s="25">
        <f>'Diagnostico Salta '!W2</f>
        <v>0.1982046806</v>
      </c>
      <c r="X2" s="19">
        <f>'Diagnostico Salta '!X2</f>
        <v>3191206.304</v>
      </c>
    </row>
    <row r="3">
      <c r="A3" s="12">
        <f>'Diagnostico Salta '!A3</f>
        <v>45962</v>
      </c>
      <c r="B3" s="13">
        <f>'Diagnostico Salta '!B3</f>
        <v>4000202</v>
      </c>
      <c r="C3" s="14" t="str">
        <f>'Diagnostico Salta '!C3</f>
        <v>Diagnostico Salta</v>
      </c>
      <c r="D3" s="15">
        <f>'Diagnostico Salta '!D3</f>
        <v>0.27</v>
      </c>
      <c r="E3" s="17">
        <f>'Diagnostico Salta '!E3</f>
        <v>15680</v>
      </c>
      <c r="F3" s="17">
        <f>'Diagnostico Salta '!F3</f>
        <v>4130</v>
      </c>
      <c r="G3" s="17">
        <f>'Diagnostico Salta '!G3</f>
        <v>3780</v>
      </c>
      <c r="H3" s="17">
        <f>'Diagnostico Salta '!H3</f>
        <v>7770</v>
      </c>
      <c r="I3" s="16" t="str">
        <f>'Diagnostico Salta '!I3</f>
        <v>T4-Ba</v>
      </c>
      <c r="J3" s="18">
        <f>'Diagnostico Salta '!J3</f>
        <v>152.0913</v>
      </c>
      <c r="K3" s="18">
        <f>'Diagnostico Salta '!K3</f>
        <v>149.3017</v>
      </c>
      <c r="L3" s="18">
        <f>'Diagnostico Salta '!L3</f>
        <v>150.1043</v>
      </c>
      <c r="M3" s="15">
        <f>'Diagnostico Salta '!M3</f>
        <v>3980.5</v>
      </c>
      <c r="N3" s="17">
        <f>'Diagnostico Salta '!N3</f>
        <v>19660.5</v>
      </c>
      <c r="O3" s="19">
        <f>'Diagnostico Salta '!O3</f>
        <v>2358807.906</v>
      </c>
      <c r="P3" s="20">
        <f>'Diagnostico Salta '!P3</f>
        <v>1470</v>
      </c>
      <c r="Q3" s="169">
        <f>'Diagnostico Salta '!Q3</f>
        <v>406.4558953</v>
      </c>
      <c r="R3" s="20">
        <f>'Diagnostico Salta '!R3</f>
        <v>597490.1662</v>
      </c>
      <c r="S3" s="46">
        <f>'Diagnostico Salta '!S3</f>
        <v>1465</v>
      </c>
      <c r="T3" s="22">
        <f>'Diagnostico Salta '!T3</f>
        <v>756231.5161</v>
      </c>
      <c r="U3" s="23">
        <f>'Diagnostico Salta '!U3</f>
        <v>796.1</v>
      </c>
      <c r="V3" s="24">
        <f>'Diagnostico Salta '!V3</f>
        <v>36.18636364</v>
      </c>
      <c r="W3" s="25">
        <f>'Diagnostico Salta '!W3</f>
        <v>0.2021075519</v>
      </c>
      <c r="X3" s="19">
        <f>'Diagnostico Salta '!X3</f>
        <v>2956298.072</v>
      </c>
    </row>
    <row r="4">
      <c r="A4" s="12">
        <f>'Diagnostico Salta '!A4</f>
        <v>45931</v>
      </c>
      <c r="B4" s="13">
        <f>'Diagnostico Salta '!B4</f>
        <v>4000202</v>
      </c>
      <c r="C4" s="14" t="str">
        <f>'Diagnostico Salta '!C4</f>
        <v>Diagnostico Salta</v>
      </c>
      <c r="D4" s="15">
        <f>'Diagnostico Salta '!D4</f>
        <v>0.27</v>
      </c>
      <c r="E4" s="17">
        <f>'Diagnostico Salta '!E4</f>
        <v>16520</v>
      </c>
      <c r="F4" s="17">
        <f>'Diagnostico Salta '!F4</f>
        <v>4200</v>
      </c>
      <c r="G4" s="17">
        <f>'Diagnostico Salta '!G4</f>
        <v>3640</v>
      </c>
      <c r="H4" s="17">
        <f>'Diagnostico Salta '!H4</f>
        <v>8680</v>
      </c>
      <c r="I4" s="14" t="str">
        <f>'Diagnostico Salta '!I4</f>
        <v>T4-Ba</v>
      </c>
      <c r="J4" s="18">
        <f>'Diagnostico Salta '!J4</f>
        <v>159.8077</v>
      </c>
      <c r="K4" s="18">
        <f>'Diagnostico Salta '!K4</f>
        <v>156.9735</v>
      </c>
      <c r="L4" s="18">
        <f>'Diagnostico Salta '!L4</f>
        <v>158.2241</v>
      </c>
      <c r="M4" s="15">
        <f>'Diagnostico Salta '!M4</f>
        <v>3585.9</v>
      </c>
      <c r="N4" s="17">
        <f>'Diagnostico Salta '!N4</f>
        <v>20105.9</v>
      </c>
      <c r="O4" s="19">
        <f>'Diagnostico Salta '!O4</f>
        <v>2615961.068</v>
      </c>
      <c r="P4" s="20">
        <f>'Diagnostico Salta '!P4</f>
        <v>1450</v>
      </c>
      <c r="Q4" s="169">
        <f>'Diagnostico Salta '!Q4</f>
        <v>391.2936553</v>
      </c>
      <c r="R4" s="20">
        <f>'Diagnostico Salta '!R4</f>
        <v>567375.8002</v>
      </c>
      <c r="S4" s="46">
        <f>'Diagnostico Salta '!S4</f>
        <v>1465</v>
      </c>
      <c r="T4" s="22">
        <f>'Diagnostico Salta '!T4</f>
        <v>728021.4104</v>
      </c>
      <c r="U4" s="23">
        <f>'Diagnostico Salta '!U4</f>
        <v>717.18</v>
      </c>
      <c r="V4" s="24">
        <f>'Diagnostico Salta '!V4</f>
        <v>32.59909091</v>
      </c>
      <c r="W4" s="25">
        <f>'Diagnostico Salta '!W4</f>
        <v>0.1782330377</v>
      </c>
      <c r="X4" s="19">
        <f>'Diagnostico Salta '!X4</f>
        <v>3183336.868</v>
      </c>
    </row>
    <row r="5">
      <c r="A5" s="12"/>
      <c r="B5" s="13"/>
      <c r="C5" s="14"/>
      <c r="D5" s="15"/>
      <c r="E5" s="17"/>
      <c r="F5" s="17"/>
      <c r="G5" s="17"/>
      <c r="H5" s="17"/>
      <c r="I5" s="14"/>
      <c r="J5" s="18"/>
      <c r="K5" s="18"/>
      <c r="L5" s="18"/>
      <c r="M5" s="15"/>
      <c r="N5" s="17"/>
      <c r="O5" s="19"/>
      <c r="P5" s="20"/>
      <c r="Q5" s="169"/>
      <c r="R5" s="20"/>
      <c r="S5" s="46"/>
      <c r="T5" s="22"/>
      <c r="U5" s="23"/>
      <c r="V5" s="24"/>
      <c r="W5" s="25"/>
      <c r="X5" s="19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0"/>
  <sheetData>
    <row r="1">
      <c r="A1" s="168" t="str">
        <f>Datos!A1</f>
        <v>   Fecha </v>
      </c>
      <c r="B1" s="168" t="str">
        <f>Datos!B1</f>
        <v>NIS</v>
      </c>
      <c r="C1" s="168" t="str">
        <f>Datos!C1</f>
        <v>Cliente</v>
      </c>
      <c r="D1" s="168" t="str">
        <f>Datos!D1</f>
        <v>IVA</v>
      </c>
      <c r="E1" s="168" t="str">
        <f>Datos!E1</f>
        <v>Consumo [kWh]</v>
      </c>
      <c r="F1" s="168" t="str">
        <f>Datos!F1</f>
        <v>Consumo hs punta [kWh]</v>
      </c>
      <c r="G1" s="168" t="str">
        <f>Datos!G1</f>
        <v>Consumo hs valle [kWh]</v>
      </c>
      <c r="H1" s="168" t="str">
        <f>Datos!H1</f>
        <v>Consumo hs resto[kWh]</v>
      </c>
      <c r="I1" s="168" t="str">
        <f>Datos!I1</f>
        <v>Catergoria</v>
      </c>
      <c r="J1" s="168" t="str">
        <f>Datos!J1</f>
        <v>Tarifa punta</v>
      </c>
      <c r="K1" s="168" t="str">
        <f>Datos!K1</f>
        <v>Tarifa valle</v>
      </c>
      <c r="L1" s="168" t="str">
        <f>Datos!L1</f>
        <v>Tarifa resto</v>
      </c>
      <c r="M1" s="168" t="str">
        <f>Datos!M1</f>
        <v>Generacion FV [kWh]</v>
      </c>
      <c r="N1" s="168" t="str">
        <f>Datos!N1</f>
        <v>CONSUMO TOTAL</v>
      </c>
      <c r="O1" s="168" t="str">
        <f>Datos!O1</f>
        <v>Total a pagar S / IVA</v>
      </c>
      <c r="P1" s="168" t="str">
        <f>Datos!P1</f>
        <v>Valor USD</v>
      </c>
      <c r="Q1" s="168" t="str">
        <f>Datos!Q1</f>
        <v>Ahorro (USD)</v>
      </c>
      <c r="R1" s="168" t="str">
        <f>Datos!R1</f>
        <v>Ahorro ($)</v>
      </c>
      <c r="S1" s="168" t="str">
        <f>Datos!S1</f>
        <v>Valor dolar Actual ($)</v>
      </c>
      <c r="T1" s="168" t="str">
        <f>Datos!T1</f>
        <v>Ahorro ($)-A precio actual</v>
      </c>
      <c r="U1" s="168" t="str">
        <f>Datos!U1</f>
        <v>kg CO2e evitados</v>
      </c>
      <c r="V1" s="168" t="str">
        <f>Datos!V1</f>
        <v>Equivalente en árboles</v>
      </c>
      <c r="W1" s="168" t="str">
        <f>Datos!W1</f>
        <v>% de ahorro sobre los consumos</v>
      </c>
      <c r="X1" s="168" t="str">
        <f>Datos!X1</f>
        <v>SIN PANELES S/IVA</v>
      </c>
      <c r="Y1" s="151" t="str">
        <f>Datos!Z1</f>
        <v/>
      </c>
    </row>
    <row r="2" ht="15.75" customHeight="1">
      <c r="A2" s="12">
        <f>IFERROR(__xludf.DUMMYFUNCTION("FILTER(Datos!1:1247,Datos!B:B=5346470)"),45992.0)</f>
        <v>45992</v>
      </c>
      <c r="B2" s="66">
        <f>IFERROR(__xludf.DUMMYFUNCTION("""COMPUTED_VALUE"""),5346470.0)</f>
        <v>5346470</v>
      </c>
      <c r="C2" s="14" t="str">
        <f>IFERROR(__xludf.DUMMYFUNCTION("""COMPUTED_VALUE"""),"Punto Corp")</f>
        <v>Punto Corp</v>
      </c>
      <c r="D2" s="15">
        <f>IFERROR(__xludf.DUMMYFUNCTION("""COMPUTED_VALUE"""),0.27)</f>
        <v>0.27</v>
      </c>
      <c r="E2" s="17">
        <f>IFERROR(__xludf.DUMMYFUNCTION("""COMPUTED_VALUE"""),6144.0)</f>
        <v>6144</v>
      </c>
      <c r="F2" s="17">
        <f>IFERROR(__xludf.DUMMYFUNCTION("""COMPUTED_VALUE"""),1770.0)</f>
        <v>1770</v>
      </c>
      <c r="G2" s="17">
        <f>IFERROR(__xludf.DUMMYFUNCTION("""COMPUTED_VALUE"""),1962.0)</f>
        <v>1962</v>
      </c>
      <c r="H2" s="17">
        <f>IFERROR(__xludf.DUMMYFUNCTION("""COMPUTED_VALUE"""),2412.0)</f>
        <v>2412</v>
      </c>
      <c r="I2" s="16" t="str">
        <f>IFERROR(__xludf.DUMMYFUNCTION("""COMPUTED_VALUE"""),"T4-Ba")</f>
        <v>T4-Ba</v>
      </c>
      <c r="J2" s="18">
        <f>IFERROR(__xludf.DUMMYFUNCTION("""COMPUTED_VALUE"""),156.5485)</f>
        <v>156.5485</v>
      </c>
      <c r="K2" s="18">
        <f>IFERROR(__xludf.DUMMYFUNCTION("""COMPUTED_VALUE"""),153.7589)</f>
        <v>153.7589</v>
      </c>
      <c r="L2" s="18">
        <f>IFERROR(__xludf.DUMMYFUNCTION("""COMPUTED_VALUE"""),154.5615)</f>
        <v>154.5615</v>
      </c>
      <c r="M2" s="15">
        <f>IFERROR(__xludf.DUMMYFUNCTION("""COMPUTED_VALUE"""),2452.2)</f>
        <v>2452.2</v>
      </c>
      <c r="N2" s="17">
        <f>IFERROR(__xludf.DUMMYFUNCTION("""COMPUTED_VALUE"""),8596.2)</f>
        <v>8596.2</v>
      </c>
      <c r="O2" s="19">
        <f>IFERROR(__xludf.DUMMYFUNCTION("""COMPUTED_VALUE"""),951568.1448)</f>
        <v>951568.1448</v>
      </c>
      <c r="P2" s="20">
        <f>IFERROR(__xludf.DUMMYFUNCTION("""COMPUTED_VALUE"""),1470.0)</f>
        <v>1470</v>
      </c>
      <c r="Q2" s="169">
        <f>IFERROR(__xludf.DUMMYFUNCTION("""COMPUTED_VALUE"""),257.83381653061224)</f>
        <v>257.8338165</v>
      </c>
      <c r="R2" s="20">
        <f>IFERROR(__xludf.DUMMYFUNCTION("""COMPUTED_VALUE"""),379015.7103)</f>
        <v>379015.7103</v>
      </c>
      <c r="S2" s="46">
        <f>IFERROR(__xludf.DUMMYFUNCTION("""COMPUTED_VALUE"""),1465.0)</f>
        <v>1465</v>
      </c>
      <c r="T2" s="22">
        <f>IFERROR(__xludf.DUMMYFUNCTION("""COMPUTED_VALUE"""),479712.70734603057)</f>
        <v>479712.7073</v>
      </c>
      <c r="U2" s="23">
        <f>IFERROR(__xludf.DUMMYFUNCTION("""COMPUTED_VALUE"""),490.44)</f>
        <v>490.44</v>
      </c>
      <c r="V2" s="24">
        <f>IFERROR(__xludf.DUMMYFUNCTION("""COMPUTED_VALUE"""),22.292727272727273)</f>
        <v>22.29272727</v>
      </c>
      <c r="W2" s="25">
        <f>IFERROR(__xludf.DUMMYFUNCTION("""COMPUTED_VALUE"""),0.28484917267503973)</f>
        <v>0.2848491727</v>
      </c>
      <c r="X2" s="19">
        <f>IFERROR(__xludf.DUMMYFUNCTION("""COMPUTED_VALUE"""),1330583.8551)</f>
        <v>1330583.855</v>
      </c>
      <c r="Y2" s="154"/>
    </row>
    <row r="3" ht="15.75" customHeight="1">
      <c r="A3" s="12">
        <f>IFERROR(__xludf.DUMMYFUNCTION("""COMPUTED_VALUE"""),45970.0)</f>
        <v>45970</v>
      </c>
      <c r="B3" s="66">
        <f>IFERROR(__xludf.DUMMYFUNCTION("""COMPUTED_VALUE"""),5346470.0)</f>
        <v>5346470</v>
      </c>
      <c r="C3" s="14" t="str">
        <f>IFERROR(__xludf.DUMMYFUNCTION("""COMPUTED_VALUE"""),"Punto Corp ")</f>
        <v>Punto Corp </v>
      </c>
      <c r="D3" s="15">
        <f>IFERROR(__xludf.DUMMYFUNCTION("""COMPUTED_VALUE"""),0.27)</f>
        <v>0.27</v>
      </c>
      <c r="E3" s="17">
        <f>IFERROR(__xludf.DUMMYFUNCTION("""COMPUTED_VALUE"""),5553.0)</f>
        <v>5553</v>
      </c>
      <c r="F3" s="17">
        <f>IFERROR(__xludf.DUMMYFUNCTION("""COMPUTED_VALUE"""),1722.0)</f>
        <v>1722</v>
      </c>
      <c r="G3" s="17">
        <f>IFERROR(__xludf.DUMMYFUNCTION("""COMPUTED_VALUE"""),1962.0)</f>
        <v>1962</v>
      </c>
      <c r="H3" s="17">
        <f>IFERROR(__xludf.DUMMYFUNCTION("""COMPUTED_VALUE"""),1869.0)</f>
        <v>1869</v>
      </c>
      <c r="I3" s="16" t="str">
        <f>IFERROR(__xludf.DUMMYFUNCTION("""COMPUTED_VALUE"""),"T4-Ba")</f>
        <v>T4-Ba</v>
      </c>
      <c r="J3" s="18">
        <f>IFERROR(__xludf.DUMMYFUNCTION("""COMPUTED_VALUE"""),152.0913)</f>
        <v>152.0913</v>
      </c>
      <c r="K3" s="18">
        <f>IFERROR(__xludf.DUMMYFUNCTION("""COMPUTED_VALUE"""),149.3017)</f>
        <v>149.3017</v>
      </c>
      <c r="L3" s="18">
        <f>IFERROR(__xludf.DUMMYFUNCTION("""COMPUTED_VALUE"""),150.1043)</f>
        <v>150.1043</v>
      </c>
      <c r="M3" s="15">
        <f>IFERROR(__xludf.DUMMYFUNCTION("""COMPUTED_VALUE"""),2814.1)</f>
        <v>2814.1</v>
      </c>
      <c r="N3" s="17">
        <f>IFERROR(__xludf.DUMMYFUNCTION("""COMPUTED_VALUE"""),8367.1)</f>
        <v>8367.1</v>
      </c>
      <c r="O3" s="19">
        <f>IFERROR(__xludf.DUMMYFUNCTION("""COMPUTED_VALUE"""),835376.0907)</f>
        <v>835376.0907</v>
      </c>
      <c r="P3" s="20">
        <f>IFERROR(__xludf.DUMMYFUNCTION("""COMPUTED_VALUE"""),1470.0)</f>
        <v>1470</v>
      </c>
      <c r="Q3" s="169">
        <f>IFERROR(__xludf.DUMMYFUNCTION("""COMPUTED_VALUE"""),287.3527283197279)</f>
        <v>287.3527283</v>
      </c>
      <c r="R3" s="20">
        <f>IFERROR(__xludf.DUMMYFUNCTION("""COMPUTED_VALUE"""),422408.51063)</f>
        <v>422408.5106</v>
      </c>
      <c r="S3" s="46">
        <f>IFERROR(__xludf.DUMMYFUNCTION("""COMPUTED_VALUE"""),1465.0)</f>
        <v>1465</v>
      </c>
      <c r="T3" s="22">
        <f>IFERROR(__xludf.DUMMYFUNCTION("""COMPUTED_VALUE"""),534634.1186752697)</f>
        <v>534634.1187</v>
      </c>
      <c r="U3" s="23">
        <f>IFERROR(__xludf.DUMMYFUNCTION("""COMPUTED_VALUE"""),562.82)</f>
        <v>562.82</v>
      </c>
      <c r="V3" s="24">
        <f>IFERROR(__xludf.DUMMYFUNCTION("""COMPUTED_VALUE"""),25.582727272727276)</f>
        <v>25.58272727</v>
      </c>
      <c r="W3" s="25">
        <f>IFERROR(__xludf.DUMMYFUNCTION("""COMPUTED_VALUE"""),0.33583533315906317)</f>
        <v>0.3358353332</v>
      </c>
      <c r="X3" s="19">
        <f>IFERROR(__xludf.DUMMYFUNCTION("""COMPUTED_VALUE"""),1257784.60133)</f>
        <v>1257784.601</v>
      </c>
      <c r="Y3" s="154"/>
    </row>
    <row r="4" ht="15.75" customHeight="1">
      <c r="A4" s="12">
        <f>IFERROR(__xludf.DUMMYFUNCTION("""COMPUTED_VALUE"""),45931.0)</f>
        <v>45931</v>
      </c>
      <c r="B4" s="66">
        <f>IFERROR(__xludf.DUMMYFUNCTION("""COMPUTED_VALUE"""),5346470.0)</f>
        <v>5346470</v>
      </c>
      <c r="C4" s="14" t="str">
        <f>IFERROR(__xludf.DUMMYFUNCTION("""COMPUTED_VALUE"""),"Punto Corp ")</f>
        <v>Punto Corp </v>
      </c>
      <c r="D4" s="15">
        <f>IFERROR(__xludf.DUMMYFUNCTION("""COMPUTED_VALUE"""),0.27)</f>
        <v>0.27</v>
      </c>
      <c r="E4" s="17">
        <f>IFERROR(__xludf.DUMMYFUNCTION("""COMPUTED_VALUE"""),6141.0)</f>
        <v>6141</v>
      </c>
      <c r="F4" s="17">
        <f>IFERROR(__xludf.DUMMYFUNCTION("""COMPUTED_VALUE"""),1737.0)</f>
        <v>1737</v>
      </c>
      <c r="G4" s="17">
        <f>IFERROR(__xludf.DUMMYFUNCTION("""COMPUTED_VALUE"""),2037.0)</f>
        <v>2037</v>
      </c>
      <c r="H4" s="17">
        <f>IFERROR(__xludf.DUMMYFUNCTION("""COMPUTED_VALUE"""),2367.0)</f>
        <v>2367</v>
      </c>
      <c r="I4" s="14" t="str">
        <f>IFERROR(__xludf.DUMMYFUNCTION("""COMPUTED_VALUE"""),"T4-Ba")</f>
        <v>T4-Ba</v>
      </c>
      <c r="J4" s="18">
        <f>IFERROR(__xludf.DUMMYFUNCTION("""COMPUTED_VALUE"""),159.8077)</f>
        <v>159.8077</v>
      </c>
      <c r="K4" s="18">
        <f>IFERROR(__xludf.DUMMYFUNCTION("""COMPUTED_VALUE"""),156.9735)</f>
        <v>156.9735</v>
      </c>
      <c r="L4" s="18">
        <f>IFERROR(__xludf.DUMMYFUNCTION("""COMPUTED_VALUE"""),158.2241)</f>
        <v>158.2241</v>
      </c>
      <c r="M4" s="15">
        <f>IFERROR(__xludf.DUMMYFUNCTION("""COMPUTED_VALUE"""),2446.0)</f>
        <v>2446</v>
      </c>
      <c r="N4" s="17">
        <f>IFERROR(__xludf.DUMMYFUNCTION("""COMPUTED_VALUE"""),8587.0)</f>
        <v>8587</v>
      </c>
      <c r="O4" s="19">
        <f>IFERROR(__xludf.DUMMYFUNCTION("""COMPUTED_VALUE"""),971857.4391)</f>
        <v>971857.4391</v>
      </c>
      <c r="P4" s="20">
        <f>IFERROR(__xludf.DUMMYFUNCTION("""COMPUTED_VALUE"""),1450.0)</f>
        <v>1450</v>
      </c>
      <c r="Q4" s="169">
        <f>IFERROR(__xludf.DUMMYFUNCTION("""COMPUTED_VALUE"""),266.9076886896551)</f>
        <v>266.9076887</v>
      </c>
      <c r="R4" s="20">
        <f>IFERROR(__xludf.DUMMYFUNCTION("""COMPUTED_VALUE"""),387016.1485999999)</f>
        <v>387016.1486</v>
      </c>
      <c r="S4" s="46">
        <f>IFERROR(__xludf.DUMMYFUNCTION("""COMPUTED_VALUE"""),1465.0)</f>
        <v>1465</v>
      </c>
      <c r="T4" s="22">
        <f>IFERROR(__xludf.DUMMYFUNCTION("""COMPUTED_VALUE"""),496595.1001915378)</f>
        <v>496595.1002</v>
      </c>
      <c r="U4" s="23">
        <f>IFERROR(__xludf.DUMMYFUNCTION("""COMPUTED_VALUE"""),489.20000000000005)</f>
        <v>489.2</v>
      </c>
      <c r="V4" s="24">
        <f>IFERROR(__xludf.DUMMYFUNCTION("""COMPUTED_VALUE"""),22.236363636363638)</f>
        <v>22.23636364</v>
      </c>
      <c r="W4" s="25">
        <f>IFERROR(__xludf.DUMMYFUNCTION("""COMPUTED_VALUE"""),0.2848065869431277)</f>
        <v>0.2848065869</v>
      </c>
      <c r="X4" s="19">
        <f>IFERROR(__xludf.DUMMYFUNCTION("""COMPUTED_VALUE"""),1358873.5877)</f>
        <v>1358873.588</v>
      </c>
      <c r="Y4" s="154"/>
    </row>
    <row r="5" ht="15.75" customHeight="1">
      <c r="A5" s="12">
        <f>IFERROR(__xludf.DUMMYFUNCTION("""COMPUTED_VALUE"""),45909.0)</f>
        <v>45909</v>
      </c>
      <c r="B5" s="66">
        <f>IFERROR(__xludf.DUMMYFUNCTION("""COMPUTED_VALUE"""),5346470.0)</f>
        <v>5346470</v>
      </c>
      <c r="C5" s="14" t="str">
        <f>IFERROR(__xludf.DUMMYFUNCTION("""COMPUTED_VALUE"""),"Punto Corp ")</f>
        <v>Punto Corp </v>
      </c>
      <c r="D5" s="15">
        <f>IFERROR(__xludf.DUMMYFUNCTION("""COMPUTED_VALUE"""),0.27)</f>
        <v>0.27</v>
      </c>
      <c r="E5" s="17">
        <f>IFERROR(__xludf.DUMMYFUNCTION("""COMPUTED_VALUE"""),6063.0)</f>
        <v>6063</v>
      </c>
      <c r="F5" s="17">
        <f>IFERROR(__xludf.DUMMYFUNCTION("""COMPUTED_VALUE"""),1644.0)</f>
        <v>1644</v>
      </c>
      <c r="G5" s="17">
        <f>IFERROR(__xludf.DUMMYFUNCTION("""COMPUTED_VALUE"""),1956.0)</f>
        <v>1956</v>
      </c>
      <c r="H5" s="17">
        <f>IFERROR(__xludf.DUMMYFUNCTION("""COMPUTED_VALUE"""),2463.0)</f>
        <v>2463</v>
      </c>
      <c r="I5" s="14" t="str">
        <f>IFERROR(__xludf.DUMMYFUNCTION("""COMPUTED_VALUE"""),"T4-Ba")</f>
        <v>T4-Ba</v>
      </c>
      <c r="J5" s="18">
        <f>IFERROR(__xludf.DUMMYFUNCTION("""COMPUTED_VALUE"""),159.1156)</f>
        <v>159.1156</v>
      </c>
      <c r="K5" s="18">
        <f>IFERROR(__xludf.DUMMYFUNCTION("""COMPUTED_VALUE"""),156.2753)</f>
        <v>156.2753</v>
      </c>
      <c r="L5" s="18">
        <f>IFERROR(__xludf.DUMMYFUNCTION("""COMPUTED_VALUE"""),157.5295)</f>
        <v>157.5295</v>
      </c>
      <c r="M5" s="15">
        <f>IFERROR(__xludf.DUMMYFUNCTION("""COMPUTED_VALUE"""),1146.5)</f>
        <v>1146.5</v>
      </c>
      <c r="N5" s="17">
        <f>IFERROR(__xludf.DUMMYFUNCTION("""COMPUTED_VALUE"""),7209.5)</f>
        <v>7209.5</v>
      </c>
      <c r="O5" s="19">
        <f>IFERROR(__xludf.DUMMYFUNCTION("""COMPUTED_VALUE"""),955255.6917)</f>
        <v>955255.6917</v>
      </c>
      <c r="P5" s="20">
        <f>IFERROR(__xludf.DUMMYFUNCTION("""COMPUTED_VALUE"""),1425.0)</f>
        <v>1425</v>
      </c>
      <c r="Q5" s="169">
        <f>IFERROR(__xludf.DUMMYFUNCTION("""COMPUTED_VALUE"""),126.74215561403508)</f>
        <v>126.7421556</v>
      </c>
      <c r="R5" s="20">
        <f>IFERROR(__xludf.DUMMYFUNCTION("""COMPUTED_VALUE"""),180607.57175)</f>
        <v>180607.5718</v>
      </c>
      <c r="S5" s="46">
        <f>IFERROR(__xludf.DUMMYFUNCTION("""COMPUTED_VALUE"""),1465.0)</f>
        <v>1465</v>
      </c>
      <c r="T5" s="22">
        <f>IFERROR(__xludf.DUMMYFUNCTION("""COMPUTED_VALUE"""),235810.11762769296)</f>
        <v>235810.1176</v>
      </c>
      <c r="U5" s="23">
        <f>IFERROR(__xludf.DUMMYFUNCTION("""COMPUTED_VALUE"""),229.3)</f>
        <v>229.3</v>
      </c>
      <c r="V5" s="24">
        <f>IFERROR(__xludf.DUMMYFUNCTION("""COMPUTED_VALUE"""),10.422727272727274)</f>
        <v>10.42272727</v>
      </c>
      <c r="W5" s="25">
        <f>IFERROR(__xludf.DUMMYFUNCTION("""COMPUTED_VALUE"""),0.1590046773776571)</f>
        <v>0.1590046774</v>
      </c>
      <c r="X5" s="19">
        <f>IFERROR(__xludf.DUMMYFUNCTION("""COMPUTED_VALUE"""),1135863.26345)</f>
        <v>1135863.263</v>
      </c>
      <c r="Y5" s="154"/>
    </row>
    <row r="6" ht="15.75" customHeight="1">
      <c r="A6" s="12">
        <f>IFERROR(__xludf.DUMMYFUNCTION("""COMPUTED_VALUE"""),45877.0)</f>
        <v>45877</v>
      </c>
      <c r="B6" s="66">
        <f>IFERROR(__xludf.DUMMYFUNCTION("""COMPUTED_VALUE"""),5346470.0)</f>
        <v>5346470</v>
      </c>
      <c r="C6" s="14" t="str">
        <f>IFERROR(__xludf.DUMMYFUNCTION("""COMPUTED_VALUE"""),"Punto Corp ")</f>
        <v>Punto Corp </v>
      </c>
      <c r="D6" s="15">
        <f>IFERROR(__xludf.DUMMYFUNCTION("""COMPUTED_VALUE"""),0.27)</f>
        <v>0.27</v>
      </c>
      <c r="E6" s="17">
        <f>IFERROR(__xludf.DUMMYFUNCTION("""COMPUTED_VALUE"""),7524.0)</f>
        <v>7524</v>
      </c>
      <c r="F6" s="17">
        <f>IFERROR(__xludf.DUMMYFUNCTION("""COMPUTED_VALUE"""),1815.0)</f>
        <v>1815</v>
      </c>
      <c r="G6" s="17">
        <f>IFERROR(__xludf.DUMMYFUNCTION("""COMPUTED_VALUE"""),2325.0)</f>
        <v>2325</v>
      </c>
      <c r="H6" s="17">
        <f>IFERROR(__xludf.DUMMYFUNCTION("""COMPUTED_VALUE"""),3384.0)</f>
        <v>3384</v>
      </c>
      <c r="I6" s="14" t="str">
        <f>IFERROR(__xludf.DUMMYFUNCTION("""COMPUTED_VALUE"""),"T4-Ba")</f>
        <v>T4-Ba</v>
      </c>
      <c r="J6" s="18">
        <f>IFERROR(__xludf.DUMMYFUNCTION("""COMPUTED_VALUE"""),149.9317)</f>
        <v>149.9317</v>
      </c>
      <c r="K6" s="18">
        <f>IFERROR(__xludf.DUMMYFUNCTION("""COMPUTED_VALUE"""),147.0841)</f>
        <v>147.0841</v>
      </c>
      <c r="L6" s="18">
        <f>IFERROR(__xludf.DUMMYFUNCTION("""COMPUTED_VALUE"""),148.3408)</f>
        <v>148.3408</v>
      </c>
      <c r="M6" s="15">
        <f>IFERROR(__xludf.DUMMYFUNCTION("""COMPUTED_VALUE"""),1173.3)</f>
        <v>1173.3</v>
      </c>
      <c r="N6" s="17">
        <f>IFERROR(__xludf.DUMMYFUNCTION("""COMPUTED_VALUE"""),8697.3)</f>
        <v>8697.3</v>
      </c>
      <c r="O6" s="19">
        <f>IFERROR(__xludf.DUMMYFUNCTION("""COMPUTED_VALUE"""),1116081.8352)</f>
        <v>1116081.835</v>
      </c>
      <c r="P6" s="20">
        <f>IFERROR(__xludf.DUMMYFUNCTION("""COMPUTED_VALUE"""),1340.0)</f>
        <v>1340</v>
      </c>
      <c r="Q6" s="169">
        <f>IFERROR(__xludf.DUMMYFUNCTION("""COMPUTED_VALUE"""),129.88676167164178)</f>
        <v>129.8867617</v>
      </c>
      <c r="R6" s="20">
        <f>IFERROR(__xludf.DUMMYFUNCTION("""COMPUTED_VALUE"""),174048.26064)</f>
        <v>174048.2606</v>
      </c>
      <c r="S6" s="46">
        <f>IFERROR(__xludf.DUMMYFUNCTION("""COMPUTED_VALUE"""),1465.0)</f>
        <v>1465</v>
      </c>
      <c r="T6" s="22">
        <f>IFERROR(__xludf.DUMMYFUNCTION("""COMPUTED_VALUE"""),241660.8144281731)</f>
        <v>241660.8144</v>
      </c>
      <c r="U6" s="23">
        <f>IFERROR(__xludf.DUMMYFUNCTION("""COMPUTED_VALUE"""),234.66)</f>
        <v>234.66</v>
      </c>
      <c r="V6" s="24">
        <f>IFERROR(__xludf.DUMMYFUNCTION("""COMPUTED_VALUE"""),10.666363636363636)</f>
        <v>10.66636364</v>
      </c>
      <c r="W6" s="25">
        <f>IFERROR(__xludf.DUMMYFUNCTION("""COMPUTED_VALUE"""),0.13490752692400193)</f>
        <v>0.1349075269</v>
      </c>
      <c r="X6" s="19">
        <f>IFERROR(__xludf.DUMMYFUNCTION("""COMPUTED_VALUE"""),1290130.09584)</f>
        <v>1290130.096</v>
      </c>
      <c r="Y6" s="154"/>
    </row>
    <row r="7" ht="15.75" customHeight="1">
      <c r="A7" s="12">
        <f>IFERROR(__xludf.DUMMYFUNCTION("""COMPUTED_VALUE"""),45839.0)</f>
        <v>45839</v>
      </c>
      <c r="B7" s="66">
        <f>IFERROR(__xludf.DUMMYFUNCTION("""COMPUTED_VALUE"""),5346470.0)</f>
        <v>5346470</v>
      </c>
      <c r="C7" s="14" t="str">
        <f>IFERROR(__xludf.DUMMYFUNCTION("""COMPUTED_VALUE"""),"Punto Corp ")</f>
        <v>Punto Corp </v>
      </c>
      <c r="D7" s="15">
        <f>IFERROR(__xludf.DUMMYFUNCTION("""COMPUTED_VALUE"""),0.27)</f>
        <v>0.27</v>
      </c>
      <c r="E7" s="17">
        <f>IFERROR(__xludf.DUMMYFUNCTION("""COMPUTED_VALUE"""),10923.0)</f>
        <v>10923</v>
      </c>
      <c r="F7" s="17">
        <f>IFERROR(__xludf.DUMMYFUNCTION("""COMPUTED_VALUE"""),2319.0)</f>
        <v>2319</v>
      </c>
      <c r="G7" s="17">
        <f>IFERROR(__xludf.DUMMYFUNCTION("""COMPUTED_VALUE"""),2649.0)</f>
        <v>2649</v>
      </c>
      <c r="H7" s="17">
        <f>IFERROR(__xludf.DUMMYFUNCTION("""COMPUTED_VALUE"""),5955.0)</f>
        <v>5955</v>
      </c>
      <c r="I7" s="14" t="str">
        <f>IFERROR(__xludf.DUMMYFUNCTION("""COMPUTED_VALUE"""),"T4-Ba")</f>
        <v>T4-Ba</v>
      </c>
      <c r="J7" s="18">
        <f>IFERROR(__xludf.DUMMYFUNCTION("""COMPUTED_VALUE"""),149.9317)</f>
        <v>149.9317</v>
      </c>
      <c r="K7" s="18">
        <f>IFERROR(__xludf.DUMMYFUNCTION("""COMPUTED_VALUE"""),147.0841)</f>
        <v>147.0841</v>
      </c>
      <c r="L7" s="18">
        <f>IFERROR(__xludf.DUMMYFUNCTION("""COMPUTED_VALUE"""),148.3408)</f>
        <v>148.3408</v>
      </c>
      <c r="M7" s="15">
        <f>IFERROR(__xludf.DUMMYFUNCTION("""COMPUTED_VALUE"""),1180.5)</f>
        <v>1180.5</v>
      </c>
      <c r="N7" s="17">
        <f>IFERROR(__xludf.DUMMYFUNCTION("""COMPUTED_VALUE"""),12103.5)</f>
        <v>12103.5</v>
      </c>
      <c r="O7" s="19">
        <f>IFERROR(__xludf.DUMMYFUNCTION("""COMPUTED_VALUE"""),1620686.8572)</f>
        <v>1620686.857</v>
      </c>
      <c r="P7" s="20">
        <f>IFERROR(__xludf.DUMMYFUNCTION("""COMPUTED_VALUE"""),1280.0)</f>
        <v>1280</v>
      </c>
      <c r="Q7" s="169">
        <f>IFERROR(__xludf.DUMMYFUNCTION("""COMPUTED_VALUE"""),136.809620625)</f>
        <v>136.8096206</v>
      </c>
      <c r="R7" s="20">
        <f>IFERROR(__xludf.DUMMYFUNCTION("""COMPUTED_VALUE"""),175116.3144)</f>
        <v>175116.3144</v>
      </c>
      <c r="S7" s="46">
        <f>IFERROR(__xludf.DUMMYFUNCTION("""COMPUTED_VALUE"""),1465.0)</f>
        <v>1465</v>
      </c>
      <c r="T7" s="22">
        <f>IFERROR(__xludf.DUMMYFUNCTION("""COMPUTED_VALUE"""),254541.1396538438)</f>
        <v>254541.1397</v>
      </c>
      <c r="U7" s="23">
        <f>IFERROR(__xludf.DUMMYFUNCTION("""COMPUTED_VALUE"""),236.10000000000002)</f>
        <v>236.1</v>
      </c>
      <c r="V7" s="24">
        <f>IFERROR(__xludf.DUMMYFUNCTION("""COMPUTED_VALUE"""),10.731818181818182)</f>
        <v>10.73181818</v>
      </c>
      <c r="W7" s="25">
        <f>IFERROR(__xludf.DUMMYFUNCTION("""COMPUTED_VALUE"""),0.09751420265283153)</f>
        <v>0.09751420265</v>
      </c>
      <c r="X7" s="19">
        <f>IFERROR(__xludf.DUMMYFUNCTION("""COMPUTED_VALUE"""),1795803.1716)</f>
        <v>1795803.172</v>
      </c>
      <c r="Y7" s="154"/>
    </row>
    <row r="8" ht="15.75" customHeight="1">
      <c r="A8" s="12">
        <f>IFERROR(__xludf.DUMMYFUNCTION("""COMPUTED_VALUE"""),45809.0)</f>
        <v>45809</v>
      </c>
      <c r="B8" s="66">
        <f>IFERROR(__xludf.DUMMYFUNCTION("""COMPUTED_VALUE"""),5346470.0)</f>
        <v>5346470</v>
      </c>
      <c r="C8" s="14" t="str">
        <f>IFERROR(__xludf.DUMMYFUNCTION("""COMPUTED_VALUE"""),"Punto Corp ")</f>
        <v>Punto Corp </v>
      </c>
      <c r="D8" s="15">
        <f>IFERROR(__xludf.DUMMYFUNCTION("""COMPUTED_VALUE"""),0.27)</f>
        <v>0.27</v>
      </c>
      <c r="E8" s="17">
        <f>IFERROR(__xludf.DUMMYFUNCTION("""COMPUTED_VALUE"""),10131.0)</f>
        <v>10131</v>
      </c>
      <c r="F8" s="17">
        <f>IFERROR(__xludf.DUMMYFUNCTION("""COMPUTED_VALUE"""),1872.0)</f>
        <v>1872</v>
      </c>
      <c r="G8" s="17">
        <f>IFERROR(__xludf.DUMMYFUNCTION("""COMPUTED_VALUE"""),2079.0)</f>
        <v>2079</v>
      </c>
      <c r="H8" s="17">
        <f>IFERROR(__xludf.DUMMYFUNCTION("""COMPUTED_VALUE"""),6180.0)</f>
        <v>6180</v>
      </c>
      <c r="I8" s="14" t="str">
        <f>IFERROR(__xludf.DUMMYFUNCTION("""COMPUTED_VALUE"""),"T4-Ba")</f>
        <v>T4-Ba</v>
      </c>
      <c r="J8" s="18">
        <f>IFERROR(__xludf.DUMMYFUNCTION("""COMPUTED_VALUE"""),147.7231)</f>
        <v>147.7231</v>
      </c>
      <c r="K8" s="18">
        <f>IFERROR(__xludf.DUMMYFUNCTION("""COMPUTED_VALUE"""),144.9122)</f>
        <v>144.9122</v>
      </c>
      <c r="L8" s="18">
        <f>IFERROR(__xludf.DUMMYFUNCTION("""COMPUTED_VALUE"""),146.1513)</f>
        <v>146.1513</v>
      </c>
      <c r="M8" s="15">
        <f>IFERROR(__xludf.DUMMYFUNCTION("""COMPUTED_VALUE"""),1094.1)</f>
        <v>1094.1</v>
      </c>
      <c r="N8" s="17">
        <f>IFERROR(__xludf.DUMMYFUNCTION("""COMPUTED_VALUE"""),11225.1)</f>
        <v>11225.1</v>
      </c>
      <c r="O8" s="19">
        <f>IFERROR(__xludf.DUMMYFUNCTION("""COMPUTED_VALUE"""),1481025.141)</f>
        <v>1481025.141</v>
      </c>
      <c r="P8" s="20">
        <f>IFERROR(__xludf.DUMMYFUNCTION("""COMPUTED_VALUE"""),1280.0)</f>
        <v>1280</v>
      </c>
      <c r="Q8" s="169">
        <f>IFERROR(__xludf.DUMMYFUNCTION("""COMPUTED_VALUE"""),124.92510728906248)</f>
        <v>124.9251073</v>
      </c>
      <c r="R8" s="20">
        <f>IFERROR(__xludf.DUMMYFUNCTION("""COMPUTED_VALUE"""),159904.13732999997)</f>
        <v>159904.1373</v>
      </c>
      <c r="S8" s="46">
        <f>IFERROR(__xludf.DUMMYFUNCTION("""COMPUTED_VALUE"""),1465.0)</f>
        <v>1465</v>
      </c>
      <c r="T8" s="22">
        <f>IFERROR(__xludf.DUMMYFUNCTION("""COMPUTED_VALUE"""),232429.40836666521)</f>
        <v>232429.4084</v>
      </c>
      <c r="U8" s="23">
        <f>IFERROR(__xludf.DUMMYFUNCTION("""COMPUTED_VALUE"""),218.82)</f>
        <v>218.82</v>
      </c>
      <c r="V8" s="24">
        <f>IFERROR(__xludf.DUMMYFUNCTION("""COMPUTED_VALUE"""),9.946363636363635)</f>
        <v>9.946363636</v>
      </c>
      <c r="W8" s="25">
        <f>IFERROR(__xludf.DUMMYFUNCTION("""COMPUTED_VALUE"""),0.09744730589043847)</f>
        <v>0.09744730589</v>
      </c>
      <c r="X8" s="19">
        <f>IFERROR(__xludf.DUMMYFUNCTION("""COMPUTED_VALUE"""),1640929.2783300001)</f>
        <v>1640929.278</v>
      </c>
      <c r="Y8" s="154"/>
    </row>
    <row r="9" ht="15.75" customHeight="1">
      <c r="A9" s="12">
        <f>IFERROR(__xludf.DUMMYFUNCTION("""COMPUTED_VALUE"""),45778.0)</f>
        <v>45778</v>
      </c>
      <c r="B9" s="66">
        <f>IFERROR(__xludf.DUMMYFUNCTION("""COMPUTED_VALUE"""),5346470.0)</f>
        <v>5346470</v>
      </c>
      <c r="C9" s="14" t="str">
        <f>IFERROR(__xludf.DUMMYFUNCTION("""COMPUTED_VALUE"""),"Punto Corp ")</f>
        <v>Punto Corp </v>
      </c>
      <c r="D9" s="15">
        <f>IFERROR(__xludf.DUMMYFUNCTION("""COMPUTED_VALUE"""),0.27)</f>
        <v>0.27</v>
      </c>
      <c r="E9" s="17">
        <f>IFERROR(__xludf.DUMMYFUNCTION("""COMPUTED_VALUE"""),5736.0)</f>
        <v>5736</v>
      </c>
      <c r="F9" s="17">
        <f>IFERROR(__xludf.DUMMYFUNCTION("""COMPUTED_VALUE"""),1458.0)</f>
        <v>1458</v>
      </c>
      <c r="G9" s="17">
        <f>IFERROR(__xludf.DUMMYFUNCTION("""COMPUTED_VALUE"""),1845.0)</f>
        <v>1845</v>
      </c>
      <c r="H9" s="17">
        <f>IFERROR(__xludf.DUMMYFUNCTION("""COMPUTED_VALUE"""),2433.0)</f>
        <v>2433</v>
      </c>
      <c r="I9" s="14" t="str">
        <f>IFERROR(__xludf.DUMMYFUNCTION("""COMPUTED_VALUE"""),"T4-Ba")</f>
        <v>T4-Ba</v>
      </c>
      <c r="J9" s="18">
        <f>IFERROR(__xludf.DUMMYFUNCTION("""COMPUTED_VALUE"""),145.3784)</f>
        <v>145.3784</v>
      </c>
      <c r="K9" s="18">
        <f>IFERROR(__xludf.DUMMYFUNCTION("""COMPUTED_VALUE"""),142.6091)</f>
        <v>142.6091</v>
      </c>
      <c r="L9" s="18">
        <f>IFERROR(__xludf.DUMMYFUNCTION("""COMPUTED_VALUE"""),143.8316)</f>
        <v>143.8316</v>
      </c>
      <c r="M9" s="15">
        <f>IFERROR(__xludf.DUMMYFUNCTION("""COMPUTED_VALUE"""),894.9)</f>
        <v>894.9</v>
      </c>
      <c r="N9" s="17">
        <f>IFERROR(__xludf.DUMMYFUNCTION("""COMPUTED_VALUE"""),6630.9)</f>
        <v>6630.9</v>
      </c>
      <c r="O9" s="19">
        <f>IFERROR(__xludf.DUMMYFUNCTION("""COMPUTED_VALUE"""),825017.7795000001)</f>
        <v>825017.7795</v>
      </c>
      <c r="P9" s="20">
        <f>IFERROR(__xludf.DUMMYFUNCTION("""COMPUTED_VALUE"""),1200.0)</f>
        <v>1200</v>
      </c>
      <c r="Q9" s="169">
        <f>IFERROR(__xludf.DUMMYFUNCTION("""COMPUTED_VALUE"""),107.2624157)</f>
        <v>107.2624157</v>
      </c>
      <c r="R9" s="20">
        <f>IFERROR(__xludf.DUMMYFUNCTION("""COMPUTED_VALUE"""),128714.89884000001)</f>
        <v>128714.8988</v>
      </c>
      <c r="S9" s="46">
        <f>IFERROR(__xludf.DUMMYFUNCTION("""COMPUTED_VALUE"""),1465.0)</f>
        <v>1465</v>
      </c>
      <c r="T9" s="22">
        <f>IFERROR(__xludf.DUMMYFUNCTION("""COMPUTED_VALUE"""),199567.08753063504)</f>
        <v>199567.0875</v>
      </c>
      <c r="U9" s="23">
        <f>IFERROR(__xludf.DUMMYFUNCTION("""COMPUTED_VALUE"""),178.98000000000002)</f>
        <v>178.98</v>
      </c>
      <c r="V9" s="24">
        <f>IFERROR(__xludf.DUMMYFUNCTION("""COMPUTED_VALUE"""),8.135454545454547)</f>
        <v>8.135454545</v>
      </c>
      <c r="W9" s="25">
        <f>IFERROR(__xludf.DUMMYFUNCTION("""COMPUTED_VALUE"""),0.13495909468472034)</f>
        <v>0.1349590947</v>
      </c>
      <c r="X9" s="19">
        <f>IFERROR(__xludf.DUMMYFUNCTION("""COMPUTED_VALUE"""),953732.6783400001)</f>
        <v>953732.6783</v>
      </c>
      <c r="Y9" s="154"/>
    </row>
    <row r="10" ht="15.75" customHeight="1">
      <c r="A10" s="12">
        <f>IFERROR(__xludf.DUMMYFUNCTION("""COMPUTED_VALUE"""),45749.0)</f>
        <v>45749</v>
      </c>
      <c r="B10" s="66">
        <f>IFERROR(__xludf.DUMMYFUNCTION("""COMPUTED_VALUE"""),5346470.0)</f>
        <v>5346470</v>
      </c>
      <c r="C10" s="14" t="str">
        <f>IFERROR(__xludf.DUMMYFUNCTION("""COMPUTED_VALUE"""),"Punto Corp ")</f>
        <v>Punto Corp </v>
      </c>
      <c r="D10" s="15">
        <f>IFERROR(__xludf.DUMMYFUNCTION("""COMPUTED_VALUE"""),0.27)</f>
        <v>0.27</v>
      </c>
      <c r="E10" s="17">
        <f>IFERROR(__xludf.DUMMYFUNCTION("""COMPUTED_VALUE"""),4908.0)</f>
        <v>4908</v>
      </c>
      <c r="F10" s="17">
        <f>IFERROR(__xludf.DUMMYFUNCTION("""COMPUTED_VALUE"""),1245.0)</f>
        <v>1245</v>
      </c>
      <c r="G10" s="17">
        <f>IFERROR(__xludf.DUMMYFUNCTION("""COMPUTED_VALUE"""),1554.0)</f>
        <v>1554</v>
      </c>
      <c r="H10" s="17">
        <f>IFERROR(__xludf.DUMMYFUNCTION("""COMPUTED_VALUE"""),2109.0)</f>
        <v>2109</v>
      </c>
      <c r="I10" s="14" t="str">
        <f>IFERROR(__xludf.DUMMYFUNCTION("""COMPUTED_VALUE"""),"T4-Ba")</f>
        <v>T4-Ba</v>
      </c>
      <c r="J10" s="18">
        <f>IFERROR(__xludf.DUMMYFUNCTION("""COMPUTED_VALUE"""),140.7177)</f>
        <v>140.7177</v>
      </c>
      <c r="K10" s="18">
        <f>IFERROR(__xludf.DUMMYFUNCTION("""COMPUTED_VALUE"""),138.0092)</f>
        <v>138.0092</v>
      </c>
      <c r="L10" s="18">
        <f>IFERROR(__xludf.DUMMYFUNCTION("""COMPUTED_VALUE"""),139.205)</f>
        <v>139.205</v>
      </c>
      <c r="M10" s="15">
        <f>IFERROR(__xludf.DUMMYFUNCTION("""COMPUTED_VALUE"""),339.0)</f>
        <v>339</v>
      </c>
      <c r="N10" s="17">
        <f>IFERROR(__xludf.DUMMYFUNCTION("""COMPUTED_VALUE"""),5247.0)</f>
        <v>5247</v>
      </c>
      <c r="O10" s="19">
        <f>IFERROR(__xludf.DUMMYFUNCTION("""COMPUTED_VALUE"""),683243.1783)</f>
        <v>683243.1783</v>
      </c>
      <c r="P10" s="20">
        <f>IFERROR(__xludf.DUMMYFUNCTION("""COMPUTED_VALUE"""),1140.0)</f>
        <v>1140</v>
      </c>
      <c r="Q10" s="169">
        <f>IFERROR(__xludf.DUMMYFUNCTION("""COMPUTED_VALUE"""),41.39517105263158)</f>
        <v>41.39517105</v>
      </c>
      <c r="R10" s="20">
        <f>IFERROR(__xludf.DUMMYFUNCTION("""COMPUTED_VALUE"""),47190.495)</f>
        <v>47190.495</v>
      </c>
      <c r="S10" s="46">
        <f>IFERROR(__xludf.DUMMYFUNCTION("""COMPUTED_VALUE"""),1465.0)</f>
        <v>1465</v>
      </c>
      <c r="T10" s="22">
        <f>IFERROR(__xludf.DUMMYFUNCTION("""COMPUTED_VALUE"""),77017.78550197369)</f>
        <v>77017.7855</v>
      </c>
      <c r="U10" s="23">
        <f>IFERROR(__xludf.DUMMYFUNCTION("""COMPUTED_VALUE"""),67.8)</f>
        <v>67.8</v>
      </c>
      <c r="V10" s="24">
        <f>IFERROR(__xludf.DUMMYFUNCTION("""COMPUTED_VALUE"""),3.0818181818181816)</f>
        <v>3.081818182</v>
      </c>
      <c r="W10" s="25">
        <f>IFERROR(__xludf.DUMMYFUNCTION("""COMPUTED_VALUE"""),0.06460613293853193)</f>
        <v>0.06460613294</v>
      </c>
      <c r="X10" s="19">
        <f>IFERROR(__xludf.DUMMYFUNCTION("""COMPUTED_VALUE"""),730433.6733)</f>
        <v>730433.6733</v>
      </c>
      <c r="Y10" s="154"/>
    </row>
    <row r="11" ht="15.75" customHeight="1">
      <c r="A11" s="12">
        <f>IFERROR(__xludf.DUMMYFUNCTION("""COMPUTED_VALUE"""),45718.0)</f>
        <v>45718</v>
      </c>
      <c r="B11" s="66">
        <f>IFERROR(__xludf.DUMMYFUNCTION("""COMPUTED_VALUE"""),5346470.0)</f>
        <v>5346470</v>
      </c>
      <c r="C11" s="14" t="str">
        <f>IFERROR(__xludf.DUMMYFUNCTION("""COMPUTED_VALUE"""),"Punto Corp ")</f>
        <v>Punto Corp </v>
      </c>
      <c r="D11" s="15">
        <f>IFERROR(__xludf.DUMMYFUNCTION("""COMPUTED_VALUE"""),0.27)</f>
        <v>0.27</v>
      </c>
      <c r="E11" s="17">
        <f>IFERROR(__xludf.DUMMYFUNCTION("""COMPUTED_VALUE"""),7482.0)</f>
        <v>7482</v>
      </c>
      <c r="F11" s="17">
        <f>IFERROR(__xludf.DUMMYFUNCTION("""COMPUTED_VALUE"""),1497.0)</f>
        <v>1497</v>
      </c>
      <c r="G11" s="17">
        <f>IFERROR(__xludf.DUMMYFUNCTION("""COMPUTED_VALUE"""),1992.0)</f>
        <v>1992</v>
      </c>
      <c r="H11" s="17">
        <f>IFERROR(__xludf.DUMMYFUNCTION("""COMPUTED_VALUE"""),3993.0)</f>
        <v>3993</v>
      </c>
      <c r="I11" s="14" t="str">
        <f>IFERROR(__xludf.DUMMYFUNCTION("""COMPUTED_VALUE"""),"T4-Ba")</f>
        <v>T4-Ba</v>
      </c>
      <c r="J11" s="18">
        <f>IFERROR(__xludf.DUMMYFUNCTION("""COMPUTED_VALUE"""),139.7195)</f>
        <v>139.7195</v>
      </c>
      <c r="K11" s="18">
        <f>IFERROR(__xludf.DUMMYFUNCTION("""COMPUTED_VALUE"""),137.011)</f>
        <v>137.011</v>
      </c>
      <c r="L11" s="18">
        <f>IFERROR(__xludf.DUMMYFUNCTION("""COMPUTED_VALUE"""),138.2068)</f>
        <v>138.2068</v>
      </c>
      <c r="M11" s="15">
        <f>IFERROR(__xludf.DUMMYFUNCTION("""COMPUTED_VALUE"""),350.3)</f>
        <v>350.3</v>
      </c>
      <c r="N11" s="17">
        <f>IFERROR(__xludf.DUMMYFUNCTION("""COMPUTED_VALUE"""),7832.3)</f>
        <v>7832.3</v>
      </c>
      <c r="O11" s="19">
        <f>IFERROR(__xludf.DUMMYFUNCTION("""COMPUTED_VALUE"""),1033945.7559)</f>
        <v>1033945.756</v>
      </c>
      <c r="P11" s="20">
        <f>IFERROR(__xludf.DUMMYFUNCTION("""COMPUTED_VALUE"""),1095.75)</f>
        <v>1095.75</v>
      </c>
      <c r="Q11" s="169">
        <f>IFERROR(__xludf.DUMMYFUNCTION("""COMPUTED_VALUE"""),44.183291845767734)</f>
        <v>44.18329185</v>
      </c>
      <c r="R11" s="20">
        <f>IFERROR(__xludf.DUMMYFUNCTION("""COMPUTED_VALUE"""),48413.842039999996)</f>
        <v>48413.84204</v>
      </c>
      <c r="S11" s="46">
        <f>IFERROR(__xludf.DUMMYFUNCTION("""COMPUTED_VALUE"""),1465.0)</f>
        <v>1465</v>
      </c>
      <c r="T11" s="22">
        <f>IFERROR(__xludf.DUMMYFUNCTION("""COMPUTED_VALUE"""),82205.22364364316)</f>
        <v>82205.22364</v>
      </c>
      <c r="U11" s="23">
        <f>IFERROR(__xludf.DUMMYFUNCTION("""COMPUTED_VALUE"""),70.06)</f>
        <v>70.06</v>
      </c>
      <c r="V11" s="24">
        <f>IFERROR(__xludf.DUMMYFUNCTION("""COMPUTED_VALUE"""),3.1845454545454546)</f>
        <v>3.184545455</v>
      </c>
      <c r="W11" s="25">
        <f>IFERROR(__xludf.DUMMYFUNCTION("""COMPUTED_VALUE"""),0.0447299050446299)</f>
        <v>0.04472990504</v>
      </c>
      <c r="X11" s="19">
        <f>IFERROR(__xludf.DUMMYFUNCTION("""COMPUTED_VALUE"""),1082359.59794)</f>
        <v>1082359.598</v>
      </c>
      <c r="Y11" s="154"/>
    </row>
    <row r="12">
      <c r="A12" s="167">
        <f>IFERROR(__xludf.DUMMYFUNCTION("""COMPUTED_VALUE"""),45714.0)</f>
        <v>45714</v>
      </c>
      <c r="B12" s="151">
        <f>IFERROR(__xludf.DUMMYFUNCTION("""COMPUTED_VALUE"""),5346470.0)</f>
        <v>5346470</v>
      </c>
      <c r="C12" s="151" t="str">
        <f>IFERROR(__xludf.DUMMYFUNCTION("""COMPUTED_VALUE"""),"Punto Corp ")</f>
        <v>Punto Corp </v>
      </c>
      <c r="D12" s="152">
        <f>IFERROR(__xludf.DUMMYFUNCTION("""COMPUTED_VALUE"""),0.27)</f>
        <v>0.27</v>
      </c>
      <c r="E12" s="153">
        <f>IFERROR(__xludf.DUMMYFUNCTION("""COMPUTED_VALUE"""),10461.0)</f>
        <v>10461</v>
      </c>
      <c r="F12" s="153">
        <f>IFERROR(__xludf.DUMMYFUNCTION("""COMPUTED_VALUE"""),2100.0)</f>
        <v>2100</v>
      </c>
      <c r="G12" s="153">
        <f>IFERROR(__xludf.DUMMYFUNCTION("""COMPUTED_VALUE"""),1857.0)</f>
        <v>1857</v>
      </c>
      <c r="H12" s="153">
        <f>IFERROR(__xludf.DUMMYFUNCTION("""COMPUTED_VALUE"""),6504.0)</f>
        <v>6504</v>
      </c>
      <c r="I12" s="151" t="str">
        <f>IFERROR(__xludf.DUMMYFUNCTION("""COMPUTED_VALUE"""),"T4-Ba")</f>
        <v>T4-Ba</v>
      </c>
      <c r="J12" s="154">
        <f>IFERROR(__xludf.DUMMYFUNCTION("""COMPUTED_VALUE"""),136.7573)</f>
        <v>136.7573</v>
      </c>
      <c r="K12" s="154">
        <f>IFERROR(__xludf.DUMMYFUNCTION("""COMPUTED_VALUE"""),134.1149)</f>
        <v>134.1149</v>
      </c>
      <c r="L12" s="154">
        <f>IFERROR(__xludf.DUMMYFUNCTION("""COMPUTED_VALUE"""),135.2813)</f>
        <v>135.2813</v>
      </c>
      <c r="M12" s="152">
        <f>IFERROR(__xludf.DUMMYFUNCTION("""COMPUTED_VALUE"""),359.1)</f>
        <v>359.1</v>
      </c>
      <c r="N12" s="153">
        <f>IFERROR(__xludf.DUMMYFUNCTION("""COMPUTED_VALUE"""),10820.1)</f>
        <v>10820.1</v>
      </c>
      <c r="O12" s="154">
        <f>IFERROR(__xludf.DUMMYFUNCTION("""COMPUTED_VALUE"""),1416111.2744999998)</f>
        <v>1416111.275</v>
      </c>
      <c r="P12" s="154">
        <f>IFERROR(__xludf.DUMMYFUNCTION("""COMPUTED_VALUE"""),1086.0)</f>
        <v>1086</v>
      </c>
      <c r="Q12" s="155">
        <f>IFERROR(__xludf.DUMMYFUNCTION("""COMPUTED_VALUE"""),44.73251825966851)</f>
        <v>44.73251826</v>
      </c>
      <c r="R12" s="154">
        <f>IFERROR(__xludf.DUMMYFUNCTION("""COMPUTED_VALUE"""),48579.51483)</f>
        <v>48579.51483</v>
      </c>
      <c r="S12" s="154">
        <f>IFERROR(__xludf.DUMMYFUNCTION("""COMPUTED_VALUE"""),1465.0)</f>
        <v>1465</v>
      </c>
      <c r="T12" s="154">
        <f>IFERROR(__xludf.DUMMYFUNCTION("""COMPUTED_VALUE"""),83227.08684802624)</f>
        <v>83227.08685</v>
      </c>
      <c r="U12" s="156">
        <f>IFERROR(__xludf.DUMMYFUNCTION("""COMPUTED_VALUE"""),71.82000000000001)</f>
        <v>71.82</v>
      </c>
      <c r="V12" s="156">
        <f>IFERROR(__xludf.DUMMYFUNCTION("""COMPUTED_VALUE"""),3.264545454545455)</f>
        <v>3.264545455</v>
      </c>
      <c r="W12" s="157">
        <f>IFERROR(__xludf.DUMMYFUNCTION("""COMPUTED_VALUE"""),0.033167078801814506)</f>
        <v>0.0331670788</v>
      </c>
      <c r="X12" s="154">
        <f>IFERROR(__xludf.DUMMYFUNCTION("""COMPUTED_VALUE"""),1464690.7893299998)</f>
        <v>1464690.789</v>
      </c>
      <c r="Y12" s="154"/>
    </row>
    <row r="13">
      <c r="A13" s="167">
        <f>IFERROR(__xludf.DUMMYFUNCTION("""COMPUTED_VALUE"""),45683.0)</f>
        <v>45683</v>
      </c>
      <c r="B13" s="151">
        <f>IFERROR(__xludf.DUMMYFUNCTION("""COMPUTED_VALUE"""),5346470.0)</f>
        <v>5346470</v>
      </c>
      <c r="C13" s="151" t="str">
        <f>IFERROR(__xludf.DUMMYFUNCTION("""COMPUTED_VALUE"""),"Punto Corp ")</f>
        <v>Punto Corp </v>
      </c>
      <c r="D13" s="152">
        <f>IFERROR(__xludf.DUMMYFUNCTION("""COMPUTED_VALUE"""),0.27)</f>
        <v>0.27</v>
      </c>
      <c r="E13" s="153">
        <f>IFERROR(__xludf.DUMMYFUNCTION("""COMPUTED_VALUE"""),4632.0)</f>
        <v>4632</v>
      </c>
      <c r="F13" s="153">
        <f>IFERROR(__xludf.DUMMYFUNCTION("""COMPUTED_VALUE"""),1116.0)</f>
        <v>1116</v>
      </c>
      <c r="G13" s="153">
        <f>IFERROR(__xludf.DUMMYFUNCTION("""COMPUTED_VALUE"""),2055.0)</f>
        <v>2055</v>
      </c>
      <c r="H13" s="153">
        <f>IFERROR(__xludf.DUMMYFUNCTION("""COMPUTED_VALUE"""),1461.0)</f>
        <v>1461</v>
      </c>
      <c r="I13" s="151" t="str">
        <f>IFERROR(__xludf.DUMMYFUNCTION("""COMPUTED_VALUE"""),"T4-Ba")</f>
        <v>T4-Ba</v>
      </c>
      <c r="J13" s="154">
        <f>IFERROR(__xludf.DUMMYFUNCTION("""COMPUTED_VALUE"""),143.7049)</f>
        <v>143.7049</v>
      </c>
      <c r="K13" s="154">
        <f>IFERROR(__xludf.DUMMYFUNCTION("""COMPUTED_VALUE"""),139.1776)</f>
        <v>139.1776</v>
      </c>
      <c r="L13" s="154">
        <f>IFERROR(__xludf.DUMMYFUNCTION("""COMPUTED_VALUE"""),140.8279)</f>
        <v>140.8279</v>
      </c>
      <c r="M13" s="152">
        <f>IFERROR(__xludf.DUMMYFUNCTION("""COMPUTED_VALUE"""),350.3)</f>
        <v>350.3</v>
      </c>
      <c r="N13" s="153">
        <f>IFERROR(__xludf.DUMMYFUNCTION("""COMPUTED_VALUE"""),4982.3)</f>
        <v>4982.3</v>
      </c>
      <c r="O13" s="154">
        <f>IFERROR(__xludf.DUMMYFUNCTION("""COMPUTED_VALUE"""),652134.1983)</f>
        <v>652134.1983</v>
      </c>
      <c r="P13" s="154">
        <f>IFERROR(__xludf.DUMMYFUNCTION("""COMPUTED_VALUE"""),1075.5)</f>
        <v>1075.5</v>
      </c>
      <c r="Q13" s="155">
        <f>IFERROR(__xludf.DUMMYFUNCTION("""COMPUTED_VALUE"""),45.86891061831706)</f>
        <v>45.86891062</v>
      </c>
      <c r="R13" s="154">
        <f>IFERROR(__xludf.DUMMYFUNCTION("""COMPUTED_VALUE"""),49332.01337)</f>
        <v>49332.01337</v>
      </c>
      <c r="S13" s="154">
        <f>IFERROR(__xludf.DUMMYFUNCTION("""COMPUTED_VALUE"""),1465.0)</f>
        <v>1465</v>
      </c>
      <c r="T13" s="154">
        <f>IFERROR(__xludf.DUMMYFUNCTION("""COMPUTED_VALUE"""),85341.4016509098)</f>
        <v>85341.40165</v>
      </c>
      <c r="U13" s="156">
        <f>IFERROR(__xludf.DUMMYFUNCTION("""COMPUTED_VALUE"""),70.06)</f>
        <v>70.06</v>
      </c>
      <c r="V13" s="156">
        <f>IFERROR(__xludf.DUMMYFUNCTION("""COMPUTED_VALUE"""),3.1845454545454546)</f>
        <v>3.184545455</v>
      </c>
      <c r="W13" s="157">
        <f>IFERROR(__xludf.DUMMYFUNCTION("""COMPUTED_VALUE"""),0.07032699871965879)</f>
        <v>0.07032699872</v>
      </c>
      <c r="X13" s="154">
        <f>IFERROR(__xludf.DUMMYFUNCTION("""COMPUTED_VALUE"""),701466.2116700001)</f>
        <v>701466.2117</v>
      </c>
      <c r="Y13" s="154"/>
    </row>
    <row r="14">
      <c r="A14" s="167">
        <f>IFERROR(__xludf.DUMMYFUNCTION("""COMPUTED_VALUE"""),45628.0)</f>
        <v>45628</v>
      </c>
      <c r="B14" s="151">
        <f>IFERROR(__xludf.DUMMYFUNCTION("""COMPUTED_VALUE"""),5346470.0)</f>
        <v>5346470</v>
      </c>
      <c r="C14" s="151" t="str">
        <f>IFERROR(__xludf.DUMMYFUNCTION("""COMPUTED_VALUE"""),"Punto Corp ")</f>
        <v>Punto Corp </v>
      </c>
      <c r="D14" s="152">
        <f>IFERROR(__xludf.DUMMYFUNCTION("""COMPUTED_VALUE"""),0.27)</f>
        <v>0.27</v>
      </c>
      <c r="E14" s="153">
        <f>IFERROR(__xludf.DUMMYFUNCTION("""COMPUTED_VALUE"""),4743.0)</f>
        <v>4743</v>
      </c>
      <c r="F14" s="153">
        <f>IFERROR(__xludf.DUMMYFUNCTION("""COMPUTED_VALUE"""),1218.0)</f>
        <v>1218</v>
      </c>
      <c r="G14" s="153">
        <f>IFERROR(__xludf.DUMMYFUNCTION("""COMPUTED_VALUE"""),1956.0)</f>
        <v>1956</v>
      </c>
      <c r="H14" s="153">
        <f>IFERROR(__xludf.DUMMYFUNCTION("""COMPUTED_VALUE"""),1569.0)</f>
        <v>1569</v>
      </c>
      <c r="I14" s="151" t="str">
        <f>IFERROR(__xludf.DUMMYFUNCTION("""COMPUTED_VALUE"""),"T4-Ba")</f>
        <v>T4-Ba</v>
      </c>
      <c r="J14" s="154">
        <f>IFERROR(__xludf.DUMMYFUNCTION("""COMPUTED_VALUE"""),142.1224)</f>
        <v>142.1224</v>
      </c>
      <c r="K14" s="154">
        <f>IFERROR(__xludf.DUMMYFUNCTION("""COMPUTED_VALUE"""),137.5951)</f>
        <v>137.5951</v>
      </c>
      <c r="L14" s="154">
        <f>IFERROR(__xludf.DUMMYFUNCTION("""COMPUTED_VALUE"""),139.2454)</f>
        <v>139.2454</v>
      </c>
      <c r="M14" s="152">
        <f>IFERROR(__xludf.DUMMYFUNCTION("""COMPUTED_VALUE"""),350.3)</f>
        <v>350.3</v>
      </c>
      <c r="N14" s="153">
        <f>IFERROR(__xludf.DUMMYFUNCTION("""COMPUTED_VALUE"""),5093.3)</f>
        <v>5093.3</v>
      </c>
      <c r="O14" s="154">
        <f>IFERROR(__xludf.DUMMYFUNCTION("""COMPUTED_VALUE"""),660717.1314)</f>
        <v>660717.1314</v>
      </c>
      <c r="P14" s="154">
        <f>IFERROR(__xludf.DUMMYFUNCTION("""COMPUTED_VALUE"""),1055.0)</f>
        <v>1055</v>
      </c>
      <c r="Q14" s="155">
        <f>IFERROR(__xludf.DUMMYFUNCTION("""COMPUTED_VALUE"""),46.234752246445495)</f>
        <v>46.23475225</v>
      </c>
      <c r="R14" s="154">
        <f>IFERROR(__xludf.DUMMYFUNCTION("""COMPUTED_VALUE"""),48777.66362)</f>
        <v>48777.66362</v>
      </c>
      <c r="S14" s="154">
        <f>IFERROR(__xludf.DUMMYFUNCTION("""COMPUTED_VALUE"""),1465.0)</f>
        <v>1465</v>
      </c>
      <c r="T14" s="154">
        <f>IFERROR(__xludf.DUMMYFUNCTION("""COMPUTED_VALUE"""),86022.06829212417)</f>
        <v>86022.06829</v>
      </c>
      <c r="U14" s="156">
        <f>IFERROR(__xludf.DUMMYFUNCTION("""COMPUTED_VALUE"""),70.06)</f>
        <v>70.06</v>
      </c>
      <c r="V14" s="156">
        <f>IFERROR(__xludf.DUMMYFUNCTION("""COMPUTED_VALUE"""),3.1845454545454546)</f>
        <v>3.184545455</v>
      </c>
      <c r="W14" s="157">
        <f>IFERROR(__xludf.DUMMYFUNCTION("""COMPUTED_VALUE"""),0.06874985406852069)</f>
        <v>0.06874985407</v>
      </c>
      <c r="X14" s="154">
        <f>IFERROR(__xludf.DUMMYFUNCTION("""COMPUTED_VALUE"""),709494.79502)</f>
        <v>709494.795</v>
      </c>
      <c r="Y14" s="154"/>
    </row>
    <row r="15">
      <c r="A15" s="167">
        <f>IFERROR(__xludf.DUMMYFUNCTION("""COMPUTED_VALUE"""),45598.0)</f>
        <v>45598</v>
      </c>
      <c r="B15" s="151">
        <f>IFERROR(__xludf.DUMMYFUNCTION("""COMPUTED_VALUE"""),5346470.0)</f>
        <v>5346470</v>
      </c>
      <c r="C15" s="151" t="str">
        <f>IFERROR(__xludf.DUMMYFUNCTION("""COMPUTED_VALUE"""),"Punto Corp ")</f>
        <v>Punto Corp </v>
      </c>
      <c r="D15" s="152">
        <f>IFERROR(__xludf.DUMMYFUNCTION("""COMPUTED_VALUE"""),0.27)</f>
        <v>0.27</v>
      </c>
      <c r="E15" s="153">
        <f>IFERROR(__xludf.DUMMYFUNCTION("""COMPUTED_VALUE"""),3666.0)</f>
        <v>3666</v>
      </c>
      <c r="F15" s="153">
        <f>IFERROR(__xludf.DUMMYFUNCTION("""COMPUTED_VALUE"""),1056.0)</f>
        <v>1056</v>
      </c>
      <c r="G15" s="153">
        <f>IFERROR(__xludf.DUMMYFUNCTION("""COMPUTED_VALUE"""),1584.0)</f>
        <v>1584</v>
      </c>
      <c r="H15" s="153">
        <f>IFERROR(__xludf.DUMMYFUNCTION("""COMPUTED_VALUE"""),1026.0)</f>
        <v>1026</v>
      </c>
      <c r="I15" s="151" t="str">
        <f>IFERROR(__xludf.DUMMYFUNCTION("""COMPUTED_VALUE"""),"T4-Ba")</f>
        <v>T4-Ba</v>
      </c>
      <c r="J15" s="154">
        <f>IFERROR(__xludf.DUMMYFUNCTION("""COMPUTED_VALUE"""),140.6689)</f>
        <v>140.6689</v>
      </c>
      <c r="K15" s="154">
        <f>IFERROR(__xludf.DUMMYFUNCTION("""COMPUTED_VALUE"""),136.1415)</f>
        <v>136.1415</v>
      </c>
      <c r="L15" s="154">
        <f>IFERROR(__xludf.DUMMYFUNCTION("""COMPUTED_VALUE"""),137.7918)</f>
        <v>137.7918</v>
      </c>
      <c r="M15" s="152">
        <f>IFERROR(__xludf.DUMMYFUNCTION("""COMPUTED_VALUE"""),339.0)</f>
        <v>339</v>
      </c>
      <c r="N15" s="153">
        <f>IFERROR(__xludf.DUMMYFUNCTION("""COMPUTED_VALUE"""),4005.0)</f>
        <v>4005</v>
      </c>
      <c r="O15" s="154">
        <f>IFERROR(__xludf.DUMMYFUNCTION("""COMPUTED_VALUE"""),505568.88119999995)</f>
        <v>505568.8812</v>
      </c>
      <c r="P15" s="154">
        <f>IFERROR(__xludf.DUMMYFUNCTION("""COMPUTED_VALUE"""),1032.5)</f>
        <v>1032.5</v>
      </c>
      <c r="Q15" s="155">
        <f>IFERROR(__xludf.DUMMYFUNCTION("""COMPUTED_VALUE"""),45.241084939467314)</f>
        <v>45.24108494</v>
      </c>
      <c r="R15" s="154">
        <f>IFERROR(__xludf.DUMMYFUNCTION("""COMPUTED_VALUE"""),46711.4202)</f>
        <v>46711.4202</v>
      </c>
      <c r="S15" s="154">
        <f>IFERROR(__xludf.DUMMYFUNCTION("""COMPUTED_VALUE"""),1465.0)</f>
        <v>1465</v>
      </c>
      <c r="T15" s="154">
        <f>IFERROR(__xludf.DUMMYFUNCTION("""COMPUTED_VALUE"""),84173.30058412591)</f>
        <v>84173.30058</v>
      </c>
      <c r="U15" s="156">
        <f>IFERROR(__xludf.DUMMYFUNCTION("""COMPUTED_VALUE"""),67.8)</f>
        <v>67.8</v>
      </c>
      <c r="V15" s="156">
        <f>IFERROR(__xludf.DUMMYFUNCTION("""COMPUTED_VALUE"""),3.0818181818181816)</f>
        <v>3.081818182</v>
      </c>
      <c r="W15" s="157">
        <f>IFERROR(__xludf.DUMMYFUNCTION("""COMPUTED_VALUE"""),0.08457918937465113)</f>
        <v>0.08457918937</v>
      </c>
      <c r="X15" s="154">
        <f>IFERROR(__xludf.DUMMYFUNCTION("""COMPUTED_VALUE"""),552280.3014)</f>
        <v>552280.3014</v>
      </c>
      <c r="Y15" s="154"/>
    </row>
    <row r="16">
      <c r="A16" s="167">
        <f>IFERROR(__xludf.DUMMYFUNCTION("""COMPUTED_VALUE"""),45590.0)</f>
        <v>45590</v>
      </c>
      <c r="B16" s="151">
        <f>IFERROR(__xludf.DUMMYFUNCTION("""COMPUTED_VALUE"""),5346470.0)</f>
        <v>5346470</v>
      </c>
      <c r="C16" s="151" t="str">
        <f>IFERROR(__xludf.DUMMYFUNCTION("""COMPUTED_VALUE"""),"Punto Corp ")</f>
        <v>Punto Corp </v>
      </c>
      <c r="D16" s="152">
        <f>IFERROR(__xludf.DUMMYFUNCTION("""COMPUTED_VALUE"""),0.27)</f>
        <v>0.27</v>
      </c>
      <c r="E16" s="153">
        <f>IFERROR(__xludf.DUMMYFUNCTION("""COMPUTED_VALUE"""),3165.0)</f>
        <v>3165</v>
      </c>
      <c r="F16" s="153">
        <f>IFERROR(__xludf.DUMMYFUNCTION("""COMPUTED_VALUE"""),912.0)</f>
        <v>912</v>
      </c>
      <c r="G16" s="153">
        <f>IFERROR(__xludf.DUMMYFUNCTION("""COMPUTED_VALUE"""),1431.0)</f>
        <v>1431</v>
      </c>
      <c r="H16" s="153">
        <f>IFERROR(__xludf.DUMMYFUNCTION("""COMPUTED_VALUE"""),822.0)</f>
        <v>822</v>
      </c>
      <c r="I16" s="151" t="str">
        <f>IFERROR(__xludf.DUMMYFUNCTION("""COMPUTED_VALUE"""),"T4-Ba")</f>
        <v>T4-Ba</v>
      </c>
      <c r="J16" s="154">
        <f>IFERROR(__xludf.DUMMYFUNCTION("""COMPUTED_VALUE"""),138.7755)</f>
        <v>138.7755</v>
      </c>
      <c r="K16" s="154">
        <f>IFERROR(__xludf.DUMMYFUNCTION("""COMPUTED_VALUE"""),134.2603)</f>
        <v>134.2603</v>
      </c>
      <c r="L16" s="154">
        <f>IFERROR(__xludf.DUMMYFUNCTION("""COMPUTED_VALUE"""),135.9062)</f>
        <v>135.9062</v>
      </c>
      <c r="M16" s="152">
        <f>IFERROR(__xludf.DUMMYFUNCTION("""COMPUTED_VALUE"""),121.8)</f>
        <v>121.8</v>
      </c>
      <c r="N16" s="153">
        <f>IFERROR(__xludf.DUMMYFUNCTION("""COMPUTED_VALUE"""),3286.8)</f>
        <v>3286.8</v>
      </c>
      <c r="O16" s="154">
        <f>IFERROR(__xludf.DUMMYFUNCTION("""COMPUTED_VALUE"""),430404.64170000004)</f>
        <v>430404.6417</v>
      </c>
      <c r="P16" s="154">
        <f>IFERROR(__xludf.DUMMYFUNCTION("""COMPUTED_VALUE"""),1013.0)</f>
        <v>1013</v>
      </c>
      <c r="Q16" s="155">
        <f>IFERROR(__xludf.DUMMYFUNCTION("""COMPUTED_VALUE"""),16.340942902270484)</f>
        <v>16.3409429</v>
      </c>
      <c r="R16" s="154">
        <f>IFERROR(__xludf.DUMMYFUNCTION("""COMPUTED_VALUE"""),16553.37516)</f>
        <v>16553.37516</v>
      </c>
      <c r="S16" s="154">
        <f>IFERROR(__xludf.DUMMYFUNCTION("""COMPUTED_VALUE"""),1465.0)</f>
        <v>1465</v>
      </c>
      <c r="T16" s="154">
        <f>IFERROR(__xludf.DUMMYFUNCTION("""COMPUTED_VALUE"""),30403.14131681935)</f>
        <v>30403.14132</v>
      </c>
      <c r="U16" s="156">
        <f>IFERROR(__xludf.DUMMYFUNCTION("""COMPUTED_VALUE"""),24.36)</f>
        <v>24.36</v>
      </c>
      <c r="V16" s="156">
        <f>IFERROR(__xludf.DUMMYFUNCTION("""COMPUTED_VALUE"""),1.1072727272727272)</f>
        <v>1.107272727</v>
      </c>
      <c r="W16" s="157">
        <f>IFERROR(__xludf.DUMMYFUNCTION("""COMPUTED_VALUE"""),0.037035637656287944)</f>
        <v>0.03703563766</v>
      </c>
      <c r="X16" s="154">
        <f>IFERROR(__xludf.DUMMYFUNCTION("""COMPUTED_VALUE"""),446958.01686000003)</f>
        <v>446958.0169</v>
      </c>
      <c r="Y16" s="154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0"/>
  <sheetData>
    <row r="1">
      <c r="A1" s="168" t="str">
        <f>Datos!A1</f>
        <v>   Fecha </v>
      </c>
      <c r="B1" s="168" t="str">
        <f>Datos!B1</f>
        <v>NIS</v>
      </c>
      <c r="C1" s="168" t="str">
        <f>Datos!C1</f>
        <v>Cliente</v>
      </c>
      <c r="D1" s="168" t="str">
        <f>Datos!D1</f>
        <v>IVA</v>
      </c>
      <c r="E1" s="168" t="str">
        <f>Datos!E1</f>
        <v>Consumo [kWh]</v>
      </c>
      <c r="F1" s="168" t="str">
        <f>Datos!F1</f>
        <v>Consumo hs punta [kWh]</v>
      </c>
      <c r="G1" s="168" t="str">
        <f>Datos!G1</f>
        <v>Consumo hs valle [kWh]</v>
      </c>
      <c r="H1" s="168" t="str">
        <f>Datos!H1</f>
        <v>Consumo hs resto[kWh]</v>
      </c>
      <c r="I1" s="168" t="str">
        <f>Datos!I1</f>
        <v>Catergoria</v>
      </c>
      <c r="J1" s="168" t="str">
        <f>Datos!J1</f>
        <v>Tarifa punta</v>
      </c>
      <c r="K1" s="168" t="str">
        <f>Datos!K1</f>
        <v>Tarifa valle</v>
      </c>
      <c r="L1" s="168" t="str">
        <f>Datos!L1</f>
        <v>Tarifa resto</v>
      </c>
      <c r="M1" s="168" t="str">
        <f>Datos!M1</f>
        <v>Generacion FV [kWh]</v>
      </c>
      <c r="N1" s="168" t="str">
        <f>Datos!N1</f>
        <v>CONSUMO TOTAL</v>
      </c>
      <c r="O1" s="168" t="str">
        <f>Datos!O1</f>
        <v>Total a pagar S / IVA</v>
      </c>
      <c r="P1" s="168" t="str">
        <f>Datos!P1</f>
        <v>Valor USD</v>
      </c>
      <c r="Q1" s="168" t="str">
        <f>Datos!Q1</f>
        <v>Ahorro (USD)</v>
      </c>
      <c r="R1" s="168" t="str">
        <f>Datos!R1</f>
        <v>Ahorro ($)</v>
      </c>
      <c r="S1" s="168" t="str">
        <f>Datos!S1</f>
        <v>Valor dolar Actual ($)</v>
      </c>
      <c r="T1" s="168" t="str">
        <f>Datos!T1</f>
        <v>Ahorro ($)-A precio actual</v>
      </c>
      <c r="U1" s="168" t="str">
        <f>Datos!U1</f>
        <v>kg CO2e evitados</v>
      </c>
      <c r="V1" s="168" t="str">
        <f>Datos!V1</f>
        <v>Equivalente en árboles</v>
      </c>
      <c r="W1" s="168" t="str">
        <f>Datos!W1</f>
        <v>% de ahorro sobre los consumos</v>
      </c>
      <c r="X1" s="168" t="str">
        <f>Datos!X1</f>
        <v>SIN PANELES S/IVA</v>
      </c>
      <c r="Y1" s="151" t="str">
        <f>Datos!Z1</f>
        <v/>
      </c>
      <c r="Z1" s="151" t="str">
        <f>Datos!AA1</f>
        <v/>
      </c>
    </row>
    <row r="2">
      <c r="A2" s="12">
        <f>'Punto Corp '!A2</f>
        <v>45992</v>
      </c>
      <c r="B2" s="66">
        <f>'Punto Corp '!B2</f>
        <v>5346470</v>
      </c>
      <c r="C2" s="14" t="str">
        <f>'Punto Corp '!C2</f>
        <v>Punto Corp</v>
      </c>
      <c r="D2" s="15">
        <f>'Punto Corp '!D2</f>
        <v>0.27</v>
      </c>
      <c r="E2" s="17">
        <f>'Punto Corp '!E2</f>
        <v>6144</v>
      </c>
      <c r="F2" s="17">
        <f>'Punto Corp '!F2</f>
        <v>1770</v>
      </c>
      <c r="G2" s="17">
        <f>'Punto Corp '!G2</f>
        <v>1962</v>
      </c>
      <c r="H2" s="17">
        <f>'Punto Corp '!H2</f>
        <v>2412</v>
      </c>
      <c r="I2" s="16" t="str">
        <f>'Punto Corp '!I2</f>
        <v>T4-Ba</v>
      </c>
      <c r="J2" s="18">
        <f>'Punto Corp '!J2</f>
        <v>156.5485</v>
      </c>
      <c r="K2" s="18">
        <f>'Punto Corp '!K2</f>
        <v>153.7589</v>
      </c>
      <c r="L2" s="18">
        <f>'Punto Corp '!L2</f>
        <v>154.5615</v>
      </c>
      <c r="M2" s="15">
        <f>'Punto Corp '!M2</f>
        <v>2452.2</v>
      </c>
      <c r="N2" s="17">
        <f>'Punto Corp '!N2</f>
        <v>8596.2</v>
      </c>
      <c r="O2" s="19">
        <f>'Punto Corp '!O2</f>
        <v>951568.1448</v>
      </c>
      <c r="P2" s="20">
        <f>'Punto Corp '!P2</f>
        <v>1470</v>
      </c>
      <c r="Q2" s="169">
        <f>'Punto Corp '!Q2</f>
        <v>257.8338165</v>
      </c>
      <c r="R2" s="20">
        <f>'Punto Corp '!R2</f>
        <v>379015.7103</v>
      </c>
      <c r="S2" s="46">
        <f>'Punto Corp '!S2</f>
        <v>1465</v>
      </c>
      <c r="T2" s="22">
        <f>'Punto Corp '!T2</f>
        <v>479712.7073</v>
      </c>
      <c r="U2" s="23">
        <f>'Punto Corp '!U2</f>
        <v>490.44</v>
      </c>
      <c r="V2" s="24">
        <f>'Punto Corp '!V2</f>
        <v>22.29272727</v>
      </c>
      <c r="W2" s="25">
        <f>'Punto Corp '!W2</f>
        <v>0.2848491727</v>
      </c>
      <c r="X2" s="19">
        <f>'Punto Corp '!X2</f>
        <v>1330583.855</v>
      </c>
    </row>
    <row r="3">
      <c r="A3" s="12">
        <f>'Punto Corp '!A3</f>
        <v>45970</v>
      </c>
      <c r="B3" s="66">
        <f>'Punto Corp '!B3</f>
        <v>5346470</v>
      </c>
      <c r="C3" s="14" t="str">
        <f>'Punto Corp '!C3</f>
        <v>Punto Corp </v>
      </c>
      <c r="D3" s="15">
        <f>'Punto Corp '!D3</f>
        <v>0.27</v>
      </c>
      <c r="E3" s="17">
        <f>'Punto Corp '!E3</f>
        <v>5553</v>
      </c>
      <c r="F3" s="17">
        <f>'Punto Corp '!F3</f>
        <v>1722</v>
      </c>
      <c r="G3" s="17">
        <f>'Punto Corp '!G3</f>
        <v>1962</v>
      </c>
      <c r="H3" s="17">
        <f>'Punto Corp '!H3</f>
        <v>1869</v>
      </c>
      <c r="I3" s="16" t="str">
        <f>'Punto Corp '!I3</f>
        <v>T4-Ba</v>
      </c>
      <c r="J3" s="18">
        <f>'Punto Corp '!J3</f>
        <v>152.0913</v>
      </c>
      <c r="K3" s="18">
        <f>'Punto Corp '!K3</f>
        <v>149.3017</v>
      </c>
      <c r="L3" s="18">
        <f>'Punto Corp '!L3</f>
        <v>150.1043</v>
      </c>
      <c r="M3" s="15">
        <f>'Punto Corp '!M3</f>
        <v>2814.1</v>
      </c>
      <c r="N3" s="17">
        <f>'Punto Corp '!N3</f>
        <v>8367.1</v>
      </c>
      <c r="O3" s="19">
        <f>'Punto Corp '!O3</f>
        <v>835376.0907</v>
      </c>
      <c r="P3" s="20">
        <f>'Punto Corp '!P3</f>
        <v>1470</v>
      </c>
      <c r="Q3" s="169">
        <f>'Punto Corp '!Q3</f>
        <v>287.3527283</v>
      </c>
      <c r="R3" s="20">
        <f>'Punto Corp '!R3</f>
        <v>422408.5106</v>
      </c>
      <c r="S3" s="46">
        <f>'Punto Corp '!S3</f>
        <v>1465</v>
      </c>
      <c r="T3" s="22">
        <f>'Punto Corp '!T3</f>
        <v>534634.1187</v>
      </c>
      <c r="U3" s="23">
        <f>'Punto Corp '!U3</f>
        <v>562.82</v>
      </c>
      <c r="V3" s="24">
        <f>'Punto Corp '!V3</f>
        <v>25.58272727</v>
      </c>
      <c r="W3" s="25">
        <f>'Punto Corp '!W3</f>
        <v>0.3358353332</v>
      </c>
      <c r="X3" s="19">
        <f>'Punto Corp '!X3</f>
        <v>1257784.601</v>
      </c>
    </row>
    <row r="4">
      <c r="A4" s="12">
        <f>'Punto Corp '!A4</f>
        <v>45931</v>
      </c>
      <c r="B4" s="66">
        <f>'Punto Corp '!B4</f>
        <v>5346470</v>
      </c>
      <c r="C4" s="14" t="str">
        <f>'Punto Corp '!C4</f>
        <v>Punto Corp </v>
      </c>
      <c r="D4" s="15">
        <f>'Punto Corp '!D4</f>
        <v>0.27</v>
      </c>
      <c r="E4" s="17">
        <f>'Punto Corp '!E4</f>
        <v>6141</v>
      </c>
      <c r="F4" s="17">
        <f>'Punto Corp '!F4</f>
        <v>1737</v>
      </c>
      <c r="G4" s="17">
        <f>'Punto Corp '!G4</f>
        <v>2037</v>
      </c>
      <c r="H4" s="17">
        <f>'Punto Corp '!H4</f>
        <v>2367</v>
      </c>
      <c r="I4" s="14" t="str">
        <f>'Punto Corp '!I4</f>
        <v>T4-Ba</v>
      </c>
      <c r="J4" s="18">
        <f>'Punto Corp '!J4</f>
        <v>159.8077</v>
      </c>
      <c r="K4" s="18">
        <f>'Punto Corp '!K4</f>
        <v>156.9735</v>
      </c>
      <c r="L4" s="18">
        <f>'Punto Corp '!L4</f>
        <v>158.2241</v>
      </c>
      <c r="M4" s="15">
        <f>'Punto Corp '!M4</f>
        <v>2446</v>
      </c>
      <c r="N4" s="17">
        <f>'Punto Corp '!N4</f>
        <v>8587</v>
      </c>
      <c r="O4" s="19">
        <f>'Punto Corp '!O4</f>
        <v>971857.4391</v>
      </c>
      <c r="P4" s="20">
        <f>'Punto Corp '!P4</f>
        <v>1450</v>
      </c>
      <c r="Q4" s="169">
        <f>'Punto Corp '!Q4</f>
        <v>266.9076887</v>
      </c>
      <c r="R4" s="20">
        <f>'Punto Corp '!R4</f>
        <v>387016.1486</v>
      </c>
      <c r="S4" s="46">
        <f>'Punto Corp '!S4</f>
        <v>1465</v>
      </c>
      <c r="T4" s="22">
        <f>'Punto Corp '!T4</f>
        <v>496595.1002</v>
      </c>
      <c r="U4" s="23">
        <f>'Punto Corp '!U4</f>
        <v>489.2</v>
      </c>
      <c r="V4" s="24">
        <f>'Punto Corp '!V4</f>
        <v>22.23636364</v>
      </c>
      <c r="W4" s="25">
        <f>'Punto Corp '!W4</f>
        <v>0.2848065869</v>
      </c>
      <c r="X4" s="19">
        <f>'Punto Corp '!X4</f>
        <v>1358873.588</v>
      </c>
    </row>
    <row r="5">
      <c r="A5" s="12"/>
      <c r="B5" s="66"/>
      <c r="C5" s="14"/>
      <c r="D5" s="15"/>
      <c r="E5" s="17"/>
      <c r="F5" s="17"/>
      <c r="G5" s="17"/>
      <c r="H5" s="17"/>
      <c r="I5" s="14"/>
      <c r="J5" s="18"/>
      <c r="K5" s="18"/>
      <c r="L5" s="18"/>
      <c r="M5" s="15"/>
      <c r="N5" s="17"/>
      <c r="O5" s="19"/>
      <c r="P5" s="20"/>
      <c r="Q5" s="169"/>
      <c r="R5" s="20"/>
      <c r="S5" s="46"/>
      <c r="T5" s="22"/>
      <c r="U5" s="23"/>
      <c r="V5" s="24"/>
      <c r="W5" s="25"/>
      <c r="X5" s="19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0"/>
  <cols>
    <col customWidth="1" min="6" max="6" width="18.13"/>
  </cols>
  <sheetData>
    <row r="1" ht="15.75" customHeight="1">
      <c r="A1" s="168" t="str">
        <f>Datos!A1</f>
        <v>   Fecha </v>
      </c>
      <c r="B1" s="172" t="str">
        <f>Datos!B1</f>
        <v>NIS</v>
      </c>
      <c r="C1" s="168" t="str">
        <f>Datos!C1</f>
        <v>Cliente</v>
      </c>
      <c r="D1" s="168" t="str">
        <f>Datos!D1</f>
        <v>IVA</v>
      </c>
      <c r="E1" s="168" t="str">
        <f>Datos!E1</f>
        <v>Consumo [kWh]</v>
      </c>
      <c r="F1" s="168" t="str">
        <f>Datos!F1</f>
        <v>Consumo hs punta [kWh]</v>
      </c>
      <c r="G1" s="168" t="str">
        <f>Datos!G1</f>
        <v>Consumo hs valle [kWh]</v>
      </c>
      <c r="H1" s="168" t="str">
        <f>Datos!H1</f>
        <v>Consumo hs resto[kWh]</v>
      </c>
      <c r="I1" s="168" t="str">
        <f>Datos!I1</f>
        <v>Catergoria</v>
      </c>
      <c r="J1" s="168" t="str">
        <f>Datos!J1</f>
        <v>Tarifa punta</v>
      </c>
      <c r="K1" s="168" t="str">
        <f>Datos!K1</f>
        <v>Tarifa valle</v>
      </c>
      <c r="L1" s="168" t="str">
        <f>Datos!L1</f>
        <v>Tarifa resto</v>
      </c>
      <c r="M1" s="168" t="str">
        <f>Datos!M1</f>
        <v>Generacion FV [kWh]</v>
      </c>
      <c r="N1" s="173" t="str">
        <f>Datos!N1</f>
        <v>CONSUMO TOTAL</v>
      </c>
      <c r="O1" s="173" t="str">
        <f>Datos!O1</f>
        <v>Total a pagar S / IVA</v>
      </c>
      <c r="P1" s="173" t="str">
        <f>Datos!P1</f>
        <v>Valor USD</v>
      </c>
      <c r="Q1" s="173" t="str">
        <f>Datos!Q1</f>
        <v>Ahorro (USD)</v>
      </c>
      <c r="R1" s="173" t="str">
        <f>Datos!R1</f>
        <v>Ahorro ($)</v>
      </c>
      <c r="S1" s="173" t="str">
        <f>Datos!S1</f>
        <v>Valor dolar Actual ($)</v>
      </c>
      <c r="T1" s="173" t="str">
        <f>Datos!T1</f>
        <v>Ahorro ($)-A precio actual</v>
      </c>
      <c r="U1" s="173" t="str">
        <f>Datos!U1</f>
        <v>kg CO2e evitados</v>
      </c>
      <c r="V1" s="173" t="str">
        <f>Datos!V1</f>
        <v>Equivalente en árboles</v>
      </c>
      <c r="W1" s="173" t="str">
        <f>Datos!W1</f>
        <v>% de ahorro sobre los consumos</v>
      </c>
      <c r="X1" s="173" t="str">
        <f>Datos!X1</f>
        <v>SIN PANELES S/IVA</v>
      </c>
      <c r="Y1" s="174"/>
      <c r="Z1" s="175"/>
      <c r="AA1" s="176"/>
      <c r="AB1" s="177"/>
      <c r="AC1" s="178"/>
    </row>
    <row r="2" ht="15.75" customHeight="1">
      <c r="A2" s="75">
        <f>IFERROR(__xludf.DUMMYFUNCTION("FILTER(Datos!1:1247,Datos!B:B=5019237)"),45992.0)</f>
        <v>45992</v>
      </c>
      <c r="B2" s="69">
        <f>IFERROR(__xludf.DUMMYFUNCTION("""COMPUTED_VALUE"""),5019237.0)</f>
        <v>5019237</v>
      </c>
      <c r="C2" s="76" t="str">
        <f>IFERROR(__xludf.DUMMYFUNCTION("""COMPUTED_VALUE"""),"Etchart")</f>
        <v>Etchart</v>
      </c>
      <c r="D2" s="72">
        <f>IFERROR(__xludf.DUMMYFUNCTION("""COMPUTED_VALUE"""),0.27)</f>
        <v>0.27</v>
      </c>
      <c r="E2" s="17">
        <f>IFERROR(__xludf.DUMMYFUNCTION("""COMPUTED_VALUE"""),2950.0)</f>
        <v>2950</v>
      </c>
      <c r="F2" s="17">
        <f>IFERROR(__xludf.DUMMYFUNCTION("""COMPUTED_VALUE"""),684.0)</f>
        <v>684</v>
      </c>
      <c r="G2" s="17">
        <f>IFERROR(__xludf.DUMMYFUNCTION("""COMPUTED_VALUE"""),810.0)</f>
        <v>810</v>
      </c>
      <c r="H2" s="17">
        <f>IFERROR(__xludf.DUMMYFUNCTION("""COMPUTED_VALUE"""),1456.0)</f>
        <v>1456</v>
      </c>
      <c r="I2" s="179" t="str">
        <f>IFERROR(__xludf.DUMMYFUNCTION("""COMPUTED_VALUE"""),"T4-Ba")</f>
        <v>T4-Ba</v>
      </c>
      <c r="J2" s="18">
        <f>IFERROR(__xludf.DUMMYFUNCTION("""COMPUTED_VALUE"""),156.5485)</f>
        <v>156.5485</v>
      </c>
      <c r="K2" s="18">
        <f>IFERROR(__xludf.DUMMYFUNCTION("""COMPUTED_VALUE"""),153.7589)</f>
        <v>153.7589</v>
      </c>
      <c r="L2" s="18">
        <f>IFERROR(__xludf.DUMMYFUNCTION("""COMPUTED_VALUE"""),154.5615)</f>
        <v>154.5615</v>
      </c>
      <c r="M2" s="15">
        <f>IFERROR(__xludf.DUMMYFUNCTION("""COMPUTED_VALUE"""),1063.3)</f>
        <v>1063.3</v>
      </c>
      <c r="N2" s="17">
        <f>IFERROR(__xludf.DUMMYFUNCTION("""COMPUTED_VALUE"""),4013.3)</f>
        <v>4013.3</v>
      </c>
      <c r="O2" s="19">
        <f>IFERROR(__xludf.DUMMYFUNCTION("""COMPUTED_VALUE"""),456665.427)</f>
        <v>456665.427</v>
      </c>
      <c r="P2" s="20">
        <f>IFERROR(__xludf.DUMMYFUNCTION("""COMPUTED_VALUE"""),1470.0)</f>
        <v>1470</v>
      </c>
      <c r="Q2" s="169">
        <f>IFERROR(__xludf.DUMMYFUNCTION("""COMPUTED_VALUE"""),111.79948499999999)</f>
        <v>111.799485</v>
      </c>
      <c r="R2" s="20">
        <f>IFERROR(__xludf.DUMMYFUNCTION("""COMPUTED_VALUE"""),164345.24294999999)</f>
        <v>164345.243</v>
      </c>
      <c r="S2" s="46">
        <f>IFERROR(__xludf.DUMMYFUNCTION("""COMPUTED_VALUE"""),1465.0)</f>
        <v>1465</v>
      </c>
      <c r="T2" s="22">
        <f>IFERROR(__xludf.DUMMYFUNCTION("""COMPUTED_VALUE"""),208008.53181674998)</f>
        <v>208008.5318</v>
      </c>
      <c r="U2" s="23">
        <f>IFERROR(__xludf.DUMMYFUNCTION("""COMPUTED_VALUE"""),212.66)</f>
        <v>212.66</v>
      </c>
      <c r="V2" s="24">
        <f>IFERROR(__xludf.DUMMYFUNCTION("""COMPUTED_VALUE"""),9.666363636363636)</f>
        <v>9.666363636</v>
      </c>
      <c r="W2" s="25">
        <f>IFERROR(__xludf.DUMMYFUNCTION("""COMPUTED_VALUE"""),0.26464157687215273)</f>
        <v>0.2646415769</v>
      </c>
      <c r="X2" s="19">
        <f>IFERROR(__xludf.DUMMYFUNCTION("""COMPUTED_VALUE"""),621010.66995)</f>
        <v>621010.67</v>
      </c>
      <c r="Y2" s="154"/>
    </row>
    <row r="3" ht="15.75" customHeight="1">
      <c r="A3" s="75">
        <f>IFERROR(__xludf.DUMMYFUNCTION("""COMPUTED_VALUE"""),45973.0)</f>
        <v>45973</v>
      </c>
      <c r="B3" s="69">
        <f>IFERROR(__xludf.DUMMYFUNCTION("""COMPUTED_VALUE"""),5019237.0)</f>
        <v>5019237</v>
      </c>
      <c r="C3" s="76" t="str">
        <f>IFERROR(__xludf.DUMMYFUNCTION("""COMPUTED_VALUE"""),"Etchart")</f>
        <v>Etchart</v>
      </c>
      <c r="D3" s="72">
        <f>IFERROR(__xludf.DUMMYFUNCTION("""COMPUTED_VALUE"""),0.27)</f>
        <v>0.27</v>
      </c>
      <c r="E3" s="17">
        <f>IFERROR(__xludf.DUMMYFUNCTION("""COMPUTED_VALUE"""),3346.0)</f>
        <v>3346</v>
      </c>
      <c r="F3" s="17">
        <f>IFERROR(__xludf.DUMMYFUNCTION("""COMPUTED_VALUE"""),809.0)</f>
        <v>809</v>
      </c>
      <c r="G3" s="17">
        <f>IFERROR(__xludf.DUMMYFUNCTION("""COMPUTED_VALUE"""),977.0)</f>
        <v>977</v>
      </c>
      <c r="H3" s="17">
        <f>IFERROR(__xludf.DUMMYFUNCTION("""COMPUTED_VALUE"""),1560.0)</f>
        <v>1560</v>
      </c>
      <c r="I3" s="179" t="str">
        <f>IFERROR(__xludf.DUMMYFUNCTION("""COMPUTED_VALUE"""),"T4-Ba")</f>
        <v>T4-Ba</v>
      </c>
      <c r="J3" s="18">
        <f>IFERROR(__xludf.DUMMYFUNCTION("""COMPUTED_VALUE"""),152.0913)</f>
        <v>152.0913</v>
      </c>
      <c r="K3" s="18">
        <f>IFERROR(__xludf.DUMMYFUNCTION("""COMPUTED_VALUE"""),149.3017)</f>
        <v>149.3017</v>
      </c>
      <c r="L3" s="18">
        <f>IFERROR(__xludf.DUMMYFUNCTION("""COMPUTED_VALUE"""),150.1043)</f>
        <v>150.1043</v>
      </c>
      <c r="M3" s="15">
        <f>IFERROR(__xludf.DUMMYFUNCTION("""COMPUTED_VALUE"""),1096.4)</f>
        <v>1096.4</v>
      </c>
      <c r="N3" s="17">
        <f>IFERROR(__xludf.DUMMYFUNCTION("""COMPUTED_VALUE"""),4442.4)</f>
        <v>4442.4</v>
      </c>
      <c r="O3" s="19">
        <f>IFERROR(__xludf.DUMMYFUNCTION("""COMPUTED_VALUE"""),503072.3306)</f>
        <v>503072.3306</v>
      </c>
      <c r="P3" s="20">
        <f>IFERROR(__xludf.DUMMYFUNCTION("""COMPUTED_VALUE"""),1470.0)</f>
        <v>1470</v>
      </c>
      <c r="Q3" s="169">
        <f>IFERROR(__xludf.DUMMYFUNCTION("""COMPUTED_VALUE"""),111.95534321088437)</f>
        <v>111.9553432</v>
      </c>
      <c r="R3" s="20">
        <f>IFERROR(__xludf.DUMMYFUNCTION("""COMPUTED_VALUE"""),164574.35452000002)</f>
        <v>164574.3545</v>
      </c>
      <c r="S3" s="46">
        <f>IFERROR(__xludf.DUMMYFUNCTION("""COMPUTED_VALUE"""),1465.0)</f>
        <v>1465</v>
      </c>
      <c r="T3" s="22">
        <f>IFERROR(__xludf.DUMMYFUNCTION("""COMPUTED_VALUE"""),208298.51381101093)</f>
        <v>208298.5138</v>
      </c>
      <c r="U3" s="23">
        <f>IFERROR(__xludf.DUMMYFUNCTION("""COMPUTED_VALUE"""),219.28000000000003)</f>
        <v>219.28</v>
      </c>
      <c r="V3" s="24">
        <f>IFERROR(__xludf.DUMMYFUNCTION("""COMPUTED_VALUE"""),9.967272727272729)</f>
        <v>9.967272727</v>
      </c>
      <c r="W3" s="25">
        <f>IFERROR(__xludf.DUMMYFUNCTION("""COMPUTED_VALUE"""),0.2464991711752753)</f>
        <v>0.2464991712</v>
      </c>
      <c r="X3" s="19">
        <f>IFERROR(__xludf.DUMMYFUNCTION("""COMPUTED_VALUE"""),667646.68512)</f>
        <v>667646.6851</v>
      </c>
      <c r="Y3" s="154"/>
    </row>
    <row r="4" ht="15.75" customHeight="1">
      <c r="A4" s="75">
        <f>IFERROR(__xludf.DUMMYFUNCTION("""COMPUTED_VALUE"""),45931.0)</f>
        <v>45931</v>
      </c>
      <c r="B4" s="69">
        <f>IFERROR(__xludf.DUMMYFUNCTION("""COMPUTED_VALUE"""),5019237.0)</f>
        <v>5019237</v>
      </c>
      <c r="C4" s="76" t="str">
        <f>IFERROR(__xludf.DUMMYFUNCTION("""COMPUTED_VALUE"""),"Etchart")</f>
        <v>Etchart</v>
      </c>
      <c r="D4" s="72">
        <f>IFERROR(__xludf.DUMMYFUNCTION("""COMPUTED_VALUE"""),0.27)</f>
        <v>0.27</v>
      </c>
      <c r="E4" s="17">
        <f>IFERROR(__xludf.DUMMYFUNCTION("""COMPUTED_VALUE"""),3240.0)</f>
        <v>3240</v>
      </c>
      <c r="F4" s="17">
        <f>IFERROR(__xludf.DUMMYFUNCTION("""COMPUTED_VALUE"""),772.0)</f>
        <v>772</v>
      </c>
      <c r="G4" s="17">
        <f>IFERROR(__xludf.DUMMYFUNCTION("""COMPUTED_VALUE"""),953.0)</f>
        <v>953</v>
      </c>
      <c r="H4" s="17">
        <f>IFERROR(__xludf.DUMMYFUNCTION("""COMPUTED_VALUE"""),1515.0)</f>
        <v>1515</v>
      </c>
      <c r="I4" s="69" t="str">
        <f>IFERROR(__xludf.DUMMYFUNCTION("""COMPUTED_VALUE"""),"T4-Ba")</f>
        <v>T4-Ba</v>
      </c>
      <c r="J4" s="18">
        <f>IFERROR(__xludf.DUMMYFUNCTION("""COMPUTED_VALUE"""),159.8077)</f>
        <v>159.8077</v>
      </c>
      <c r="K4" s="18">
        <f>IFERROR(__xludf.DUMMYFUNCTION("""COMPUTED_VALUE"""),156.9735)</f>
        <v>156.9735</v>
      </c>
      <c r="L4" s="18">
        <f>IFERROR(__xludf.DUMMYFUNCTION("""COMPUTED_VALUE"""),158.2241)</f>
        <v>158.2241</v>
      </c>
      <c r="M4" s="15">
        <f>IFERROR(__xludf.DUMMYFUNCTION("""COMPUTED_VALUE"""),1212.2)</f>
        <v>1212.2</v>
      </c>
      <c r="N4" s="17">
        <f>IFERROR(__xludf.DUMMYFUNCTION("""COMPUTED_VALUE"""),4452.2)</f>
        <v>4452.2</v>
      </c>
      <c r="O4" s="19">
        <f>IFERROR(__xludf.DUMMYFUNCTION("""COMPUTED_VALUE"""),512676.8014)</f>
        <v>512676.8014</v>
      </c>
      <c r="P4" s="20">
        <f>IFERROR(__xludf.DUMMYFUNCTION("""COMPUTED_VALUE"""),1450.0)</f>
        <v>1450</v>
      </c>
      <c r="Q4" s="169">
        <f>IFERROR(__xludf.DUMMYFUNCTION("""COMPUTED_VALUE"""),132.2753476)</f>
        <v>132.2753476</v>
      </c>
      <c r="R4" s="20">
        <f>IFERROR(__xludf.DUMMYFUNCTION("""COMPUTED_VALUE"""),191799.25402)</f>
        <v>191799.254</v>
      </c>
      <c r="S4" s="46">
        <f>IFERROR(__xludf.DUMMYFUNCTION("""COMPUTED_VALUE"""),1465.0)</f>
        <v>1465</v>
      </c>
      <c r="T4" s="22">
        <f>IFERROR(__xludf.DUMMYFUNCTION("""COMPUTED_VALUE"""),246104.89797718)</f>
        <v>246104.898</v>
      </c>
      <c r="U4" s="23">
        <f>IFERROR(__xludf.DUMMYFUNCTION("""COMPUTED_VALUE"""),242.44000000000003)</f>
        <v>242.44</v>
      </c>
      <c r="V4" s="24">
        <f>IFERROR(__xludf.DUMMYFUNCTION("""COMPUTED_VALUE"""),11.020000000000001)</f>
        <v>11.02</v>
      </c>
      <c r="W4" s="25">
        <f>IFERROR(__xludf.DUMMYFUNCTION("""COMPUTED_VALUE"""),0.2722580172091891)</f>
        <v>0.2722580172</v>
      </c>
      <c r="X4" s="19">
        <f>IFERROR(__xludf.DUMMYFUNCTION("""COMPUTED_VALUE"""),704476.05542)</f>
        <v>704476.0554</v>
      </c>
      <c r="Y4" s="154"/>
    </row>
    <row r="5">
      <c r="A5" s="150">
        <f>IFERROR(__xludf.DUMMYFUNCTION("""COMPUTED_VALUE"""),45912.0)</f>
        <v>45912</v>
      </c>
      <c r="B5" s="151">
        <f>IFERROR(__xludf.DUMMYFUNCTION("""COMPUTED_VALUE"""),5019237.0)</f>
        <v>5019237</v>
      </c>
      <c r="C5" s="151" t="str">
        <f>IFERROR(__xludf.DUMMYFUNCTION("""COMPUTED_VALUE"""),"Etchart")</f>
        <v>Etchart</v>
      </c>
      <c r="D5" s="152">
        <f>IFERROR(__xludf.DUMMYFUNCTION("""COMPUTED_VALUE"""),0.27)</f>
        <v>0.27</v>
      </c>
      <c r="E5" s="153">
        <f>IFERROR(__xludf.DUMMYFUNCTION("""COMPUTED_VALUE"""),2726.0)</f>
        <v>2726</v>
      </c>
      <c r="F5" s="153">
        <f>IFERROR(__xludf.DUMMYFUNCTION("""COMPUTED_VALUE"""),638.0)</f>
        <v>638</v>
      </c>
      <c r="G5" s="153">
        <f>IFERROR(__xludf.DUMMYFUNCTION("""COMPUTED_VALUE"""),825.0)</f>
        <v>825</v>
      </c>
      <c r="H5" s="153">
        <f>IFERROR(__xludf.DUMMYFUNCTION("""COMPUTED_VALUE"""),1263.0)</f>
        <v>1263</v>
      </c>
      <c r="I5" s="151" t="str">
        <f>IFERROR(__xludf.DUMMYFUNCTION("""COMPUTED_VALUE"""),"T4-Ba")</f>
        <v>T4-Ba</v>
      </c>
      <c r="J5" s="154">
        <f>IFERROR(__xludf.DUMMYFUNCTION("""COMPUTED_VALUE"""),159.1156)</f>
        <v>159.1156</v>
      </c>
      <c r="K5" s="154">
        <f>IFERROR(__xludf.DUMMYFUNCTION("""COMPUTED_VALUE"""),156.2753)</f>
        <v>156.2753</v>
      </c>
      <c r="L5" s="154">
        <f>IFERROR(__xludf.DUMMYFUNCTION("""COMPUTED_VALUE"""),157.5295)</f>
        <v>157.5295</v>
      </c>
      <c r="M5" s="152">
        <f>IFERROR(__xludf.DUMMYFUNCTION("""COMPUTED_VALUE"""),1068.9)</f>
        <v>1068.9</v>
      </c>
      <c r="N5" s="153">
        <f>IFERROR(__xludf.DUMMYFUNCTION("""COMPUTED_VALUE"""),3794.9)</f>
        <v>3794.9</v>
      </c>
      <c r="O5" s="154">
        <f>IFERROR(__xludf.DUMMYFUNCTION("""COMPUTED_VALUE"""),429402.6338)</f>
        <v>429402.6338</v>
      </c>
      <c r="P5" s="154">
        <f>IFERROR(__xludf.DUMMYFUNCTION("""COMPUTED_VALUE"""),1425.0)</f>
        <v>1425</v>
      </c>
      <c r="Q5" s="155">
        <f>IFERROR(__xludf.DUMMYFUNCTION("""COMPUTED_VALUE"""),118.16370705263161)</f>
        <v>118.1637071</v>
      </c>
      <c r="R5" s="154">
        <f>IFERROR(__xludf.DUMMYFUNCTION("""COMPUTED_VALUE"""),168383.28255000003)</f>
        <v>168383.2826</v>
      </c>
      <c r="S5" s="154">
        <f>IFERROR(__xludf.DUMMYFUNCTION("""COMPUTED_VALUE"""),1465.0)</f>
        <v>1465</v>
      </c>
      <c r="T5" s="154">
        <f>IFERROR(__xludf.DUMMYFUNCTION("""COMPUTED_VALUE"""),219849.48515677374)</f>
        <v>219849.4852</v>
      </c>
      <c r="U5" s="156">
        <f>IFERROR(__xludf.DUMMYFUNCTION("""COMPUTED_VALUE"""),213.78000000000003)</f>
        <v>213.78</v>
      </c>
      <c r="V5" s="156">
        <f>IFERROR(__xludf.DUMMYFUNCTION("""COMPUTED_VALUE"""),9.717272727272729)</f>
        <v>9.717272727</v>
      </c>
      <c r="W5" s="157">
        <f>IFERROR(__xludf.DUMMYFUNCTION("""COMPUTED_VALUE"""),0.28167823621226407)</f>
        <v>0.2816782362</v>
      </c>
      <c r="X5" s="154">
        <f>IFERROR(__xludf.DUMMYFUNCTION("""COMPUTED_VALUE"""),597785.9163500001)</f>
        <v>597785.9164</v>
      </c>
      <c r="Y5" s="154"/>
    </row>
    <row r="6">
      <c r="A6" s="150">
        <f>IFERROR(__xludf.DUMMYFUNCTION("""COMPUTED_VALUE"""),45880.0)</f>
        <v>45880</v>
      </c>
      <c r="B6" s="151">
        <f>IFERROR(__xludf.DUMMYFUNCTION("""COMPUTED_VALUE"""),5019237.0)</f>
        <v>5019237</v>
      </c>
      <c r="C6" s="151" t="str">
        <f>IFERROR(__xludf.DUMMYFUNCTION("""COMPUTED_VALUE"""),"Etchart")</f>
        <v>Etchart</v>
      </c>
      <c r="D6" s="152">
        <f>IFERROR(__xludf.DUMMYFUNCTION("""COMPUTED_VALUE"""),0.27)</f>
        <v>0.27</v>
      </c>
      <c r="E6" s="153">
        <f>IFERROR(__xludf.DUMMYFUNCTION("""COMPUTED_VALUE"""),2883.0)</f>
        <v>2883</v>
      </c>
      <c r="F6" s="153">
        <f>IFERROR(__xludf.DUMMYFUNCTION("""COMPUTED_VALUE"""),488.0)</f>
        <v>488</v>
      </c>
      <c r="G6" s="153">
        <f>IFERROR(__xludf.DUMMYFUNCTION("""COMPUTED_VALUE"""),906.0)</f>
        <v>906</v>
      </c>
      <c r="H6" s="153">
        <f>IFERROR(__xludf.DUMMYFUNCTION("""COMPUTED_VALUE"""),1489.0)</f>
        <v>1489</v>
      </c>
      <c r="I6" s="151" t="str">
        <f>IFERROR(__xludf.DUMMYFUNCTION("""COMPUTED_VALUE"""),"T4-Ba")</f>
        <v>T4-Ba</v>
      </c>
      <c r="J6" s="154">
        <f>IFERROR(__xludf.DUMMYFUNCTION("""COMPUTED_VALUE"""),157.6231)</f>
        <v>157.6231</v>
      </c>
      <c r="K6" s="154">
        <f>IFERROR(__xludf.DUMMYFUNCTION("""COMPUTED_VALUE"""),154.7731)</f>
        <v>154.7731</v>
      </c>
      <c r="L6" s="154">
        <f>IFERROR(__xludf.DUMMYFUNCTION("""COMPUTED_VALUE"""),156.0309)</f>
        <v>156.0309</v>
      </c>
      <c r="M6" s="152">
        <f>IFERROR(__xludf.DUMMYFUNCTION("""COMPUTED_VALUE"""),520.9)</f>
        <v>520.9</v>
      </c>
      <c r="N6" s="153">
        <f>IFERROR(__xludf.DUMMYFUNCTION("""COMPUTED_VALUE"""),3403.9)</f>
        <v>3403.9</v>
      </c>
      <c r="O6" s="154">
        <f>IFERROR(__xludf.DUMMYFUNCTION("""COMPUTED_VALUE"""),449474.5115)</f>
        <v>449474.5115</v>
      </c>
      <c r="P6" s="154">
        <f>IFERROR(__xludf.DUMMYFUNCTION("""COMPUTED_VALUE"""),1340.0)</f>
        <v>1340</v>
      </c>
      <c r="Q6" s="155">
        <f>IFERROR(__xludf.DUMMYFUNCTION("""COMPUTED_VALUE"""),60.65410135074627)</f>
        <v>60.65410135</v>
      </c>
      <c r="R6" s="154">
        <f>IFERROR(__xludf.DUMMYFUNCTION("""COMPUTED_VALUE"""),81276.49581)</f>
        <v>81276.49581</v>
      </c>
      <c r="S6" s="154">
        <f>IFERROR(__xludf.DUMMYFUNCTION("""COMPUTED_VALUE"""),1465.0)</f>
        <v>1465</v>
      </c>
      <c r="T6" s="154">
        <f>IFERROR(__xludf.DUMMYFUNCTION("""COMPUTED_VALUE"""),112849.98826813098)</f>
        <v>112849.9883</v>
      </c>
      <c r="U6" s="156">
        <f>IFERROR(__xludf.DUMMYFUNCTION("""COMPUTED_VALUE"""),104.18)</f>
        <v>104.18</v>
      </c>
      <c r="V6" s="156">
        <f>IFERROR(__xludf.DUMMYFUNCTION("""COMPUTED_VALUE"""),4.735454545454545)</f>
        <v>4.735454545</v>
      </c>
      <c r="W6" s="157">
        <f>IFERROR(__xludf.DUMMYFUNCTION("""COMPUTED_VALUE"""),0.1531348875283965)</f>
        <v>0.1531348875</v>
      </c>
      <c r="X6" s="154">
        <f>IFERROR(__xludf.DUMMYFUNCTION("""COMPUTED_VALUE"""),530751.00731)</f>
        <v>530751.0073</v>
      </c>
      <c r="Y6" s="154"/>
    </row>
    <row r="7">
      <c r="A7" s="150">
        <f>IFERROR(__xludf.DUMMYFUNCTION("""COMPUTED_VALUE"""),45839.0)</f>
        <v>45839</v>
      </c>
      <c r="B7" s="151">
        <f>IFERROR(__xludf.DUMMYFUNCTION("""COMPUTED_VALUE"""),5019237.0)</f>
        <v>5019237</v>
      </c>
      <c r="C7" s="151" t="str">
        <f>IFERROR(__xludf.DUMMYFUNCTION("""COMPUTED_VALUE"""),"Etchart")</f>
        <v>Etchart</v>
      </c>
      <c r="D7" s="152">
        <f>IFERROR(__xludf.DUMMYFUNCTION("""COMPUTED_VALUE"""),0.27)</f>
        <v>0.27</v>
      </c>
      <c r="E7" s="153">
        <f>IFERROR(__xludf.DUMMYFUNCTION("""COMPUTED_VALUE"""),3946.0)</f>
        <v>3946</v>
      </c>
      <c r="F7" s="153">
        <f>IFERROR(__xludf.DUMMYFUNCTION("""COMPUTED_VALUE"""),681.0)</f>
        <v>681</v>
      </c>
      <c r="G7" s="153">
        <f>IFERROR(__xludf.DUMMYFUNCTION("""COMPUTED_VALUE"""),1101.0)</f>
        <v>1101</v>
      </c>
      <c r="H7" s="153">
        <f>IFERROR(__xludf.DUMMYFUNCTION("""COMPUTED_VALUE"""),2164.0)</f>
        <v>2164</v>
      </c>
      <c r="I7" s="151" t="str">
        <f>IFERROR(__xludf.DUMMYFUNCTION("""COMPUTED_VALUE"""),"T4-Ba")</f>
        <v>T4-Ba</v>
      </c>
      <c r="J7" s="154">
        <f>IFERROR(__xludf.DUMMYFUNCTION("""COMPUTED_VALUE"""),149.9317)</f>
        <v>149.9317</v>
      </c>
      <c r="K7" s="154">
        <f>IFERROR(__xludf.DUMMYFUNCTION("""COMPUTED_VALUE"""),147.0841)</f>
        <v>147.0841</v>
      </c>
      <c r="L7" s="154">
        <f>IFERROR(__xludf.DUMMYFUNCTION("""COMPUTED_VALUE"""),148.3408)</f>
        <v>148.3408</v>
      </c>
      <c r="M7" s="152">
        <f>IFERROR(__xludf.DUMMYFUNCTION("""COMPUTED_VALUE"""),655.4)</f>
        <v>655.4</v>
      </c>
      <c r="N7" s="153">
        <f>IFERROR(__xludf.DUMMYFUNCTION("""COMPUTED_VALUE"""),4601.4)</f>
        <v>4601.4</v>
      </c>
      <c r="O7" s="154">
        <f>IFERROR(__xludf.DUMMYFUNCTION("""COMPUTED_VALUE"""),585052.5730000001)</f>
        <v>585052.573</v>
      </c>
      <c r="P7" s="154">
        <f>IFERROR(__xludf.DUMMYFUNCTION("""COMPUTED_VALUE"""),1280.0)</f>
        <v>1280</v>
      </c>
      <c r="Q7" s="155">
        <f>IFERROR(__xludf.DUMMYFUNCTION("""COMPUTED_VALUE"""),75.95512525000001)</f>
        <v>75.95512525</v>
      </c>
      <c r="R7" s="154">
        <f>IFERROR(__xludf.DUMMYFUNCTION("""COMPUTED_VALUE"""),97222.56032000002)</f>
        <v>97222.56032</v>
      </c>
      <c r="S7" s="154">
        <f>IFERROR(__xludf.DUMMYFUNCTION("""COMPUTED_VALUE"""),1465.0)</f>
        <v>1465</v>
      </c>
      <c r="T7" s="154">
        <f>IFERROR(__xludf.DUMMYFUNCTION("""COMPUTED_VALUE"""),141318.3082838875)</f>
        <v>141318.3083</v>
      </c>
      <c r="U7" s="156">
        <f>IFERROR(__xludf.DUMMYFUNCTION("""COMPUTED_VALUE"""),131.08)</f>
        <v>131.08</v>
      </c>
      <c r="V7" s="156">
        <f>IFERROR(__xludf.DUMMYFUNCTION("""COMPUTED_VALUE"""),5.958181818181819)</f>
        <v>5.958181818</v>
      </c>
      <c r="W7" s="157">
        <f>IFERROR(__xludf.DUMMYFUNCTION("""COMPUTED_VALUE"""),0.14249758722248607)</f>
        <v>0.1424975872</v>
      </c>
      <c r="X7" s="154">
        <f>IFERROR(__xludf.DUMMYFUNCTION("""COMPUTED_VALUE"""),682275.1333200001)</f>
        <v>682275.1333</v>
      </c>
      <c r="Y7" s="154"/>
    </row>
    <row r="8">
      <c r="A8" s="150">
        <f>IFERROR(__xludf.DUMMYFUNCTION("""COMPUTED_VALUE"""),45809.0)</f>
        <v>45809</v>
      </c>
      <c r="B8" s="151">
        <f>IFERROR(__xludf.DUMMYFUNCTION("""COMPUTED_VALUE"""),5019237.0)</f>
        <v>5019237</v>
      </c>
      <c r="C8" s="151" t="str">
        <f>IFERROR(__xludf.DUMMYFUNCTION("""COMPUTED_VALUE"""),"Etchart")</f>
        <v>Etchart</v>
      </c>
      <c r="D8" s="152">
        <f>IFERROR(__xludf.DUMMYFUNCTION("""COMPUTED_VALUE"""),0.27)</f>
        <v>0.27</v>
      </c>
      <c r="E8" s="153">
        <f>IFERROR(__xludf.DUMMYFUNCTION("""COMPUTED_VALUE"""),2892.0)</f>
        <v>2892</v>
      </c>
      <c r="F8" s="153">
        <f>IFERROR(__xludf.DUMMYFUNCTION("""COMPUTED_VALUE"""),529.0)</f>
        <v>529</v>
      </c>
      <c r="G8" s="153">
        <f>IFERROR(__xludf.DUMMYFUNCTION("""COMPUTED_VALUE"""),729.0)</f>
        <v>729</v>
      </c>
      <c r="H8" s="153">
        <f>IFERROR(__xludf.DUMMYFUNCTION("""COMPUTED_VALUE"""),1569.0)</f>
        <v>1569</v>
      </c>
      <c r="I8" s="151" t="str">
        <f>IFERROR(__xludf.DUMMYFUNCTION("""COMPUTED_VALUE"""),"T4-Ba")</f>
        <v>T4-Ba</v>
      </c>
      <c r="J8" s="154">
        <f>IFERROR(__xludf.DUMMYFUNCTION("""COMPUTED_VALUE"""),147.7231)</f>
        <v>147.7231</v>
      </c>
      <c r="K8" s="154">
        <f>IFERROR(__xludf.DUMMYFUNCTION("""COMPUTED_VALUE"""),144.9122)</f>
        <v>144.9122</v>
      </c>
      <c r="L8" s="154">
        <f>IFERROR(__xludf.DUMMYFUNCTION("""COMPUTED_VALUE"""),146.1513)</f>
        <v>146.1513</v>
      </c>
      <c r="M8" s="152">
        <f>IFERROR(__xludf.DUMMYFUNCTION("""COMPUTED_VALUE"""),547.7)</f>
        <v>547.7</v>
      </c>
      <c r="N8" s="153">
        <f>IFERROR(__xludf.DUMMYFUNCTION("""COMPUTED_VALUE"""),3439.7)</f>
        <v>3439.7</v>
      </c>
      <c r="O8" s="154">
        <f>IFERROR(__xludf.DUMMYFUNCTION("""COMPUTED_VALUE"""),413097.9034)</f>
        <v>413097.9034</v>
      </c>
      <c r="P8" s="154">
        <f>IFERROR(__xludf.DUMMYFUNCTION("""COMPUTED_VALUE"""),1280.0)</f>
        <v>1280</v>
      </c>
      <c r="Q8" s="155">
        <f>IFERROR(__xludf.DUMMYFUNCTION("""COMPUTED_VALUE"""),62.5367711015625)</f>
        <v>62.5367711</v>
      </c>
      <c r="R8" s="154">
        <f>IFERROR(__xludf.DUMMYFUNCTION("""COMPUTED_VALUE"""),80047.06701)</f>
        <v>80047.06701</v>
      </c>
      <c r="S8" s="154">
        <f>IFERROR(__xludf.DUMMYFUNCTION("""COMPUTED_VALUE"""),1465.0)</f>
        <v>1465</v>
      </c>
      <c r="T8" s="154">
        <f>IFERROR(__xludf.DUMMYFUNCTION("""COMPUTED_VALUE"""),116352.78947301212)</f>
        <v>116352.7895</v>
      </c>
      <c r="U8" s="156">
        <f>IFERROR(__xludf.DUMMYFUNCTION("""COMPUTED_VALUE"""),109.54000000000002)</f>
        <v>109.54</v>
      </c>
      <c r="V8" s="156">
        <f>IFERROR(__xludf.DUMMYFUNCTION("""COMPUTED_VALUE"""),4.97909090909091)</f>
        <v>4.979090909</v>
      </c>
      <c r="W8" s="157">
        <f>IFERROR(__xludf.DUMMYFUNCTION("""COMPUTED_VALUE"""),0.1623195445822939)</f>
        <v>0.1623195446</v>
      </c>
      <c r="X8" s="154">
        <f>IFERROR(__xludf.DUMMYFUNCTION("""COMPUTED_VALUE"""),493144.97041)</f>
        <v>493144.9704</v>
      </c>
      <c r="Y8" s="154"/>
    </row>
    <row r="9">
      <c r="A9" s="150">
        <f>IFERROR(__xludf.DUMMYFUNCTION("""COMPUTED_VALUE"""),45778.0)</f>
        <v>45778</v>
      </c>
      <c r="B9" s="151">
        <f>IFERROR(__xludf.DUMMYFUNCTION("""COMPUTED_VALUE"""),5019237.0)</f>
        <v>5019237</v>
      </c>
      <c r="C9" s="151" t="str">
        <f>IFERROR(__xludf.DUMMYFUNCTION("""COMPUTED_VALUE"""),"Etchart")</f>
        <v>Etchart</v>
      </c>
      <c r="D9" s="152">
        <f>IFERROR(__xludf.DUMMYFUNCTION("""COMPUTED_VALUE"""),0.27)</f>
        <v>0.27</v>
      </c>
      <c r="E9" s="153">
        <f>IFERROR(__xludf.DUMMYFUNCTION("""COMPUTED_VALUE"""),2552.0)</f>
        <v>2552</v>
      </c>
      <c r="F9" s="153">
        <f>IFERROR(__xludf.DUMMYFUNCTION("""COMPUTED_VALUE"""),512.0)</f>
        <v>512</v>
      </c>
      <c r="G9" s="153">
        <f>IFERROR(__xludf.DUMMYFUNCTION("""COMPUTED_VALUE"""),663.0)</f>
        <v>663</v>
      </c>
      <c r="H9" s="153">
        <f>IFERROR(__xludf.DUMMYFUNCTION("""COMPUTED_VALUE"""),1368.0)</f>
        <v>1368</v>
      </c>
      <c r="I9" s="151" t="str">
        <f>IFERROR(__xludf.DUMMYFUNCTION("""COMPUTED_VALUE"""),"T4-Ba")</f>
        <v>T4-Ba</v>
      </c>
      <c r="J9" s="154">
        <f>IFERROR(__xludf.DUMMYFUNCTION("""COMPUTED_VALUE"""),145.3784)</f>
        <v>145.3784</v>
      </c>
      <c r="K9" s="154">
        <f>IFERROR(__xludf.DUMMYFUNCTION("""COMPUTED_VALUE"""),142.6091)</f>
        <v>142.6091</v>
      </c>
      <c r="L9" s="154">
        <f>IFERROR(__xludf.DUMMYFUNCTION("""COMPUTED_VALUE"""),146.15)</f>
        <v>146.15</v>
      </c>
      <c r="M9" s="152">
        <f>IFERROR(__xludf.DUMMYFUNCTION("""COMPUTED_VALUE"""),553.3)</f>
        <v>553.3</v>
      </c>
      <c r="N9" s="153">
        <f>IFERROR(__xludf.DUMMYFUNCTION("""COMPUTED_VALUE"""),3105.3)</f>
        <v>3105.3</v>
      </c>
      <c r="O9" s="154">
        <f>IFERROR(__xludf.DUMMYFUNCTION("""COMPUTED_VALUE"""),368916.77410000004)</f>
        <v>368916.7741</v>
      </c>
      <c r="P9" s="154">
        <f>IFERROR(__xludf.DUMMYFUNCTION("""COMPUTED_VALUE"""),1200.0)</f>
        <v>1200</v>
      </c>
      <c r="Q9" s="155">
        <f>IFERROR(__xludf.DUMMYFUNCTION("""COMPUTED_VALUE"""),67.38732916666666)</f>
        <v>67.38732917</v>
      </c>
      <c r="R9" s="154">
        <f>IFERROR(__xludf.DUMMYFUNCTION("""COMPUTED_VALUE"""),80864.795)</f>
        <v>80864.795</v>
      </c>
      <c r="S9" s="154">
        <f>IFERROR(__xludf.DUMMYFUNCTION("""COMPUTED_VALUE"""),1465.0)</f>
        <v>1465</v>
      </c>
      <c r="T9" s="154">
        <f>IFERROR(__xludf.DUMMYFUNCTION("""COMPUTED_VALUE"""),125377.49528104164)</f>
        <v>125377.4953</v>
      </c>
      <c r="U9" s="156">
        <f>IFERROR(__xludf.DUMMYFUNCTION("""COMPUTED_VALUE"""),110.66)</f>
        <v>110.66</v>
      </c>
      <c r="V9" s="156">
        <f>IFERROR(__xludf.DUMMYFUNCTION("""COMPUTED_VALUE"""),5.03)</f>
        <v>5.03</v>
      </c>
      <c r="W9" s="157">
        <f>IFERROR(__xludf.DUMMYFUNCTION("""COMPUTED_VALUE"""),0.17978681332320517)</f>
        <v>0.1797868133</v>
      </c>
      <c r="X9" s="154">
        <f>IFERROR(__xludf.DUMMYFUNCTION("""COMPUTED_VALUE"""),449781.5691)</f>
        <v>449781.5691</v>
      </c>
      <c r="Y9" s="154"/>
    </row>
    <row r="10">
      <c r="A10" s="167">
        <f>IFERROR(__xludf.DUMMYFUNCTION("""COMPUTED_VALUE"""),45749.0)</f>
        <v>45749</v>
      </c>
      <c r="B10" s="151">
        <f>IFERROR(__xludf.DUMMYFUNCTION("""COMPUTED_VALUE"""),5019237.0)</f>
        <v>5019237</v>
      </c>
      <c r="C10" s="151" t="str">
        <f>IFERROR(__xludf.DUMMYFUNCTION("""COMPUTED_VALUE"""),"Etchart")</f>
        <v>Etchart</v>
      </c>
      <c r="D10" s="152">
        <f>IFERROR(__xludf.DUMMYFUNCTION("""COMPUTED_VALUE"""),0.27)</f>
        <v>0.27</v>
      </c>
      <c r="E10" s="153">
        <f>IFERROR(__xludf.DUMMYFUNCTION("""COMPUTED_VALUE"""),4879.0)</f>
        <v>4879</v>
      </c>
      <c r="F10" s="153">
        <f>IFERROR(__xludf.DUMMYFUNCTION("""COMPUTED_VALUE"""),802.0)</f>
        <v>802</v>
      </c>
      <c r="G10" s="153">
        <f>IFERROR(__xludf.DUMMYFUNCTION("""COMPUTED_VALUE"""),736.0)</f>
        <v>736</v>
      </c>
      <c r="H10" s="153">
        <f>IFERROR(__xludf.DUMMYFUNCTION("""COMPUTED_VALUE"""),3341.0)</f>
        <v>3341</v>
      </c>
      <c r="I10" s="151" t="str">
        <f>IFERROR(__xludf.DUMMYFUNCTION("""COMPUTED_VALUE"""),"T4-Ba")</f>
        <v>T4-Ba</v>
      </c>
      <c r="J10" s="154">
        <f>IFERROR(__xludf.DUMMYFUNCTION("""COMPUTED_VALUE"""),140.7177)</f>
        <v>140.7177</v>
      </c>
      <c r="K10" s="154">
        <f>IFERROR(__xludf.DUMMYFUNCTION("""COMPUTED_VALUE"""),138.0092)</f>
        <v>138.0092</v>
      </c>
      <c r="L10" s="154">
        <f>IFERROR(__xludf.DUMMYFUNCTION("""COMPUTED_VALUE"""),139.205)</f>
        <v>139.205</v>
      </c>
      <c r="M10" s="152">
        <f>IFERROR(__xludf.DUMMYFUNCTION("""COMPUTED_VALUE"""),624.1)</f>
        <v>624.1</v>
      </c>
      <c r="N10" s="153">
        <f>IFERROR(__xludf.DUMMYFUNCTION("""COMPUTED_VALUE"""),5503.1)</f>
        <v>5503.1</v>
      </c>
      <c r="O10" s="154">
        <f>IFERROR(__xludf.DUMMYFUNCTION("""COMPUTED_VALUE"""),679514.2716000001)</f>
        <v>679514.2716</v>
      </c>
      <c r="P10" s="154">
        <f>IFERROR(__xludf.DUMMYFUNCTION("""COMPUTED_VALUE"""),1140.0)</f>
        <v>1140</v>
      </c>
      <c r="Q10" s="155">
        <f>IFERROR(__xludf.DUMMYFUNCTION("""COMPUTED_VALUE"""),76.20863201754386)</f>
        <v>76.20863202</v>
      </c>
      <c r="R10" s="154">
        <f>IFERROR(__xludf.DUMMYFUNCTION("""COMPUTED_VALUE"""),86877.8405)</f>
        <v>86877.8405</v>
      </c>
      <c r="S10" s="154">
        <f>IFERROR(__xludf.DUMMYFUNCTION("""COMPUTED_VALUE"""),1465.0)</f>
        <v>1465</v>
      </c>
      <c r="T10" s="154">
        <f>IFERROR(__xludf.DUMMYFUNCTION("""COMPUTED_VALUE"""),141789.97030024123)</f>
        <v>141789.9703</v>
      </c>
      <c r="U10" s="156">
        <f>IFERROR(__xludf.DUMMYFUNCTION("""COMPUTED_VALUE"""),124.82000000000001)</f>
        <v>124.82</v>
      </c>
      <c r="V10" s="156">
        <f>IFERROR(__xludf.DUMMYFUNCTION("""COMPUTED_VALUE"""),5.673636363636364)</f>
        <v>5.673636364</v>
      </c>
      <c r="W10" s="157">
        <f>IFERROR(__xludf.DUMMYFUNCTION("""COMPUTED_VALUE"""),0.11335951809569779)</f>
        <v>0.1133595181</v>
      </c>
      <c r="X10" s="154">
        <f>IFERROR(__xludf.DUMMYFUNCTION("""COMPUTED_VALUE"""),766392.1121000001)</f>
        <v>766392.1121</v>
      </c>
      <c r="Y10" s="154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68" t="str">
        <f>Datos!A1</f>
        <v>   Fecha </v>
      </c>
      <c r="B1" s="168" t="str">
        <f>Datos!B1</f>
        <v>NIS</v>
      </c>
      <c r="C1" s="168" t="str">
        <f>Datos!C1</f>
        <v>Cliente</v>
      </c>
      <c r="D1" s="168" t="str">
        <f>Datos!D1</f>
        <v>IVA</v>
      </c>
      <c r="E1" s="168" t="str">
        <f>Datos!E1</f>
        <v>Consumo [kWh]</v>
      </c>
      <c r="F1" s="168" t="str">
        <f>Datos!F1</f>
        <v>Consumo hs punta [kWh]</v>
      </c>
      <c r="G1" s="168" t="str">
        <f>Datos!G1</f>
        <v>Consumo hs valle [kWh]</v>
      </c>
      <c r="H1" s="168" t="str">
        <f>Datos!H1</f>
        <v>Consumo hs resto[kWh]</v>
      </c>
      <c r="I1" s="168" t="str">
        <f>Datos!I1</f>
        <v>Catergoria</v>
      </c>
      <c r="J1" s="168" t="str">
        <f>Datos!J1</f>
        <v>Tarifa punta</v>
      </c>
      <c r="K1" s="168" t="str">
        <f>Datos!K1</f>
        <v>Tarifa valle</v>
      </c>
      <c r="L1" s="168" t="str">
        <f>Datos!L1</f>
        <v>Tarifa resto</v>
      </c>
      <c r="M1" s="168" t="str">
        <f>Datos!M1</f>
        <v>Generacion FV [kWh]</v>
      </c>
      <c r="N1" s="168" t="str">
        <f>Datos!N1</f>
        <v>CONSUMO TOTAL</v>
      </c>
      <c r="O1" s="168" t="str">
        <f>Datos!O1</f>
        <v>Total a pagar S / IVA</v>
      </c>
      <c r="P1" s="168" t="str">
        <f>Datos!P1</f>
        <v>Valor USD</v>
      </c>
      <c r="Q1" s="168" t="str">
        <f>Datos!Q1</f>
        <v>Ahorro (USD)</v>
      </c>
      <c r="R1" s="168" t="str">
        <f>Datos!R1</f>
        <v>Ahorro ($)</v>
      </c>
      <c r="S1" s="168" t="str">
        <f>Datos!S1</f>
        <v>Valor dolar Actual ($)</v>
      </c>
      <c r="T1" s="168" t="str">
        <f>Datos!T1</f>
        <v>Ahorro ($)-A precio actual</v>
      </c>
      <c r="U1" s="168" t="str">
        <f>Datos!U1</f>
        <v>kg CO2e evitados</v>
      </c>
      <c r="V1" s="168" t="str">
        <f>Datos!V1</f>
        <v>Equivalente en árboles</v>
      </c>
      <c r="W1" s="168" t="str">
        <f>Datos!W1</f>
        <v>% de ahorro sobre los consumos</v>
      </c>
      <c r="X1" s="168" t="str">
        <f>Datos!X1</f>
        <v>SIN PANELES S/IVA</v>
      </c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  <c r="AK1" s="180"/>
      <c r="AL1" s="180"/>
      <c r="AM1" s="180"/>
      <c r="AN1" s="180"/>
      <c r="AO1" s="180"/>
      <c r="AP1" s="180"/>
      <c r="AQ1" s="180"/>
      <c r="AR1" s="180"/>
      <c r="AS1" s="180"/>
      <c r="AT1" s="180"/>
      <c r="AU1" s="180"/>
      <c r="AV1" s="180"/>
    </row>
    <row r="2" ht="15.75" customHeight="1">
      <c r="A2" s="75">
        <f>'Etchart '!A2</f>
        <v>45992</v>
      </c>
      <c r="B2" s="69">
        <f>'Etchart '!B2</f>
        <v>5019237</v>
      </c>
      <c r="C2" s="76" t="str">
        <f>'Etchart '!C2</f>
        <v>Etchart</v>
      </c>
      <c r="D2" s="72">
        <f>'Etchart '!D2</f>
        <v>0.27</v>
      </c>
      <c r="E2" s="17">
        <f>'Etchart '!E2</f>
        <v>2950</v>
      </c>
      <c r="F2" s="17">
        <f>'Etchart '!F2</f>
        <v>684</v>
      </c>
      <c r="G2" s="17">
        <f>'Etchart '!G2</f>
        <v>810</v>
      </c>
      <c r="H2" s="17">
        <f>'Etchart '!H2</f>
        <v>1456</v>
      </c>
      <c r="I2" s="179" t="str">
        <f>'Etchart '!I2</f>
        <v>T4-Ba</v>
      </c>
      <c r="J2" s="18">
        <f>'Etchart '!J2</f>
        <v>156.5485</v>
      </c>
      <c r="K2" s="18">
        <f>'Etchart '!K2</f>
        <v>153.7589</v>
      </c>
      <c r="L2" s="18">
        <f>'Etchart '!L2</f>
        <v>154.5615</v>
      </c>
      <c r="M2" s="15">
        <f>'Etchart '!M2</f>
        <v>1063.3</v>
      </c>
      <c r="N2" s="17">
        <f>'Etchart '!N2</f>
        <v>4013.3</v>
      </c>
      <c r="O2" s="19">
        <f>'Etchart '!O2</f>
        <v>456665.427</v>
      </c>
      <c r="P2" s="20">
        <f>'Etchart '!P2</f>
        <v>1470</v>
      </c>
      <c r="Q2" s="169">
        <f>'Etchart '!Q2</f>
        <v>111.799485</v>
      </c>
      <c r="R2" s="20">
        <f>'Etchart '!R2</f>
        <v>164345.243</v>
      </c>
      <c r="S2" s="46">
        <f>'Etchart '!S2</f>
        <v>1465</v>
      </c>
      <c r="T2" s="22">
        <f>'Etchart '!T2</f>
        <v>208008.5318</v>
      </c>
      <c r="U2" s="23">
        <f>'Etchart '!U2</f>
        <v>212.66</v>
      </c>
      <c r="V2" s="24">
        <f>'Etchart '!V2</f>
        <v>9.666363636</v>
      </c>
      <c r="W2" s="25">
        <f>'Etchart '!W2</f>
        <v>0.2646415769</v>
      </c>
      <c r="X2" s="19">
        <f>'Etchart '!X2</f>
        <v>621010.67</v>
      </c>
      <c r="Y2" s="66"/>
      <c r="Z2" s="66"/>
      <c r="AC2" s="152"/>
    </row>
    <row r="3">
      <c r="A3" s="75">
        <f>'Etchart '!A3</f>
        <v>45973</v>
      </c>
      <c r="B3" s="69">
        <f>'Etchart '!B3</f>
        <v>5019237</v>
      </c>
      <c r="C3" s="76" t="str">
        <f>'Etchart '!C3</f>
        <v>Etchart</v>
      </c>
      <c r="D3" s="72">
        <f>'Etchart '!D3</f>
        <v>0.27</v>
      </c>
      <c r="E3" s="17">
        <f>'Etchart '!E3</f>
        <v>3346</v>
      </c>
      <c r="F3" s="17">
        <f>'Etchart '!F3</f>
        <v>809</v>
      </c>
      <c r="G3" s="17">
        <f>'Etchart '!G3</f>
        <v>977</v>
      </c>
      <c r="H3" s="17">
        <f>'Etchart '!H3</f>
        <v>1560</v>
      </c>
      <c r="I3" s="179" t="str">
        <f>'Etchart '!I3</f>
        <v>T4-Ba</v>
      </c>
      <c r="J3" s="18">
        <f>'Etchart '!J3</f>
        <v>152.0913</v>
      </c>
      <c r="K3" s="18">
        <f>'Etchart '!K3</f>
        <v>149.3017</v>
      </c>
      <c r="L3" s="18">
        <f>'Etchart '!L3</f>
        <v>150.1043</v>
      </c>
      <c r="M3" s="15">
        <f>'Etchart '!M3</f>
        <v>1096.4</v>
      </c>
      <c r="N3" s="17">
        <f>'Etchart '!N3</f>
        <v>4442.4</v>
      </c>
      <c r="O3" s="19">
        <f>'Etchart '!O3</f>
        <v>503072.3306</v>
      </c>
      <c r="P3" s="20">
        <f>'Etchart '!P3</f>
        <v>1470</v>
      </c>
      <c r="Q3" s="169">
        <f>'Etchart '!Q3</f>
        <v>111.9553432</v>
      </c>
      <c r="R3" s="20">
        <f>'Etchart '!R3</f>
        <v>164574.3545</v>
      </c>
      <c r="S3" s="46">
        <f>'Etchart '!S3</f>
        <v>1465</v>
      </c>
      <c r="T3" s="22">
        <f>'Etchart '!T3</f>
        <v>208298.5138</v>
      </c>
      <c r="U3" s="23">
        <f>'Etchart '!U3</f>
        <v>219.28</v>
      </c>
      <c r="V3" s="24">
        <f>'Etchart '!V3</f>
        <v>9.967272727</v>
      </c>
      <c r="W3" s="25">
        <f>'Etchart '!W3</f>
        <v>0.2464991712</v>
      </c>
      <c r="X3" s="19">
        <f>'Etchart '!X3</f>
        <v>667646.6851</v>
      </c>
      <c r="Y3" s="66"/>
      <c r="Z3" s="66"/>
      <c r="AC3" s="152"/>
    </row>
    <row r="4" ht="15.75" customHeight="1">
      <c r="A4" s="75">
        <f>'Etchart '!A4</f>
        <v>45931</v>
      </c>
      <c r="B4" s="69">
        <f>'Etchart '!B4</f>
        <v>5019237</v>
      </c>
      <c r="C4" s="76" t="str">
        <f>'Etchart '!C4</f>
        <v>Etchart</v>
      </c>
      <c r="D4" s="72">
        <f>'Etchart '!D4</f>
        <v>0.27</v>
      </c>
      <c r="E4" s="17">
        <f>'Etchart '!E4</f>
        <v>3240</v>
      </c>
      <c r="F4" s="17">
        <f>'Etchart '!F4</f>
        <v>772</v>
      </c>
      <c r="G4" s="17">
        <f>'Etchart '!G4</f>
        <v>953</v>
      </c>
      <c r="H4" s="17">
        <f>'Etchart '!H4</f>
        <v>1515</v>
      </c>
      <c r="I4" s="69" t="str">
        <f>'Etchart '!I4</f>
        <v>T4-Ba</v>
      </c>
      <c r="J4" s="18">
        <f>'Etchart '!J4</f>
        <v>159.8077</v>
      </c>
      <c r="K4" s="18">
        <f>'Etchart '!K4</f>
        <v>156.9735</v>
      </c>
      <c r="L4" s="18">
        <f>'Etchart '!L4</f>
        <v>158.2241</v>
      </c>
      <c r="M4" s="15">
        <f>'Etchart '!M4</f>
        <v>1212.2</v>
      </c>
      <c r="N4" s="17">
        <f>'Etchart '!N4</f>
        <v>4452.2</v>
      </c>
      <c r="O4" s="19">
        <f>'Etchart '!O4</f>
        <v>512676.8014</v>
      </c>
      <c r="P4" s="20">
        <f>'Etchart '!P4</f>
        <v>1450</v>
      </c>
      <c r="Q4" s="169">
        <f>'Etchart '!Q4</f>
        <v>132.2753476</v>
      </c>
      <c r="R4" s="20">
        <f>'Etchart '!R4</f>
        <v>191799.254</v>
      </c>
      <c r="S4" s="20">
        <f>'Etchart '!S4</f>
        <v>1465</v>
      </c>
      <c r="T4" s="22">
        <f>'Etchart '!T4</f>
        <v>246104.898</v>
      </c>
      <c r="U4" s="23">
        <f>'Etchart '!U4</f>
        <v>242.44</v>
      </c>
      <c r="V4" s="24">
        <f>'Etchart '!V4</f>
        <v>11.02</v>
      </c>
      <c r="W4" s="25">
        <f>'Etchart '!W4</f>
        <v>0.2722580172</v>
      </c>
      <c r="X4" s="19">
        <f>'Etchart '!X4</f>
        <v>704476.0554</v>
      </c>
      <c r="Y4" s="66"/>
      <c r="Z4" s="66"/>
      <c r="AC4" s="152"/>
    </row>
    <row r="5">
      <c r="A5" s="75"/>
      <c r="B5" s="69"/>
      <c r="C5" s="76"/>
      <c r="D5" s="72"/>
      <c r="E5" s="17"/>
      <c r="F5" s="17"/>
      <c r="G5" s="17"/>
      <c r="H5" s="17"/>
      <c r="I5" s="69"/>
      <c r="J5" s="18"/>
      <c r="K5" s="18"/>
      <c r="L5" s="18"/>
      <c r="M5" s="15"/>
      <c r="N5" s="17"/>
      <c r="O5" s="19"/>
      <c r="P5" s="20"/>
      <c r="Q5" s="169"/>
      <c r="R5" s="20"/>
      <c r="S5" s="20"/>
      <c r="T5" s="22"/>
      <c r="U5" s="23"/>
      <c r="V5" s="24"/>
      <c r="W5" s="25"/>
      <c r="X5" s="19"/>
      <c r="Y5" s="66"/>
      <c r="Z5" s="66"/>
      <c r="AC5" s="152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0"/>
  <sheetData>
    <row r="1">
      <c r="A1" s="168" t="str">
        <f>Datos!A1</f>
        <v>   Fecha </v>
      </c>
      <c r="B1" s="168" t="str">
        <f>Datos!B1</f>
        <v>NIS</v>
      </c>
      <c r="C1" s="168" t="str">
        <f>Datos!C1</f>
        <v>Cliente</v>
      </c>
      <c r="D1" s="168" t="str">
        <f>Datos!D1</f>
        <v>IVA</v>
      </c>
      <c r="E1" s="168" t="str">
        <f>Datos!E1</f>
        <v>Consumo [kWh]</v>
      </c>
      <c r="F1" s="168" t="str">
        <f>Datos!F1</f>
        <v>Consumo hs punta [kWh]</v>
      </c>
      <c r="G1" s="168" t="str">
        <f>Datos!G1</f>
        <v>Consumo hs valle [kWh]</v>
      </c>
      <c r="H1" s="168" t="str">
        <f>Datos!H1</f>
        <v>Consumo hs resto[kWh]</v>
      </c>
      <c r="I1" s="168" t="str">
        <f>Datos!I1</f>
        <v>Catergoria</v>
      </c>
      <c r="J1" s="168" t="str">
        <f>Datos!J1</f>
        <v>Tarifa punta</v>
      </c>
      <c r="K1" s="168" t="str">
        <f>Datos!K1</f>
        <v>Tarifa valle</v>
      </c>
      <c r="L1" s="168" t="str">
        <f>Datos!L1</f>
        <v>Tarifa resto</v>
      </c>
      <c r="M1" s="168" t="str">
        <f>Datos!M1</f>
        <v>Generacion FV [kWh]</v>
      </c>
      <c r="N1" s="168" t="str">
        <f>Datos!N1</f>
        <v>CONSUMO TOTAL</v>
      </c>
      <c r="O1" s="168" t="str">
        <f>Datos!O1</f>
        <v>Total a pagar S / IVA</v>
      </c>
      <c r="P1" s="168" t="str">
        <f>Datos!P1</f>
        <v>Valor USD</v>
      </c>
      <c r="Q1" s="168" t="str">
        <f>Datos!Q1</f>
        <v>Ahorro (USD)</v>
      </c>
      <c r="R1" s="168" t="str">
        <f>Datos!R1</f>
        <v>Ahorro ($)</v>
      </c>
      <c r="S1" s="168" t="str">
        <f>Datos!S1</f>
        <v>Valor dolar Actual ($)</v>
      </c>
      <c r="T1" s="168" t="str">
        <f>Datos!T1</f>
        <v>Ahorro ($)-A precio actual</v>
      </c>
      <c r="U1" s="168" t="str">
        <f>Datos!U1</f>
        <v>kg CO2e evitados</v>
      </c>
      <c r="V1" s="168" t="str">
        <f>Datos!V1</f>
        <v>Equivalente en árboles</v>
      </c>
      <c r="W1" s="168" t="str">
        <f>Datos!W1</f>
        <v>% de ahorro sobre los consumos</v>
      </c>
      <c r="X1" s="168" t="str">
        <f>Datos!X1</f>
        <v>SIN PANELES S/IVA</v>
      </c>
    </row>
    <row r="2" ht="15.75" customHeight="1">
      <c r="A2" s="26">
        <f>IFERROR(__xludf.DUMMYFUNCTION("FILTER(Datos!1:1247,Datos!B:B=5251104)"),45992.0)</f>
        <v>45992</v>
      </c>
      <c r="B2" s="28">
        <f>IFERROR(__xludf.DUMMYFUNCTION("""COMPUTED_VALUE"""),5251104.0)</f>
        <v>5251104</v>
      </c>
      <c r="C2" s="28" t="str">
        <f>IFERROR(__xludf.DUMMYFUNCTION("""COMPUTED_VALUE"""),"Cartoon Inversor 1")</f>
        <v>Cartoon Inversor 1</v>
      </c>
      <c r="D2" s="29">
        <f>IFERROR(__xludf.DUMMYFUNCTION("""COMPUTED_VALUE"""),0.27)</f>
        <v>0.27</v>
      </c>
      <c r="E2" s="17">
        <f>IFERROR(__xludf.DUMMYFUNCTION("""COMPUTED_VALUE"""),12507.0)</f>
        <v>12507</v>
      </c>
      <c r="F2" s="17">
        <f>IFERROR(__xludf.DUMMYFUNCTION("""COMPUTED_VALUE"""),1173.0)</f>
        <v>1173</v>
      </c>
      <c r="G2" s="17">
        <f>IFERROR(__xludf.DUMMYFUNCTION("""COMPUTED_VALUE"""),215.0)</f>
        <v>215</v>
      </c>
      <c r="H2" s="17">
        <f>IFERROR(__xludf.DUMMYFUNCTION("""COMPUTED_VALUE"""),11119.0)</f>
        <v>11119</v>
      </c>
      <c r="I2" s="17" t="str">
        <f>IFERROR(__xludf.DUMMYFUNCTION("""COMPUTED_VALUE"""),"T5-Ba")</f>
        <v>T5-Ba</v>
      </c>
      <c r="J2" s="30">
        <f>IFERROR(__xludf.DUMMYFUNCTION("""COMPUTED_VALUE"""),168.7698)</f>
        <v>168.7698</v>
      </c>
      <c r="K2" s="30">
        <f>IFERROR(__xludf.DUMMYFUNCTION("""COMPUTED_VALUE"""),165.9802)</f>
        <v>165.9802</v>
      </c>
      <c r="L2" s="30">
        <f>IFERROR(__xludf.DUMMYFUNCTION("""COMPUTED_VALUE"""),166.7828)</f>
        <v>166.7828</v>
      </c>
      <c r="M2" s="15">
        <f>IFERROR(__xludf.DUMMYFUNCTION("""COMPUTED_VALUE"""),5243.9)</f>
        <v>5243.9</v>
      </c>
      <c r="N2" s="17">
        <f>IFERROR(__xludf.DUMMYFUNCTION("""COMPUTED_VALUE"""),17750.9)</f>
        <v>17750.9</v>
      </c>
      <c r="O2" s="31">
        <f>IFERROR(__xludf.DUMMYFUNCTION("""COMPUTED_VALUE"""),2088110.6716)</f>
        <v>2088110.672</v>
      </c>
      <c r="P2" s="20">
        <f>IFERROR(__xludf.DUMMYFUNCTION("""COMPUTED_VALUE"""),1470.0)</f>
        <v>1470</v>
      </c>
      <c r="Q2" s="181">
        <f>IFERROR(__xludf.DUMMYFUNCTION("""COMPUTED_VALUE"""),594.9607652517008)</f>
        <v>594.9607653</v>
      </c>
      <c r="R2" s="32">
        <f>IFERROR(__xludf.DUMMYFUNCTION("""COMPUTED_VALUE"""),874592.3249200002)</f>
        <v>874592.3249</v>
      </c>
      <c r="S2" s="32">
        <f>IFERROR(__xludf.DUMMYFUNCTION("""COMPUTED_VALUE"""),1465.0)</f>
        <v>1465</v>
      </c>
      <c r="T2" s="34">
        <f>IFERROR(__xludf.DUMMYFUNCTION("""COMPUTED_VALUE"""),1106954.2517890518)</f>
        <v>1106954.252</v>
      </c>
      <c r="U2" s="35">
        <f>IFERROR(__xludf.DUMMYFUNCTION("""COMPUTED_VALUE"""),1048.78)</f>
        <v>1048.78</v>
      </c>
      <c r="V2" s="36">
        <f>IFERROR(__xludf.DUMMYFUNCTION("""COMPUTED_VALUE"""),47.67181818181818)</f>
        <v>47.67181818</v>
      </c>
      <c r="W2" s="37">
        <f>IFERROR(__xludf.DUMMYFUNCTION("""COMPUTED_VALUE"""),0.2952008101882973)</f>
        <v>0.2952008102</v>
      </c>
      <c r="X2" s="31">
        <f>IFERROR(__xludf.DUMMYFUNCTION("""COMPUTED_VALUE"""),2962702.99652)</f>
        <v>2962702.997</v>
      </c>
      <c r="Y2" s="154"/>
    </row>
    <row r="3" ht="15.75" customHeight="1">
      <c r="A3" s="26">
        <f>IFERROR(__xludf.DUMMYFUNCTION("""COMPUTED_VALUE"""),45987.0)</f>
        <v>45987</v>
      </c>
      <c r="B3" s="28">
        <f>IFERROR(__xludf.DUMMYFUNCTION("""COMPUTED_VALUE"""),5251104.0)</f>
        <v>5251104</v>
      </c>
      <c r="C3" s="28" t="str">
        <f>IFERROR(__xludf.DUMMYFUNCTION("""COMPUTED_VALUE"""),"Cartoon Inversor 1")</f>
        <v>Cartoon Inversor 1</v>
      </c>
      <c r="D3" s="29">
        <f>IFERROR(__xludf.DUMMYFUNCTION("""COMPUTED_VALUE"""),0.27)</f>
        <v>0.27</v>
      </c>
      <c r="E3" s="17">
        <f>IFERROR(__xludf.DUMMYFUNCTION("""COMPUTED_VALUE"""),4612.0)</f>
        <v>4612</v>
      </c>
      <c r="F3" s="17">
        <f>IFERROR(__xludf.DUMMYFUNCTION("""COMPUTED_VALUE"""),77.0)</f>
        <v>77</v>
      </c>
      <c r="G3" s="17">
        <f>IFERROR(__xludf.DUMMYFUNCTION("""COMPUTED_VALUE"""),108.0)</f>
        <v>108</v>
      </c>
      <c r="H3" s="17">
        <f>IFERROR(__xludf.DUMMYFUNCTION("""COMPUTED_VALUE"""),4427.0)</f>
        <v>4427</v>
      </c>
      <c r="I3" s="17" t="str">
        <f>IFERROR(__xludf.DUMMYFUNCTION("""COMPUTED_VALUE"""),"T5-Ba")</f>
        <v>T5-Ba</v>
      </c>
      <c r="J3" s="30">
        <f>IFERROR(__xludf.DUMMYFUNCTION("""COMPUTED_VALUE"""),163.3724)</f>
        <v>163.3724</v>
      </c>
      <c r="K3" s="30">
        <f>IFERROR(__xludf.DUMMYFUNCTION("""COMPUTED_VALUE"""),160.5827)</f>
        <v>160.5827</v>
      </c>
      <c r="L3" s="30">
        <f>IFERROR(__xludf.DUMMYFUNCTION("""COMPUTED_VALUE"""),161.3854)</f>
        <v>161.3854</v>
      </c>
      <c r="M3" s="15">
        <f>IFERROR(__xludf.DUMMYFUNCTION("""COMPUTED_VALUE"""),4394.8)</f>
        <v>4394.8</v>
      </c>
      <c r="N3" s="17">
        <f>IFERROR(__xludf.DUMMYFUNCTION("""COMPUTED_VALUE"""),9006.8)</f>
        <v>9006.8</v>
      </c>
      <c r="O3" s="31">
        <f>IFERROR(__xludf.DUMMYFUNCTION("""COMPUTED_VALUE"""),744375.7722000001)</f>
        <v>744375.7722</v>
      </c>
      <c r="P3" s="20">
        <f>IFERROR(__xludf.DUMMYFUNCTION("""COMPUTED_VALUE"""),1470.0)</f>
        <v>1470</v>
      </c>
      <c r="Q3" s="181">
        <f>IFERROR(__xludf.DUMMYFUNCTION("""COMPUTED_VALUE"""),482.48745300680275)</f>
        <v>482.487453</v>
      </c>
      <c r="R3" s="32">
        <f>IFERROR(__xludf.DUMMYFUNCTION("""COMPUTED_VALUE"""),709256.5559200001)</f>
        <v>709256.5559</v>
      </c>
      <c r="S3" s="32">
        <f>IFERROR(__xludf.DUMMYFUNCTION("""COMPUTED_VALUE"""),1465.0)</f>
        <v>1465</v>
      </c>
      <c r="T3" s="34">
        <f>IFERROR(__xludf.DUMMYFUNCTION("""COMPUTED_VALUE"""),897692.0306918068)</f>
        <v>897692.0307</v>
      </c>
      <c r="U3" s="35">
        <f>IFERROR(__xludf.DUMMYFUNCTION("""COMPUTED_VALUE"""),878.96)</f>
        <v>878.96</v>
      </c>
      <c r="V3" s="36">
        <f>IFERROR(__xludf.DUMMYFUNCTION("""COMPUTED_VALUE"""),39.95272727272727)</f>
        <v>39.95272727</v>
      </c>
      <c r="W3" s="37">
        <f>IFERROR(__xludf.DUMMYFUNCTION("""COMPUTED_VALUE"""),0.4879201860055561)</f>
        <v>0.487920186</v>
      </c>
      <c r="X3" s="31">
        <f>IFERROR(__xludf.DUMMYFUNCTION("""COMPUTED_VALUE"""),1453632.3281200002)</f>
        <v>1453632.328</v>
      </c>
      <c r="Y3" s="154"/>
    </row>
    <row r="4" ht="15.75" customHeight="1">
      <c r="A4" s="26">
        <f>IFERROR(__xludf.DUMMYFUNCTION("""COMPUTED_VALUE"""),45931.0)</f>
        <v>45931</v>
      </c>
      <c r="B4" s="28">
        <f>IFERROR(__xludf.DUMMYFUNCTION("""COMPUTED_VALUE"""),5251104.0)</f>
        <v>5251104</v>
      </c>
      <c r="C4" s="28" t="str">
        <f>IFERROR(__xludf.DUMMYFUNCTION("""COMPUTED_VALUE"""),"Cartoon Inversor 1")</f>
        <v>Cartoon Inversor 1</v>
      </c>
      <c r="D4" s="29">
        <f>IFERROR(__xludf.DUMMYFUNCTION("""COMPUTED_VALUE"""),0.27)</f>
        <v>0.27</v>
      </c>
      <c r="E4" s="17">
        <f>IFERROR(__xludf.DUMMYFUNCTION("""COMPUTED_VALUE"""),1872.0)</f>
        <v>1872</v>
      </c>
      <c r="F4" s="17">
        <f>IFERROR(__xludf.DUMMYFUNCTION("""COMPUTED_VALUE"""),120.0)</f>
        <v>120</v>
      </c>
      <c r="G4" s="17">
        <f>IFERROR(__xludf.DUMMYFUNCTION("""COMPUTED_VALUE"""),180.0)</f>
        <v>180</v>
      </c>
      <c r="H4" s="17">
        <f>IFERROR(__xludf.DUMMYFUNCTION("""COMPUTED_VALUE"""),1572.0)</f>
        <v>1572</v>
      </c>
      <c r="I4" s="28" t="str">
        <f>IFERROR(__xludf.DUMMYFUNCTION("""COMPUTED_VALUE"""),"T5-Ba")</f>
        <v>T5-Ba</v>
      </c>
      <c r="J4" s="30">
        <f>IFERROR(__xludf.DUMMYFUNCTION("""COMPUTED_VALUE"""),170.9156)</f>
        <v>170.9156</v>
      </c>
      <c r="K4" s="30">
        <f>IFERROR(__xludf.DUMMYFUNCTION("""COMPUTED_VALUE"""),168.0814)</f>
        <v>168.0814</v>
      </c>
      <c r="L4" s="30">
        <f>IFERROR(__xludf.DUMMYFUNCTION("""COMPUTED_VALUE"""),169.332)</f>
        <v>169.332</v>
      </c>
      <c r="M4" s="15">
        <f>IFERROR(__xludf.DUMMYFUNCTION("""COMPUTED_VALUE"""),3836.5)</f>
        <v>3836.5</v>
      </c>
      <c r="N4" s="17">
        <f>IFERROR(__xludf.DUMMYFUNCTION("""COMPUTED_VALUE"""),5708.5)</f>
        <v>5708.5</v>
      </c>
      <c r="O4" s="31">
        <f>IFERROR(__xludf.DUMMYFUNCTION("""COMPUTED_VALUE"""),316954.42799999996)</f>
        <v>316954.428</v>
      </c>
      <c r="P4" s="20">
        <f>IFERROR(__xludf.DUMMYFUNCTION("""COMPUTED_VALUE"""),1450.0)</f>
        <v>1450</v>
      </c>
      <c r="Q4" s="181">
        <f>IFERROR(__xludf.DUMMYFUNCTION("""COMPUTED_VALUE"""),448.029115862069)</f>
        <v>448.0291159</v>
      </c>
      <c r="R4" s="32">
        <f>IFERROR(__xludf.DUMMYFUNCTION("""COMPUTED_VALUE"""),649642.218)</f>
        <v>649642.218</v>
      </c>
      <c r="S4" s="32">
        <f>IFERROR(__xludf.DUMMYFUNCTION("""COMPUTED_VALUE"""),1465.0)</f>
        <v>1465</v>
      </c>
      <c r="T4" s="34">
        <f>IFERROR(__xludf.DUMMYFUNCTION("""COMPUTED_VALUE"""),833580.5715171725)</f>
        <v>833580.5715</v>
      </c>
      <c r="U4" s="35">
        <f>IFERROR(__xludf.DUMMYFUNCTION("""COMPUTED_VALUE"""),767.3000000000001)</f>
        <v>767.3</v>
      </c>
      <c r="V4" s="36">
        <f>IFERROR(__xludf.DUMMYFUNCTION("""COMPUTED_VALUE"""),34.87727272727273)</f>
        <v>34.87727273</v>
      </c>
      <c r="W4" s="37">
        <f>IFERROR(__xludf.DUMMYFUNCTION("""COMPUTED_VALUE"""),0.6720923569188549)</f>
        <v>0.6720923569</v>
      </c>
      <c r="X4" s="31">
        <f>IFERROR(__xludf.DUMMYFUNCTION("""COMPUTED_VALUE"""),966596.646)</f>
        <v>966596.646</v>
      </c>
      <c r="Y4" s="154"/>
    </row>
    <row r="5">
      <c r="A5" s="150">
        <f>IFERROR(__xludf.DUMMYFUNCTION("""COMPUTED_VALUE"""),45925.0)</f>
        <v>45925</v>
      </c>
      <c r="B5" s="151">
        <f>IFERROR(__xludf.DUMMYFUNCTION("""COMPUTED_VALUE"""),5251104.0)</f>
        <v>5251104</v>
      </c>
      <c r="C5" s="151" t="str">
        <f>IFERROR(__xludf.DUMMYFUNCTION("""COMPUTED_VALUE"""),"Cartoon Inversor 1")</f>
        <v>Cartoon Inversor 1</v>
      </c>
      <c r="D5" s="152">
        <f>IFERROR(__xludf.DUMMYFUNCTION("""COMPUTED_VALUE"""),0.27)</f>
        <v>0.27</v>
      </c>
      <c r="E5" s="153">
        <f>IFERROR(__xludf.DUMMYFUNCTION("""COMPUTED_VALUE"""),7899.0)</f>
        <v>7899</v>
      </c>
      <c r="F5" s="153">
        <f>IFERROR(__xludf.DUMMYFUNCTION("""COMPUTED_VALUE"""),445.0)</f>
        <v>445</v>
      </c>
      <c r="G5" s="153">
        <f>IFERROR(__xludf.DUMMYFUNCTION("""COMPUTED_VALUE"""),221.0)</f>
        <v>221</v>
      </c>
      <c r="H5" s="153">
        <f>IFERROR(__xludf.DUMMYFUNCTION("""COMPUTED_VALUE"""),7233.0)</f>
        <v>7233</v>
      </c>
      <c r="I5" s="151" t="str">
        <f>IFERROR(__xludf.DUMMYFUNCTION("""COMPUTED_VALUE"""),"T5-Ba")</f>
        <v>T5-Ba</v>
      </c>
      <c r="J5" s="154">
        <f>IFERROR(__xludf.DUMMYFUNCTION("""COMPUTED_VALUE"""),170.107)</f>
        <v>170.107</v>
      </c>
      <c r="K5" s="154">
        <f>IFERROR(__xludf.DUMMYFUNCTION("""COMPUTED_VALUE"""),167.2668)</f>
        <v>167.2668</v>
      </c>
      <c r="L5" s="154">
        <f>IFERROR(__xludf.DUMMYFUNCTION("""COMPUTED_VALUE"""),168.521)</f>
        <v>168.521</v>
      </c>
      <c r="M5" s="152">
        <f>IFERROR(__xludf.DUMMYFUNCTION("""COMPUTED_VALUE"""),4463.7)</f>
        <v>4463.7</v>
      </c>
      <c r="N5" s="153">
        <f>IFERROR(__xludf.DUMMYFUNCTION("""COMPUTED_VALUE"""),12362.7)</f>
        <v>12362.7</v>
      </c>
      <c r="O5" s="154">
        <f>IFERROR(__xludf.DUMMYFUNCTION("""COMPUTED_VALUE"""),1331575.9708)</f>
        <v>1331575.971</v>
      </c>
      <c r="P5" s="154">
        <f>IFERROR(__xludf.DUMMYFUNCTION("""COMPUTED_VALUE"""),1425.0)</f>
        <v>1425</v>
      </c>
      <c r="Q5" s="155">
        <f>IFERROR(__xludf.DUMMYFUNCTION("""COMPUTED_VALUE"""),527.8787282105262)</f>
        <v>527.8787282</v>
      </c>
      <c r="R5" s="154">
        <f>IFERROR(__xludf.DUMMYFUNCTION("""COMPUTED_VALUE"""),752227.1876999999)</f>
        <v>752227.1877</v>
      </c>
      <c r="S5" s="154">
        <f>IFERROR(__xludf.DUMMYFUNCTION("""COMPUTED_VALUE"""),1465.0)</f>
        <v>1465</v>
      </c>
      <c r="T5" s="154">
        <f>IFERROR(__xludf.DUMMYFUNCTION("""COMPUTED_VALUE"""),982144.7677720945)</f>
        <v>982144.7678</v>
      </c>
      <c r="U5" s="156">
        <f>IFERROR(__xludf.DUMMYFUNCTION("""COMPUTED_VALUE"""),892.74)</f>
        <v>892.74</v>
      </c>
      <c r="V5" s="156">
        <f>IFERROR(__xludf.DUMMYFUNCTION("""COMPUTED_VALUE"""),40.57909090909091)</f>
        <v>40.57909091</v>
      </c>
      <c r="W5" s="157">
        <f>IFERROR(__xludf.DUMMYFUNCTION("""COMPUTED_VALUE"""),0.36098764157814284)</f>
        <v>0.3609876416</v>
      </c>
      <c r="X5" s="154">
        <f>IFERROR(__xludf.DUMMYFUNCTION("""COMPUTED_VALUE"""),2083803.1585)</f>
        <v>2083803.159</v>
      </c>
      <c r="Y5" s="154"/>
    </row>
    <row r="6">
      <c r="A6" s="150">
        <f>IFERROR(__xludf.DUMMYFUNCTION("""COMPUTED_VALUE"""),45893.0)</f>
        <v>45893</v>
      </c>
      <c r="B6" s="151">
        <f>IFERROR(__xludf.DUMMYFUNCTION("""COMPUTED_VALUE"""),5251104.0)</f>
        <v>5251104</v>
      </c>
      <c r="C6" s="151" t="str">
        <f>IFERROR(__xludf.DUMMYFUNCTION("""COMPUTED_VALUE"""),"Cartoon Inversor 1")</f>
        <v>Cartoon Inversor 1</v>
      </c>
      <c r="D6" s="152">
        <f>IFERROR(__xludf.DUMMYFUNCTION("""COMPUTED_VALUE"""),0.27)</f>
        <v>0.27</v>
      </c>
      <c r="E6" s="153">
        <f>IFERROR(__xludf.DUMMYFUNCTION("""COMPUTED_VALUE"""),4539.0)</f>
        <v>4539</v>
      </c>
      <c r="F6" s="153">
        <f>IFERROR(__xludf.DUMMYFUNCTION("""COMPUTED_VALUE"""),411.0)</f>
        <v>411</v>
      </c>
      <c r="G6" s="153">
        <f>IFERROR(__xludf.DUMMYFUNCTION("""COMPUTED_VALUE"""),112.0)</f>
        <v>112</v>
      </c>
      <c r="H6" s="153">
        <f>IFERROR(__xludf.DUMMYFUNCTION("""COMPUTED_VALUE"""),4016.0)</f>
        <v>4016</v>
      </c>
      <c r="I6" s="151" t="str">
        <f>IFERROR(__xludf.DUMMYFUNCTION("""COMPUTED_VALUE"""),"T6-Me")</f>
        <v>T6-Me</v>
      </c>
      <c r="J6" s="154">
        <f>IFERROR(__xludf.DUMMYFUNCTION("""COMPUTED_VALUE"""),194.1304)</f>
        <v>194.1304</v>
      </c>
      <c r="K6" s="154">
        <f>IFERROR(__xludf.DUMMYFUNCTION("""COMPUTED_VALUE"""),191.5662)</f>
        <v>191.5662</v>
      </c>
      <c r="L6" s="154">
        <f>IFERROR(__xludf.DUMMYFUNCTION("""COMPUTED_VALUE"""),192.6979)</f>
        <v>192.6979</v>
      </c>
      <c r="M6" s="152">
        <f>IFERROR(__xludf.DUMMYFUNCTION("""COMPUTED_VALUE"""),4656.4)</f>
        <v>4656.4</v>
      </c>
      <c r="N6" s="153">
        <f>IFERROR(__xludf.DUMMYFUNCTION("""COMPUTED_VALUE"""),9195.4)</f>
        <v>9195.4</v>
      </c>
      <c r="O6" s="154">
        <f>IFERROR(__xludf.DUMMYFUNCTION("""COMPUTED_VALUE"""),875117.7752)</f>
        <v>875117.7752</v>
      </c>
      <c r="P6" s="154">
        <f>IFERROR(__xludf.DUMMYFUNCTION("""COMPUTED_VALUE"""),1340.0)</f>
        <v>1340</v>
      </c>
      <c r="Q6" s="155">
        <f>IFERROR(__xludf.DUMMYFUNCTION("""COMPUTED_VALUE"""),669.6108220597015)</f>
        <v>669.6108221</v>
      </c>
      <c r="R6" s="154">
        <f>IFERROR(__xludf.DUMMYFUNCTION("""COMPUTED_VALUE"""),897278.50156)</f>
        <v>897278.5016</v>
      </c>
      <c r="S6" s="154">
        <f>IFERROR(__xludf.DUMMYFUNCTION("""COMPUTED_VALUE"""),1465.0)</f>
        <v>1465</v>
      </c>
      <c r="T6" s="154">
        <f>IFERROR(__xludf.DUMMYFUNCTION("""COMPUTED_VALUE"""),1245844.4149831776)</f>
        <v>1245844.415</v>
      </c>
      <c r="U6" s="156">
        <f>IFERROR(__xludf.DUMMYFUNCTION("""COMPUTED_VALUE"""),931.28)</f>
        <v>931.28</v>
      </c>
      <c r="V6" s="156">
        <f>IFERROR(__xludf.DUMMYFUNCTION("""COMPUTED_VALUE"""),42.33090909090909)</f>
        <v>42.33090909</v>
      </c>
      <c r="W6" s="157">
        <f>IFERROR(__xludf.DUMMYFUNCTION("""COMPUTED_VALUE"""),0.5062516285580646)</f>
        <v>0.5062516286</v>
      </c>
      <c r="X6" s="154">
        <f>IFERROR(__xludf.DUMMYFUNCTION("""COMPUTED_VALUE"""),1772396.27676)</f>
        <v>1772396.277</v>
      </c>
      <c r="Y6" s="154"/>
    </row>
    <row r="7">
      <c r="A7" s="150">
        <f>IFERROR(__xludf.DUMMYFUNCTION("""COMPUTED_VALUE"""),45839.0)</f>
        <v>45839</v>
      </c>
      <c r="B7" s="151">
        <f>IFERROR(__xludf.DUMMYFUNCTION("""COMPUTED_VALUE"""),5251104.0)</f>
        <v>5251104</v>
      </c>
      <c r="C7" s="151" t="str">
        <f>IFERROR(__xludf.DUMMYFUNCTION("""COMPUTED_VALUE"""),"Cartoon Inversor 1")</f>
        <v>Cartoon Inversor 1</v>
      </c>
      <c r="D7" s="152">
        <f>IFERROR(__xludf.DUMMYFUNCTION("""COMPUTED_VALUE"""),0.27)</f>
        <v>0.27</v>
      </c>
      <c r="E7" s="153">
        <f>IFERROR(__xludf.DUMMYFUNCTION("""COMPUTED_VALUE"""),6490.0)</f>
        <v>6490</v>
      </c>
      <c r="F7" s="153">
        <f>IFERROR(__xludf.DUMMYFUNCTION("""COMPUTED_VALUE"""),648.0)</f>
        <v>648</v>
      </c>
      <c r="G7" s="153">
        <f>IFERROR(__xludf.DUMMYFUNCTION("""COMPUTED_VALUE"""),132.0)</f>
        <v>132</v>
      </c>
      <c r="H7" s="153">
        <f>IFERROR(__xludf.DUMMYFUNCTION("""COMPUTED_VALUE"""),5710.0)</f>
        <v>5710</v>
      </c>
      <c r="I7" s="151" t="str">
        <f>IFERROR(__xludf.DUMMYFUNCTION("""COMPUTED_VALUE"""),"T6-Me")</f>
        <v>T6-Me</v>
      </c>
      <c r="J7" s="154">
        <f>IFERROR(__xludf.DUMMYFUNCTION("""COMPUTED_VALUE"""),185.8715)</f>
        <v>185.8715</v>
      </c>
      <c r="K7" s="154">
        <f>IFERROR(__xludf.DUMMYFUNCTION("""COMPUTED_VALUE"""),183.3095)</f>
        <v>183.3095</v>
      </c>
      <c r="L7" s="154">
        <f>IFERROR(__xludf.DUMMYFUNCTION("""COMPUTED_VALUE"""),184.4402)</f>
        <v>184.4402</v>
      </c>
      <c r="M7" s="152">
        <f>IFERROR(__xludf.DUMMYFUNCTION("""COMPUTED_VALUE"""),5248.7)</f>
        <v>5248.7</v>
      </c>
      <c r="N7" s="153">
        <f>IFERROR(__xludf.DUMMYFUNCTION("""COMPUTED_VALUE"""),11738.7)</f>
        <v>11738.7</v>
      </c>
      <c r="O7" s="154">
        <f>IFERROR(__xludf.DUMMYFUNCTION("""COMPUTED_VALUE"""),1197795.128)</f>
        <v>1197795.128</v>
      </c>
      <c r="P7" s="154">
        <f>IFERROR(__xludf.DUMMYFUNCTION("""COMPUTED_VALUE"""),1280.0)</f>
        <v>1280</v>
      </c>
      <c r="Q7" s="155">
        <f>IFERROR(__xludf.DUMMYFUNCTION("""COMPUTED_VALUE"""),756.305685734375)</f>
        <v>756.3056857</v>
      </c>
      <c r="R7" s="154">
        <f>IFERROR(__xludf.DUMMYFUNCTION("""COMPUTED_VALUE"""),968071.2777399999)</f>
        <v>968071.2777</v>
      </c>
      <c r="S7" s="154">
        <f>IFERROR(__xludf.DUMMYFUNCTION("""COMPUTED_VALUE"""),1465.0)</f>
        <v>1465</v>
      </c>
      <c r="T7" s="154">
        <f>IFERROR(__xludf.DUMMYFUNCTION("""COMPUTED_VALUE"""),1407144.5435930912)</f>
        <v>1407144.544</v>
      </c>
      <c r="U7" s="156">
        <f>IFERROR(__xludf.DUMMYFUNCTION("""COMPUTED_VALUE"""),1049.74)</f>
        <v>1049.74</v>
      </c>
      <c r="V7" s="156">
        <f>IFERROR(__xludf.DUMMYFUNCTION("""COMPUTED_VALUE"""),47.71545454545455)</f>
        <v>47.71545455</v>
      </c>
      <c r="W7" s="157">
        <f>IFERROR(__xludf.DUMMYFUNCTION("""COMPUTED_VALUE"""),0.4469672160639308)</f>
        <v>0.4469672161</v>
      </c>
      <c r="X7" s="154">
        <f>IFERROR(__xludf.DUMMYFUNCTION("""COMPUTED_VALUE"""),2165866.40574)</f>
        <v>2165866.406</v>
      </c>
      <c r="Y7" s="154"/>
    </row>
    <row r="8" ht="15.75" customHeight="1">
      <c r="A8" s="150">
        <f>IFERROR(__xludf.DUMMYFUNCTION("""COMPUTED_VALUE"""),45809.0)</f>
        <v>45809</v>
      </c>
      <c r="B8" s="26">
        <f>IFERROR(__xludf.DUMMYFUNCTION("""COMPUTED_VALUE"""),5251104.0)</f>
        <v>5251104</v>
      </c>
      <c r="C8" s="28" t="str">
        <f>IFERROR(__xludf.DUMMYFUNCTION("""COMPUTED_VALUE"""),"Cartoon Inversor 1")</f>
        <v>Cartoon Inversor 1</v>
      </c>
      <c r="D8" s="29">
        <f>IFERROR(__xludf.DUMMYFUNCTION("""COMPUTED_VALUE"""),0.27)</f>
        <v>0.27</v>
      </c>
      <c r="E8" s="29">
        <f>IFERROR(__xludf.DUMMYFUNCTION("""COMPUTED_VALUE"""),22907.0)</f>
        <v>22907</v>
      </c>
      <c r="F8" s="17">
        <f>IFERROR(__xludf.DUMMYFUNCTION("""COMPUTED_VALUE"""),4199.0)</f>
        <v>4199</v>
      </c>
      <c r="G8" s="17">
        <f>IFERROR(__xludf.DUMMYFUNCTION("""COMPUTED_VALUE"""),4543.0)</f>
        <v>4543</v>
      </c>
      <c r="H8" s="17">
        <f>IFERROR(__xludf.DUMMYFUNCTION("""COMPUTED_VALUE"""),14165.0)</f>
        <v>14165</v>
      </c>
      <c r="I8" s="17" t="str">
        <f>IFERROR(__xludf.DUMMYFUNCTION("""COMPUTED_VALUE"""),"T6-Me")</f>
        <v>T6-Me</v>
      </c>
      <c r="J8" s="30">
        <f>IFERROR(__xludf.DUMMYFUNCTION("""COMPUTED_VALUE"""),185.9218)</f>
        <v>185.9218</v>
      </c>
      <c r="K8" s="30">
        <f>IFERROR(__xludf.DUMMYFUNCTION("""COMPUTED_VALUE"""),183.3928)</f>
        <v>183.3928</v>
      </c>
      <c r="L8" s="30">
        <f>IFERROR(__xludf.DUMMYFUNCTION("""COMPUTED_VALUE"""),184.5092)</f>
        <v>184.5092</v>
      </c>
      <c r="M8" s="30">
        <f>IFERROR(__xludf.DUMMYFUNCTION("""COMPUTED_VALUE"""),5601.5)</f>
        <v>5601.5</v>
      </c>
      <c r="N8" s="15">
        <f>IFERROR(__xludf.DUMMYFUNCTION("""COMPUTED_VALUE"""),28508.5)</f>
        <v>28508.5</v>
      </c>
      <c r="O8" s="17">
        <f>IFERROR(__xludf.DUMMYFUNCTION("""COMPUTED_VALUE"""),4227411.946599999)</f>
        <v>4227411.947</v>
      </c>
      <c r="P8" s="31">
        <f>IFERROR(__xludf.DUMMYFUNCTION("""COMPUTED_VALUE"""),1140.0)</f>
        <v>1140</v>
      </c>
      <c r="Q8" s="20">
        <f>IFERROR(__xludf.DUMMYFUNCTION("""COMPUTED_VALUE"""),906.6037577192982)</f>
        <v>906.6037577</v>
      </c>
      <c r="R8" s="181">
        <f>IFERROR(__xludf.DUMMYFUNCTION("""COMPUTED_VALUE"""),1033528.2838)</f>
        <v>1033528.284</v>
      </c>
      <c r="S8" s="32">
        <f>IFERROR(__xludf.DUMMYFUNCTION("""COMPUTED_VALUE"""),1465.0)</f>
        <v>1465</v>
      </c>
      <c r="T8" s="32">
        <f>IFERROR(__xludf.DUMMYFUNCTION("""COMPUTED_VALUE"""),1686781.6214246403)</f>
        <v>1686781.621</v>
      </c>
      <c r="U8" s="34">
        <f>IFERROR(__xludf.DUMMYFUNCTION("""COMPUTED_VALUE"""),1120.3)</f>
        <v>1120.3</v>
      </c>
      <c r="V8" s="35">
        <f>IFERROR(__xludf.DUMMYFUNCTION("""COMPUTED_VALUE"""),50.92272727272727)</f>
        <v>50.92272727</v>
      </c>
      <c r="W8" s="36">
        <f>IFERROR(__xludf.DUMMYFUNCTION("""COMPUTED_VALUE"""),0.19645315067976332)</f>
        <v>0.1964531507</v>
      </c>
      <c r="X8" s="37">
        <f>IFERROR(__xludf.DUMMYFUNCTION("""COMPUTED_VALUE"""),5260940.2304)</f>
        <v>5260940.23</v>
      </c>
      <c r="Y8" s="31"/>
    </row>
    <row r="9">
      <c r="A9" s="150">
        <f>IFERROR(__xludf.DUMMYFUNCTION("""COMPUTED_VALUE"""),45778.0)</f>
        <v>45778</v>
      </c>
      <c r="B9" s="151">
        <f>IFERROR(__xludf.DUMMYFUNCTION("""COMPUTED_VALUE"""),5251104.0)</f>
        <v>5251104</v>
      </c>
      <c r="C9" s="151" t="str">
        <f>IFERROR(__xludf.DUMMYFUNCTION("""COMPUTED_VALUE"""),"Cartoon Inversor 1")</f>
        <v>Cartoon Inversor 1</v>
      </c>
      <c r="D9" s="152">
        <f>IFERROR(__xludf.DUMMYFUNCTION("""COMPUTED_VALUE"""),0.27)</f>
        <v>0.27</v>
      </c>
      <c r="E9" s="153">
        <f>IFERROR(__xludf.DUMMYFUNCTION("""COMPUTED_VALUE"""),6466.0)</f>
        <v>6466</v>
      </c>
      <c r="F9" s="153">
        <f>IFERROR(__xludf.DUMMYFUNCTION("""COMPUTED_VALUE"""),88.0)</f>
        <v>88</v>
      </c>
      <c r="G9" s="153">
        <f>IFERROR(__xludf.DUMMYFUNCTION("""COMPUTED_VALUE"""),101.0)</f>
        <v>101</v>
      </c>
      <c r="H9" s="153">
        <f>IFERROR(__xludf.DUMMYFUNCTION("""COMPUTED_VALUE"""),6277.0)</f>
        <v>6277</v>
      </c>
      <c r="I9" s="151" t="str">
        <f>IFERROR(__xludf.DUMMYFUNCTION("""COMPUTED_VALUE"""),"T6")</f>
        <v>T6</v>
      </c>
      <c r="J9" s="154">
        <f>IFERROR(__xludf.DUMMYFUNCTION("""COMPUTED_VALUE"""),185.5394)</f>
        <v>185.5394</v>
      </c>
      <c r="K9" s="154">
        <f>IFERROR(__xludf.DUMMYFUNCTION("""COMPUTED_VALUE"""),183.0479)</f>
        <v>183.0479</v>
      </c>
      <c r="L9" s="154">
        <f>IFERROR(__xludf.DUMMYFUNCTION("""COMPUTED_VALUE"""),184.1477)</f>
        <v>184.1477</v>
      </c>
      <c r="M9" s="152">
        <f>IFERROR(__xludf.DUMMYFUNCTION("""COMPUTED_VALUE"""),7863.8)</f>
        <v>7863.8</v>
      </c>
      <c r="N9" s="153">
        <f>IFERROR(__xludf.DUMMYFUNCTION("""COMPUTED_VALUE"""),14329.8)</f>
        <v>14329.8</v>
      </c>
      <c r="O9" s="154">
        <f>IFERROR(__xludf.DUMMYFUNCTION("""COMPUTED_VALUE"""),1190710.4179999998)</f>
        <v>1190710.418</v>
      </c>
      <c r="P9" s="154">
        <f>IFERROR(__xludf.DUMMYFUNCTION("""COMPUTED_VALUE"""),1140.0)</f>
        <v>1140</v>
      </c>
      <c r="Q9" s="155">
        <f>IFERROR(__xludf.DUMMYFUNCTION("""COMPUTED_VALUE"""),1270.263757245614)</f>
        <v>1270.263757</v>
      </c>
      <c r="R9" s="154">
        <f>IFERROR(__xludf.DUMMYFUNCTION("""COMPUTED_VALUE"""),1448100.6832599998)</f>
        <v>1448100.683</v>
      </c>
      <c r="S9" s="154">
        <f>IFERROR(__xludf.DUMMYFUNCTION("""COMPUTED_VALUE"""),1465.0)</f>
        <v>1465</v>
      </c>
      <c r="T9" s="154">
        <f>IFERROR(__xludf.DUMMYFUNCTION("""COMPUTED_VALUE"""),2363389.233543327)</f>
        <v>2363389.234</v>
      </c>
      <c r="U9" s="156">
        <f>IFERROR(__xludf.DUMMYFUNCTION("""COMPUTED_VALUE"""),1572.7600000000002)</f>
        <v>1572.76</v>
      </c>
      <c r="V9" s="156">
        <f>IFERROR(__xludf.DUMMYFUNCTION("""COMPUTED_VALUE"""),71.48909090909092)</f>
        <v>71.48909091</v>
      </c>
      <c r="W9" s="157">
        <f>IFERROR(__xludf.DUMMYFUNCTION("""COMPUTED_VALUE"""),0.548770119455898)</f>
        <v>0.5487701195</v>
      </c>
      <c r="X9" s="154">
        <f>IFERROR(__xludf.DUMMYFUNCTION("""COMPUTED_VALUE"""),2638811.10126)</f>
        <v>2638811.101</v>
      </c>
      <c r="Y9" s="154"/>
    </row>
    <row r="10">
      <c r="A10" s="167">
        <f>IFERROR(__xludf.DUMMYFUNCTION("""COMPUTED_VALUE"""),45748.0)</f>
        <v>45748</v>
      </c>
      <c r="B10" s="151">
        <f>IFERROR(__xludf.DUMMYFUNCTION("""COMPUTED_VALUE"""),5251104.0)</f>
        <v>5251104</v>
      </c>
      <c r="C10" s="151" t="str">
        <f>IFERROR(__xludf.DUMMYFUNCTION("""COMPUTED_VALUE"""),"Cartoon Inversor 1")</f>
        <v>Cartoon Inversor 1</v>
      </c>
      <c r="D10" s="152">
        <f>IFERROR(__xludf.DUMMYFUNCTION("""COMPUTED_VALUE"""),0.27)</f>
        <v>0.27</v>
      </c>
      <c r="E10" s="153">
        <f>IFERROR(__xludf.DUMMYFUNCTION("""COMPUTED_VALUE"""),10645.0)</f>
        <v>10645</v>
      </c>
      <c r="F10" s="153">
        <f>IFERROR(__xludf.DUMMYFUNCTION("""COMPUTED_VALUE"""),1564.0)</f>
        <v>1564</v>
      </c>
      <c r="G10" s="153">
        <f>IFERROR(__xludf.DUMMYFUNCTION("""COMPUTED_VALUE"""),649.0)</f>
        <v>649</v>
      </c>
      <c r="H10" s="153">
        <f>IFERROR(__xludf.DUMMYFUNCTION("""COMPUTED_VALUE"""),8432.0)</f>
        <v>8432</v>
      </c>
      <c r="I10" s="151" t="str">
        <f>IFERROR(__xludf.DUMMYFUNCTION("""COMPUTED_VALUE"""),"T6")</f>
        <v>T6</v>
      </c>
      <c r="J10" s="154">
        <f>IFERROR(__xludf.DUMMYFUNCTION("""COMPUTED_VALUE"""),183.2876)</f>
        <v>183.2876</v>
      </c>
      <c r="K10" s="154">
        <f>IFERROR(__xludf.DUMMYFUNCTION("""COMPUTED_VALUE"""),180.8508)</f>
        <v>180.8508</v>
      </c>
      <c r="L10" s="154">
        <f>IFERROR(__xludf.DUMMYFUNCTION("""COMPUTED_VALUE"""),181.9266)</f>
        <v>181.9266</v>
      </c>
      <c r="M10" s="152">
        <f>IFERROR(__xludf.DUMMYFUNCTION("""COMPUTED_VALUE"""),1638.5)</f>
        <v>1638.5</v>
      </c>
      <c r="N10" s="153">
        <f>IFERROR(__xludf.DUMMYFUNCTION("""COMPUTED_VALUE"""),12283.5)</f>
        <v>12283.5</v>
      </c>
      <c r="O10" s="154">
        <f>IFERROR(__xludf.DUMMYFUNCTION("""COMPUTED_VALUE"""),1938039.0668000001)</f>
        <v>1938039.067</v>
      </c>
      <c r="P10" s="154">
        <f>IFERROR(__xludf.DUMMYFUNCTION("""COMPUTED_VALUE"""),1140.0)</f>
        <v>1140</v>
      </c>
      <c r="Q10" s="155">
        <f>IFERROR(__xludf.DUMMYFUNCTION("""COMPUTED_VALUE"""),261.4795913157895)</f>
        <v>261.4795913</v>
      </c>
      <c r="R10" s="154">
        <f>IFERROR(__xludf.DUMMYFUNCTION("""COMPUTED_VALUE"""),298086.7341)</f>
        <v>298086.7341</v>
      </c>
      <c r="S10" s="154">
        <f>IFERROR(__xludf.DUMMYFUNCTION("""COMPUTED_VALUE"""),1465.0)</f>
        <v>1465</v>
      </c>
      <c r="T10" s="154">
        <f>IFERROR(__xludf.DUMMYFUNCTION("""COMPUTED_VALUE"""),486495.8536225921)</f>
        <v>486495.8536</v>
      </c>
      <c r="U10" s="156">
        <f>IFERROR(__xludf.DUMMYFUNCTION("""COMPUTED_VALUE"""),327.70000000000005)</f>
        <v>327.7</v>
      </c>
      <c r="V10" s="156">
        <f>IFERROR(__xludf.DUMMYFUNCTION("""COMPUTED_VALUE"""),14.895454545454548)</f>
        <v>14.89545455</v>
      </c>
      <c r="W10" s="157">
        <f>IFERROR(__xludf.DUMMYFUNCTION("""COMPUTED_VALUE"""),0.13330499293913853)</f>
        <v>0.1333049929</v>
      </c>
      <c r="X10" s="154">
        <f>IFERROR(__xludf.DUMMYFUNCTION("""COMPUTED_VALUE"""),2236125.8009)</f>
        <v>2236125.801</v>
      </c>
      <c r="Y10" s="154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0"/>
  <sheetData>
    <row r="1">
      <c r="A1" s="168" t="str">
        <f>Cartoon!A1</f>
        <v>   Fecha </v>
      </c>
      <c r="B1" s="168" t="str">
        <f>Cartoon!B1</f>
        <v>NIS</v>
      </c>
      <c r="C1" s="168" t="str">
        <f>Cartoon!C1</f>
        <v>Cliente</v>
      </c>
      <c r="D1" s="168" t="str">
        <f>Cartoon!D1</f>
        <v>IVA</v>
      </c>
      <c r="E1" s="168" t="str">
        <f>Cartoon!E1</f>
        <v>Consumo [kWh]</v>
      </c>
      <c r="F1" s="168" t="str">
        <f>Cartoon!F1</f>
        <v>Consumo hs punta [kWh]</v>
      </c>
      <c r="G1" s="168" t="str">
        <f>Cartoon!G1</f>
        <v>Consumo hs valle [kWh]</v>
      </c>
      <c r="H1" s="168" t="str">
        <f>Cartoon!H1</f>
        <v>Consumo hs resto[kWh]</v>
      </c>
      <c r="I1" s="168" t="str">
        <f>Cartoon!I1</f>
        <v>Catergoria</v>
      </c>
      <c r="J1" s="168" t="str">
        <f>Cartoon!J1</f>
        <v>Tarifa punta</v>
      </c>
      <c r="K1" s="168" t="str">
        <f>Cartoon!K1</f>
        <v>Tarifa valle</v>
      </c>
      <c r="L1" s="168" t="str">
        <f>Cartoon!L1</f>
        <v>Tarifa resto</v>
      </c>
      <c r="M1" s="168" t="str">
        <f>Cartoon!M1</f>
        <v>Generacion FV [kWh]</v>
      </c>
      <c r="N1" s="168" t="str">
        <f>Cartoon!N1</f>
        <v>CONSUMO TOTAL</v>
      </c>
      <c r="O1" s="168" t="str">
        <f>Cartoon!O1</f>
        <v>Total a pagar S / IVA</v>
      </c>
      <c r="P1" s="168" t="str">
        <f>Cartoon!P1</f>
        <v>Valor USD</v>
      </c>
      <c r="Q1" s="168" t="str">
        <f>Cartoon!Q1</f>
        <v>Ahorro (USD)</v>
      </c>
      <c r="R1" s="168" t="str">
        <f>Cartoon!R1</f>
        <v>Ahorro ($)</v>
      </c>
      <c r="S1" s="168" t="str">
        <f>Cartoon!S1</f>
        <v>Valor dolar Actual ($)</v>
      </c>
      <c r="T1" s="168" t="str">
        <f>Cartoon!T1</f>
        <v>Ahorro ($)-A precio actual</v>
      </c>
      <c r="U1" s="168" t="str">
        <f>Cartoon!U1</f>
        <v>kg CO2e evitados</v>
      </c>
      <c r="V1" s="168" t="str">
        <f>Cartoon!V1</f>
        <v>Equivalente en árboles</v>
      </c>
      <c r="W1" s="168" t="str">
        <f>Cartoon!W1</f>
        <v>% de ahorro sobre los consumos</v>
      </c>
      <c r="X1" s="168" t="str">
        <f>Cartoon!X1</f>
        <v>SIN PANELES S/IVA</v>
      </c>
      <c r="Y1" s="151" t="str">
        <f>Cartoon!Y1</f>
        <v/>
      </c>
    </row>
    <row r="2" ht="15.75" customHeight="1">
      <c r="A2" s="26">
        <f>Cartoon!A2</f>
        <v>45992</v>
      </c>
      <c r="B2" s="28">
        <f>Cartoon!B2</f>
        <v>5251104</v>
      </c>
      <c r="C2" s="28" t="str">
        <f>Cartoon!C2</f>
        <v>Cartoon Inversor 1</v>
      </c>
      <c r="D2" s="29">
        <f>Cartoon!D2</f>
        <v>0.27</v>
      </c>
      <c r="E2" s="17">
        <f>Cartoon!E2</f>
        <v>12507</v>
      </c>
      <c r="F2" s="17">
        <f>Cartoon!F2</f>
        <v>1173</v>
      </c>
      <c r="G2" s="17">
        <f>Cartoon!G2</f>
        <v>215</v>
      </c>
      <c r="H2" s="17">
        <f>Cartoon!H2</f>
        <v>11119</v>
      </c>
      <c r="I2" s="17" t="str">
        <f>Cartoon!I2</f>
        <v>T5-Ba</v>
      </c>
      <c r="J2" s="30">
        <f>Cartoon!J2</f>
        <v>168.7698</v>
      </c>
      <c r="K2" s="30">
        <f>Cartoon!K2</f>
        <v>165.9802</v>
      </c>
      <c r="L2" s="30">
        <f>Cartoon!L2</f>
        <v>166.7828</v>
      </c>
      <c r="M2" s="15">
        <f>Cartoon!M2</f>
        <v>5243.9</v>
      </c>
      <c r="N2" s="17">
        <f>Cartoon!N2</f>
        <v>17750.9</v>
      </c>
      <c r="O2" s="31">
        <f>Cartoon!O2</f>
        <v>2088110.672</v>
      </c>
      <c r="P2" s="20">
        <f>Cartoon!P2</f>
        <v>1470</v>
      </c>
      <c r="Q2" s="181">
        <f>Cartoon!Q2</f>
        <v>594.9607653</v>
      </c>
      <c r="R2" s="32">
        <f>Cartoon!R2</f>
        <v>874592.3249</v>
      </c>
      <c r="S2" s="32">
        <f>Cartoon!S2</f>
        <v>1465</v>
      </c>
      <c r="T2" s="34">
        <f>Cartoon!T2</f>
        <v>1106954.252</v>
      </c>
      <c r="U2" s="35">
        <f>Cartoon!U2</f>
        <v>1048.78</v>
      </c>
      <c r="V2" s="36">
        <f>Cartoon!V2</f>
        <v>47.67181818</v>
      </c>
      <c r="W2" s="37">
        <f>Cartoon!W2</f>
        <v>0.2952008102</v>
      </c>
      <c r="X2" s="31">
        <f>Cartoon!X2</f>
        <v>2962702.997</v>
      </c>
      <c r="Y2" s="154" t="str">
        <f>Cartoon!Y2</f>
        <v/>
      </c>
    </row>
    <row r="3" ht="15.75" customHeight="1">
      <c r="A3" s="26">
        <f>Cartoon!A3</f>
        <v>45987</v>
      </c>
      <c r="B3" s="28">
        <f>Cartoon!B3</f>
        <v>5251104</v>
      </c>
      <c r="C3" s="28" t="str">
        <f>Cartoon!C3</f>
        <v>Cartoon Inversor 1</v>
      </c>
      <c r="D3" s="29">
        <f>Cartoon!D3</f>
        <v>0.27</v>
      </c>
      <c r="E3" s="17">
        <f>Cartoon!E3</f>
        <v>4612</v>
      </c>
      <c r="F3" s="17">
        <f>Cartoon!F3</f>
        <v>77</v>
      </c>
      <c r="G3" s="17">
        <f>Cartoon!G3</f>
        <v>108</v>
      </c>
      <c r="H3" s="17">
        <f>Cartoon!H3</f>
        <v>4427</v>
      </c>
      <c r="I3" s="17" t="str">
        <f>Cartoon!I3</f>
        <v>T5-Ba</v>
      </c>
      <c r="J3" s="30">
        <f>Cartoon!J3</f>
        <v>163.3724</v>
      </c>
      <c r="K3" s="30">
        <f>Cartoon!K3</f>
        <v>160.5827</v>
      </c>
      <c r="L3" s="30">
        <f>Cartoon!L3</f>
        <v>161.3854</v>
      </c>
      <c r="M3" s="15">
        <f>Cartoon!M3</f>
        <v>4394.8</v>
      </c>
      <c r="N3" s="17">
        <f>Cartoon!N3</f>
        <v>9006.8</v>
      </c>
      <c r="O3" s="31">
        <f>Cartoon!O3</f>
        <v>744375.7722</v>
      </c>
      <c r="P3" s="20">
        <f>Cartoon!P3</f>
        <v>1470</v>
      </c>
      <c r="Q3" s="181">
        <f>Cartoon!Q3</f>
        <v>482.487453</v>
      </c>
      <c r="R3" s="32">
        <f>Cartoon!R3</f>
        <v>709256.5559</v>
      </c>
      <c r="S3" s="32">
        <f>Cartoon!S3</f>
        <v>1465</v>
      </c>
      <c r="T3" s="34">
        <f>Cartoon!T3</f>
        <v>897692.0307</v>
      </c>
      <c r="U3" s="35">
        <f>Cartoon!U3</f>
        <v>878.96</v>
      </c>
      <c r="V3" s="36">
        <f>Cartoon!V3</f>
        <v>39.95272727</v>
      </c>
      <c r="W3" s="37">
        <f>Cartoon!W3</f>
        <v>0.487920186</v>
      </c>
      <c r="X3" s="31">
        <f>Cartoon!X3</f>
        <v>1453632.328</v>
      </c>
      <c r="Y3" s="154" t="str">
        <f>Cartoon!Y3</f>
        <v/>
      </c>
    </row>
    <row r="4" ht="15.75" customHeight="1">
      <c r="A4" s="26">
        <f>Cartoon!A4</f>
        <v>45931</v>
      </c>
      <c r="B4" s="28">
        <f>Cartoon!B4</f>
        <v>5251104</v>
      </c>
      <c r="C4" s="28" t="str">
        <f>Cartoon!C4</f>
        <v>Cartoon Inversor 1</v>
      </c>
      <c r="D4" s="29">
        <f>Cartoon!D4</f>
        <v>0.27</v>
      </c>
      <c r="E4" s="17">
        <f>Cartoon!E4</f>
        <v>1872</v>
      </c>
      <c r="F4" s="17">
        <f>Cartoon!F4</f>
        <v>120</v>
      </c>
      <c r="G4" s="17">
        <f>Cartoon!G4</f>
        <v>180</v>
      </c>
      <c r="H4" s="17">
        <f>Cartoon!H4</f>
        <v>1572</v>
      </c>
      <c r="I4" s="28" t="str">
        <f>Cartoon!I4</f>
        <v>T5-Ba</v>
      </c>
      <c r="J4" s="30">
        <f>Cartoon!J4</f>
        <v>170.9156</v>
      </c>
      <c r="K4" s="30">
        <f>Cartoon!K4</f>
        <v>168.0814</v>
      </c>
      <c r="L4" s="30">
        <f>Cartoon!L4</f>
        <v>169.332</v>
      </c>
      <c r="M4" s="15">
        <f>Cartoon!M4</f>
        <v>3836.5</v>
      </c>
      <c r="N4" s="17">
        <f>Cartoon!N4</f>
        <v>5708.5</v>
      </c>
      <c r="O4" s="31">
        <f>Cartoon!O4</f>
        <v>316954.428</v>
      </c>
      <c r="P4" s="20">
        <f>Cartoon!P4</f>
        <v>1450</v>
      </c>
      <c r="Q4" s="181">
        <f>Cartoon!Q4</f>
        <v>448.0291159</v>
      </c>
      <c r="R4" s="32">
        <f>Cartoon!R4</f>
        <v>649642.218</v>
      </c>
      <c r="S4" s="32">
        <f>Cartoon!S4</f>
        <v>1465</v>
      </c>
      <c r="T4" s="34">
        <f>Cartoon!T4</f>
        <v>833580.5715</v>
      </c>
      <c r="U4" s="35">
        <f>Cartoon!U4</f>
        <v>767.3</v>
      </c>
      <c r="V4" s="36">
        <f>Cartoon!V4</f>
        <v>34.87727273</v>
      </c>
      <c r="W4" s="37">
        <f>Cartoon!W4</f>
        <v>0.6720923569</v>
      </c>
      <c r="X4" s="31">
        <f>Cartoon!X4</f>
        <v>966596.646</v>
      </c>
      <c r="Y4" s="154" t="str">
        <f>Cartoon!Y4</f>
        <v/>
      </c>
    </row>
    <row r="5">
      <c r="A5" s="150">
        <f>Cartoon!A5</f>
        <v>45925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4" width="12.63"/>
    <col customWidth="1" min="5" max="5" width="13.75"/>
    <col customWidth="1" min="6" max="6" width="12.63"/>
    <col customWidth="1" min="7" max="7" width="22.88"/>
    <col customWidth="1" min="8" max="8" width="17.88"/>
    <col customWidth="1" min="9" max="9" width="14.38"/>
    <col customWidth="1" min="12" max="12" width="20.88"/>
    <col customWidth="1" min="13" max="13" width="13.0"/>
    <col customWidth="1" min="14" max="14" width="18.13"/>
    <col customWidth="1" hidden="1" min="15" max="15" width="13.63"/>
    <col customWidth="1" hidden="1" min="16" max="16" width="19.13"/>
    <col customWidth="1" hidden="1" min="17" max="17" width="20.88"/>
    <col customWidth="1" hidden="1" min="18" max="18" width="15.5"/>
    <col customWidth="1" hidden="1" min="19" max="20" width="19.13"/>
    <col customWidth="1" hidden="1" min="21" max="21" width="15.5"/>
    <col hidden="1" min="22" max="24" width="12.63"/>
  </cols>
  <sheetData>
    <row r="1" ht="15.75" customHeight="1">
      <c r="A1" s="168" t="str">
        <f>Datos!A1</f>
        <v>   Fecha </v>
      </c>
      <c r="B1" s="172" t="str">
        <f>Datos!B1</f>
        <v>NIS</v>
      </c>
      <c r="C1" s="168" t="str">
        <f>Datos!C1</f>
        <v>Cliente</v>
      </c>
      <c r="D1" s="168" t="str">
        <f>Datos!D1</f>
        <v>IVA</v>
      </c>
      <c r="E1" s="168" t="str">
        <f>Datos!E1</f>
        <v>Consumo [kWh]</v>
      </c>
      <c r="F1" s="168" t="str">
        <f>Datos!F1</f>
        <v>Consumo hs punta [kWh]</v>
      </c>
      <c r="G1" s="168" t="str">
        <f>Datos!G1</f>
        <v>Consumo hs valle [kWh]</v>
      </c>
      <c r="H1" s="168" t="str">
        <f>Datos!H1</f>
        <v>Consumo hs resto[kWh]</v>
      </c>
      <c r="I1" s="168" t="str">
        <f>Datos!I1</f>
        <v>Catergoria</v>
      </c>
      <c r="J1" s="168" t="str">
        <f>Datos!J1</f>
        <v>Tarifa punta</v>
      </c>
      <c r="K1" s="168" t="str">
        <f>Datos!K1</f>
        <v>Tarifa valle</v>
      </c>
      <c r="L1" s="168" t="str">
        <f>Datos!L1</f>
        <v>Tarifa resto</v>
      </c>
      <c r="M1" s="168" t="str">
        <f>Datos!M1</f>
        <v>Generacion FV [kWh]</v>
      </c>
      <c r="N1" s="173" t="str">
        <f>Datos!N1</f>
        <v>CONSUMO TOTAL</v>
      </c>
      <c r="O1" s="168" t="str">
        <f>Datos!O1</f>
        <v>Total a pagar S / IVA</v>
      </c>
      <c r="P1" s="168" t="str">
        <f>Datos!P1</f>
        <v>Valor USD</v>
      </c>
      <c r="Q1" s="182" t="str">
        <f>Datos!Q1</f>
        <v>Ahorro (USD)</v>
      </c>
      <c r="R1" s="168" t="str">
        <f>Datos!R1</f>
        <v>Ahorro ($)</v>
      </c>
      <c r="S1" s="183" t="str">
        <f>Datos!S1</f>
        <v>Valor dolar Actual ($)</v>
      </c>
      <c r="T1" s="183" t="str">
        <f>Datos!T1</f>
        <v>Ahorro ($)-A precio actual</v>
      </c>
      <c r="U1" s="173" t="str">
        <f>Datos!U1</f>
        <v>kg CO2e evitados</v>
      </c>
      <c r="V1" s="173" t="str">
        <f>Datos!V1</f>
        <v>Equivalente en árboles</v>
      </c>
      <c r="W1" s="184" t="str">
        <f>Datos!W1</f>
        <v>% de ahorro sobre los consumos</v>
      </c>
      <c r="X1" s="185" t="str">
        <f>Datos!X1</f>
        <v>SIN PANELES S/IVA</v>
      </c>
      <c r="Y1" s="174"/>
      <c r="Z1" s="175"/>
      <c r="AA1" s="176"/>
      <c r="AB1" s="177"/>
      <c r="AC1" s="178"/>
    </row>
    <row r="2" ht="15.75" customHeight="1">
      <c r="A2" s="26">
        <f>IFERROR(__xludf.DUMMYFUNCTION("FILTER(Datos!1:1247,Datos!B:B=5352763)"),45978.0)</f>
        <v>45978</v>
      </c>
      <c r="B2" s="28">
        <f>IFERROR(__xludf.DUMMYFUNCTION("""COMPUTED_VALUE"""),5352763.0)</f>
        <v>5352763</v>
      </c>
      <c r="C2" s="28" t="str">
        <f>IFERROR(__xludf.DUMMYFUNCTION("""COMPUTED_VALUE"""),"Imac-RdelaF")</f>
        <v>Imac-RdelaF</v>
      </c>
      <c r="D2" s="29">
        <f>IFERROR(__xludf.DUMMYFUNCTION("""COMPUTED_VALUE"""),0.27)</f>
        <v>0.27</v>
      </c>
      <c r="E2" s="17">
        <f>IFERROR(__xludf.DUMMYFUNCTION("""COMPUTED_VALUE"""),2245.0)</f>
        <v>2245</v>
      </c>
      <c r="F2" s="17">
        <f>IFERROR(__xludf.DUMMYFUNCTION("""COMPUTED_VALUE"""),637.0)</f>
        <v>637</v>
      </c>
      <c r="G2" s="17">
        <f>IFERROR(__xludf.DUMMYFUNCTION("""COMPUTED_VALUE"""),378.0)</f>
        <v>378</v>
      </c>
      <c r="H2" s="17">
        <f>IFERROR(__xludf.DUMMYFUNCTION("""COMPUTED_VALUE"""),1230.0)</f>
        <v>1230</v>
      </c>
      <c r="I2" s="17" t="str">
        <f>IFERROR(__xludf.DUMMYFUNCTION("""COMPUTED_VALUE"""),"T2-Ba")</f>
        <v>T2-Ba</v>
      </c>
      <c r="J2" s="30">
        <f>IFERROR(__xludf.DUMMYFUNCTION("""COMPUTED_VALUE"""),145.8675)</f>
        <v>145.8675</v>
      </c>
      <c r="K2" s="30">
        <f>IFERROR(__xludf.DUMMYFUNCTION("""COMPUTED_VALUE"""),145.8675)</f>
        <v>145.8675</v>
      </c>
      <c r="L2" s="30">
        <f>IFERROR(__xludf.DUMMYFUNCTION("""COMPUTED_VALUE"""),145.8675)</f>
        <v>145.8675</v>
      </c>
      <c r="M2" s="15">
        <f>IFERROR(__xludf.DUMMYFUNCTION("""COMPUTED_VALUE"""),649.2)</f>
        <v>649.2</v>
      </c>
      <c r="N2" s="17">
        <f>IFERROR(__xludf.DUMMYFUNCTION("""COMPUTED_VALUE"""),2894.2)</f>
        <v>2894.2</v>
      </c>
      <c r="O2" s="31">
        <f>IFERROR(__xludf.DUMMYFUNCTION("""COMPUTED_VALUE"""),327472.5375)</f>
        <v>327472.5375</v>
      </c>
      <c r="P2" s="20">
        <f>IFERROR(__xludf.DUMMYFUNCTION("""COMPUTED_VALUE"""),1470.0)</f>
        <v>1470</v>
      </c>
      <c r="Q2" s="181">
        <f>IFERROR(__xludf.DUMMYFUNCTION("""COMPUTED_VALUE"""),64.41985102040817)</f>
        <v>64.41985102</v>
      </c>
      <c r="R2" s="32">
        <f>IFERROR(__xludf.DUMMYFUNCTION("""COMPUTED_VALUE"""),94697.18100000001)</f>
        <v>94697.181</v>
      </c>
      <c r="S2" s="84">
        <f>IFERROR(__xludf.DUMMYFUNCTION("""COMPUTED_VALUE"""),1465.0)</f>
        <v>1465</v>
      </c>
      <c r="T2" s="34">
        <f>IFERROR(__xludf.DUMMYFUNCTION("""COMPUTED_VALUE"""),119856.35381602043)</f>
        <v>119856.3538</v>
      </c>
      <c r="U2" s="35">
        <f>IFERROR(__xludf.DUMMYFUNCTION("""COMPUTED_VALUE"""),129.84)</f>
        <v>129.84</v>
      </c>
      <c r="V2" s="36">
        <f>IFERROR(__xludf.DUMMYFUNCTION("""COMPUTED_VALUE"""),5.901818181818182)</f>
        <v>5.901818182</v>
      </c>
      <c r="W2" s="37">
        <f>IFERROR(__xludf.DUMMYFUNCTION("""COMPUTED_VALUE"""),0.2243106903462097)</f>
        <v>0.2243106903</v>
      </c>
      <c r="X2" s="31">
        <f>IFERROR(__xludf.DUMMYFUNCTION("""COMPUTED_VALUE"""),422169.71849999996)</f>
        <v>422169.7185</v>
      </c>
      <c r="Y2" s="186"/>
      <c r="Z2" s="187"/>
      <c r="AA2" s="188"/>
      <c r="AB2" s="188"/>
      <c r="AC2" s="189"/>
      <c r="AD2" s="189"/>
      <c r="AE2" s="189"/>
      <c r="AF2" s="189"/>
      <c r="AG2" s="189"/>
      <c r="AH2" s="189"/>
      <c r="AI2" s="189"/>
      <c r="AJ2" s="189"/>
      <c r="AK2" s="189"/>
      <c r="AL2" s="189"/>
      <c r="AM2" s="189"/>
      <c r="AN2" s="189"/>
      <c r="AO2" s="189"/>
      <c r="AP2" s="189"/>
      <c r="AQ2" s="189"/>
      <c r="AR2" s="189"/>
      <c r="AS2" s="189"/>
      <c r="AT2" s="189"/>
      <c r="AU2" s="189"/>
      <c r="AV2" s="189"/>
    </row>
    <row r="3" ht="15.75" customHeight="1">
      <c r="A3" s="26">
        <f>IFERROR(__xludf.DUMMYFUNCTION("""COMPUTED_VALUE"""),45917.0)</f>
        <v>45917</v>
      </c>
      <c r="B3" s="28">
        <f>IFERROR(__xludf.DUMMYFUNCTION("""COMPUTED_VALUE"""),5352763.0)</f>
        <v>5352763</v>
      </c>
      <c r="C3" s="28" t="str">
        <f>IFERROR(__xludf.DUMMYFUNCTION("""COMPUTED_VALUE"""),"Imac-RdelaF")</f>
        <v>Imac-RdelaF</v>
      </c>
      <c r="D3" s="29">
        <f>IFERROR(__xludf.DUMMYFUNCTION("""COMPUTED_VALUE"""),0.27)</f>
        <v>0.27</v>
      </c>
      <c r="E3" s="17">
        <f>IFERROR(__xludf.DUMMYFUNCTION("""COMPUTED_VALUE"""),1737.0)</f>
        <v>1737</v>
      </c>
      <c r="F3" s="17">
        <f>IFERROR(__xludf.DUMMYFUNCTION("""COMPUTED_VALUE"""),521.0)</f>
        <v>521</v>
      </c>
      <c r="G3" s="17">
        <f>IFERROR(__xludf.DUMMYFUNCTION("""COMPUTED_VALUE"""),381.0)</f>
        <v>381</v>
      </c>
      <c r="H3" s="17">
        <f>IFERROR(__xludf.DUMMYFUNCTION("""COMPUTED_VALUE"""),835.0)</f>
        <v>835</v>
      </c>
      <c r="I3" s="28" t="str">
        <f>IFERROR(__xludf.DUMMYFUNCTION("""COMPUTED_VALUE"""),"T2-Ba")</f>
        <v>T2-Ba</v>
      </c>
      <c r="J3" s="30">
        <f>IFERROR(__xludf.DUMMYFUNCTION("""COMPUTED_VALUE"""),156.8264)</f>
        <v>156.8264</v>
      </c>
      <c r="K3" s="30">
        <f>IFERROR(__xludf.DUMMYFUNCTION("""COMPUTED_VALUE"""),156.8264)</f>
        <v>156.8264</v>
      </c>
      <c r="L3" s="30">
        <f>IFERROR(__xludf.DUMMYFUNCTION("""COMPUTED_VALUE"""),156.8264)</f>
        <v>156.8264</v>
      </c>
      <c r="M3" s="15">
        <f>IFERROR(__xludf.DUMMYFUNCTION("""COMPUTED_VALUE"""),374.3)</f>
        <v>374.3</v>
      </c>
      <c r="N3" s="17">
        <f>IFERROR(__xludf.DUMMYFUNCTION("""COMPUTED_VALUE"""),2111.3)</f>
        <v>2111.3</v>
      </c>
      <c r="O3" s="31">
        <f>IFERROR(__xludf.DUMMYFUNCTION("""COMPUTED_VALUE"""),272407.45680000004)</f>
        <v>272407.4568</v>
      </c>
      <c r="P3" s="20">
        <f>IFERROR(__xludf.DUMMYFUNCTION("""COMPUTED_VALUE"""),1425.0)</f>
        <v>1425</v>
      </c>
      <c r="Q3" s="181">
        <f>IFERROR(__xludf.DUMMYFUNCTION("""COMPUTED_VALUE"""),41.193067733333336)</f>
        <v>41.19306773</v>
      </c>
      <c r="R3" s="32">
        <f>IFERROR(__xludf.DUMMYFUNCTION("""COMPUTED_VALUE"""),58700.12152000001)</f>
        <v>58700.12152</v>
      </c>
      <c r="S3" s="84">
        <f>IFERROR(__xludf.DUMMYFUNCTION("""COMPUTED_VALUE"""),1465.0)</f>
        <v>1465</v>
      </c>
      <c r="T3" s="34">
        <f>IFERROR(__xludf.DUMMYFUNCTION("""COMPUTED_VALUE"""),76641.76217125334)</f>
        <v>76641.76217</v>
      </c>
      <c r="U3" s="35">
        <f>IFERROR(__xludf.DUMMYFUNCTION("""COMPUTED_VALUE"""),74.86)</f>
        <v>74.86</v>
      </c>
      <c r="V3" s="36">
        <f>IFERROR(__xludf.DUMMYFUNCTION("""COMPUTED_VALUE"""),3.402727272727273)</f>
        <v>3.402727273</v>
      </c>
      <c r="W3" s="37">
        <f>IFERROR(__xludf.DUMMYFUNCTION("""COMPUTED_VALUE"""),0.17728413773504476)</f>
        <v>0.1772841377</v>
      </c>
      <c r="X3" s="31">
        <f>IFERROR(__xludf.DUMMYFUNCTION("""COMPUTED_VALUE"""),331107.57832000003)</f>
        <v>331107.5783</v>
      </c>
      <c r="Y3" s="186"/>
      <c r="Z3" s="187"/>
      <c r="AA3" s="188"/>
      <c r="AB3" s="188"/>
      <c r="AC3" s="189"/>
      <c r="AD3" s="189"/>
      <c r="AE3" s="189"/>
      <c r="AF3" s="189"/>
      <c r="AG3" s="189"/>
      <c r="AH3" s="189"/>
      <c r="AI3" s="189"/>
      <c r="AJ3" s="189"/>
      <c r="AK3" s="189"/>
      <c r="AL3" s="189"/>
      <c r="AM3" s="189"/>
      <c r="AN3" s="189"/>
      <c r="AO3" s="189"/>
      <c r="AP3" s="189"/>
      <c r="AQ3" s="189"/>
      <c r="AR3" s="189"/>
      <c r="AS3" s="189"/>
      <c r="AT3" s="189"/>
      <c r="AU3" s="189"/>
      <c r="AV3" s="189"/>
    </row>
    <row r="4" ht="15.75" customHeight="1">
      <c r="A4" s="26">
        <f>IFERROR(__xludf.DUMMYFUNCTION("""COMPUTED_VALUE"""),45885.0)</f>
        <v>45885</v>
      </c>
      <c r="B4" s="28">
        <f>IFERROR(__xludf.DUMMYFUNCTION("""COMPUTED_VALUE"""),5352763.0)</f>
        <v>5352763</v>
      </c>
      <c r="C4" s="28" t="str">
        <f>IFERROR(__xludf.DUMMYFUNCTION("""COMPUTED_VALUE"""),"Imac-RdelaF")</f>
        <v>Imac-RdelaF</v>
      </c>
      <c r="D4" s="29">
        <f>IFERROR(__xludf.DUMMYFUNCTION("""COMPUTED_VALUE"""),0.27)</f>
        <v>0.27</v>
      </c>
      <c r="E4" s="17">
        <f>IFERROR(__xludf.DUMMYFUNCTION("""COMPUTED_VALUE"""),1405.0)</f>
        <v>1405</v>
      </c>
      <c r="F4" s="17">
        <f>IFERROR(__xludf.DUMMYFUNCTION("""COMPUTED_VALUE"""),377.0)</f>
        <v>377</v>
      </c>
      <c r="G4" s="17">
        <f>IFERROR(__xludf.DUMMYFUNCTION("""COMPUTED_VALUE"""),332.0)</f>
        <v>332</v>
      </c>
      <c r="H4" s="17">
        <f>IFERROR(__xludf.DUMMYFUNCTION("""COMPUTED_VALUE"""),696.0)</f>
        <v>696</v>
      </c>
      <c r="I4" s="28" t="str">
        <f>IFERROR(__xludf.DUMMYFUNCTION("""COMPUTED_VALUE"""),"T2-Ba")</f>
        <v>T2-Ba</v>
      </c>
      <c r="J4" s="30">
        <f>IFERROR(__xludf.DUMMYFUNCTION("""COMPUTED_VALUE"""),156.5178)</f>
        <v>156.5178</v>
      </c>
      <c r="K4" s="30">
        <f>IFERROR(__xludf.DUMMYFUNCTION("""COMPUTED_VALUE"""),156.5178)</f>
        <v>156.5178</v>
      </c>
      <c r="L4" s="30">
        <f>IFERROR(__xludf.DUMMYFUNCTION("""COMPUTED_VALUE"""),156.5178)</f>
        <v>156.5178</v>
      </c>
      <c r="M4" s="15">
        <f>IFERROR(__xludf.DUMMYFUNCTION("""COMPUTED_VALUE"""),584.9)</f>
        <v>584.9</v>
      </c>
      <c r="N4" s="17">
        <f>IFERROR(__xludf.DUMMYFUNCTION("""COMPUTED_VALUE"""),1989.9)</f>
        <v>1989.9</v>
      </c>
      <c r="O4" s="31">
        <f>IFERROR(__xludf.DUMMYFUNCTION("""COMPUTED_VALUE"""),219907.50900000002)</f>
        <v>219907.509</v>
      </c>
      <c r="P4" s="20">
        <f>IFERROR(__xludf.DUMMYFUNCTION("""COMPUTED_VALUE"""),1340.0)</f>
        <v>1340</v>
      </c>
      <c r="Q4" s="181">
        <f>IFERROR(__xludf.DUMMYFUNCTION("""COMPUTED_VALUE"""),68.3188516567164)</f>
        <v>68.31885166</v>
      </c>
      <c r="R4" s="32">
        <f>IFERROR(__xludf.DUMMYFUNCTION("""COMPUTED_VALUE"""),91547.26121999999)</f>
        <v>91547.26122</v>
      </c>
      <c r="S4" s="84">
        <f>IFERROR(__xludf.DUMMYFUNCTION("""COMPUTED_VALUE"""),1465.0)</f>
        <v>1465</v>
      </c>
      <c r="T4" s="34">
        <f>IFERROR(__xludf.DUMMYFUNCTION("""COMPUTED_VALUE"""),127110.6394499037)</f>
        <v>127110.6394</v>
      </c>
      <c r="U4" s="35">
        <f>IFERROR(__xludf.DUMMYFUNCTION("""COMPUTED_VALUE"""),116.98)</f>
        <v>116.98</v>
      </c>
      <c r="V4" s="36">
        <f>IFERROR(__xludf.DUMMYFUNCTION("""COMPUTED_VALUE"""),5.317272727272727)</f>
        <v>5.317272727</v>
      </c>
      <c r="W4" s="37">
        <f>IFERROR(__xludf.DUMMYFUNCTION("""COMPUTED_VALUE"""),0.29393436856123417)</f>
        <v>0.2939343686</v>
      </c>
      <c r="X4" s="31">
        <f>IFERROR(__xludf.DUMMYFUNCTION("""COMPUTED_VALUE"""),311454.77022)</f>
        <v>311454.7702</v>
      </c>
      <c r="Y4" s="186"/>
      <c r="Z4" s="187"/>
      <c r="AA4" s="188"/>
      <c r="AB4" s="188"/>
      <c r="AC4" s="189"/>
      <c r="AD4" s="189"/>
      <c r="AE4" s="189"/>
      <c r="AF4" s="189"/>
      <c r="AG4" s="189"/>
      <c r="AH4" s="189"/>
      <c r="AI4" s="189"/>
      <c r="AJ4" s="189"/>
      <c r="AK4" s="189"/>
      <c r="AL4" s="189"/>
      <c r="AM4" s="189"/>
      <c r="AN4" s="189"/>
      <c r="AO4" s="189"/>
      <c r="AP4" s="189"/>
      <c r="AQ4" s="189"/>
      <c r="AR4" s="189"/>
      <c r="AS4" s="189"/>
      <c r="AT4" s="189"/>
      <c r="AU4" s="189"/>
      <c r="AV4" s="189"/>
    </row>
    <row r="5" ht="15.75" customHeight="1">
      <c r="A5" s="26">
        <f>IFERROR(__xludf.DUMMYFUNCTION("""COMPUTED_VALUE"""),45839.0)</f>
        <v>45839</v>
      </c>
      <c r="B5" s="28">
        <f>IFERROR(__xludf.DUMMYFUNCTION("""COMPUTED_VALUE"""),5352763.0)</f>
        <v>5352763</v>
      </c>
      <c r="C5" s="28" t="str">
        <f>IFERROR(__xludf.DUMMYFUNCTION("""COMPUTED_VALUE"""),"Imac-RdelaF")</f>
        <v>Imac-RdelaF</v>
      </c>
      <c r="D5" s="29">
        <f>IFERROR(__xludf.DUMMYFUNCTION("""COMPUTED_VALUE"""),0.27)</f>
        <v>0.27</v>
      </c>
      <c r="E5" s="17">
        <f>IFERROR(__xludf.DUMMYFUNCTION("""COMPUTED_VALUE"""),2062.0)</f>
        <v>2062</v>
      </c>
      <c r="F5" s="17">
        <f>IFERROR(__xludf.DUMMYFUNCTION("""COMPUTED_VALUE"""),468.0)</f>
        <v>468</v>
      </c>
      <c r="G5" s="17">
        <f>IFERROR(__xludf.DUMMYFUNCTION("""COMPUTED_VALUE"""),358.0)</f>
        <v>358</v>
      </c>
      <c r="H5" s="17">
        <f>IFERROR(__xludf.DUMMYFUNCTION("""COMPUTED_VALUE"""),1236.0)</f>
        <v>1236</v>
      </c>
      <c r="I5" s="28" t="str">
        <f>IFERROR(__xludf.DUMMYFUNCTION("""COMPUTED_VALUE"""),"T2-Ba")</f>
        <v>T2-Ba</v>
      </c>
      <c r="J5" s="30">
        <f>IFERROR(__xludf.DUMMYFUNCTION("""COMPUTED_VALUE"""),148.82)</f>
        <v>148.82</v>
      </c>
      <c r="K5" s="30">
        <f>IFERROR(__xludf.DUMMYFUNCTION("""COMPUTED_VALUE"""),148.82)</f>
        <v>148.82</v>
      </c>
      <c r="L5" s="30">
        <f>IFERROR(__xludf.DUMMYFUNCTION("""COMPUTED_VALUE"""),148.82)</f>
        <v>148.82</v>
      </c>
      <c r="M5" s="15">
        <f>IFERROR(__xludf.DUMMYFUNCTION("""COMPUTED_VALUE"""),511.5)</f>
        <v>511.5</v>
      </c>
      <c r="N5" s="17">
        <f>IFERROR(__xludf.DUMMYFUNCTION("""COMPUTED_VALUE"""),2573.5)</f>
        <v>2573.5</v>
      </c>
      <c r="O5" s="31">
        <f>IFERROR(__xludf.DUMMYFUNCTION("""COMPUTED_VALUE"""),306866.83999999997)</f>
        <v>306866.84</v>
      </c>
      <c r="P5" s="20">
        <f>IFERROR(__xludf.DUMMYFUNCTION("""COMPUTED_VALUE"""),1280.0)</f>
        <v>1280</v>
      </c>
      <c r="Q5" s="181">
        <f>IFERROR(__xludf.DUMMYFUNCTION("""COMPUTED_VALUE"""),59.46986718749999)</f>
        <v>59.46986719</v>
      </c>
      <c r="R5" s="32">
        <f>IFERROR(__xludf.DUMMYFUNCTION("""COMPUTED_VALUE"""),76121.43)</f>
        <v>76121.43</v>
      </c>
      <c r="S5" s="84">
        <f>IFERROR(__xludf.DUMMYFUNCTION("""COMPUTED_VALUE"""),1465.0)</f>
        <v>1465</v>
      </c>
      <c r="T5" s="34">
        <f>IFERROR(__xludf.DUMMYFUNCTION("""COMPUTED_VALUE"""),110646.66139570312)</f>
        <v>110646.6614</v>
      </c>
      <c r="U5" s="35">
        <f>IFERROR(__xludf.DUMMYFUNCTION("""COMPUTED_VALUE"""),102.30000000000001)</f>
        <v>102.3</v>
      </c>
      <c r="V5" s="36">
        <f>IFERROR(__xludf.DUMMYFUNCTION("""COMPUTED_VALUE"""),4.65)</f>
        <v>4.65</v>
      </c>
      <c r="W5" s="37">
        <f>IFERROR(__xludf.DUMMYFUNCTION("""COMPUTED_VALUE"""),0.19875655721779675)</f>
        <v>0.1987565572</v>
      </c>
      <c r="X5" s="31">
        <f>IFERROR(__xludf.DUMMYFUNCTION("""COMPUTED_VALUE"""),382988.26999999996)</f>
        <v>382988.27</v>
      </c>
      <c r="Y5" s="186"/>
      <c r="Z5" s="187"/>
      <c r="AA5" s="188"/>
      <c r="AB5" s="188"/>
      <c r="AC5" s="189"/>
      <c r="AD5" s="189"/>
      <c r="AE5" s="189"/>
      <c r="AF5" s="189"/>
      <c r="AG5" s="189"/>
      <c r="AH5" s="189"/>
      <c r="AI5" s="189"/>
      <c r="AJ5" s="189"/>
      <c r="AK5" s="189"/>
      <c r="AL5" s="189"/>
      <c r="AM5" s="189"/>
      <c r="AN5" s="189"/>
      <c r="AO5" s="189"/>
      <c r="AP5" s="189"/>
      <c r="AQ5" s="189"/>
      <c r="AR5" s="189"/>
      <c r="AS5" s="189"/>
      <c r="AT5" s="189"/>
      <c r="AU5" s="189"/>
      <c r="AV5" s="189"/>
    </row>
    <row r="6" ht="15.75" customHeight="1">
      <c r="A6" s="26">
        <f>IFERROR(__xludf.DUMMYFUNCTION("""COMPUTED_VALUE"""),45809.0)</f>
        <v>45809</v>
      </c>
      <c r="B6" s="28">
        <f>IFERROR(__xludf.DUMMYFUNCTION("""COMPUTED_VALUE"""),5352763.0)</f>
        <v>5352763</v>
      </c>
      <c r="C6" s="28" t="str">
        <f>IFERROR(__xludf.DUMMYFUNCTION("""COMPUTED_VALUE"""),"Imac-RdelaF")</f>
        <v>Imac-RdelaF</v>
      </c>
      <c r="D6" s="29">
        <f>IFERROR(__xludf.DUMMYFUNCTION("""COMPUTED_VALUE"""),0.27)</f>
        <v>0.27</v>
      </c>
      <c r="E6" s="17">
        <f>IFERROR(__xludf.DUMMYFUNCTION("""COMPUTED_VALUE"""),1867.0)</f>
        <v>1867</v>
      </c>
      <c r="F6" s="17">
        <f>IFERROR(__xludf.DUMMYFUNCTION("""COMPUTED_VALUE"""),414.0)</f>
        <v>414</v>
      </c>
      <c r="G6" s="17">
        <f>IFERROR(__xludf.DUMMYFUNCTION("""COMPUTED_VALUE"""),316.0)</f>
        <v>316</v>
      </c>
      <c r="H6" s="17">
        <f>IFERROR(__xludf.DUMMYFUNCTION("""COMPUTED_VALUE"""),1137.0)</f>
        <v>1137</v>
      </c>
      <c r="I6" s="28" t="str">
        <f>IFERROR(__xludf.DUMMYFUNCTION("""COMPUTED_VALUE"""),"T2-Ba")</f>
        <v>T2-Ba</v>
      </c>
      <c r="J6" s="30">
        <f>IFERROR(__xludf.DUMMYFUNCTION("""COMPUTED_VALUE"""),148.2484)</f>
        <v>148.2484</v>
      </c>
      <c r="K6" s="30">
        <f>IFERROR(__xludf.DUMMYFUNCTION("""COMPUTED_VALUE"""),148.2484)</f>
        <v>148.2484</v>
      </c>
      <c r="L6" s="30">
        <f>IFERROR(__xludf.DUMMYFUNCTION("""COMPUTED_VALUE"""),148.2484)</f>
        <v>148.2484</v>
      </c>
      <c r="M6" s="15">
        <f>IFERROR(__xludf.DUMMYFUNCTION("""COMPUTED_VALUE"""),495.0)</f>
        <v>495</v>
      </c>
      <c r="N6" s="17">
        <f>IFERROR(__xludf.DUMMYFUNCTION("""COMPUTED_VALUE"""),2362.0)</f>
        <v>2362</v>
      </c>
      <c r="O6" s="31">
        <f>IFERROR(__xludf.DUMMYFUNCTION("""COMPUTED_VALUE"""),276779.7628)</f>
        <v>276779.7628</v>
      </c>
      <c r="P6" s="20">
        <f>IFERROR(__xludf.DUMMYFUNCTION("""COMPUTED_VALUE"""),1280.0)</f>
        <v>1280</v>
      </c>
      <c r="Q6" s="181">
        <f>IFERROR(__xludf.DUMMYFUNCTION("""COMPUTED_VALUE"""),57.3304359375)</f>
        <v>57.33043594</v>
      </c>
      <c r="R6" s="32">
        <f>IFERROR(__xludf.DUMMYFUNCTION("""COMPUTED_VALUE"""),73382.958)</f>
        <v>73382.958</v>
      </c>
      <c r="S6" s="84">
        <f>IFERROR(__xludf.DUMMYFUNCTION("""COMPUTED_VALUE"""),1465.0)</f>
        <v>1465</v>
      </c>
      <c r="T6" s="34">
        <f>IFERROR(__xludf.DUMMYFUNCTION("""COMPUTED_VALUE"""),106666.14258351561)</f>
        <v>106666.1426</v>
      </c>
      <c r="U6" s="35">
        <f>IFERROR(__xludf.DUMMYFUNCTION("""COMPUTED_VALUE"""),99.0)</f>
        <v>99</v>
      </c>
      <c r="V6" s="36">
        <f>IFERROR(__xludf.DUMMYFUNCTION("""COMPUTED_VALUE"""),4.5)</f>
        <v>4.5</v>
      </c>
      <c r="W6" s="37">
        <f>IFERROR(__xludf.DUMMYFUNCTION("""COMPUTED_VALUE"""),0.20956816257408975)</f>
        <v>0.2095681626</v>
      </c>
      <c r="X6" s="31">
        <f>IFERROR(__xludf.DUMMYFUNCTION("""COMPUTED_VALUE"""),350162.7208)</f>
        <v>350162.7208</v>
      </c>
      <c r="Y6" s="186"/>
      <c r="Z6" s="187"/>
      <c r="AA6" s="188"/>
      <c r="AB6" s="188"/>
      <c r="AC6" s="189"/>
      <c r="AD6" s="189"/>
      <c r="AE6" s="189"/>
      <c r="AF6" s="189"/>
      <c r="AG6" s="189"/>
      <c r="AH6" s="189"/>
      <c r="AI6" s="189"/>
      <c r="AJ6" s="189"/>
      <c r="AK6" s="189"/>
      <c r="AL6" s="189"/>
      <c r="AM6" s="189"/>
      <c r="AN6" s="189"/>
      <c r="AO6" s="189"/>
      <c r="AP6" s="189"/>
      <c r="AQ6" s="189"/>
      <c r="AR6" s="189"/>
      <c r="AS6" s="189"/>
      <c r="AT6" s="189"/>
      <c r="AU6" s="189"/>
      <c r="AV6" s="189"/>
    </row>
    <row r="7" ht="15.75" customHeight="1">
      <c r="A7" s="26">
        <f>IFERROR(__xludf.DUMMYFUNCTION("""COMPUTED_VALUE"""),45778.0)</f>
        <v>45778</v>
      </c>
      <c r="B7" s="28">
        <f>IFERROR(__xludf.DUMMYFUNCTION("""COMPUTED_VALUE"""),5352763.0)</f>
        <v>5352763</v>
      </c>
      <c r="C7" s="28" t="str">
        <f>IFERROR(__xludf.DUMMYFUNCTION("""COMPUTED_VALUE"""),"Imac-RdelaF")</f>
        <v>Imac-RdelaF</v>
      </c>
      <c r="D7" s="29">
        <f>IFERROR(__xludf.DUMMYFUNCTION("""COMPUTED_VALUE"""),0.27)</f>
        <v>0.27</v>
      </c>
      <c r="E7" s="17">
        <f>IFERROR(__xludf.DUMMYFUNCTION("""COMPUTED_VALUE"""),1686.0)</f>
        <v>1686</v>
      </c>
      <c r="F7" s="17">
        <f>IFERROR(__xludf.DUMMYFUNCTION("""COMPUTED_VALUE"""),429.0)</f>
        <v>429</v>
      </c>
      <c r="G7" s="17">
        <f>IFERROR(__xludf.DUMMYFUNCTION("""COMPUTED_VALUE"""),342.0)</f>
        <v>342</v>
      </c>
      <c r="H7" s="17">
        <f>IFERROR(__xludf.DUMMYFUNCTION("""COMPUTED_VALUE"""),915.0)</f>
        <v>915</v>
      </c>
      <c r="I7" s="28" t="str">
        <f>IFERROR(__xludf.DUMMYFUNCTION("""COMPUTED_VALUE"""),"T2-Ba")</f>
        <v>T2-Ba</v>
      </c>
      <c r="J7" s="30">
        <f>IFERROR(__xludf.DUMMYFUNCTION("""COMPUTED_VALUE"""),145.8875)</f>
        <v>145.8875</v>
      </c>
      <c r="K7" s="30">
        <f>IFERROR(__xludf.DUMMYFUNCTION("""COMPUTED_VALUE"""),145.89)</f>
        <v>145.89</v>
      </c>
      <c r="L7" s="30">
        <f>IFERROR(__xludf.DUMMYFUNCTION("""COMPUTED_VALUE"""),145.89)</f>
        <v>145.89</v>
      </c>
      <c r="M7" s="15">
        <f>IFERROR(__xludf.DUMMYFUNCTION("""COMPUTED_VALUE"""),365.8)</f>
        <v>365.8</v>
      </c>
      <c r="N7" s="17">
        <f>IFERROR(__xludf.DUMMYFUNCTION("""COMPUTED_VALUE"""),2051.8)</f>
        <v>2051.8</v>
      </c>
      <c r="O7" s="31">
        <f>IFERROR(__xludf.DUMMYFUNCTION("""COMPUTED_VALUE"""),245969.46749999997)</f>
        <v>245969.4675</v>
      </c>
      <c r="P7" s="20">
        <f>IFERROR(__xludf.DUMMYFUNCTION("""COMPUTED_VALUE"""),1200.0)</f>
        <v>1200</v>
      </c>
      <c r="Q7" s="181">
        <f>IFERROR(__xludf.DUMMYFUNCTION("""COMPUTED_VALUE"""),44.472135)</f>
        <v>44.472135</v>
      </c>
      <c r="R7" s="32">
        <f>IFERROR(__xludf.DUMMYFUNCTION("""COMPUTED_VALUE"""),53366.562000000005)</f>
        <v>53366.562</v>
      </c>
      <c r="S7" s="84">
        <f>IFERROR(__xludf.DUMMYFUNCTION("""COMPUTED_VALUE"""),1465.0)</f>
        <v>1465</v>
      </c>
      <c r="T7" s="34">
        <f>IFERROR(__xludf.DUMMYFUNCTION("""COMPUTED_VALUE"""),82742.63077425)</f>
        <v>82742.63077</v>
      </c>
      <c r="U7" s="35">
        <f>IFERROR(__xludf.DUMMYFUNCTION("""COMPUTED_VALUE"""),73.16000000000001)</f>
        <v>73.16</v>
      </c>
      <c r="V7" s="36">
        <f>IFERROR(__xludf.DUMMYFUNCTION("""COMPUTED_VALUE"""),3.325454545454546)</f>
        <v>3.325454545</v>
      </c>
      <c r="W7" s="37">
        <f>IFERROR(__xludf.DUMMYFUNCTION("""COMPUTED_VALUE"""),0.17828312244650787)</f>
        <v>0.1782831224</v>
      </c>
      <c r="X7" s="31">
        <f>IFERROR(__xludf.DUMMYFUNCTION("""COMPUTED_VALUE"""),299336.02949999995)</f>
        <v>299336.0295</v>
      </c>
      <c r="Y7" s="190"/>
      <c r="Z7" s="187"/>
      <c r="AA7" s="188"/>
      <c r="AB7" s="188"/>
      <c r="AC7" s="189"/>
      <c r="AD7" s="189"/>
      <c r="AE7" s="189"/>
      <c r="AF7" s="189"/>
      <c r="AG7" s="189"/>
      <c r="AH7" s="189"/>
      <c r="AI7" s="189"/>
      <c r="AJ7" s="189"/>
      <c r="AK7" s="189"/>
      <c r="AL7" s="189"/>
      <c r="AM7" s="189"/>
      <c r="AN7" s="189"/>
      <c r="AO7" s="189"/>
      <c r="AP7" s="189"/>
      <c r="AQ7" s="189"/>
      <c r="AR7" s="189"/>
      <c r="AS7" s="189"/>
      <c r="AT7" s="189"/>
      <c r="AU7" s="189"/>
      <c r="AV7" s="189"/>
    </row>
    <row r="8" ht="15.75" customHeight="1">
      <c r="A8" s="26">
        <f>IFERROR(__xludf.DUMMYFUNCTION("""COMPUTED_VALUE"""),45748.0)</f>
        <v>45748</v>
      </c>
      <c r="B8" s="28">
        <f>IFERROR(__xludf.DUMMYFUNCTION("""COMPUTED_VALUE"""),5352763.0)</f>
        <v>5352763</v>
      </c>
      <c r="C8" s="28" t="str">
        <f>IFERROR(__xludf.DUMMYFUNCTION("""COMPUTED_VALUE"""),"Imac-RdelaF")</f>
        <v>Imac-RdelaF</v>
      </c>
      <c r="D8" s="29">
        <f>IFERROR(__xludf.DUMMYFUNCTION("""COMPUTED_VALUE"""),0.27)</f>
        <v>0.27</v>
      </c>
      <c r="E8" s="17">
        <f>IFERROR(__xludf.DUMMYFUNCTION("""COMPUTED_VALUE"""),1478.0)</f>
        <v>1478</v>
      </c>
      <c r="F8" s="17">
        <f>IFERROR(__xludf.DUMMYFUNCTION("""COMPUTED_VALUE"""),387.0)</f>
        <v>387</v>
      </c>
      <c r="G8" s="17">
        <f>IFERROR(__xludf.DUMMYFUNCTION("""COMPUTED_VALUE"""),293.0)</f>
        <v>293</v>
      </c>
      <c r="H8" s="17">
        <f>IFERROR(__xludf.DUMMYFUNCTION("""COMPUTED_VALUE"""),798.0)</f>
        <v>798</v>
      </c>
      <c r="I8" s="28" t="str">
        <f>IFERROR(__xludf.DUMMYFUNCTION("""COMPUTED_VALUE"""),"T2-Ba")</f>
        <v>T2-Ba</v>
      </c>
      <c r="J8" s="30">
        <f>IFERROR(__xludf.DUMMYFUNCTION("""COMPUTED_VALUE"""),141.2146)</f>
        <v>141.2146</v>
      </c>
      <c r="K8" s="30">
        <f>IFERROR(__xludf.DUMMYFUNCTION("""COMPUTED_VALUE"""),141.21)</f>
        <v>141.21</v>
      </c>
      <c r="L8" s="30">
        <f>IFERROR(__xludf.DUMMYFUNCTION("""COMPUTED_VALUE"""),141.21)</f>
        <v>141.21</v>
      </c>
      <c r="M8" s="15">
        <f>IFERROR(__xludf.DUMMYFUNCTION("""COMPUTED_VALUE"""),514.5)</f>
        <v>514.5</v>
      </c>
      <c r="N8" s="17">
        <f>IFERROR(__xludf.DUMMYFUNCTION("""COMPUTED_VALUE"""),1992.5)</f>
        <v>1992.5</v>
      </c>
      <c r="O8" s="31">
        <f>IFERROR(__xludf.DUMMYFUNCTION("""COMPUTED_VALUE"""),208710.16019999998)</f>
        <v>208710.1602</v>
      </c>
      <c r="P8" s="20">
        <f>IFERROR(__xludf.DUMMYFUNCTION("""COMPUTED_VALUE"""),1140.0)</f>
        <v>1140</v>
      </c>
      <c r="Q8" s="181">
        <f>IFERROR(__xludf.DUMMYFUNCTION("""COMPUTED_VALUE"""),63.730302631578944)</f>
        <v>63.73030263</v>
      </c>
      <c r="R8" s="32">
        <f>IFERROR(__xludf.DUMMYFUNCTION("""COMPUTED_VALUE"""),72652.545)</f>
        <v>72652.545</v>
      </c>
      <c r="S8" s="84">
        <f>IFERROR(__xludf.DUMMYFUNCTION("""COMPUTED_VALUE"""),1465.0)</f>
        <v>1465</v>
      </c>
      <c r="T8" s="34">
        <f>IFERROR(__xludf.DUMMYFUNCTION("""COMPUTED_VALUE"""),118573.4145611842)</f>
        <v>118573.4146</v>
      </c>
      <c r="U8" s="35">
        <f>IFERROR(__xludf.DUMMYFUNCTION("""COMPUTED_VALUE"""),102.9)</f>
        <v>102.9</v>
      </c>
      <c r="V8" s="36">
        <f>IFERROR(__xludf.DUMMYFUNCTION("""COMPUTED_VALUE"""),4.677272727272728)</f>
        <v>4.677272727</v>
      </c>
      <c r="W8" s="37">
        <f>IFERROR(__xludf.DUMMYFUNCTION("""COMPUTED_VALUE"""),0.25821668493113425)</f>
        <v>0.2582166849</v>
      </c>
      <c r="X8" s="31">
        <f>IFERROR(__xludf.DUMMYFUNCTION("""COMPUTED_VALUE"""),281362.70519999997)</f>
        <v>281362.7052</v>
      </c>
      <c r="Y8" s="186"/>
      <c r="Z8" s="187"/>
      <c r="AA8" s="188"/>
      <c r="AB8" s="188"/>
      <c r="AC8" s="189"/>
    </row>
    <row r="9" ht="15.75" customHeight="1">
      <c r="A9" s="26">
        <f>IFERROR(__xludf.DUMMYFUNCTION("""COMPUTED_VALUE"""),45717.0)</f>
        <v>45717</v>
      </c>
      <c r="B9" s="28">
        <f>IFERROR(__xludf.DUMMYFUNCTION("""COMPUTED_VALUE"""),5352763.0)</f>
        <v>5352763</v>
      </c>
      <c r="C9" s="28" t="str">
        <f>IFERROR(__xludf.DUMMYFUNCTION("""COMPUTED_VALUE"""),"Imac-RdelaF")</f>
        <v>Imac-RdelaF</v>
      </c>
      <c r="D9" s="29">
        <f>IFERROR(__xludf.DUMMYFUNCTION("""COMPUTED_VALUE"""),0.27)</f>
        <v>0.27</v>
      </c>
      <c r="E9" s="17">
        <f>IFERROR(__xludf.DUMMYFUNCTION("""COMPUTED_VALUE"""),1972.0)</f>
        <v>1972</v>
      </c>
      <c r="F9" s="17">
        <f>IFERROR(__xludf.DUMMYFUNCTION("""COMPUTED_VALUE"""),492.0)</f>
        <v>492</v>
      </c>
      <c r="G9" s="17">
        <f>IFERROR(__xludf.DUMMYFUNCTION("""COMPUTED_VALUE"""),300.0)</f>
        <v>300</v>
      </c>
      <c r="H9" s="17">
        <f>IFERROR(__xludf.DUMMYFUNCTION("""COMPUTED_VALUE"""),1180.0)</f>
        <v>1180</v>
      </c>
      <c r="I9" s="28" t="str">
        <f>IFERROR(__xludf.DUMMYFUNCTION("""COMPUTED_VALUE"""),"T2-Ba")</f>
        <v>T2-Ba</v>
      </c>
      <c r="J9" s="30">
        <f>IFERROR(__xludf.DUMMYFUNCTION("""COMPUTED_VALUE"""),140.1738)</f>
        <v>140.1738</v>
      </c>
      <c r="K9" s="30">
        <f>IFERROR(__xludf.DUMMYFUNCTION("""COMPUTED_VALUE"""),140.1738)</f>
        <v>140.1738</v>
      </c>
      <c r="L9" s="30">
        <f>IFERROR(__xludf.DUMMYFUNCTION("""COMPUTED_VALUE"""),140.1738)</f>
        <v>140.1738</v>
      </c>
      <c r="M9" s="15">
        <f>IFERROR(__xludf.DUMMYFUNCTION("""COMPUTED_VALUE"""),637.6)</f>
        <v>637.6</v>
      </c>
      <c r="N9" s="17">
        <f>IFERROR(__xludf.DUMMYFUNCTION("""COMPUTED_VALUE"""),2609.6)</f>
        <v>2609.6</v>
      </c>
      <c r="O9" s="31">
        <f>IFERROR(__xludf.DUMMYFUNCTION("""COMPUTED_VALUE"""),276422.73360000004)</f>
        <v>276422.7336</v>
      </c>
      <c r="P9" s="20">
        <f>IFERROR(__xludf.DUMMYFUNCTION("""COMPUTED_VALUE"""),1095.75)</f>
        <v>1095.75</v>
      </c>
      <c r="Q9" s="181">
        <f>IFERROR(__xludf.DUMMYFUNCTION("""COMPUTED_VALUE"""),81.56496908966461)</f>
        <v>81.56496909</v>
      </c>
      <c r="R9" s="32">
        <f>IFERROR(__xludf.DUMMYFUNCTION("""COMPUTED_VALUE"""),89374.81488)</f>
        <v>89374.81488</v>
      </c>
      <c r="S9" s="84">
        <f>IFERROR(__xludf.DUMMYFUNCTION("""COMPUTED_VALUE"""),1465.0)</f>
        <v>1465</v>
      </c>
      <c r="T9" s="34">
        <f>IFERROR(__xludf.DUMMYFUNCTION("""COMPUTED_VALUE"""),151755.7032397755)</f>
        <v>151755.7032</v>
      </c>
      <c r="U9" s="35">
        <f>IFERROR(__xludf.DUMMYFUNCTION("""COMPUTED_VALUE"""),127.52000000000001)</f>
        <v>127.52</v>
      </c>
      <c r="V9" s="36">
        <f>IFERROR(__xludf.DUMMYFUNCTION("""COMPUTED_VALUE"""),5.796363636363637)</f>
        <v>5.796363636</v>
      </c>
      <c r="W9" s="37">
        <f>IFERROR(__xludf.DUMMYFUNCTION("""COMPUTED_VALUE"""),0.24432863274064992)</f>
        <v>0.2443286327</v>
      </c>
      <c r="X9" s="31">
        <f>IFERROR(__xludf.DUMMYFUNCTION("""COMPUTED_VALUE"""),365797.54848000006)</f>
        <v>365797.5485</v>
      </c>
      <c r="Y9" s="186"/>
      <c r="Z9" s="187"/>
      <c r="AA9" s="188"/>
      <c r="AB9" s="188"/>
      <c r="AC9" s="189"/>
    </row>
    <row r="10" ht="15.75" customHeight="1">
      <c r="A10" s="26">
        <f>IFERROR(__xludf.DUMMYFUNCTION("""COMPUTED_VALUE"""),45713.0)</f>
        <v>45713</v>
      </c>
      <c r="B10" s="28">
        <f>IFERROR(__xludf.DUMMYFUNCTION("""COMPUTED_VALUE"""),5352763.0)</f>
        <v>5352763</v>
      </c>
      <c r="C10" s="28" t="str">
        <f>IFERROR(__xludf.DUMMYFUNCTION("""COMPUTED_VALUE"""),"Imac-RdelaF")</f>
        <v>Imac-RdelaF</v>
      </c>
      <c r="D10" s="29">
        <f>IFERROR(__xludf.DUMMYFUNCTION("""COMPUTED_VALUE"""),0.27)</f>
        <v>0.27</v>
      </c>
      <c r="E10" s="17">
        <f>IFERROR(__xludf.DUMMYFUNCTION("""COMPUTED_VALUE"""),2711.0)</f>
        <v>2711</v>
      </c>
      <c r="F10" s="17">
        <f>IFERROR(__xludf.DUMMYFUNCTION("""COMPUTED_VALUE"""),544.0)</f>
        <v>544</v>
      </c>
      <c r="G10" s="17">
        <f>IFERROR(__xludf.DUMMYFUNCTION("""COMPUTED_VALUE"""),309.0)</f>
        <v>309</v>
      </c>
      <c r="H10" s="17">
        <f>IFERROR(__xludf.DUMMYFUNCTION("""COMPUTED_VALUE"""),1858.0)</f>
        <v>1858</v>
      </c>
      <c r="I10" s="28" t="str">
        <f>IFERROR(__xludf.DUMMYFUNCTION("""COMPUTED_VALUE"""),"T2-Ba")</f>
        <v>T2-Ba</v>
      </c>
      <c r="J10" s="30">
        <f>IFERROR(__xludf.DUMMYFUNCTION("""COMPUTED_VALUE"""),137.1997)</f>
        <v>137.1997</v>
      </c>
      <c r="K10" s="30">
        <f>IFERROR(__xludf.DUMMYFUNCTION("""COMPUTED_VALUE"""),137.1997)</f>
        <v>137.1997</v>
      </c>
      <c r="L10" s="30">
        <f>IFERROR(__xludf.DUMMYFUNCTION("""COMPUTED_VALUE"""),137.1997)</f>
        <v>137.1997</v>
      </c>
      <c r="M10" s="15">
        <f>IFERROR(__xludf.DUMMYFUNCTION("""COMPUTED_VALUE"""),783.1)</f>
        <v>783.1</v>
      </c>
      <c r="N10" s="17">
        <f>IFERROR(__xludf.DUMMYFUNCTION("""COMPUTED_VALUE"""),3494.1)</f>
        <v>3494.1</v>
      </c>
      <c r="O10" s="31">
        <f>IFERROR(__xludf.DUMMYFUNCTION("""COMPUTED_VALUE"""),371948.38670000003)</f>
        <v>371948.3867</v>
      </c>
      <c r="P10" s="20">
        <f>IFERROR(__xludf.DUMMYFUNCTION("""COMPUTED_VALUE"""),1086.0)</f>
        <v>1086</v>
      </c>
      <c r="Q10" s="181">
        <f>IFERROR(__xludf.DUMMYFUNCTION("""COMPUTED_VALUE"""),98.93285918047883)</f>
        <v>98.93285918</v>
      </c>
      <c r="R10" s="32">
        <f>IFERROR(__xludf.DUMMYFUNCTION("""COMPUTED_VALUE"""),107441.08507)</f>
        <v>107441.0851</v>
      </c>
      <c r="S10" s="84">
        <f>IFERROR(__xludf.DUMMYFUNCTION("""COMPUTED_VALUE"""),1465.0)</f>
        <v>1465</v>
      </c>
      <c r="T10" s="34">
        <f>IFERROR(__xludf.DUMMYFUNCTION("""COMPUTED_VALUE"""),184069.53114823988)</f>
        <v>184069.5311</v>
      </c>
      <c r="U10" s="35">
        <f>IFERROR(__xludf.DUMMYFUNCTION("""COMPUTED_VALUE"""),156.62)</f>
        <v>156.62</v>
      </c>
      <c r="V10" s="36">
        <f>IFERROR(__xludf.DUMMYFUNCTION("""COMPUTED_VALUE"""),7.119090909090909)</f>
        <v>7.119090909</v>
      </c>
      <c r="W10" s="37">
        <f>IFERROR(__xludf.DUMMYFUNCTION("""COMPUTED_VALUE"""),0.22412066054205662)</f>
        <v>0.2241206605</v>
      </c>
      <c r="X10" s="31">
        <f>IFERROR(__xludf.DUMMYFUNCTION("""COMPUTED_VALUE"""),479389.47177000006)</f>
        <v>479389.4718</v>
      </c>
      <c r="Y10" s="186"/>
      <c r="Z10" s="187"/>
      <c r="AA10" s="188"/>
      <c r="AB10" s="188"/>
      <c r="AC10" s="189"/>
    </row>
    <row r="11" ht="15.75" customHeight="1">
      <c r="A11" s="26">
        <f>IFERROR(__xludf.DUMMYFUNCTION("""COMPUTED_VALUE"""),45682.0)</f>
        <v>45682</v>
      </c>
      <c r="B11" s="28">
        <f>IFERROR(__xludf.DUMMYFUNCTION("""COMPUTED_VALUE"""),5352763.0)</f>
        <v>5352763</v>
      </c>
      <c r="C11" s="28" t="str">
        <f>IFERROR(__xludf.DUMMYFUNCTION("""COMPUTED_VALUE"""),"Imac-RdelaF")</f>
        <v>Imac-RdelaF</v>
      </c>
      <c r="D11" s="29">
        <f>IFERROR(__xludf.DUMMYFUNCTION("""COMPUTED_VALUE"""),0.27)</f>
        <v>0.27</v>
      </c>
      <c r="E11" s="17">
        <f>IFERROR(__xludf.DUMMYFUNCTION("""COMPUTED_VALUE"""),2503.0)</f>
        <v>2503</v>
      </c>
      <c r="F11" s="17">
        <f>IFERROR(__xludf.DUMMYFUNCTION("""COMPUTED_VALUE"""),637.0)</f>
        <v>637</v>
      </c>
      <c r="G11" s="17">
        <f>IFERROR(__xludf.DUMMYFUNCTION("""COMPUTED_VALUE"""),334.0)</f>
        <v>334</v>
      </c>
      <c r="H11" s="17">
        <f>IFERROR(__xludf.DUMMYFUNCTION("""COMPUTED_VALUE"""),1532.0)</f>
        <v>1532</v>
      </c>
      <c r="I11" s="28" t="str">
        <f>IFERROR(__xludf.DUMMYFUNCTION("""COMPUTED_VALUE"""),"T2-Ba")</f>
        <v>T2-Ba</v>
      </c>
      <c r="J11" s="30">
        <f>IFERROR(__xludf.DUMMYFUNCTION("""COMPUTED_VALUE"""),142.9)</f>
        <v>142.9</v>
      </c>
      <c r="K11" s="30">
        <f>IFERROR(__xludf.DUMMYFUNCTION("""COMPUTED_VALUE"""),142.9)</f>
        <v>142.9</v>
      </c>
      <c r="L11" s="30">
        <f>IFERROR(__xludf.DUMMYFUNCTION("""COMPUTED_VALUE"""),142.9)</f>
        <v>142.9</v>
      </c>
      <c r="M11" s="15">
        <f>IFERROR(__xludf.DUMMYFUNCTION("""COMPUTED_VALUE"""),819.5)</f>
        <v>819.5</v>
      </c>
      <c r="N11" s="17">
        <f>IFERROR(__xludf.DUMMYFUNCTION("""COMPUTED_VALUE"""),3322.5)</f>
        <v>3322.5</v>
      </c>
      <c r="O11" s="31">
        <f>IFERROR(__xludf.DUMMYFUNCTION("""COMPUTED_VALUE"""),357678.7)</f>
        <v>357678.7</v>
      </c>
      <c r="P11" s="20">
        <f>IFERROR(__xludf.DUMMYFUNCTION("""COMPUTED_VALUE"""),1075.5)</f>
        <v>1075.5</v>
      </c>
      <c r="Q11" s="181">
        <f>IFERROR(__xludf.DUMMYFUNCTION("""COMPUTED_VALUE"""),108.88568107856811)</f>
        <v>108.8856811</v>
      </c>
      <c r="R11" s="32">
        <f>IFERROR(__xludf.DUMMYFUNCTION("""COMPUTED_VALUE"""),117106.55)</f>
        <v>117106.55</v>
      </c>
      <c r="S11" s="84">
        <f>IFERROR(__xludf.DUMMYFUNCTION("""COMPUTED_VALUE"""),1465.0)</f>
        <v>1465</v>
      </c>
      <c r="T11" s="34">
        <f>IFERROR(__xludf.DUMMYFUNCTION("""COMPUTED_VALUE"""),202587.25393072987)</f>
        <v>202587.2539</v>
      </c>
      <c r="U11" s="35">
        <f>IFERROR(__xludf.DUMMYFUNCTION("""COMPUTED_VALUE"""),163.9)</f>
        <v>163.9</v>
      </c>
      <c r="V11" s="36">
        <f>IFERROR(__xludf.DUMMYFUNCTION("""COMPUTED_VALUE"""),7.45)</f>
        <v>7.45</v>
      </c>
      <c r="W11" s="37">
        <f>IFERROR(__xludf.DUMMYFUNCTION("""COMPUTED_VALUE"""),0.24665161775771258)</f>
        <v>0.2466516178</v>
      </c>
      <c r="X11" s="31">
        <f>IFERROR(__xludf.DUMMYFUNCTION("""COMPUTED_VALUE"""),474785.25)</f>
        <v>474785.25</v>
      </c>
      <c r="Y11" s="186"/>
      <c r="Z11" s="187"/>
      <c r="AA11" s="188"/>
      <c r="AB11" s="188"/>
      <c r="AC11" s="189"/>
    </row>
    <row r="12" ht="15.75" customHeight="1">
      <c r="A12" s="26">
        <f>IFERROR(__xludf.DUMMYFUNCTION("""COMPUTED_VALUE"""),45627.0)</f>
        <v>45627</v>
      </c>
      <c r="B12" s="28">
        <f>IFERROR(__xludf.DUMMYFUNCTION("""COMPUTED_VALUE"""),5352763.0)</f>
        <v>5352763</v>
      </c>
      <c r="C12" s="28" t="str">
        <f>IFERROR(__xludf.DUMMYFUNCTION("""COMPUTED_VALUE"""),"Imac-RdelaF")</f>
        <v>Imac-RdelaF</v>
      </c>
      <c r="D12" s="29">
        <f>IFERROR(__xludf.DUMMYFUNCTION("""COMPUTED_VALUE"""),0.27)</f>
        <v>0.27</v>
      </c>
      <c r="E12" s="17">
        <f>IFERROR(__xludf.DUMMYFUNCTION("""COMPUTED_VALUE"""),2172.0)</f>
        <v>2172</v>
      </c>
      <c r="F12" s="17">
        <f>IFERROR(__xludf.DUMMYFUNCTION("""COMPUTED_VALUE"""),585.0)</f>
        <v>585</v>
      </c>
      <c r="G12" s="17">
        <f>IFERROR(__xludf.DUMMYFUNCTION("""COMPUTED_VALUE"""),279.0)</f>
        <v>279</v>
      </c>
      <c r="H12" s="17">
        <f>IFERROR(__xludf.DUMMYFUNCTION("""COMPUTED_VALUE"""),1308.0)</f>
        <v>1308</v>
      </c>
      <c r="I12" s="28" t="str">
        <f>IFERROR(__xludf.DUMMYFUNCTION("""COMPUTED_VALUE"""),"T2-Ba")</f>
        <v>T2-Ba</v>
      </c>
      <c r="J12" s="30">
        <f>IFERROR(__xludf.DUMMYFUNCTION("""COMPUTED_VALUE"""),141.2503)</f>
        <v>141.2503</v>
      </c>
      <c r="K12" s="30">
        <f>IFERROR(__xludf.DUMMYFUNCTION("""COMPUTED_VALUE"""),141.2503)</f>
        <v>141.2503</v>
      </c>
      <c r="L12" s="30">
        <f>IFERROR(__xludf.DUMMYFUNCTION("""COMPUTED_VALUE"""),141.2503)</f>
        <v>141.2503</v>
      </c>
      <c r="M12" s="15">
        <f>IFERROR(__xludf.DUMMYFUNCTION("""COMPUTED_VALUE"""),847.0)</f>
        <v>847</v>
      </c>
      <c r="N12" s="17">
        <f>IFERROR(__xludf.DUMMYFUNCTION("""COMPUTED_VALUE"""),3019.0)</f>
        <v>3019</v>
      </c>
      <c r="O12" s="31">
        <f>IFERROR(__xludf.DUMMYFUNCTION("""COMPUTED_VALUE"""),306795.65160000004)</f>
        <v>306795.6516</v>
      </c>
      <c r="P12" s="20">
        <f>IFERROR(__xludf.DUMMYFUNCTION("""COMPUTED_VALUE"""),1055.0)</f>
        <v>1055</v>
      </c>
      <c r="Q12" s="181">
        <f>IFERROR(__xludf.DUMMYFUNCTION("""COMPUTED_VALUE"""),113.40189962085309)</f>
        <v>113.4018996</v>
      </c>
      <c r="R12" s="32">
        <f>IFERROR(__xludf.DUMMYFUNCTION("""COMPUTED_VALUE"""),119639.0041)</f>
        <v>119639.0041</v>
      </c>
      <c r="S12" s="84">
        <f>IFERROR(__xludf.DUMMYFUNCTION("""COMPUTED_VALUE"""),1465.0)</f>
        <v>1465</v>
      </c>
      <c r="T12" s="34">
        <f>IFERROR(__xludf.DUMMYFUNCTION("""COMPUTED_VALUE"""),210989.9043395782)</f>
        <v>210989.9043</v>
      </c>
      <c r="U12" s="35">
        <f>IFERROR(__xludf.DUMMYFUNCTION("""COMPUTED_VALUE"""),169.4)</f>
        <v>169.4</v>
      </c>
      <c r="V12" s="36">
        <f>IFERROR(__xludf.DUMMYFUNCTION("""COMPUTED_VALUE"""),7.7)</f>
        <v>7.7</v>
      </c>
      <c r="W12" s="37">
        <f>IFERROR(__xludf.DUMMYFUNCTION("""COMPUTED_VALUE"""),0.2805564756541901)</f>
        <v>0.2805564757</v>
      </c>
      <c r="X12" s="31">
        <f>IFERROR(__xludf.DUMMYFUNCTION("""COMPUTED_VALUE"""),426434.65570000006)</f>
        <v>426434.6557</v>
      </c>
      <c r="Y12" s="186"/>
      <c r="Z12" s="187"/>
      <c r="AA12" s="188"/>
      <c r="AB12" s="188"/>
      <c r="AC12" s="189"/>
    </row>
    <row r="13" ht="15.75" customHeight="1">
      <c r="A13" s="26">
        <f>IFERROR(__xludf.DUMMYFUNCTION("""COMPUTED_VALUE"""),45597.0)</f>
        <v>45597</v>
      </c>
      <c r="B13" s="28">
        <f>IFERROR(__xludf.DUMMYFUNCTION("""COMPUTED_VALUE"""),5352763.0)</f>
        <v>5352763</v>
      </c>
      <c r="C13" s="28" t="str">
        <f>IFERROR(__xludf.DUMMYFUNCTION("""COMPUTED_VALUE"""),"Imac-RdelaF")</f>
        <v>Imac-RdelaF</v>
      </c>
      <c r="D13" s="29">
        <f>IFERROR(__xludf.DUMMYFUNCTION("""COMPUTED_VALUE"""),0.27)</f>
        <v>0.27</v>
      </c>
      <c r="E13" s="17">
        <f>IFERROR(__xludf.DUMMYFUNCTION("""COMPUTED_VALUE"""),1804.0)</f>
        <v>1804</v>
      </c>
      <c r="F13" s="17">
        <f>IFERROR(__xludf.DUMMYFUNCTION("""COMPUTED_VALUE"""),460.0)</f>
        <v>460</v>
      </c>
      <c r="G13" s="17">
        <f>IFERROR(__xludf.DUMMYFUNCTION("""COMPUTED_VALUE"""),267.0)</f>
        <v>267</v>
      </c>
      <c r="H13" s="17">
        <f>IFERROR(__xludf.DUMMYFUNCTION("""COMPUTED_VALUE"""),1077.0)</f>
        <v>1077</v>
      </c>
      <c r="I13" s="28" t="str">
        <f>IFERROR(__xludf.DUMMYFUNCTION("""COMPUTED_VALUE"""),"T2-Ba")</f>
        <v>T2-Ba</v>
      </c>
      <c r="J13" s="30">
        <f>IFERROR(__xludf.DUMMYFUNCTION("""COMPUTED_VALUE"""),139.734)</f>
        <v>139.734</v>
      </c>
      <c r="K13" s="30">
        <f>IFERROR(__xludf.DUMMYFUNCTION("""COMPUTED_VALUE"""),139.734)</f>
        <v>139.734</v>
      </c>
      <c r="L13" s="30">
        <f>IFERROR(__xludf.DUMMYFUNCTION("""COMPUTED_VALUE"""),139.734)</f>
        <v>139.734</v>
      </c>
      <c r="M13" s="15">
        <f>IFERROR(__xludf.DUMMYFUNCTION("""COMPUTED_VALUE"""),644.9)</f>
        <v>644.9</v>
      </c>
      <c r="N13" s="17">
        <f>IFERROR(__xludf.DUMMYFUNCTION("""COMPUTED_VALUE"""),2448.9)</f>
        <v>2448.9</v>
      </c>
      <c r="O13" s="31">
        <f>IFERROR(__xludf.DUMMYFUNCTION("""COMPUTED_VALUE"""),252080.13600000003)</f>
        <v>252080.136</v>
      </c>
      <c r="P13" s="20">
        <f>IFERROR(__xludf.DUMMYFUNCTION("""COMPUTED_VALUE"""),1035.0)</f>
        <v>1035</v>
      </c>
      <c r="Q13" s="181">
        <f>IFERROR(__xludf.DUMMYFUNCTION("""COMPUTED_VALUE"""),87.06710782608697)</f>
        <v>87.06710783</v>
      </c>
      <c r="R13" s="32">
        <f>IFERROR(__xludf.DUMMYFUNCTION("""COMPUTED_VALUE"""),90114.4566)</f>
        <v>90114.4566</v>
      </c>
      <c r="S13" s="84">
        <f>IFERROR(__xludf.DUMMYFUNCTION("""COMPUTED_VALUE"""),1465.0)</f>
        <v>1465</v>
      </c>
      <c r="T13" s="34">
        <f>IFERROR(__xludf.DUMMYFUNCTION("""COMPUTED_VALUE"""),161992.70746582613)</f>
        <v>161992.7075</v>
      </c>
      <c r="U13" s="35">
        <f>IFERROR(__xludf.DUMMYFUNCTION("""COMPUTED_VALUE"""),128.98)</f>
        <v>128.98</v>
      </c>
      <c r="V13" s="36">
        <f>IFERROR(__xludf.DUMMYFUNCTION("""COMPUTED_VALUE"""),5.862727272727272)</f>
        <v>5.862727273</v>
      </c>
      <c r="W13" s="37">
        <f>IFERROR(__xludf.DUMMYFUNCTION("""COMPUTED_VALUE"""),0.26334272530523906)</f>
        <v>0.2633427253</v>
      </c>
      <c r="X13" s="31">
        <f>IFERROR(__xludf.DUMMYFUNCTION("""COMPUTED_VALUE"""),342194.59260000003)</f>
        <v>342194.5926</v>
      </c>
      <c r="Y13" s="186"/>
      <c r="Z13" s="187"/>
      <c r="AA13" s="188"/>
      <c r="AB13" s="188"/>
      <c r="AC13" s="189"/>
    </row>
    <row r="14" ht="15.75" customHeight="1">
      <c r="A14" s="26">
        <f>IFERROR(__xludf.DUMMYFUNCTION("""COMPUTED_VALUE"""),45589.0)</f>
        <v>45589</v>
      </c>
      <c r="B14" s="28">
        <f>IFERROR(__xludf.DUMMYFUNCTION("""COMPUTED_VALUE"""),5352763.0)</f>
        <v>5352763</v>
      </c>
      <c r="C14" s="28" t="str">
        <f>IFERROR(__xludf.DUMMYFUNCTION("""COMPUTED_VALUE"""),"Imac-RdelaF")</f>
        <v>Imac-RdelaF</v>
      </c>
      <c r="D14" s="29">
        <f>IFERROR(__xludf.DUMMYFUNCTION("""COMPUTED_VALUE"""),0.27)</f>
        <v>0.27</v>
      </c>
      <c r="E14" s="17">
        <f>IFERROR(__xludf.DUMMYFUNCTION("""COMPUTED_VALUE"""),2214.0)</f>
        <v>2214</v>
      </c>
      <c r="F14" s="17">
        <f>IFERROR(__xludf.DUMMYFUNCTION("""COMPUTED_VALUE"""),570.0)</f>
        <v>570</v>
      </c>
      <c r="G14" s="17">
        <f>IFERROR(__xludf.DUMMYFUNCTION("""COMPUTED_VALUE"""),257.0)</f>
        <v>257</v>
      </c>
      <c r="H14" s="17">
        <f>IFERROR(__xludf.DUMMYFUNCTION("""COMPUTED_VALUE"""),1387.0)</f>
        <v>1387</v>
      </c>
      <c r="I14" s="28" t="str">
        <f>IFERROR(__xludf.DUMMYFUNCTION("""COMPUTED_VALUE"""),"T2-Ba")</f>
        <v>T2-Ba</v>
      </c>
      <c r="J14" s="30">
        <f>IFERROR(__xludf.DUMMYFUNCTION("""COMPUTED_VALUE"""),137.7794)</f>
        <v>137.7794</v>
      </c>
      <c r="K14" s="30">
        <f>IFERROR(__xludf.DUMMYFUNCTION("""COMPUTED_VALUE"""),137.7794)</f>
        <v>137.7794</v>
      </c>
      <c r="L14" s="30">
        <f>IFERROR(__xludf.DUMMYFUNCTION("""COMPUTED_VALUE"""),137.7794)</f>
        <v>137.7794</v>
      </c>
      <c r="M14" s="15">
        <f>IFERROR(__xludf.DUMMYFUNCTION("""COMPUTED_VALUE"""),550.7)</f>
        <v>550.7</v>
      </c>
      <c r="N14" s="17">
        <f>IFERROR(__xludf.DUMMYFUNCTION("""COMPUTED_VALUE"""),2764.7)</f>
        <v>2764.7</v>
      </c>
      <c r="O14" s="31">
        <f>IFERROR(__xludf.DUMMYFUNCTION("""COMPUTED_VALUE"""),305043.59160000004)</f>
        <v>305043.5916</v>
      </c>
      <c r="P14" s="20">
        <f>IFERROR(__xludf.DUMMYFUNCTION("""COMPUTED_VALUE"""),1016.5)</f>
        <v>1016.5</v>
      </c>
      <c r="Q14" s="181">
        <f>IFERROR(__xludf.DUMMYFUNCTION("""COMPUTED_VALUE"""),74.64349786522382)</f>
        <v>74.64349787</v>
      </c>
      <c r="R14" s="32">
        <f>IFERROR(__xludf.DUMMYFUNCTION("""COMPUTED_VALUE"""),75875.11558000001)</f>
        <v>75875.11558</v>
      </c>
      <c r="S14" s="84">
        <f>IFERROR(__xludf.DUMMYFUNCTION("""COMPUTED_VALUE"""),1465.0)</f>
        <v>1465</v>
      </c>
      <c r="T14" s="34">
        <f>IFERROR(__xludf.DUMMYFUNCTION("""COMPUTED_VALUE"""),138877.95995314218)</f>
        <v>138877.96</v>
      </c>
      <c r="U14" s="35">
        <f>IFERROR(__xludf.DUMMYFUNCTION("""COMPUTED_VALUE"""),110.14000000000001)</f>
        <v>110.14</v>
      </c>
      <c r="V14" s="36">
        <f>IFERROR(__xludf.DUMMYFUNCTION("""COMPUTED_VALUE"""),5.006363636363637)</f>
        <v>5.006363636</v>
      </c>
      <c r="W14" s="37">
        <f>IFERROR(__xludf.DUMMYFUNCTION("""COMPUTED_VALUE"""),0.19918978551018196)</f>
        <v>0.1991897855</v>
      </c>
      <c r="X14" s="31">
        <f>IFERROR(__xludf.DUMMYFUNCTION("""COMPUTED_VALUE"""),380918.70718)</f>
        <v>380918.7072</v>
      </c>
      <c r="Y14" s="186"/>
      <c r="Z14" s="187"/>
      <c r="AA14" s="188"/>
      <c r="AB14" s="188"/>
      <c r="AC14" s="189"/>
    </row>
    <row r="15" ht="15.75" customHeight="1">
      <c r="A15" s="26">
        <f>IFERROR(__xludf.DUMMYFUNCTION("""COMPUTED_VALUE"""),45564.0)</f>
        <v>45564</v>
      </c>
      <c r="B15" s="28">
        <f>IFERROR(__xludf.DUMMYFUNCTION("""COMPUTED_VALUE"""),5352763.0)</f>
        <v>5352763</v>
      </c>
      <c r="C15" s="28" t="str">
        <f>IFERROR(__xludf.DUMMYFUNCTION("""COMPUTED_VALUE"""),"Imac-RdelaF")</f>
        <v>Imac-RdelaF</v>
      </c>
      <c r="D15" s="29">
        <f>IFERROR(__xludf.DUMMYFUNCTION("""COMPUTED_VALUE"""),0.27)</f>
        <v>0.27</v>
      </c>
      <c r="E15" s="17">
        <f>IFERROR(__xludf.DUMMYFUNCTION("""COMPUTED_VALUE"""),1689.0)</f>
        <v>1689</v>
      </c>
      <c r="F15" s="17">
        <f>IFERROR(__xludf.DUMMYFUNCTION("""COMPUTED_VALUE"""),575.0)</f>
        <v>575</v>
      </c>
      <c r="G15" s="17">
        <f>IFERROR(__xludf.DUMMYFUNCTION("""COMPUTED_VALUE"""),342.0)</f>
        <v>342</v>
      </c>
      <c r="H15" s="17">
        <f>IFERROR(__xludf.DUMMYFUNCTION("""COMPUTED_VALUE"""),772.0)</f>
        <v>772</v>
      </c>
      <c r="I15" s="28" t="str">
        <f>IFERROR(__xludf.DUMMYFUNCTION("""COMPUTED_VALUE"""),"T2-Ba")</f>
        <v>T2-Ba</v>
      </c>
      <c r="J15" s="30">
        <f>IFERROR(__xludf.DUMMYFUNCTION("""COMPUTED_VALUE"""),133.9704)</f>
        <v>133.9704</v>
      </c>
      <c r="K15" s="30">
        <f>IFERROR(__xludf.DUMMYFUNCTION("""COMPUTED_VALUE"""),133.9704)</f>
        <v>133.9704</v>
      </c>
      <c r="L15" s="30">
        <f>IFERROR(__xludf.DUMMYFUNCTION("""COMPUTED_VALUE"""),133.9704)</f>
        <v>133.9704</v>
      </c>
      <c r="M15" s="15">
        <f>IFERROR(__xludf.DUMMYFUNCTION("""COMPUTED_VALUE"""),734.7)</f>
        <v>734.7</v>
      </c>
      <c r="N15" s="17">
        <f>IFERROR(__xludf.DUMMYFUNCTION("""COMPUTED_VALUE"""),2423.7)</f>
        <v>2423.7</v>
      </c>
      <c r="O15" s="31">
        <f>IFERROR(__xludf.DUMMYFUNCTION("""COMPUTED_VALUE"""),226276.00560000003)</f>
        <v>226276.0056</v>
      </c>
      <c r="P15" s="20">
        <f>IFERROR(__xludf.DUMMYFUNCTION("""COMPUTED_VALUE"""),992.5)</f>
        <v>992.5</v>
      </c>
      <c r="Q15" s="181">
        <f>IFERROR(__xludf.DUMMYFUNCTION("""COMPUTED_VALUE"""),99.17184169269524)</f>
        <v>99.17184169</v>
      </c>
      <c r="R15" s="32">
        <f>IFERROR(__xludf.DUMMYFUNCTION("""COMPUTED_VALUE"""),98428.05288000002)</f>
        <v>98428.05288</v>
      </c>
      <c r="S15" s="84">
        <f>IFERROR(__xludf.DUMMYFUNCTION("""COMPUTED_VALUE"""),1465.0)</f>
        <v>1465</v>
      </c>
      <c r="T15" s="34">
        <f>IFERROR(__xludf.DUMMYFUNCTION("""COMPUTED_VALUE"""),184514.17006134414)</f>
        <v>184514.1701</v>
      </c>
      <c r="U15" s="35">
        <f>IFERROR(__xludf.DUMMYFUNCTION("""COMPUTED_VALUE"""),146.94000000000003)</f>
        <v>146.94</v>
      </c>
      <c r="V15" s="36">
        <f>IFERROR(__xludf.DUMMYFUNCTION("""COMPUTED_VALUE"""),6.6790909090909105)</f>
        <v>6.679090909</v>
      </c>
      <c r="W15" s="37">
        <f>IFERROR(__xludf.DUMMYFUNCTION("""COMPUTED_VALUE"""),0.3031315756900607)</f>
        <v>0.3031315757</v>
      </c>
      <c r="X15" s="31">
        <f>IFERROR(__xludf.DUMMYFUNCTION("""COMPUTED_VALUE"""),324704.05848000007)</f>
        <v>324704.0585</v>
      </c>
      <c r="Y15" s="186"/>
      <c r="Z15" s="187"/>
      <c r="AA15" s="188"/>
      <c r="AB15" s="188"/>
      <c r="AC15" s="189"/>
    </row>
    <row r="16" ht="15.75" customHeight="1">
      <c r="A16" s="26">
        <f>IFERROR(__xludf.DUMMYFUNCTION("""COMPUTED_VALUE"""),45528.0)</f>
        <v>45528</v>
      </c>
      <c r="B16" s="28">
        <f>IFERROR(__xludf.DUMMYFUNCTION("""COMPUTED_VALUE"""),5352763.0)</f>
        <v>5352763</v>
      </c>
      <c r="C16" s="28" t="str">
        <f>IFERROR(__xludf.DUMMYFUNCTION("""COMPUTED_VALUE"""),"Imac-RdelaF")</f>
        <v>Imac-RdelaF</v>
      </c>
      <c r="D16" s="29">
        <f>IFERROR(__xludf.DUMMYFUNCTION("""COMPUTED_VALUE"""),0.27)</f>
        <v>0.27</v>
      </c>
      <c r="E16" s="17">
        <f>IFERROR(__xludf.DUMMYFUNCTION("""COMPUTED_VALUE"""),2021.0)</f>
        <v>2021</v>
      </c>
      <c r="F16" s="17">
        <f>IFERROR(__xludf.DUMMYFUNCTION("""COMPUTED_VALUE"""),496.0)</f>
        <v>496</v>
      </c>
      <c r="G16" s="17">
        <f>IFERROR(__xludf.DUMMYFUNCTION("""COMPUTED_VALUE"""),378.0)</f>
        <v>378</v>
      </c>
      <c r="H16" s="17">
        <f>IFERROR(__xludf.DUMMYFUNCTION("""COMPUTED_VALUE"""),1147.0)</f>
        <v>1147</v>
      </c>
      <c r="I16" s="28" t="str">
        <f>IFERROR(__xludf.DUMMYFUNCTION("""COMPUTED_VALUE"""),"T2-Ba")</f>
        <v>T2-Ba</v>
      </c>
      <c r="J16" s="30">
        <f>IFERROR(__xludf.DUMMYFUNCTION("""COMPUTED_VALUE"""),127.2071)</f>
        <v>127.2071</v>
      </c>
      <c r="K16" s="30">
        <f>IFERROR(__xludf.DUMMYFUNCTION("""COMPUTED_VALUE"""),127.2071)</f>
        <v>127.2071</v>
      </c>
      <c r="L16" s="30">
        <f>IFERROR(__xludf.DUMMYFUNCTION("""COMPUTED_VALUE"""),127.2071)</f>
        <v>127.2071</v>
      </c>
      <c r="M16" s="15">
        <f>IFERROR(__xludf.DUMMYFUNCTION("""COMPUTED_VALUE"""),585.5)</f>
        <v>585.5</v>
      </c>
      <c r="N16" s="17">
        <f>IFERROR(__xludf.DUMMYFUNCTION("""COMPUTED_VALUE"""),2606.5)</f>
        <v>2606.5</v>
      </c>
      <c r="O16" s="31">
        <f>IFERROR(__xludf.DUMMYFUNCTION("""COMPUTED_VALUE"""),257085.5491)</f>
        <v>257085.5491</v>
      </c>
      <c r="P16" s="20">
        <f>IFERROR(__xludf.DUMMYFUNCTION("""COMPUTED_VALUE"""),976.5)</f>
        <v>976.5</v>
      </c>
      <c r="Q16" s="181">
        <f>IFERROR(__xludf.DUMMYFUNCTION("""COMPUTED_VALUE"""),76.27215263696877)</f>
        <v>76.27215264</v>
      </c>
      <c r="R16" s="32">
        <f>IFERROR(__xludf.DUMMYFUNCTION("""COMPUTED_VALUE"""),74479.75705)</f>
        <v>74479.75705</v>
      </c>
      <c r="S16" s="84">
        <f>IFERROR(__xludf.DUMMYFUNCTION("""COMPUTED_VALUE"""),1465.0)</f>
        <v>1465</v>
      </c>
      <c r="T16" s="34">
        <f>IFERROR(__xludf.DUMMYFUNCTION("""COMPUTED_VALUE"""),141908.15358871224)</f>
        <v>141908.1536</v>
      </c>
      <c r="U16" s="35">
        <f>IFERROR(__xludf.DUMMYFUNCTION("""COMPUTED_VALUE"""),117.10000000000001)</f>
        <v>117.1</v>
      </c>
      <c r="V16" s="36">
        <f>IFERROR(__xludf.DUMMYFUNCTION("""COMPUTED_VALUE"""),5.322727272727273)</f>
        <v>5.322727273</v>
      </c>
      <c r="W16" s="37">
        <f>IFERROR(__xludf.DUMMYFUNCTION("""COMPUTED_VALUE"""),0.22463073086514485)</f>
        <v>0.2246307309</v>
      </c>
      <c r="X16" s="31">
        <f>IFERROR(__xludf.DUMMYFUNCTION("""COMPUTED_VALUE"""),331565.30615)</f>
        <v>331565.3062</v>
      </c>
      <c r="Y16" s="186"/>
      <c r="Z16" s="187"/>
      <c r="AA16" s="188"/>
      <c r="AB16" s="188"/>
      <c r="AC16" s="189"/>
    </row>
    <row r="17" ht="15.75" customHeight="1">
      <c r="A17" s="26">
        <f>IFERROR(__xludf.DUMMYFUNCTION("""COMPUTED_VALUE"""),45497.0)</f>
        <v>45497</v>
      </c>
      <c r="B17" s="28">
        <f>IFERROR(__xludf.DUMMYFUNCTION("""COMPUTED_VALUE"""),5352763.0)</f>
        <v>5352763</v>
      </c>
      <c r="C17" s="28" t="str">
        <f>IFERROR(__xludf.DUMMYFUNCTION("""COMPUTED_VALUE"""),"Imac-RdelaF")</f>
        <v>Imac-RdelaF</v>
      </c>
      <c r="D17" s="29">
        <f>IFERROR(__xludf.DUMMYFUNCTION("""COMPUTED_VALUE"""),0.27)</f>
        <v>0.27</v>
      </c>
      <c r="E17" s="17">
        <f>IFERROR(__xludf.DUMMYFUNCTION("""COMPUTED_VALUE"""),2315.0)</f>
        <v>2315</v>
      </c>
      <c r="F17" s="17">
        <f>IFERROR(__xludf.DUMMYFUNCTION("""COMPUTED_VALUE"""),511.0)</f>
        <v>511</v>
      </c>
      <c r="G17" s="17">
        <f>IFERROR(__xludf.DUMMYFUNCTION("""COMPUTED_VALUE"""),364.0)</f>
        <v>364</v>
      </c>
      <c r="H17" s="17">
        <f>IFERROR(__xludf.DUMMYFUNCTION("""COMPUTED_VALUE"""),1440.0)</f>
        <v>1440</v>
      </c>
      <c r="I17" s="28" t="str">
        <f>IFERROR(__xludf.DUMMYFUNCTION("""COMPUTED_VALUE"""),"T2-Ba")</f>
        <v>T2-Ba</v>
      </c>
      <c r="J17" s="30">
        <f>IFERROR(__xludf.DUMMYFUNCTION("""COMPUTED_VALUE"""),115.7579)</f>
        <v>115.7579</v>
      </c>
      <c r="K17" s="30">
        <f>IFERROR(__xludf.DUMMYFUNCTION("""COMPUTED_VALUE"""),115.7579)</f>
        <v>115.7579</v>
      </c>
      <c r="L17" s="30">
        <f>IFERROR(__xludf.DUMMYFUNCTION("""COMPUTED_VALUE"""),115.7579)</f>
        <v>115.7579</v>
      </c>
      <c r="M17" s="15">
        <f>IFERROR(__xludf.DUMMYFUNCTION("""COMPUTED_VALUE"""),594.7)</f>
        <v>594.7</v>
      </c>
      <c r="N17" s="17">
        <f>IFERROR(__xludf.DUMMYFUNCTION("""COMPUTED_VALUE"""),2909.7)</f>
        <v>2909.7</v>
      </c>
      <c r="O17" s="31">
        <f>IFERROR(__xludf.DUMMYFUNCTION("""COMPUTED_VALUE"""),267979.5385)</f>
        <v>267979.5385</v>
      </c>
      <c r="P17" s="20">
        <f>IFERROR(__xludf.DUMMYFUNCTION("""COMPUTED_VALUE"""),954.5)</f>
        <v>954.5</v>
      </c>
      <c r="Q17" s="181">
        <f>IFERROR(__xludf.DUMMYFUNCTION("""COMPUTED_VALUE"""),72.12281103195392)</f>
        <v>72.12281103</v>
      </c>
      <c r="R17" s="32">
        <f>IFERROR(__xludf.DUMMYFUNCTION("""COMPUTED_VALUE"""),68841.22313000001)</f>
        <v>68841.22313</v>
      </c>
      <c r="S17" s="84">
        <f>IFERROR(__xludf.DUMMYFUNCTION("""COMPUTED_VALUE"""),1465.0)</f>
        <v>1465</v>
      </c>
      <c r="T17" s="34">
        <f>IFERROR(__xludf.DUMMYFUNCTION("""COMPUTED_VALUE"""),134188.09606550186)</f>
        <v>134188.0961</v>
      </c>
      <c r="U17" s="35">
        <f>IFERROR(__xludf.DUMMYFUNCTION("""COMPUTED_VALUE"""),118.94000000000001)</f>
        <v>118.94</v>
      </c>
      <c r="V17" s="36">
        <f>IFERROR(__xludf.DUMMYFUNCTION("""COMPUTED_VALUE"""),5.406363636363637)</f>
        <v>5.406363636</v>
      </c>
      <c r="W17" s="37">
        <f>IFERROR(__xludf.DUMMYFUNCTION("""COMPUTED_VALUE"""),0.20438533182114998)</f>
        <v>0.2043853318</v>
      </c>
      <c r="X17" s="31">
        <f>IFERROR(__xludf.DUMMYFUNCTION("""COMPUTED_VALUE"""),336820.76163)</f>
        <v>336820.7616</v>
      </c>
      <c r="Y17" s="186"/>
      <c r="Z17" s="187"/>
      <c r="AA17" s="188"/>
      <c r="AB17" s="188"/>
      <c r="AC17" s="189"/>
    </row>
    <row r="18" ht="15.75" customHeight="1">
      <c r="A18" s="26">
        <f>IFERROR(__xludf.DUMMYFUNCTION("""COMPUTED_VALUE"""),45444.0)</f>
        <v>45444</v>
      </c>
      <c r="B18" s="28">
        <f>IFERROR(__xludf.DUMMYFUNCTION("""COMPUTED_VALUE"""),5352763.0)</f>
        <v>5352763</v>
      </c>
      <c r="C18" s="28" t="str">
        <f>IFERROR(__xludf.DUMMYFUNCTION("""COMPUTED_VALUE"""),"Imac-RdelaF")</f>
        <v>Imac-RdelaF</v>
      </c>
      <c r="D18" s="29">
        <f>IFERROR(__xludf.DUMMYFUNCTION("""COMPUTED_VALUE"""),0.27)</f>
        <v>0.27</v>
      </c>
      <c r="E18" s="17">
        <f>IFERROR(__xludf.DUMMYFUNCTION("""COMPUTED_VALUE"""),1928.0)</f>
        <v>1928</v>
      </c>
      <c r="F18" s="17">
        <f>IFERROR(__xludf.DUMMYFUNCTION("""COMPUTED_VALUE"""),456.0)</f>
        <v>456</v>
      </c>
      <c r="G18" s="17">
        <f>IFERROR(__xludf.DUMMYFUNCTION("""COMPUTED_VALUE"""),353.0)</f>
        <v>353</v>
      </c>
      <c r="H18" s="17">
        <f>IFERROR(__xludf.DUMMYFUNCTION("""COMPUTED_VALUE"""),1119.0)</f>
        <v>1119</v>
      </c>
      <c r="I18" s="28" t="str">
        <f>IFERROR(__xludf.DUMMYFUNCTION("""COMPUTED_VALUE"""),"T2-Ba")</f>
        <v>T2-Ba</v>
      </c>
      <c r="J18" s="30">
        <f>IFERROR(__xludf.DUMMYFUNCTION("""COMPUTED_VALUE"""),111.2306)</f>
        <v>111.2306</v>
      </c>
      <c r="K18" s="30">
        <f>IFERROR(__xludf.DUMMYFUNCTION("""COMPUTED_VALUE"""),111.2306)</f>
        <v>111.2306</v>
      </c>
      <c r="L18" s="30">
        <f>IFERROR(__xludf.DUMMYFUNCTION("""COMPUTED_VALUE"""),111.2306)</f>
        <v>111.2306</v>
      </c>
      <c r="M18" s="15">
        <f>IFERROR(__xludf.DUMMYFUNCTION("""COMPUTED_VALUE"""),509.7)</f>
        <v>509.7</v>
      </c>
      <c r="N18" s="17">
        <f>IFERROR(__xludf.DUMMYFUNCTION("""COMPUTED_VALUE"""),2437.7)</f>
        <v>2437.7</v>
      </c>
      <c r="O18" s="31">
        <f>IFERROR(__xludf.DUMMYFUNCTION("""COMPUTED_VALUE"""),214452.5968)</f>
        <v>214452.5968</v>
      </c>
      <c r="P18" s="20">
        <f>IFERROR(__xludf.DUMMYFUNCTION("""COMPUTED_VALUE"""),934.0)</f>
        <v>934</v>
      </c>
      <c r="Q18" s="181">
        <f>IFERROR(__xludf.DUMMYFUNCTION("""COMPUTED_VALUE"""),60.700467687366164)</f>
        <v>60.70046769</v>
      </c>
      <c r="R18" s="32">
        <f>IFERROR(__xludf.DUMMYFUNCTION("""COMPUTED_VALUE"""),56694.23682)</f>
        <v>56694.23682</v>
      </c>
      <c r="S18" s="84">
        <f>IFERROR(__xludf.DUMMYFUNCTION("""COMPUTED_VALUE"""),1465.0)</f>
        <v>1465</v>
      </c>
      <c r="T18" s="34">
        <f>IFERROR(__xludf.DUMMYFUNCTION("""COMPUTED_VALUE"""),112936.25515572912)</f>
        <v>112936.2552</v>
      </c>
      <c r="U18" s="35">
        <f>IFERROR(__xludf.DUMMYFUNCTION("""COMPUTED_VALUE"""),101.94)</f>
        <v>101.94</v>
      </c>
      <c r="V18" s="36">
        <f>IFERROR(__xludf.DUMMYFUNCTION("""COMPUTED_VALUE"""),4.633636363636364)</f>
        <v>4.633636364</v>
      </c>
      <c r="W18" s="37">
        <f>IFERROR(__xludf.DUMMYFUNCTION("""COMPUTED_VALUE"""),0.2090905361611355)</f>
        <v>0.2090905362</v>
      </c>
      <c r="X18" s="31">
        <f>IFERROR(__xludf.DUMMYFUNCTION("""COMPUTED_VALUE"""),271146.83362)</f>
        <v>271146.8336</v>
      </c>
      <c r="Y18" s="186"/>
      <c r="Z18" s="187"/>
      <c r="AA18" s="188"/>
      <c r="AB18" s="188"/>
      <c r="AC18" s="189"/>
    </row>
    <row r="19" ht="15.75" customHeight="1">
      <c r="A19" s="26">
        <f>IFERROR(__xludf.DUMMYFUNCTION("""COMPUTED_VALUE"""),45417.0)</f>
        <v>45417</v>
      </c>
      <c r="B19" s="28">
        <f>IFERROR(__xludf.DUMMYFUNCTION("""COMPUTED_VALUE"""),5352763.0)</f>
        <v>5352763</v>
      </c>
      <c r="C19" s="28" t="str">
        <f>IFERROR(__xludf.DUMMYFUNCTION("""COMPUTED_VALUE"""),"Imac-RdelaF")</f>
        <v>Imac-RdelaF</v>
      </c>
      <c r="D19" s="29">
        <f>IFERROR(__xludf.DUMMYFUNCTION("""COMPUTED_VALUE"""),0.27)</f>
        <v>0.27</v>
      </c>
      <c r="E19" s="17">
        <f>IFERROR(__xludf.DUMMYFUNCTION("""COMPUTED_VALUE"""),2669.0)</f>
        <v>2669</v>
      </c>
      <c r="F19" s="17">
        <f>IFERROR(__xludf.DUMMYFUNCTION("""COMPUTED_VALUE"""),575.0)</f>
        <v>575</v>
      </c>
      <c r="G19" s="17">
        <f>IFERROR(__xludf.DUMMYFUNCTION("""COMPUTED_VALUE"""),372.0)</f>
        <v>372</v>
      </c>
      <c r="H19" s="17">
        <f>IFERROR(__xludf.DUMMYFUNCTION("""COMPUTED_VALUE"""),1722.0)</f>
        <v>1722</v>
      </c>
      <c r="I19" s="28" t="str">
        <f>IFERROR(__xludf.DUMMYFUNCTION("""COMPUTED_VALUE"""),"T2-Ba")</f>
        <v>T2-Ba</v>
      </c>
      <c r="J19" s="30">
        <f>IFERROR(__xludf.DUMMYFUNCTION("""COMPUTED_VALUE"""),87.0149)</f>
        <v>87.0149</v>
      </c>
      <c r="K19" s="30">
        <f>IFERROR(__xludf.DUMMYFUNCTION("""COMPUTED_VALUE"""),87.0149)</f>
        <v>87.0149</v>
      </c>
      <c r="L19" s="30">
        <f>IFERROR(__xludf.DUMMYFUNCTION("""COMPUTED_VALUE"""),87.0149)</f>
        <v>87.0149</v>
      </c>
      <c r="M19" s="15">
        <f>IFERROR(__xludf.DUMMYFUNCTION("""COMPUTED_VALUE"""),429.7)</f>
        <v>429.7</v>
      </c>
      <c r="N19" s="17">
        <f>IFERROR(__xludf.DUMMYFUNCTION("""COMPUTED_VALUE"""),3098.7)</f>
        <v>3098.7</v>
      </c>
      <c r="O19" s="31">
        <f>IFERROR(__xludf.DUMMYFUNCTION("""COMPUTED_VALUE"""),232242.7681)</f>
        <v>232242.7681</v>
      </c>
      <c r="P19" s="20">
        <f>IFERROR(__xludf.DUMMYFUNCTION("""COMPUTED_VALUE"""),918.0)</f>
        <v>918</v>
      </c>
      <c r="Q19" s="181">
        <f>IFERROR(__xludf.DUMMYFUNCTION("""COMPUTED_VALUE"""),40.73017704793028)</f>
        <v>40.73017705</v>
      </c>
      <c r="R19" s="32">
        <f>IFERROR(__xludf.DUMMYFUNCTION("""COMPUTED_VALUE"""),37390.30253)</f>
        <v>37390.30253</v>
      </c>
      <c r="S19" s="84">
        <f>IFERROR(__xludf.DUMMYFUNCTION("""COMPUTED_VALUE"""),1465.0)</f>
        <v>1465</v>
      </c>
      <c r="T19" s="34">
        <f>IFERROR(__xludf.DUMMYFUNCTION("""COMPUTED_VALUE"""),75780.53090652669)</f>
        <v>75780.53091</v>
      </c>
      <c r="U19" s="35">
        <f>IFERROR(__xludf.DUMMYFUNCTION("""COMPUTED_VALUE"""),85.94)</f>
        <v>85.94</v>
      </c>
      <c r="V19" s="36">
        <f>IFERROR(__xludf.DUMMYFUNCTION("""COMPUTED_VALUE"""),3.9063636363636363)</f>
        <v>3.906363636</v>
      </c>
      <c r="W19" s="37">
        <f>IFERROR(__xludf.DUMMYFUNCTION("""COMPUTED_VALUE"""),0.13867105560396298)</f>
        <v>0.1386710556</v>
      </c>
      <c r="X19" s="31">
        <f>IFERROR(__xludf.DUMMYFUNCTION("""COMPUTED_VALUE"""),269633.07063)</f>
        <v>269633.0706</v>
      </c>
      <c r="Y19" s="191"/>
    </row>
    <row r="20" ht="15.75" customHeight="1">
      <c r="A20" s="192">
        <f>IFERROR(__xludf.DUMMYFUNCTION("""COMPUTED_VALUE"""),45383.0)</f>
        <v>45383</v>
      </c>
      <c r="B20" s="193">
        <f>IFERROR(__xludf.DUMMYFUNCTION("""COMPUTED_VALUE"""),5352763.0)</f>
        <v>5352763</v>
      </c>
      <c r="C20" s="194" t="str">
        <f>IFERROR(__xludf.DUMMYFUNCTION("""COMPUTED_VALUE"""),"Imac-RdelaF")</f>
        <v>Imac-RdelaF</v>
      </c>
      <c r="D20" s="152">
        <f>IFERROR(__xludf.DUMMYFUNCTION("""COMPUTED_VALUE"""),0.27)</f>
        <v>0.27</v>
      </c>
      <c r="E20" s="153">
        <f>IFERROR(__xludf.DUMMYFUNCTION("""COMPUTED_VALUE"""),1762.0)</f>
        <v>1762</v>
      </c>
      <c r="F20" s="153">
        <f>IFERROR(__xludf.DUMMYFUNCTION("""COMPUTED_VALUE"""),454.0)</f>
        <v>454</v>
      </c>
      <c r="G20" s="153">
        <f>IFERROR(__xludf.DUMMYFUNCTION("""COMPUTED_VALUE"""),382.0)</f>
        <v>382</v>
      </c>
      <c r="H20" s="153">
        <f>IFERROR(__xludf.DUMMYFUNCTION("""COMPUTED_VALUE"""),926.0)</f>
        <v>926</v>
      </c>
      <c r="I20" s="151" t="str">
        <f>IFERROR(__xludf.DUMMYFUNCTION("""COMPUTED_VALUE"""),"T4-Ba")</f>
        <v>T4-Ba</v>
      </c>
      <c r="J20" s="154">
        <f>IFERROR(__xludf.DUMMYFUNCTION("""COMPUTED_VALUE"""),87.755)</f>
        <v>87.755</v>
      </c>
      <c r="K20" s="154">
        <f>IFERROR(__xludf.DUMMYFUNCTION("""COMPUTED_VALUE"""),87.755)</f>
        <v>87.755</v>
      </c>
      <c r="L20" s="154">
        <f>IFERROR(__xludf.DUMMYFUNCTION("""COMPUTED_VALUE"""),87.755)</f>
        <v>87.755</v>
      </c>
      <c r="M20" s="152">
        <f>IFERROR(__xludf.DUMMYFUNCTION("""COMPUTED_VALUE"""),466.6)</f>
        <v>466.6</v>
      </c>
      <c r="N20" s="152">
        <f>IFERROR(__xludf.DUMMYFUNCTION("""COMPUTED_VALUE"""),2228.6)</f>
        <v>2228.6</v>
      </c>
      <c r="O20" s="154">
        <f>IFERROR(__xludf.DUMMYFUNCTION("""COMPUTED_VALUE"""),154624.31)</f>
        <v>154624.31</v>
      </c>
      <c r="P20" s="154">
        <f>IFERROR(__xludf.DUMMYFUNCTION("""COMPUTED_VALUE"""),899.0)</f>
        <v>899</v>
      </c>
      <c r="Q20" s="195">
        <f>IFERROR(__xludf.DUMMYFUNCTION("""COMPUTED_VALUE"""),45.546699666295886)</f>
        <v>45.54669967</v>
      </c>
      <c r="R20" s="154">
        <f>IFERROR(__xludf.DUMMYFUNCTION("""COMPUTED_VALUE"""),40946.483)</f>
        <v>40946.483</v>
      </c>
      <c r="S20" s="196">
        <f>IFERROR(__xludf.DUMMYFUNCTION("""COMPUTED_VALUE"""),1465.0)</f>
        <v>1465</v>
      </c>
      <c r="T20" s="196">
        <f>IFERROR(__xludf.DUMMYFUNCTION("""COMPUTED_VALUE"""),84741.91206412682)</f>
        <v>84741.91206</v>
      </c>
      <c r="U20" s="152">
        <f>IFERROR(__xludf.DUMMYFUNCTION("""COMPUTED_VALUE"""),93.32000000000001)</f>
        <v>93.32</v>
      </c>
      <c r="V20" s="152">
        <f>IFERROR(__xludf.DUMMYFUNCTION("""COMPUTED_VALUE"""),4.241818181818182)</f>
        <v>4.241818182</v>
      </c>
      <c r="W20" s="157">
        <f>IFERROR(__xludf.DUMMYFUNCTION("""COMPUTED_VALUE"""),0.20936911065242755)</f>
        <v>0.2093691107</v>
      </c>
      <c r="X20" s="197">
        <f>IFERROR(__xludf.DUMMYFUNCTION("""COMPUTED_VALUE"""),195570.793)</f>
        <v>195570.793</v>
      </c>
      <c r="Y20" s="191"/>
    </row>
    <row r="21" ht="15.75" customHeight="1">
      <c r="A21" s="192">
        <f>IFERROR(__xludf.DUMMYFUNCTION("""COMPUTED_VALUE"""),45352.0)</f>
        <v>45352</v>
      </c>
      <c r="B21" s="193">
        <f>IFERROR(__xludf.DUMMYFUNCTION("""COMPUTED_VALUE"""),5352763.0)</f>
        <v>5352763</v>
      </c>
      <c r="C21" s="194" t="str">
        <f>IFERROR(__xludf.DUMMYFUNCTION("""COMPUTED_VALUE"""),"Imac-RdelaF")</f>
        <v>Imac-RdelaF</v>
      </c>
      <c r="D21" s="152">
        <f>IFERROR(__xludf.DUMMYFUNCTION("""COMPUTED_VALUE"""),0.27)</f>
        <v>0.27</v>
      </c>
      <c r="E21" s="153">
        <f>IFERROR(__xludf.DUMMYFUNCTION("""COMPUTED_VALUE"""),2799.0)</f>
        <v>2799</v>
      </c>
      <c r="F21" s="153">
        <f>IFERROR(__xludf.DUMMYFUNCTION("""COMPUTED_VALUE"""),728.0)</f>
        <v>728</v>
      </c>
      <c r="G21" s="153">
        <f>IFERROR(__xludf.DUMMYFUNCTION("""COMPUTED_VALUE"""),395.0)</f>
        <v>395</v>
      </c>
      <c r="H21" s="153">
        <f>IFERROR(__xludf.DUMMYFUNCTION("""COMPUTED_VALUE"""),1676.0)</f>
        <v>1676</v>
      </c>
      <c r="I21" s="151" t="str">
        <f>IFERROR(__xludf.DUMMYFUNCTION("""COMPUTED_VALUE"""),"T4-Ba")</f>
        <v>T4-Ba</v>
      </c>
      <c r="J21" s="154">
        <f>IFERROR(__xludf.DUMMYFUNCTION("""COMPUTED_VALUE"""),85.7757)</f>
        <v>85.7757</v>
      </c>
      <c r="K21" s="154">
        <f>IFERROR(__xludf.DUMMYFUNCTION("""COMPUTED_VALUE"""),85.7757)</f>
        <v>85.7757</v>
      </c>
      <c r="L21" s="154">
        <f>IFERROR(__xludf.DUMMYFUNCTION("""COMPUTED_VALUE"""),85.7757)</f>
        <v>85.7757</v>
      </c>
      <c r="M21" s="152">
        <f>IFERROR(__xludf.DUMMYFUNCTION("""COMPUTED_VALUE"""),657.6)</f>
        <v>657.6</v>
      </c>
      <c r="N21" s="152">
        <f>IFERROR(__xludf.DUMMYFUNCTION("""COMPUTED_VALUE"""),3456.6)</f>
        <v>3456.6</v>
      </c>
      <c r="O21" s="154">
        <f>IFERROR(__xludf.DUMMYFUNCTION("""COMPUTED_VALUE"""),240086.18430000002)</f>
        <v>240086.1843</v>
      </c>
      <c r="P21" s="154">
        <f>IFERROR(__xludf.DUMMYFUNCTION("""COMPUTED_VALUE"""),881.5)</f>
        <v>881.5</v>
      </c>
      <c r="Q21" s="195">
        <f>IFERROR(__xludf.DUMMYFUNCTION("""COMPUTED_VALUE"""),63.98876950652298)</f>
        <v>63.98876951</v>
      </c>
      <c r="R21" s="154">
        <f>IFERROR(__xludf.DUMMYFUNCTION("""COMPUTED_VALUE"""),56406.100320000005)</f>
        <v>56406.10032</v>
      </c>
      <c r="S21" s="196">
        <f>IFERROR(__xludf.DUMMYFUNCTION("""COMPUTED_VALUE"""),1465.0)</f>
        <v>1465</v>
      </c>
      <c r="T21" s="196">
        <f>IFERROR(__xludf.DUMMYFUNCTION("""COMPUTED_VALUE"""),119054.30510536133)</f>
        <v>119054.3051</v>
      </c>
      <c r="U21" s="152">
        <f>IFERROR(__xludf.DUMMYFUNCTION("""COMPUTED_VALUE"""),131.52)</f>
        <v>131.52</v>
      </c>
      <c r="V21" s="152">
        <f>IFERROR(__xludf.DUMMYFUNCTION("""COMPUTED_VALUE"""),5.9781818181818185)</f>
        <v>5.978181818</v>
      </c>
      <c r="W21" s="157">
        <f>IFERROR(__xludf.DUMMYFUNCTION("""COMPUTED_VALUE"""),0.19024474917549036)</f>
        <v>0.1902447492</v>
      </c>
      <c r="X21" s="197">
        <f>IFERROR(__xludf.DUMMYFUNCTION("""COMPUTED_VALUE"""),296492.28462000005)</f>
        <v>296492.2846</v>
      </c>
      <c r="Y21" s="191"/>
    </row>
    <row r="22" ht="15.75" customHeight="1">
      <c r="A22" s="192">
        <f>IFERROR(__xludf.DUMMYFUNCTION("""COMPUTED_VALUE"""),45323.0)</f>
        <v>45323</v>
      </c>
      <c r="B22" s="193">
        <f>IFERROR(__xludf.DUMMYFUNCTION("""COMPUTED_VALUE"""),5352763.0)</f>
        <v>5352763</v>
      </c>
      <c r="C22" s="194" t="str">
        <f>IFERROR(__xludf.DUMMYFUNCTION("""COMPUTED_VALUE"""),"Imac-RdelaF")</f>
        <v>Imac-RdelaF</v>
      </c>
      <c r="D22" s="152">
        <f>IFERROR(__xludf.DUMMYFUNCTION("""COMPUTED_VALUE"""),0.27)</f>
        <v>0.27</v>
      </c>
      <c r="E22" s="153">
        <f>IFERROR(__xludf.DUMMYFUNCTION("""COMPUTED_VALUE"""),2749.0)</f>
        <v>2749</v>
      </c>
      <c r="F22" s="153">
        <f>IFERROR(__xludf.DUMMYFUNCTION("""COMPUTED_VALUE"""),615.0)</f>
        <v>615</v>
      </c>
      <c r="G22" s="153">
        <f>IFERROR(__xludf.DUMMYFUNCTION("""COMPUTED_VALUE"""),353.0)</f>
        <v>353</v>
      </c>
      <c r="H22" s="153">
        <f>IFERROR(__xludf.DUMMYFUNCTION("""COMPUTED_VALUE"""),1781.0)</f>
        <v>1781</v>
      </c>
      <c r="I22" s="151" t="str">
        <f>IFERROR(__xludf.DUMMYFUNCTION("""COMPUTED_VALUE"""),"T4-Ba")</f>
        <v>T4-Ba</v>
      </c>
      <c r="J22" s="154">
        <f>IFERROR(__xludf.DUMMYFUNCTION("""COMPUTED_VALUE"""),85.7757)</f>
        <v>85.7757</v>
      </c>
      <c r="K22" s="154">
        <f>IFERROR(__xludf.DUMMYFUNCTION("""COMPUTED_VALUE"""),85.7757)</f>
        <v>85.7757</v>
      </c>
      <c r="L22" s="154">
        <f>IFERROR(__xludf.DUMMYFUNCTION("""COMPUTED_VALUE"""),85.7757)</f>
        <v>85.7757</v>
      </c>
      <c r="M22" s="152">
        <f>IFERROR(__xludf.DUMMYFUNCTION("""COMPUTED_VALUE"""),600.5)</f>
        <v>600.5</v>
      </c>
      <c r="N22" s="152">
        <f>IFERROR(__xludf.DUMMYFUNCTION("""COMPUTED_VALUE"""),3349.5)</f>
        <v>3349.5</v>
      </c>
      <c r="O22" s="154">
        <f>IFERROR(__xludf.DUMMYFUNCTION("""COMPUTED_VALUE"""),235797.39930000002)</f>
        <v>235797.3993</v>
      </c>
      <c r="P22" s="154">
        <f>IFERROR(__xludf.DUMMYFUNCTION("""COMPUTED_VALUE"""),863.0)</f>
        <v>863</v>
      </c>
      <c r="Q22" s="195">
        <f>IFERROR(__xludf.DUMMYFUNCTION("""COMPUTED_VALUE"""),59.685177114716105)</f>
        <v>59.68517711</v>
      </c>
      <c r="R22" s="154">
        <f>IFERROR(__xludf.DUMMYFUNCTION("""COMPUTED_VALUE"""),51508.30785)</f>
        <v>51508.30785</v>
      </c>
      <c r="S22" s="196">
        <f>IFERROR(__xludf.DUMMYFUNCTION("""COMPUTED_VALUE"""),1465.0)</f>
        <v>1465</v>
      </c>
      <c r="T22" s="196">
        <f>IFERROR(__xludf.DUMMYFUNCTION("""COMPUTED_VALUE"""),111047.25628078505)</f>
        <v>111047.2563</v>
      </c>
      <c r="U22" s="152">
        <f>IFERROR(__xludf.DUMMYFUNCTION("""COMPUTED_VALUE"""),120.10000000000001)</f>
        <v>120.1</v>
      </c>
      <c r="V22" s="152">
        <f>IFERROR(__xludf.DUMMYFUNCTION("""COMPUTED_VALUE"""),5.45909090909091)</f>
        <v>5.459090909</v>
      </c>
      <c r="W22" s="157">
        <f>IFERROR(__xludf.DUMMYFUNCTION("""COMPUTED_VALUE"""),0.17928048962531717)</f>
        <v>0.1792804896</v>
      </c>
      <c r="X22" s="197">
        <f>IFERROR(__xludf.DUMMYFUNCTION("""COMPUTED_VALUE"""),287305.70715000003)</f>
        <v>287305.7072</v>
      </c>
      <c r="Y22" s="191"/>
    </row>
    <row r="23" ht="15.75" customHeight="1">
      <c r="A23" s="192">
        <f>IFERROR(__xludf.DUMMYFUNCTION("""COMPUTED_VALUE"""),45292.0)</f>
        <v>45292</v>
      </c>
      <c r="B23" s="193">
        <f>IFERROR(__xludf.DUMMYFUNCTION("""COMPUTED_VALUE"""),5352763.0)</f>
        <v>5352763</v>
      </c>
      <c r="C23" s="194" t="str">
        <f>IFERROR(__xludf.DUMMYFUNCTION("""COMPUTED_VALUE"""),"Imac-RdelaF")</f>
        <v>Imac-RdelaF</v>
      </c>
      <c r="D23" s="152">
        <f>IFERROR(__xludf.DUMMYFUNCTION("""COMPUTED_VALUE"""),0.27)</f>
        <v>0.27</v>
      </c>
      <c r="E23" s="153">
        <f>IFERROR(__xludf.DUMMYFUNCTION("""COMPUTED_VALUE"""),2830.0)</f>
        <v>2830</v>
      </c>
      <c r="F23" s="153">
        <f>IFERROR(__xludf.DUMMYFUNCTION("""COMPUTED_VALUE"""),759.0)</f>
        <v>759</v>
      </c>
      <c r="G23" s="153">
        <f>IFERROR(__xludf.DUMMYFUNCTION("""COMPUTED_VALUE"""),422.0)</f>
        <v>422</v>
      </c>
      <c r="H23" s="153">
        <f>IFERROR(__xludf.DUMMYFUNCTION("""COMPUTED_VALUE"""),1649.0)</f>
        <v>1649</v>
      </c>
      <c r="I23" s="151" t="str">
        <f>IFERROR(__xludf.DUMMYFUNCTION("""COMPUTED_VALUE"""),"T4-Ba")</f>
        <v>T4-Ba</v>
      </c>
      <c r="J23" s="154">
        <f>IFERROR(__xludf.DUMMYFUNCTION("""COMPUTED_VALUE"""),33.6851)</f>
        <v>33.6851</v>
      </c>
      <c r="K23" s="154">
        <f>IFERROR(__xludf.DUMMYFUNCTION("""COMPUTED_VALUE"""),33.6851)</f>
        <v>33.6851</v>
      </c>
      <c r="L23" s="154">
        <f>IFERROR(__xludf.DUMMYFUNCTION("""COMPUTED_VALUE"""),33.6851)</f>
        <v>33.6851</v>
      </c>
      <c r="M23" s="152">
        <f>IFERROR(__xludf.DUMMYFUNCTION("""COMPUTED_VALUE"""),873.7)</f>
        <v>873.7</v>
      </c>
      <c r="N23" s="152">
        <f>IFERROR(__xludf.DUMMYFUNCTION("""COMPUTED_VALUE"""),3703.7)</f>
        <v>3703.7</v>
      </c>
      <c r="O23" s="154">
        <f>IFERROR(__xludf.DUMMYFUNCTION("""COMPUTED_VALUE"""),95328.83299999998)</f>
        <v>95328.833</v>
      </c>
      <c r="P23" s="154">
        <f>IFERROR(__xludf.DUMMYFUNCTION("""COMPUTED_VALUE"""),848.0)</f>
        <v>848</v>
      </c>
      <c r="Q23" s="195">
        <f>IFERROR(__xludf.DUMMYFUNCTION("""COMPUTED_VALUE"""),34.70598097877359)</f>
        <v>34.70598098</v>
      </c>
      <c r="R23" s="154">
        <f>IFERROR(__xludf.DUMMYFUNCTION("""COMPUTED_VALUE"""),29430.671870000002)</f>
        <v>29430.67187</v>
      </c>
      <c r="S23" s="196">
        <f>IFERROR(__xludf.DUMMYFUNCTION("""COMPUTED_VALUE"""),1465.0)</f>
        <v>1465</v>
      </c>
      <c r="T23" s="196">
        <f>IFERROR(__xludf.DUMMYFUNCTION("""COMPUTED_VALUE"""),64572.2129100572)</f>
        <v>64572.21291</v>
      </c>
      <c r="U23" s="152">
        <f>IFERROR(__xludf.DUMMYFUNCTION("""COMPUTED_VALUE"""),174.74)</f>
        <v>174.74</v>
      </c>
      <c r="V23" s="152">
        <f>IFERROR(__xludf.DUMMYFUNCTION("""COMPUTED_VALUE"""),7.942727272727273)</f>
        <v>7.942727273</v>
      </c>
      <c r="W23" s="157">
        <f>IFERROR(__xludf.DUMMYFUNCTION("""COMPUTED_VALUE"""),0.2358992358992359)</f>
        <v>0.2358992359</v>
      </c>
      <c r="X23" s="197">
        <f>IFERROR(__xludf.DUMMYFUNCTION("""COMPUTED_VALUE"""),124759.50486999999)</f>
        <v>124759.5049</v>
      </c>
      <c r="Y23" s="191"/>
    </row>
    <row r="24" ht="15.75" customHeight="1">
      <c r="A24" s="189"/>
      <c r="B24" s="193"/>
      <c r="C24" s="194"/>
      <c r="N24" s="152"/>
      <c r="Q24" s="195"/>
      <c r="S24" s="196"/>
      <c r="T24" s="196"/>
      <c r="U24" s="152"/>
      <c r="V24" s="152"/>
      <c r="W24" s="157"/>
      <c r="X24" s="197"/>
      <c r="Y24" s="198"/>
    </row>
    <row r="25" ht="15.75" customHeight="1">
      <c r="A25" s="189"/>
      <c r="B25" s="193"/>
      <c r="C25" s="194"/>
      <c r="N25" s="152"/>
      <c r="Q25" s="195"/>
      <c r="S25" s="196"/>
      <c r="T25" s="196"/>
      <c r="U25" s="152"/>
      <c r="V25" s="152"/>
      <c r="W25" s="157"/>
      <c r="X25" s="197"/>
      <c r="Y25" s="198"/>
    </row>
    <row r="26" ht="15.75" customHeight="1">
      <c r="A26" s="189"/>
      <c r="B26" s="193"/>
      <c r="C26" s="194"/>
      <c r="N26" s="152"/>
      <c r="Q26" s="195"/>
      <c r="S26" s="196"/>
      <c r="T26" s="196"/>
      <c r="U26" s="152"/>
      <c r="V26" s="152"/>
      <c r="W26" s="157"/>
      <c r="X26" s="197"/>
      <c r="Y26" s="198"/>
    </row>
    <row r="27" ht="15.75" customHeight="1">
      <c r="A27" s="189"/>
      <c r="B27" s="193"/>
      <c r="C27" s="194"/>
      <c r="N27" s="152"/>
      <c r="Q27" s="195"/>
      <c r="S27" s="196"/>
      <c r="T27" s="196"/>
      <c r="U27" s="152"/>
      <c r="V27" s="152"/>
      <c r="W27" s="157"/>
      <c r="X27" s="197"/>
      <c r="Y27" s="198"/>
    </row>
    <row r="28" ht="15.75" customHeight="1">
      <c r="A28" s="189"/>
      <c r="B28" s="193"/>
      <c r="C28" s="194"/>
      <c r="N28" s="152"/>
      <c r="Q28" s="195"/>
      <c r="S28" s="196"/>
      <c r="T28" s="196"/>
      <c r="U28" s="152"/>
      <c r="V28" s="152"/>
      <c r="W28" s="157"/>
      <c r="X28" s="197"/>
      <c r="Y28" s="198"/>
    </row>
    <row r="29" ht="15.75" customHeight="1">
      <c r="A29" s="189"/>
      <c r="B29" s="193"/>
      <c r="C29" s="194"/>
      <c r="N29" s="152"/>
      <c r="Q29" s="195"/>
      <c r="S29" s="196"/>
      <c r="T29" s="196"/>
      <c r="U29" s="152"/>
      <c r="V29" s="152"/>
      <c r="W29" s="157"/>
      <c r="X29" s="197"/>
      <c r="Y29" s="198"/>
    </row>
    <row r="30" ht="15.75" customHeight="1">
      <c r="A30" s="189"/>
      <c r="B30" s="193"/>
      <c r="C30" s="194"/>
      <c r="N30" s="152"/>
      <c r="Q30" s="195"/>
      <c r="S30" s="196"/>
      <c r="T30" s="196"/>
      <c r="U30" s="152"/>
      <c r="V30" s="152"/>
      <c r="W30" s="157"/>
      <c r="X30" s="197"/>
      <c r="Y30" s="198"/>
    </row>
    <row r="31" ht="15.75" customHeight="1">
      <c r="A31" s="189"/>
      <c r="B31" s="193"/>
      <c r="C31" s="194"/>
      <c r="N31" s="152"/>
      <c r="Q31" s="195"/>
      <c r="S31" s="196"/>
      <c r="T31" s="196"/>
      <c r="U31" s="152"/>
      <c r="V31" s="152"/>
      <c r="W31" s="157"/>
      <c r="X31" s="197"/>
      <c r="Y31" s="198"/>
    </row>
    <row r="32" ht="15.75" customHeight="1">
      <c r="A32" s="189"/>
      <c r="B32" s="193"/>
      <c r="C32" s="194"/>
      <c r="N32" s="152"/>
      <c r="Q32" s="195"/>
      <c r="S32" s="196"/>
      <c r="T32" s="196"/>
      <c r="U32" s="152"/>
      <c r="V32" s="152"/>
      <c r="W32" s="157"/>
      <c r="X32" s="197"/>
      <c r="Y32" s="198"/>
    </row>
    <row r="33" ht="15.75" customHeight="1">
      <c r="A33" s="189"/>
      <c r="B33" s="193"/>
      <c r="C33" s="194"/>
      <c r="N33" s="152"/>
      <c r="Q33" s="195"/>
      <c r="S33" s="196"/>
      <c r="T33" s="196"/>
      <c r="U33" s="152"/>
      <c r="V33" s="152"/>
      <c r="W33" s="157"/>
      <c r="X33" s="197"/>
      <c r="Y33" s="198"/>
    </row>
    <row r="34" ht="15.75" customHeight="1">
      <c r="A34" s="189"/>
      <c r="B34" s="193"/>
      <c r="C34" s="194"/>
      <c r="N34" s="152"/>
      <c r="Q34" s="195"/>
      <c r="S34" s="196"/>
      <c r="T34" s="196"/>
      <c r="U34" s="152"/>
      <c r="V34" s="152"/>
      <c r="W34" s="157"/>
      <c r="X34" s="197"/>
      <c r="Y34" s="198"/>
    </row>
    <row r="35" ht="15.75" customHeight="1">
      <c r="A35" s="189"/>
      <c r="B35" s="193"/>
      <c r="C35" s="194"/>
      <c r="N35" s="152"/>
      <c r="Q35" s="195"/>
      <c r="S35" s="196"/>
      <c r="T35" s="196"/>
      <c r="U35" s="152"/>
      <c r="V35" s="152"/>
      <c r="W35" s="157"/>
      <c r="X35" s="197"/>
      <c r="Y35" s="198"/>
    </row>
    <row r="36" ht="15.75" customHeight="1">
      <c r="A36" s="189"/>
      <c r="B36" s="193"/>
      <c r="C36" s="194"/>
      <c r="N36" s="152"/>
      <c r="Q36" s="195"/>
      <c r="S36" s="196"/>
      <c r="T36" s="196"/>
      <c r="U36" s="152"/>
      <c r="V36" s="152"/>
      <c r="W36" s="157"/>
      <c r="X36" s="197"/>
      <c r="Y36" s="198"/>
    </row>
    <row r="37" ht="15.75" customHeight="1">
      <c r="A37" s="189"/>
      <c r="B37" s="193"/>
      <c r="C37" s="194"/>
      <c r="N37" s="152"/>
      <c r="Q37" s="195"/>
      <c r="S37" s="196"/>
      <c r="T37" s="196"/>
      <c r="U37" s="152"/>
      <c r="V37" s="152"/>
      <c r="W37" s="157"/>
      <c r="X37" s="197"/>
      <c r="Y37" s="198"/>
    </row>
    <row r="38" ht="15.75" customHeight="1">
      <c r="A38" s="189"/>
      <c r="B38" s="193"/>
      <c r="C38" s="194"/>
      <c r="N38" s="152"/>
      <c r="Q38" s="195"/>
      <c r="S38" s="196"/>
      <c r="T38" s="196"/>
      <c r="U38" s="152"/>
      <c r="V38" s="152"/>
      <c r="W38" s="157"/>
      <c r="X38" s="197"/>
      <c r="Y38" s="198"/>
    </row>
    <row r="39" ht="15.75" customHeight="1">
      <c r="A39" s="189"/>
      <c r="B39" s="193"/>
      <c r="C39" s="194"/>
      <c r="N39" s="152"/>
      <c r="Q39" s="195"/>
      <c r="S39" s="196"/>
      <c r="T39" s="196"/>
      <c r="U39" s="152"/>
      <c r="V39" s="152"/>
      <c r="W39" s="157"/>
      <c r="X39" s="197"/>
      <c r="Y39" s="198"/>
    </row>
    <row r="40" ht="15.75" customHeight="1">
      <c r="A40" s="189"/>
      <c r="B40" s="193"/>
      <c r="C40" s="194"/>
      <c r="N40" s="152"/>
      <c r="Q40" s="195"/>
      <c r="S40" s="196"/>
      <c r="T40" s="196"/>
      <c r="U40" s="152"/>
      <c r="V40" s="152"/>
      <c r="W40" s="157"/>
      <c r="X40" s="197"/>
      <c r="Y40" s="198"/>
    </row>
    <row r="41" ht="15.75" customHeight="1">
      <c r="A41" s="189"/>
      <c r="B41" s="193"/>
      <c r="C41" s="194"/>
      <c r="N41" s="152"/>
      <c r="Q41" s="195"/>
      <c r="S41" s="196"/>
      <c r="T41" s="196"/>
      <c r="U41" s="152"/>
      <c r="V41" s="152"/>
      <c r="W41" s="157"/>
      <c r="X41" s="197"/>
      <c r="Y41" s="198"/>
    </row>
    <row r="42" ht="15.75" customHeight="1">
      <c r="A42" s="189"/>
      <c r="B42" s="193"/>
      <c r="C42" s="194"/>
      <c r="N42" s="152"/>
      <c r="Q42" s="195"/>
      <c r="S42" s="196"/>
      <c r="T42" s="196"/>
      <c r="U42" s="152"/>
      <c r="V42" s="152"/>
      <c r="W42" s="157"/>
      <c r="X42" s="197"/>
      <c r="Y42" s="198"/>
    </row>
    <row r="43" ht="15.75" customHeight="1">
      <c r="A43" s="189"/>
      <c r="B43" s="193"/>
      <c r="C43" s="194"/>
      <c r="N43" s="152"/>
      <c r="Q43" s="195"/>
      <c r="S43" s="196"/>
      <c r="T43" s="196"/>
      <c r="U43" s="152"/>
      <c r="V43" s="152"/>
      <c r="W43" s="157"/>
      <c r="X43" s="197"/>
      <c r="Y43" s="198"/>
    </row>
    <row r="44" ht="15.75" customHeight="1">
      <c r="A44" s="189"/>
      <c r="B44" s="193"/>
      <c r="C44" s="194"/>
      <c r="N44" s="152"/>
      <c r="Q44" s="195"/>
      <c r="S44" s="196"/>
      <c r="T44" s="196"/>
      <c r="U44" s="152"/>
      <c r="V44" s="152"/>
      <c r="W44" s="157"/>
      <c r="X44" s="197"/>
      <c r="Y44" s="198"/>
    </row>
    <row r="45" ht="15.75" customHeight="1">
      <c r="A45" s="189"/>
      <c r="B45" s="193"/>
      <c r="C45" s="194"/>
      <c r="N45" s="152"/>
      <c r="Q45" s="195"/>
      <c r="S45" s="196"/>
      <c r="T45" s="196"/>
      <c r="U45" s="152"/>
      <c r="V45" s="152"/>
      <c r="W45" s="157"/>
      <c r="X45" s="197"/>
      <c r="Y45" s="198"/>
    </row>
    <row r="46" ht="15.75" customHeight="1">
      <c r="A46" s="189"/>
      <c r="B46" s="193"/>
      <c r="C46" s="194"/>
      <c r="N46" s="152"/>
      <c r="Q46" s="195"/>
      <c r="S46" s="196"/>
      <c r="T46" s="196"/>
      <c r="U46" s="152"/>
      <c r="V46" s="152"/>
      <c r="W46" s="157"/>
      <c r="X46" s="197"/>
      <c r="Y46" s="198"/>
    </row>
    <row r="47" ht="15.75" customHeight="1">
      <c r="A47" s="189"/>
      <c r="B47" s="193"/>
      <c r="C47" s="194"/>
      <c r="N47" s="152"/>
      <c r="Q47" s="195"/>
      <c r="S47" s="196"/>
      <c r="T47" s="196"/>
      <c r="U47" s="152"/>
      <c r="V47" s="152"/>
      <c r="W47" s="157"/>
      <c r="X47" s="197"/>
      <c r="Y47" s="198"/>
    </row>
    <row r="48" ht="15.75" customHeight="1">
      <c r="A48" s="189"/>
      <c r="B48" s="193"/>
      <c r="C48" s="194"/>
      <c r="N48" s="152"/>
      <c r="Q48" s="195"/>
      <c r="S48" s="196"/>
      <c r="T48" s="196"/>
      <c r="U48" s="152"/>
      <c r="V48" s="152"/>
      <c r="W48" s="157"/>
      <c r="X48" s="197"/>
      <c r="Y48" s="198"/>
    </row>
    <row r="49" ht="15.75" customHeight="1">
      <c r="A49" s="189"/>
      <c r="B49" s="193"/>
      <c r="C49" s="194"/>
      <c r="N49" s="152"/>
      <c r="Q49" s="195"/>
      <c r="S49" s="196"/>
      <c r="T49" s="196"/>
      <c r="U49" s="152"/>
      <c r="V49" s="152"/>
      <c r="W49" s="157"/>
      <c r="X49" s="197"/>
      <c r="Y49" s="198"/>
    </row>
    <row r="50" ht="15.75" customHeight="1">
      <c r="A50" s="189"/>
      <c r="B50" s="193"/>
      <c r="C50" s="194"/>
      <c r="N50" s="152"/>
      <c r="Q50" s="195"/>
      <c r="S50" s="196"/>
      <c r="T50" s="196"/>
      <c r="U50" s="152"/>
      <c r="V50" s="152"/>
      <c r="W50" s="157"/>
      <c r="X50" s="197"/>
      <c r="Y50" s="198"/>
    </row>
    <row r="51" ht="15.75" customHeight="1">
      <c r="A51" s="189"/>
      <c r="B51" s="193"/>
      <c r="C51" s="194"/>
      <c r="N51" s="152"/>
      <c r="Q51" s="195"/>
      <c r="S51" s="196"/>
      <c r="T51" s="196"/>
      <c r="U51" s="152"/>
      <c r="V51" s="152"/>
      <c r="W51" s="157"/>
      <c r="X51" s="197"/>
      <c r="Y51" s="198"/>
    </row>
    <row r="52" ht="15.75" customHeight="1">
      <c r="A52" s="189"/>
      <c r="B52" s="193"/>
      <c r="C52" s="194"/>
      <c r="N52" s="152"/>
      <c r="Q52" s="195"/>
      <c r="S52" s="196"/>
      <c r="T52" s="196"/>
      <c r="U52" s="152"/>
      <c r="V52" s="152"/>
      <c r="W52" s="157"/>
      <c r="X52" s="197"/>
      <c r="Y52" s="198"/>
    </row>
    <row r="53" ht="15.75" customHeight="1">
      <c r="A53" s="189"/>
      <c r="B53" s="193"/>
      <c r="C53" s="194"/>
      <c r="N53" s="152"/>
      <c r="Q53" s="195"/>
      <c r="S53" s="196"/>
      <c r="T53" s="196"/>
      <c r="U53" s="152"/>
      <c r="V53" s="152"/>
      <c r="W53" s="157"/>
      <c r="X53" s="197"/>
      <c r="Y53" s="198"/>
    </row>
    <row r="54" ht="15.75" customHeight="1">
      <c r="A54" s="189"/>
      <c r="B54" s="193"/>
      <c r="C54" s="194"/>
      <c r="N54" s="152"/>
      <c r="Q54" s="195"/>
      <c r="S54" s="196"/>
      <c r="T54" s="196"/>
      <c r="U54" s="152"/>
      <c r="V54" s="152"/>
      <c r="W54" s="157"/>
      <c r="X54" s="197"/>
      <c r="Y54" s="198"/>
    </row>
    <row r="55" ht="15.75" customHeight="1">
      <c r="A55" s="189"/>
      <c r="B55" s="193"/>
      <c r="C55" s="194"/>
      <c r="N55" s="152"/>
      <c r="Q55" s="195"/>
      <c r="S55" s="196"/>
      <c r="T55" s="196"/>
      <c r="U55" s="152"/>
      <c r="V55" s="152"/>
      <c r="W55" s="157"/>
      <c r="X55" s="197"/>
      <c r="Y55" s="198"/>
    </row>
    <row r="56" ht="15.75" customHeight="1">
      <c r="A56" s="189"/>
      <c r="B56" s="193"/>
      <c r="C56" s="194"/>
      <c r="N56" s="152"/>
      <c r="Q56" s="195"/>
      <c r="S56" s="196"/>
      <c r="T56" s="196"/>
      <c r="U56" s="152"/>
      <c r="V56" s="152"/>
      <c r="W56" s="157"/>
      <c r="X56" s="197"/>
      <c r="Y56" s="198"/>
    </row>
    <row r="57" ht="15.75" customHeight="1">
      <c r="A57" s="189"/>
      <c r="B57" s="193"/>
      <c r="C57" s="194"/>
      <c r="N57" s="152"/>
      <c r="Q57" s="195"/>
      <c r="S57" s="196"/>
      <c r="T57" s="196"/>
      <c r="U57" s="152"/>
      <c r="V57" s="152"/>
      <c r="W57" s="157"/>
      <c r="X57" s="197"/>
      <c r="Y57" s="198"/>
    </row>
    <row r="58" ht="15.75" customHeight="1">
      <c r="A58" s="189"/>
      <c r="B58" s="193"/>
      <c r="C58" s="194"/>
      <c r="N58" s="152"/>
      <c r="Q58" s="195"/>
      <c r="S58" s="196"/>
      <c r="T58" s="196"/>
      <c r="U58" s="152"/>
      <c r="V58" s="152"/>
      <c r="W58" s="157"/>
      <c r="X58" s="197"/>
      <c r="Y58" s="198"/>
    </row>
    <row r="59" ht="15.75" customHeight="1">
      <c r="A59" s="189"/>
      <c r="B59" s="193"/>
      <c r="C59" s="194"/>
      <c r="N59" s="152"/>
      <c r="Q59" s="195"/>
      <c r="S59" s="196"/>
      <c r="T59" s="196"/>
      <c r="U59" s="152"/>
      <c r="V59" s="152"/>
      <c r="W59" s="157"/>
      <c r="X59" s="197"/>
      <c r="Y59" s="198"/>
    </row>
    <row r="60" ht="15.75" customHeight="1">
      <c r="A60" s="189"/>
      <c r="B60" s="193"/>
      <c r="C60" s="194"/>
      <c r="N60" s="152"/>
      <c r="Q60" s="195"/>
      <c r="S60" s="196"/>
      <c r="T60" s="196"/>
      <c r="U60" s="152"/>
      <c r="V60" s="152"/>
      <c r="W60" s="157"/>
      <c r="X60" s="197"/>
      <c r="Y60" s="198"/>
    </row>
    <row r="61" ht="15.75" customHeight="1">
      <c r="A61" s="189"/>
      <c r="B61" s="193"/>
      <c r="C61" s="194"/>
      <c r="N61" s="152"/>
      <c r="Q61" s="195"/>
      <c r="S61" s="196"/>
      <c r="T61" s="196"/>
      <c r="U61" s="152"/>
      <c r="V61" s="152"/>
      <c r="W61" s="157"/>
      <c r="X61" s="197"/>
      <c r="Y61" s="198"/>
    </row>
    <row r="62" ht="15.75" customHeight="1">
      <c r="A62" s="189"/>
      <c r="B62" s="193"/>
      <c r="C62" s="194"/>
      <c r="N62" s="152"/>
      <c r="Q62" s="195"/>
      <c r="S62" s="196"/>
      <c r="T62" s="196"/>
      <c r="U62" s="152"/>
      <c r="V62" s="152"/>
      <c r="W62" s="157"/>
      <c r="X62" s="197"/>
      <c r="Y62" s="198"/>
    </row>
    <row r="63" ht="15.75" customHeight="1">
      <c r="A63" s="189"/>
      <c r="B63" s="193"/>
      <c r="C63" s="194"/>
      <c r="N63" s="152"/>
      <c r="Q63" s="195"/>
      <c r="S63" s="196"/>
      <c r="T63" s="196"/>
      <c r="U63" s="152"/>
      <c r="V63" s="152"/>
      <c r="W63" s="157"/>
      <c r="X63" s="197"/>
      <c r="Y63" s="198"/>
    </row>
    <row r="64" ht="15.75" customHeight="1">
      <c r="A64" s="189"/>
      <c r="B64" s="193"/>
      <c r="C64" s="194"/>
      <c r="N64" s="152"/>
      <c r="Q64" s="195"/>
      <c r="S64" s="196"/>
      <c r="T64" s="196"/>
      <c r="U64" s="152"/>
      <c r="V64" s="152"/>
      <c r="W64" s="157"/>
      <c r="X64" s="197"/>
      <c r="Y64" s="198"/>
    </row>
    <row r="65" ht="15.75" customHeight="1">
      <c r="A65" s="189"/>
      <c r="B65" s="193"/>
      <c r="C65" s="194"/>
      <c r="N65" s="152"/>
      <c r="Q65" s="195"/>
      <c r="S65" s="196"/>
      <c r="T65" s="196"/>
      <c r="U65" s="152"/>
      <c r="V65" s="152"/>
      <c r="W65" s="157"/>
      <c r="X65" s="197"/>
      <c r="Y65" s="198"/>
    </row>
    <row r="66" ht="15.75" customHeight="1">
      <c r="A66" s="189"/>
      <c r="B66" s="193"/>
      <c r="C66" s="194"/>
      <c r="N66" s="152"/>
      <c r="Q66" s="195"/>
      <c r="S66" s="196"/>
      <c r="T66" s="196"/>
      <c r="U66" s="152"/>
      <c r="V66" s="152"/>
      <c r="W66" s="157"/>
      <c r="X66" s="197"/>
      <c r="Y66" s="198"/>
    </row>
    <row r="67" ht="15.75" customHeight="1">
      <c r="A67" s="189"/>
      <c r="B67" s="193"/>
      <c r="C67" s="194"/>
      <c r="N67" s="152"/>
      <c r="Q67" s="195"/>
      <c r="S67" s="196"/>
      <c r="T67" s="196"/>
      <c r="U67" s="152"/>
      <c r="V67" s="152"/>
      <c r="W67" s="157"/>
      <c r="X67" s="197"/>
      <c r="Y67" s="198"/>
    </row>
    <row r="68" ht="15.75" customHeight="1">
      <c r="A68" s="189"/>
      <c r="B68" s="193"/>
      <c r="C68" s="194"/>
      <c r="N68" s="152"/>
      <c r="Q68" s="195"/>
      <c r="S68" s="196"/>
      <c r="T68" s="196"/>
      <c r="U68" s="152"/>
      <c r="V68" s="152"/>
      <c r="W68" s="157"/>
      <c r="X68" s="197"/>
      <c r="Y68" s="198"/>
    </row>
    <row r="69" ht="15.75" customHeight="1">
      <c r="A69" s="189"/>
      <c r="B69" s="193"/>
      <c r="C69" s="194"/>
      <c r="N69" s="152"/>
      <c r="Q69" s="195"/>
      <c r="S69" s="196"/>
      <c r="T69" s="196"/>
      <c r="U69" s="152"/>
      <c r="V69" s="152"/>
      <c r="W69" s="157"/>
      <c r="X69" s="197"/>
      <c r="Y69" s="198"/>
    </row>
    <row r="70" ht="15.75" customHeight="1">
      <c r="A70" s="189"/>
      <c r="B70" s="193"/>
      <c r="C70" s="194"/>
      <c r="N70" s="152"/>
      <c r="Q70" s="195"/>
      <c r="S70" s="196"/>
      <c r="T70" s="196"/>
      <c r="U70" s="152"/>
      <c r="V70" s="152"/>
      <c r="W70" s="157"/>
      <c r="X70" s="197"/>
      <c r="Y70" s="198"/>
    </row>
    <row r="71" ht="15.75" customHeight="1">
      <c r="A71" s="189"/>
      <c r="B71" s="193"/>
      <c r="C71" s="194"/>
      <c r="N71" s="152"/>
      <c r="Q71" s="195"/>
      <c r="S71" s="196"/>
      <c r="T71" s="196"/>
      <c r="U71" s="152"/>
      <c r="V71" s="152"/>
      <c r="W71" s="157"/>
      <c r="X71" s="197"/>
      <c r="Y71" s="198"/>
    </row>
    <row r="72" ht="15.75" customHeight="1">
      <c r="A72" s="189"/>
      <c r="B72" s="193"/>
      <c r="C72" s="194"/>
      <c r="N72" s="152"/>
      <c r="Q72" s="195"/>
      <c r="S72" s="196"/>
      <c r="T72" s="196"/>
      <c r="U72" s="152"/>
      <c r="V72" s="152"/>
      <c r="W72" s="157"/>
      <c r="X72" s="197"/>
      <c r="Y72" s="198"/>
    </row>
    <row r="73" ht="15.75" customHeight="1">
      <c r="A73" s="189"/>
      <c r="B73" s="193"/>
      <c r="C73" s="194"/>
      <c r="N73" s="152"/>
      <c r="Q73" s="195"/>
      <c r="S73" s="196"/>
      <c r="T73" s="196"/>
      <c r="U73" s="152"/>
      <c r="V73" s="152"/>
      <c r="W73" s="157"/>
      <c r="X73" s="197"/>
      <c r="Y73" s="198"/>
    </row>
    <row r="74" ht="15.75" customHeight="1">
      <c r="A74" s="189"/>
      <c r="B74" s="193"/>
      <c r="C74" s="194"/>
      <c r="N74" s="152"/>
      <c r="Q74" s="195"/>
      <c r="S74" s="196"/>
      <c r="T74" s="196"/>
      <c r="U74" s="152"/>
      <c r="V74" s="152"/>
      <c r="W74" s="157"/>
      <c r="X74" s="197"/>
      <c r="Y74" s="198"/>
    </row>
    <row r="75" ht="15.75" customHeight="1">
      <c r="A75" s="189"/>
      <c r="B75" s="193"/>
      <c r="C75" s="194"/>
      <c r="N75" s="152"/>
      <c r="Q75" s="195"/>
      <c r="S75" s="196"/>
      <c r="T75" s="196"/>
      <c r="U75" s="152"/>
      <c r="V75" s="152"/>
      <c r="W75" s="157"/>
      <c r="X75" s="197"/>
      <c r="Y75" s="198"/>
    </row>
    <row r="76" ht="15.75" customHeight="1">
      <c r="A76" s="189"/>
      <c r="B76" s="193"/>
      <c r="C76" s="194"/>
      <c r="N76" s="152"/>
      <c r="Q76" s="195"/>
      <c r="S76" s="196"/>
      <c r="T76" s="196"/>
      <c r="U76" s="152"/>
      <c r="V76" s="152"/>
      <c r="W76" s="157"/>
      <c r="X76" s="197"/>
      <c r="Y76" s="198"/>
    </row>
    <row r="77" ht="15.75" customHeight="1">
      <c r="A77" s="189"/>
      <c r="B77" s="193"/>
      <c r="C77" s="194"/>
      <c r="N77" s="152"/>
      <c r="Q77" s="195"/>
      <c r="S77" s="196"/>
      <c r="T77" s="196"/>
      <c r="U77" s="152"/>
      <c r="V77" s="152"/>
      <c r="W77" s="157"/>
      <c r="X77" s="197"/>
      <c r="Y77" s="198"/>
    </row>
    <row r="78" ht="15.75" customHeight="1">
      <c r="A78" s="189"/>
      <c r="B78" s="193"/>
      <c r="C78" s="194"/>
      <c r="N78" s="152"/>
      <c r="Q78" s="195"/>
      <c r="S78" s="196"/>
      <c r="T78" s="196"/>
      <c r="U78" s="152"/>
      <c r="V78" s="152"/>
      <c r="W78" s="157"/>
      <c r="X78" s="197"/>
      <c r="Y78" s="198"/>
    </row>
    <row r="79" ht="15.75" customHeight="1">
      <c r="A79" s="189"/>
      <c r="B79" s="193"/>
      <c r="C79" s="194"/>
      <c r="N79" s="152"/>
      <c r="Q79" s="195"/>
      <c r="S79" s="196"/>
      <c r="T79" s="196"/>
      <c r="U79" s="152"/>
      <c r="V79" s="152"/>
      <c r="W79" s="157"/>
      <c r="X79" s="197"/>
      <c r="Y79" s="198"/>
    </row>
    <row r="80" ht="15.75" customHeight="1">
      <c r="A80" s="189"/>
      <c r="B80" s="193"/>
      <c r="C80" s="194"/>
      <c r="N80" s="152"/>
      <c r="Q80" s="195"/>
      <c r="S80" s="196"/>
      <c r="T80" s="196"/>
      <c r="U80" s="152"/>
      <c r="V80" s="152"/>
      <c r="W80" s="157"/>
      <c r="X80" s="197"/>
      <c r="Y80" s="198"/>
    </row>
    <row r="81" ht="15.75" customHeight="1">
      <c r="A81" s="189"/>
      <c r="B81" s="193"/>
      <c r="C81" s="194"/>
      <c r="N81" s="152"/>
      <c r="Q81" s="195"/>
      <c r="S81" s="196"/>
      <c r="T81" s="196"/>
      <c r="U81" s="152"/>
      <c r="V81" s="152"/>
      <c r="W81" s="157"/>
      <c r="X81" s="197"/>
      <c r="Y81" s="198"/>
    </row>
    <row r="82" ht="15.75" customHeight="1">
      <c r="A82" s="189"/>
      <c r="B82" s="193"/>
      <c r="C82" s="194"/>
      <c r="N82" s="152"/>
      <c r="Q82" s="195"/>
      <c r="S82" s="196"/>
      <c r="T82" s="196"/>
      <c r="U82" s="152"/>
      <c r="V82" s="152"/>
      <c r="W82" s="157"/>
      <c r="X82" s="197"/>
      <c r="Y82" s="198"/>
    </row>
    <row r="83" ht="15.75" customHeight="1">
      <c r="A83" s="189"/>
      <c r="B83" s="193"/>
      <c r="C83" s="194"/>
      <c r="N83" s="152"/>
      <c r="Q83" s="195"/>
      <c r="S83" s="196"/>
      <c r="T83" s="196"/>
      <c r="U83" s="152"/>
      <c r="V83" s="152"/>
      <c r="W83" s="157"/>
      <c r="X83" s="197"/>
      <c r="Y83" s="198"/>
    </row>
    <row r="84" ht="15.75" customHeight="1">
      <c r="A84" s="189"/>
      <c r="B84" s="193"/>
      <c r="C84" s="194"/>
      <c r="N84" s="152"/>
      <c r="Q84" s="195"/>
      <c r="S84" s="196"/>
      <c r="T84" s="196"/>
      <c r="U84" s="152"/>
      <c r="V84" s="152"/>
      <c r="W84" s="157"/>
      <c r="X84" s="197"/>
      <c r="Y84" s="198"/>
    </row>
    <row r="85" ht="15.75" customHeight="1">
      <c r="A85" s="189"/>
      <c r="B85" s="193"/>
      <c r="C85" s="194"/>
      <c r="N85" s="152"/>
      <c r="Q85" s="195"/>
      <c r="S85" s="196"/>
      <c r="T85" s="196"/>
      <c r="U85" s="152"/>
      <c r="V85" s="152"/>
      <c r="W85" s="157"/>
      <c r="X85" s="197"/>
      <c r="Y85" s="198"/>
    </row>
    <row r="86" ht="15.75" customHeight="1">
      <c r="A86" s="189"/>
      <c r="B86" s="193"/>
      <c r="C86" s="194"/>
      <c r="N86" s="152"/>
      <c r="Q86" s="195"/>
      <c r="S86" s="196"/>
      <c r="T86" s="196"/>
      <c r="U86" s="152"/>
      <c r="V86" s="152"/>
      <c r="W86" s="157"/>
      <c r="X86" s="197"/>
      <c r="Y86" s="198"/>
    </row>
    <row r="87" ht="15.75" customHeight="1">
      <c r="A87" s="189"/>
      <c r="B87" s="193"/>
      <c r="C87" s="194"/>
      <c r="N87" s="152"/>
      <c r="Q87" s="195"/>
      <c r="S87" s="196"/>
      <c r="T87" s="196"/>
      <c r="U87" s="152"/>
      <c r="V87" s="152"/>
      <c r="W87" s="157"/>
      <c r="X87" s="197"/>
      <c r="Y87" s="198"/>
    </row>
    <row r="88" ht="15.75" customHeight="1">
      <c r="A88" s="189"/>
      <c r="B88" s="193"/>
      <c r="C88" s="194"/>
      <c r="N88" s="152"/>
      <c r="Q88" s="195"/>
      <c r="S88" s="196"/>
      <c r="T88" s="196"/>
      <c r="U88" s="152"/>
      <c r="V88" s="152"/>
      <c r="W88" s="157"/>
      <c r="X88" s="197"/>
      <c r="Y88" s="198"/>
    </row>
    <row r="89" ht="15.75" customHeight="1">
      <c r="A89" s="189"/>
      <c r="B89" s="193"/>
      <c r="C89" s="194"/>
      <c r="N89" s="152"/>
      <c r="Q89" s="195"/>
      <c r="S89" s="196"/>
      <c r="T89" s="196"/>
      <c r="U89" s="152"/>
      <c r="V89" s="152"/>
      <c r="W89" s="157"/>
      <c r="X89" s="197"/>
      <c r="Y89" s="198"/>
    </row>
    <row r="90" ht="15.75" customHeight="1">
      <c r="A90" s="189"/>
      <c r="B90" s="193"/>
      <c r="C90" s="194"/>
      <c r="N90" s="152"/>
      <c r="Q90" s="195"/>
      <c r="S90" s="196"/>
      <c r="T90" s="196"/>
      <c r="U90" s="152"/>
      <c r="V90" s="152"/>
      <c r="W90" s="157"/>
      <c r="X90" s="197"/>
      <c r="Y90" s="198"/>
    </row>
    <row r="91" ht="15.75" customHeight="1">
      <c r="A91" s="189"/>
      <c r="B91" s="193"/>
      <c r="C91" s="194"/>
      <c r="N91" s="152"/>
      <c r="Q91" s="195"/>
      <c r="S91" s="196"/>
      <c r="T91" s="196"/>
      <c r="U91" s="152"/>
      <c r="V91" s="152"/>
      <c r="W91" s="157"/>
      <c r="X91" s="197"/>
      <c r="Y91" s="198"/>
    </row>
    <row r="92" ht="15.75" customHeight="1">
      <c r="A92" s="189"/>
      <c r="B92" s="193"/>
      <c r="C92" s="194"/>
      <c r="N92" s="152"/>
      <c r="Q92" s="195"/>
      <c r="S92" s="196"/>
      <c r="T92" s="196"/>
      <c r="U92" s="152"/>
      <c r="V92" s="152"/>
      <c r="W92" s="157"/>
      <c r="X92" s="197"/>
      <c r="Y92" s="198"/>
    </row>
    <row r="93" ht="15.75" customHeight="1">
      <c r="A93" s="189"/>
      <c r="B93" s="193"/>
      <c r="C93" s="194"/>
      <c r="N93" s="152"/>
      <c r="Q93" s="195"/>
      <c r="S93" s="196"/>
      <c r="T93" s="196"/>
      <c r="U93" s="152"/>
      <c r="V93" s="152"/>
      <c r="W93" s="157"/>
      <c r="X93" s="197"/>
      <c r="Y93" s="198"/>
    </row>
    <row r="94" ht="15.75" customHeight="1">
      <c r="A94" s="189"/>
      <c r="B94" s="193"/>
      <c r="C94" s="194"/>
      <c r="N94" s="152"/>
      <c r="Q94" s="195"/>
      <c r="S94" s="196"/>
      <c r="T94" s="196"/>
      <c r="U94" s="152"/>
      <c r="V94" s="152"/>
      <c r="W94" s="157"/>
      <c r="X94" s="197"/>
      <c r="Y94" s="198"/>
    </row>
    <row r="95" ht="15.75" customHeight="1">
      <c r="A95" s="189"/>
      <c r="B95" s="193"/>
      <c r="C95" s="194"/>
      <c r="N95" s="152"/>
      <c r="Q95" s="195"/>
      <c r="S95" s="196"/>
      <c r="T95" s="196"/>
      <c r="U95" s="152"/>
      <c r="V95" s="152"/>
      <c r="W95" s="157"/>
      <c r="X95" s="197"/>
      <c r="Y95" s="198"/>
    </row>
    <row r="96" ht="15.75" customHeight="1">
      <c r="A96" s="189"/>
      <c r="B96" s="193"/>
      <c r="C96" s="194"/>
      <c r="N96" s="152"/>
      <c r="Q96" s="195"/>
      <c r="S96" s="196"/>
      <c r="T96" s="196"/>
      <c r="U96" s="152"/>
      <c r="V96" s="152"/>
      <c r="W96" s="157"/>
      <c r="X96" s="197"/>
      <c r="Y96" s="198"/>
    </row>
    <row r="97" ht="15.75" customHeight="1">
      <c r="A97" s="189"/>
      <c r="B97" s="193"/>
      <c r="C97" s="194"/>
      <c r="N97" s="152"/>
      <c r="Q97" s="195"/>
      <c r="S97" s="196"/>
      <c r="T97" s="196"/>
      <c r="U97" s="152"/>
      <c r="V97" s="152"/>
      <c r="W97" s="157"/>
      <c r="X97" s="197"/>
      <c r="Y97" s="198"/>
    </row>
    <row r="98" ht="15.75" customHeight="1">
      <c r="A98" s="189"/>
      <c r="B98" s="193"/>
      <c r="C98" s="194"/>
      <c r="N98" s="152"/>
      <c r="Q98" s="195"/>
      <c r="S98" s="196"/>
      <c r="T98" s="196"/>
      <c r="U98" s="152"/>
      <c r="V98" s="152"/>
      <c r="W98" s="157"/>
      <c r="X98" s="197"/>
      <c r="Y98" s="198"/>
    </row>
    <row r="99" ht="15.75" customHeight="1">
      <c r="A99" s="189"/>
      <c r="B99" s="193"/>
      <c r="C99" s="194"/>
      <c r="N99" s="152"/>
      <c r="Q99" s="195"/>
      <c r="S99" s="196"/>
      <c r="T99" s="196"/>
      <c r="U99" s="152"/>
      <c r="V99" s="152"/>
      <c r="W99" s="157"/>
      <c r="X99" s="197"/>
      <c r="Y99" s="198"/>
    </row>
    <row r="100" ht="15.75" customHeight="1">
      <c r="A100" s="189"/>
      <c r="B100" s="193"/>
      <c r="C100" s="194"/>
      <c r="N100" s="152"/>
      <c r="Q100" s="195"/>
      <c r="S100" s="196"/>
      <c r="T100" s="196"/>
      <c r="U100" s="152"/>
      <c r="V100" s="152"/>
      <c r="W100" s="157"/>
      <c r="X100" s="197"/>
      <c r="Y100" s="198"/>
    </row>
    <row r="101" ht="15.75" customHeight="1">
      <c r="A101" s="189"/>
      <c r="B101" s="193"/>
      <c r="C101" s="194"/>
      <c r="N101" s="152"/>
      <c r="Q101" s="195"/>
      <c r="S101" s="196"/>
      <c r="T101" s="196"/>
      <c r="U101" s="152"/>
      <c r="V101" s="152"/>
      <c r="W101" s="157"/>
      <c r="X101" s="197"/>
      <c r="Y101" s="198"/>
    </row>
    <row r="102" ht="15.75" customHeight="1">
      <c r="A102" s="189"/>
      <c r="B102" s="193"/>
      <c r="C102" s="194"/>
      <c r="N102" s="152"/>
      <c r="Q102" s="195"/>
      <c r="S102" s="196"/>
      <c r="T102" s="196"/>
      <c r="U102" s="152"/>
      <c r="V102" s="152"/>
      <c r="W102" s="157"/>
      <c r="X102" s="197"/>
      <c r="Y102" s="198"/>
    </row>
    <row r="103" ht="15.75" customHeight="1">
      <c r="A103" s="189"/>
      <c r="B103" s="193"/>
      <c r="C103" s="194"/>
      <c r="N103" s="152"/>
      <c r="Q103" s="195"/>
      <c r="S103" s="196"/>
      <c r="T103" s="196"/>
      <c r="U103" s="152"/>
      <c r="V103" s="152"/>
      <c r="W103" s="157"/>
      <c r="X103" s="197"/>
      <c r="Y103" s="198"/>
    </row>
    <row r="104" ht="15.75" customHeight="1">
      <c r="A104" s="189"/>
      <c r="B104" s="193"/>
      <c r="C104" s="194"/>
      <c r="N104" s="152"/>
      <c r="Q104" s="195"/>
      <c r="S104" s="196"/>
      <c r="T104" s="196"/>
      <c r="U104" s="152"/>
      <c r="V104" s="152"/>
      <c r="W104" s="157"/>
      <c r="X104" s="197"/>
      <c r="Y104" s="198"/>
    </row>
    <row r="105" ht="15.75" customHeight="1">
      <c r="A105" s="189"/>
      <c r="B105" s="193"/>
      <c r="C105" s="194"/>
      <c r="N105" s="152"/>
      <c r="Q105" s="195"/>
      <c r="S105" s="196"/>
      <c r="T105" s="196"/>
      <c r="U105" s="152"/>
      <c r="V105" s="152"/>
      <c r="W105" s="157"/>
      <c r="X105" s="197"/>
      <c r="Y105" s="198"/>
    </row>
    <row r="106" ht="15.75" customHeight="1">
      <c r="A106" s="189"/>
      <c r="B106" s="193"/>
      <c r="C106" s="194"/>
      <c r="N106" s="152"/>
      <c r="Q106" s="195"/>
      <c r="S106" s="196"/>
      <c r="T106" s="196"/>
      <c r="U106" s="152"/>
      <c r="V106" s="152"/>
      <c r="W106" s="157"/>
      <c r="X106" s="197"/>
      <c r="Y106" s="198"/>
    </row>
    <row r="107" ht="15.75" customHeight="1">
      <c r="A107" s="189"/>
      <c r="B107" s="193"/>
      <c r="C107" s="194"/>
      <c r="N107" s="152"/>
      <c r="Q107" s="195"/>
      <c r="S107" s="196"/>
      <c r="T107" s="196"/>
      <c r="U107" s="152"/>
      <c r="V107" s="152"/>
      <c r="W107" s="157"/>
      <c r="X107" s="197"/>
      <c r="Y107" s="198"/>
    </row>
    <row r="108" ht="15.75" customHeight="1">
      <c r="A108" s="189"/>
      <c r="B108" s="193"/>
      <c r="C108" s="194"/>
      <c r="N108" s="152"/>
      <c r="Q108" s="195"/>
      <c r="S108" s="196"/>
      <c r="T108" s="196"/>
      <c r="U108" s="152"/>
      <c r="V108" s="152"/>
      <c r="W108" s="157"/>
      <c r="X108" s="197"/>
      <c r="Y108" s="198"/>
    </row>
    <row r="109" ht="15.75" customHeight="1">
      <c r="A109" s="189"/>
      <c r="B109" s="193"/>
      <c r="C109" s="194"/>
      <c r="N109" s="152"/>
      <c r="Q109" s="195"/>
      <c r="S109" s="196"/>
      <c r="T109" s="196"/>
      <c r="U109" s="152"/>
      <c r="V109" s="152"/>
      <c r="W109" s="157"/>
      <c r="X109" s="197"/>
      <c r="Y109" s="198"/>
    </row>
    <row r="110" ht="15.75" customHeight="1">
      <c r="A110" s="189"/>
      <c r="B110" s="193"/>
      <c r="C110" s="194"/>
      <c r="N110" s="152"/>
      <c r="Q110" s="195"/>
      <c r="S110" s="196"/>
      <c r="T110" s="196"/>
      <c r="U110" s="152"/>
      <c r="V110" s="152"/>
      <c r="W110" s="157"/>
      <c r="X110" s="197"/>
      <c r="Y110" s="198"/>
    </row>
    <row r="111" ht="15.75" customHeight="1">
      <c r="A111" s="189"/>
      <c r="B111" s="193"/>
      <c r="C111" s="194"/>
      <c r="N111" s="152"/>
      <c r="Q111" s="195"/>
      <c r="S111" s="196"/>
      <c r="T111" s="196"/>
      <c r="U111" s="152"/>
      <c r="V111" s="152"/>
      <c r="W111" s="157"/>
      <c r="X111" s="197"/>
      <c r="Y111" s="198"/>
    </row>
    <row r="112" ht="15.75" customHeight="1">
      <c r="A112" s="189"/>
      <c r="B112" s="193"/>
      <c r="C112" s="194"/>
      <c r="N112" s="152"/>
      <c r="Q112" s="195"/>
      <c r="S112" s="196"/>
      <c r="T112" s="196"/>
      <c r="U112" s="152"/>
      <c r="V112" s="152"/>
      <c r="W112" s="157"/>
      <c r="X112" s="197"/>
      <c r="Y112" s="198"/>
    </row>
    <row r="113" ht="15.75" customHeight="1">
      <c r="A113" s="189"/>
      <c r="B113" s="193"/>
      <c r="C113" s="194"/>
      <c r="N113" s="152"/>
      <c r="Q113" s="195"/>
      <c r="S113" s="196"/>
      <c r="T113" s="196"/>
      <c r="U113" s="152"/>
      <c r="V113" s="152"/>
      <c r="W113" s="157"/>
      <c r="X113" s="197"/>
      <c r="Y113" s="198"/>
    </row>
    <row r="114" ht="15.75" customHeight="1">
      <c r="A114" s="189"/>
      <c r="B114" s="193"/>
      <c r="C114" s="194"/>
      <c r="N114" s="152"/>
      <c r="Q114" s="195"/>
      <c r="S114" s="196"/>
      <c r="T114" s="196"/>
      <c r="U114" s="152"/>
      <c r="V114" s="152"/>
      <c r="W114" s="157"/>
      <c r="X114" s="197"/>
      <c r="Y114" s="198"/>
    </row>
    <row r="115" ht="15.75" customHeight="1">
      <c r="A115" s="189"/>
      <c r="B115" s="193"/>
      <c r="C115" s="194"/>
      <c r="N115" s="152"/>
      <c r="Q115" s="195"/>
      <c r="S115" s="196"/>
      <c r="T115" s="196"/>
      <c r="U115" s="152"/>
      <c r="V115" s="152"/>
      <c r="W115" s="157"/>
      <c r="X115" s="197"/>
      <c r="Y115" s="198"/>
    </row>
    <row r="116" ht="15.75" customHeight="1">
      <c r="A116" s="189"/>
      <c r="B116" s="193"/>
      <c r="C116" s="194"/>
      <c r="N116" s="152"/>
      <c r="Q116" s="195"/>
      <c r="S116" s="196"/>
      <c r="T116" s="196"/>
      <c r="U116" s="152"/>
      <c r="V116" s="152"/>
      <c r="W116" s="157"/>
      <c r="X116" s="197"/>
      <c r="Y116" s="198"/>
    </row>
    <row r="117" ht="15.75" customHeight="1">
      <c r="A117" s="189"/>
      <c r="B117" s="193"/>
      <c r="C117" s="194"/>
      <c r="N117" s="152"/>
      <c r="Q117" s="195"/>
      <c r="S117" s="196"/>
      <c r="T117" s="196"/>
      <c r="U117" s="152"/>
      <c r="V117" s="152"/>
      <c r="W117" s="157"/>
      <c r="X117" s="197"/>
      <c r="Y117" s="198"/>
    </row>
    <row r="118" ht="15.75" customHeight="1">
      <c r="A118" s="189"/>
      <c r="B118" s="193"/>
      <c r="C118" s="194"/>
      <c r="N118" s="152"/>
      <c r="Q118" s="195"/>
      <c r="S118" s="196"/>
      <c r="T118" s="196"/>
      <c r="U118" s="152"/>
      <c r="V118" s="152"/>
      <c r="W118" s="157"/>
      <c r="X118" s="197"/>
      <c r="Y118" s="198"/>
    </row>
    <row r="119" ht="15.75" customHeight="1">
      <c r="A119" s="189"/>
      <c r="B119" s="193"/>
      <c r="C119" s="194"/>
      <c r="N119" s="152"/>
      <c r="Q119" s="195"/>
      <c r="S119" s="196"/>
      <c r="T119" s="196"/>
      <c r="U119" s="152"/>
      <c r="V119" s="152"/>
      <c r="W119" s="157"/>
      <c r="X119" s="197"/>
      <c r="Y119" s="198"/>
    </row>
    <row r="120" ht="15.75" customHeight="1">
      <c r="A120" s="189"/>
      <c r="B120" s="193"/>
      <c r="C120" s="194"/>
      <c r="N120" s="152"/>
      <c r="Q120" s="195"/>
      <c r="S120" s="196"/>
      <c r="T120" s="196"/>
      <c r="U120" s="152"/>
      <c r="V120" s="152"/>
      <c r="W120" s="157"/>
      <c r="X120" s="197"/>
      <c r="Y120" s="198"/>
    </row>
    <row r="121" ht="15.75" customHeight="1">
      <c r="A121" s="189"/>
      <c r="B121" s="193"/>
      <c r="C121" s="194"/>
      <c r="N121" s="152"/>
      <c r="Q121" s="195"/>
      <c r="S121" s="196"/>
      <c r="T121" s="196"/>
      <c r="U121" s="152"/>
      <c r="V121" s="152"/>
      <c r="W121" s="157"/>
      <c r="X121" s="197"/>
      <c r="Y121" s="198"/>
    </row>
    <row r="122" ht="15.75" customHeight="1">
      <c r="A122" s="189"/>
      <c r="B122" s="193"/>
      <c r="C122" s="194"/>
      <c r="N122" s="152"/>
      <c r="Q122" s="195"/>
      <c r="S122" s="196"/>
      <c r="T122" s="196"/>
      <c r="U122" s="152"/>
      <c r="V122" s="152"/>
      <c r="W122" s="157"/>
      <c r="X122" s="197"/>
      <c r="Y122" s="198"/>
    </row>
    <row r="123" ht="15.75" customHeight="1">
      <c r="A123" s="189"/>
      <c r="B123" s="193"/>
      <c r="C123" s="194"/>
      <c r="N123" s="152"/>
      <c r="Q123" s="195"/>
      <c r="S123" s="196"/>
      <c r="T123" s="196"/>
      <c r="U123" s="152"/>
      <c r="V123" s="152"/>
      <c r="W123" s="157"/>
      <c r="X123" s="197"/>
      <c r="Y123" s="198"/>
    </row>
    <row r="124" ht="15.75" customHeight="1">
      <c r="A124" s="189"/>
      <c r="B124" s="193"/>
      <c r="C124" s="194"/>
      <c r="N124" s="152"/>
      <c r="Q124" s="195"/>
      <c r="S124" s="196"/>
      <c r="T124" s="196"/>
      <c r="U124" s="152"/>
      <c r="V124" s="152"/>
      <c r="W124" s="157"/>
      <c r="X124" s="197"/>
      <c r="Y124" s="198"/>
    </row>
    <row r="125" ht="15.75" customHeight="1">
      <c r="A125" s="189"/>
      <c r="B125" s="193"/>
      <c r="C125" s="194"/>
      <c r="N125" s="152"/>
      <c r="Q125" s="195"/>
      <c r="S125" s="196"/>
      <c r="T125" s="196"/>
      <c r="U125" s="152"/>
      <c r="V125" s="152"/>
      <c r="W125" s="157"/>
      <c r="X125" s="197"/>
      <c r="Y125" s="198"/>
    </row>
    <row r="126" ht="15.75" customHeight="1">
      <c r="A126" s="189"/>
      <c r="B126" s="193"/>
      <c r="C126" s="194"/>
      <c r="N126" s="152"/>
      <c r="Q126" s="195"/>
      <c r="S126" s="196"/>
      <c r="T126" s="196"/>
      <c r="U126" s="152"/>
      <c r="V126" s="152"/>
      <c r="W126" s="157"/>
      <c r="X126" s="197"/>
      <c r="Y126" s="198"/>
    </row>
    <row r="127" ht="15.75" customHeight="1">
      <c r="A127" s="189"/>
      <c r="B127" s="193"/>
      <c r="C127" s="194"/>
      <c r="N127" s="152"/>
      <c r="Q127" s="195"/>
      <c r="S127" s="196"/>
      <c r="T127" s="196"/>
      <c r="U127" s="152"/>
      <c r="V127" s="152"/>
      <c r="W127" s="157"/>
      <c r="X127" s="197"/>
      <c r="Y127" s="198"/>
    </row>
    <row r="128" ht="15.75" customHeight="1">
      <c r="A128" s="189"/>
      <c r="B128" s="193"/>
      <c r="C128" s="194"/>
      <c r="N128" s="152"/>
      <c r="Q128" s="195"/>
      <c r="S128" s="196"/>
      <c r="T128" s="196"/>
      <c r="U128" s="152"/>
      <c r="V128" s="152"/>
      <c r="W128" s="157"/>
      <c r="X128" s="197"/>
      <c r="Y128" s="198"/>
    </row>
    <row r="129" ht="15.75" customHeight="1">
      <c r="A129" s="189"/>
      <c r="B129" s="193"/>
      <c r="C129" s="194"/>
      <c r="N129" s="152"/>
      <c r="Q129" s="195"/>
      <c r="S129" s="196"/>
      <c r="T129" s="196"/>
      <c r="U129" s="152"/>
      <c r="V129" s="152"/>
      <c r="W129" s="157"/>
      <c r="X129" s="197"/>
      <c r="Y129" s="198"/>
    </row>
    <row r="130" ht="15.75" customHeight="1">
      <c r="A130" s="189"/>
      <c r="B130" s="193"/>
      <c r="C130" s="194"/>
      <c r="N130" s="152"/>
      <c r="Q130" s="195"/>
      <c r="S130" s="196"/>
      <c r="T130" s="196"/>
      <c r="U130" s="152"/>
      <c r="V130" s="152"/>
      <c r="W130" s="157"/>
      <c r="X130" s="197"/>
      <c r="Y130" s="198"/>
    </row>
    <row r="131" ht="15.75" customHeight="1">
      <c r="A131" s="189"/>
      <c r="B131" s="193"/>
      <c r="C131" s="194"/>
      <c r="N131" s="152"/>
      <c r="Q131" s="195"/>
      <c r="S131" s="196"/>
      <c r="T131" s="196"/>
      <c r="U131" s="152"/>
      <c r="V131" s="152"/>
      <c r="W131" s="157"/>
      <c r="X131" s="197"/>
      <c r="Y131" s="198"/>
    </row>
    <row r="132" ht="15.75" customHeight="1">
      <c r="A132" s="189"/>
      <c r="B132" s="193"/>
      <c r="C132" s="194"/>
      <c r="N132" s="152"/>
      <c r="Q132" s="195"/>
      <c r="S132" s="196"/>
      <c r="T132" s="196"/>
      <c r="U132" s="152"/>
      <c r="V132" s="152"/>
      <c r="W132" s="157"/>
      <c r="X132" s="197"/>
      <c r="Y132" s="198"/>
    </row>
    <row r="133" ht="15.75" customHeight="1">
      <c r="A133" s="189"/>
      <c r="B133" s="193"/>
      <c r="C133" s="194"/>
      <c r="N133" s="152"/>
      <c r="Q133" s="195"/>
      <c r="S133" s="196"/>
      <c r="T133" s="196"/>
      <c r="U133" s="152"/>
      <c r="V133" s="152"/>
      <c r="W133" s="157"/>
      <c r="X133" s="197"/>
      <c r="Y133" s="198"/>
    </row>
    <row r="134" ht="15.75" customHeight="1">
      <c r="A134" s="189"/>
      <c r="B134" s="193"/>
      <c r="C134" s="194"/>
      <c r="N134" s="152"/>
      <c r="Q134" s="195"/>
      <c r="S134" s="196"/>
      <c r="T134" s="196"/>
      <c r="U134" s="152"/>
      <c r="V134" s="152"/>
      <c r="W134" s="157"/>
      <c r="X134" s="197"/>
      <c r="Y134" s="198"/>
    </row>
    <row r="135" ht="15.75" customHeight="1">
      <c r="A135" s="189"/>
      <c r="B135" s="193"/>
      <c r="C135" s="194"/>
      <c r="N135" s="152"/>
      <c r="Q135" s="195"/>
      <c r="S135" s="196"/>
      <c r="T135" s="196"/>
      <c r="U135" s="152"/>
      <c r="V135" s="152"/>
      <c r="W135" s="157"/>
      <c r="X135" s="197"/>
      <c r="Y135" s="198"/>
    </row>
    <row r="136" ht="15.75" customHeight="1">
      <c r="A136" s="189"/>
      <c r="B136" s="193"/>
      <c r="C136" s="194"/>
      <c r="N136" s="152"/>
      <c r="Q136" s="195"/>
      <c r="S136" s="196"/>
      <c r="T136" s="196"/>
      <c r="U136" s="152"/>
      <c r="V136" s="152"/>
      <c r="W136" s="157"/>
      <c r="X136" s="197"/>
      <c r="Y136" s="198"/>
    </row>
    <row r="137" ht="15.75" customHeight="1">
      <c r="A137" s="189"/>
      <c r="B137" s="193"/>
      <c r="C137" s="194"/>
      <c r="N137" s="152"/>
      <c r="Q137" s="195"/>
      <c r="S137" s="196"/>
      <c r="T137" s="196"/>
      <c r="U137" s="152"/>
      <c r="V137" s="152"/>
      <c r="W137" s="157"/>
      <c r="X137" s="197"/>
      <c r="Y137" s="198"/>
    </row>
    <row r="138" ht="15.75" customHeight="1">
      <c r="A138" s="189"/>
      <c r="B138" s="193"/>
      <c r="C138" s="194"/>
      <c r="N138" s="152"/>
      <c r="Q138" s="195"/>
      <c r="S138" s="196"/>
      <c r="T138" s="196"/>
      <c r="U138" s="152"/>
      <c r="V138" s="152"/>
      <c r="W138" s="157"/>
      <c r="X138" s="197"/>
      <c r="Y138" s="198"/>
    </row>
    <row r="139" ht="15.75" customHeight="1">
      <c r="A139" s="189"/>
      <c r="B139" s="193"/>
      <c r="C139" s="194"/>
      <c r="N139" s="152"/>
      <c r="Q139" s="195"/>
      <c r="S139" s="196"/>
      <c r="T139" s="196"/>
      <c r="U139" s="152"/>
      <c r="V139" s="152"/>
      <c r="W139" s="157"/>
      <c r="X139" s="197"/>
      <c r="Y139" s="198"/>
    </row>
    <row r="140" ht="15.75" customHeight="1">
      <c r="A140" s="189"/>
      <c r="B140" s="193"/>
      <c r="C140" s="194"/>
      <c r="N140" s="152"/>
      <c r="Q140" s="195"/>
      <c r="S140" s="196"/>
      <c r="T140" s="196"/>
      <c r="U140" s="152"/>
      <c r="V140" s="152"/>
      <c r="W140" s="157"/>
      <c r="X140" s="197"/>
      <c r="Y140" s="198"/>
    </row>
    <row r="141" ht="15.75" customHeight="1">
      <c r="A141" s="189"/>
      <c r="B141" s="193"/>
      <c r="C141" s="194"/>
      <c r="N141" s="152"/>
      <c r="Q141" s="195"/>
      <c r="S141" s="196"/>
      <c r="T141" s="196"/>
      <c r="U141" s="152"/>
      <c r="V141" s="152"/>
      <c r="W141" s="157"/>
      <c r="X141" s="197"/>
      <c r="Y141" s="198"/>
    </row>
    <row r="142" ht="15.75" customHeight="1">
      <c r="A142" s="189"/>
      <c r="B142" s="193"/>
      <c r="C142" s="194"/>
      <c r="N142" s="152"/>
      <c r="Q142" s="195"/>
      <c r="S142" s="196"/>
      <c r="T142" s="196"/>
      <c r="U142" s="152"/>
      <c r="V142" s="152"/>
      <c r="W142" s="157"/>
      <c r="X142" s="197"/>
      <c r="Y142" s="198"/>
    </row>
    <row r="143" ht="15.75" customHeight="1">
      <c r="A143" s="189"/>
      <c r="B143" s="193"/>
      <c r="C143" s="194"/>
      <c r="N143" s="152"/>
      <c r="Q143" s="195"/>
      <c r="S143" s="196"/>
      <c r="T143" s="196"/>
      <c r="U143" s="152"/>
      <c r="V143" s="152"/>
      <c r="W143" s="157"/>
      <c r="X143" s="197"/>
      <c r="Y143" s="198"/>
    </row>
    <row r="144" ht="15.75" customHeight="1">
      <c r="A144" s="189"/>
      <c r="B144" s="193"/>
      <c r="C144" s="194"/>
      <c r="N144" s="152"/>
      <c r="Q144" s="195"/>
      <c r="S144" s="196"/>
      <c r="T144" s="196"/>
      <c r="U144" s="152"/>
      <c r="V144" s="152"/>
      <c r="W144" s="157"/>
      <c r="X144" s="197"/>
      <c r="Y144" s="198"/>
    </row>
    <row r="145" ht="15.75" customHeight="1">
      <c r="A145" s="189"/>
      <c r="B145" s="193"/>
      <c r="C145" s="194"/>
      <c r="N145" s="152"/>
      <c r="Q145" s="195"/>
      <c r="S145" s="196"/>
      <c r="T145" s="196"/>
      <c r="U145" s="152"/>
      <c r="V145" s="152"/>
      <c r="W145" s="157"/>
      <c r="X145" s="197"/>
      <c r="Y145" s="198"/>
    </row>
    <row r="146" ht="15.75" customHeight="1">
      <c r="A146" s="189"/>
      <c r="B146" s="193"/>
      <c r="C146" s="194"/>
      <c r="N146" s="152"/>
      <c r="Q146" s="195"/>
      <c r="S146" s="196"/>
      <c r="T146" s="196"/>
      <c r="U146" s="152"/>
      <c r="V146" s="152"/>
      <c r="W146" s="157"/>
      <c r="X146" s="197"/>
      <c r="Y146" s="198"/>
    </row>
    <row r="147" ht="15.75" customHeight="1">
      <c r="A147" s="189"/>
      <c r="B147" s="193"/>
      <c r="C147" s="194"/>
      <c r="N147" s="152"/>
      <c r="Q147" s="195"/>
      <c r="S147" s="196"/>
      <c r="T147" s="196"/>
      <c r="U147" s="152"/>
      <c r="V147" s="152"/>
      <c r="W147" s="157"/>
      <c r="X147" s="197"/>
      <c r="Y147" s="198"/>
    </row>
    <row r="148" ht="15.75" customHeight="1">
      <c r="A148" s="189"/>
      <c r="B148" s="193"/>
      <c r="C148" s="194"/>
      <c r="N148" s="152"/>
      <c r="Q148" s="195"/>
      <c r="S148" s="196"/>
      <c r="T148" s="196"/>
      <c r="U148" s="152"/>
      <c r="V148" s="152"/>
      <c r="W148" s="157"/>
      <c r="X148" s="197"/>
      <c r="Y148" s="198"/>
    </row>
    <row r="149" ht="15.75" customHeight="1">
      <c r="A149" s="189"/>
      <c r="B149" s="193"/>
      <c r="C149" s="194"/>
      <c r="N149" s="152"/>
      <c r="Q149" s="195"/>
      <c r="S149" s="196"/>
      <c r="T149" s="196"/>
      <c r="U149" s="152"/>
      <c r="V149" s="152"/>
      <c r="W149" s="157"/>
      <c r="X149" s="197"/>
      <c r="Y149" s="198"/>
    </row>
    <row r="150" ht="15.75" customHeight="1">
      <c r="A150" s="189"/>
      <c r="B150" s="193"/>
      <c r="C150" s="194"/>
      <c r="N150" s="152"/>
      <c r="Q150" s="195"/>
      <c r="S150" s="196"/>
      <c r="T150" s="196"/>
      <c r="U150" s="152"/>
      <c r="V150" s="152"/>
      <c r="W150" s="157"/>
      <c r="X150" s="197"/>
      <c r="Y150" s="198"/>
    </row>
    <row r="151" ht="15.75" customHeight="1">
      <c r="A151" s="189"/>
      <c r="B151" s="193"/>
      <c r="C151" s="194"/>
      <c r="N151" s="152"/>
      <c r="Q151" s="195"/>
      <c r="S151" s="196"/>
      <c r="T151" s="196"/>
      <c r="U151" s="152"/>
      <c r="V151" s="152"/>
      <c r="W151" s="157"/>
      <c r="X151" s="197"/>
      <c r="Y151" s="198"/>
    </row>
    <row r="152" ht="15.75" customHeight="1">
      <c r="A152" s="189"/>
      <c r="B152" s="193"/>
      <c r="C152" s="194"/>
      <c r="N152" s="152"/>
      <c r="Q152" s="195"/>
      <c r="S152" s="196"/>
      <c r="T152" s="196"/>
      <c r="U152" s="152"/>
      <c r="V152" s="152"/>
      <c r="W152" s="157"/>
      <c r="X152" s="197"/>
      <c r="Y152" s="198"/>
    </row>
    <row r="153" ht="15.75" customHeight="1">
      <c r="A153" s="189"/>
      <c r="B153" s="193"/>
      <c r="C153" s="194"/>
      <c r="N153" s="152"/>
      <c r="Q153" s="195"/>
      <c r="S153" s="196"/>
      <c r="T153" s="196"/>
      <c r="U153" s="152"/>
      <c r="V153" s="152"/>
      <c r="W153" s="157"/>
      <c r="X153" s="197"/>
      <c r="Y153" s="198"/>
    </row>
    <row r="154" ht="15.75" customHeight="1">
      <c r="A154" s="189"/>
      <c r="B154" s="193"/>
      <c r="C154" s="194"/>
      <c r="N154" s="152"/>
      <c r="Q154" s="195"/>
      <c r="S154" s="196"/>
      <c r="T154" s="196"/>
      <c r="U154" s="152"/>
      <c r="V154" s="152"/>
      <c r="W154" s="157"/>
      <c r="X154" s="197"/>
      <c r="Y154" s="198"/>
    </row>
    <row r="155" ht="15.75" customHeight="1">
      <c r="A155" s="189"/>
      <c r="B155" s="193"/>
      <c r="C155" s="194"/>
      <c r="N155" s="152"/>
      <c r="Q155" s="195"/>
      <c r="S155" s="196"/>
      <c r="T155" s="196"/>
      <c r="U155" s="152"/>
      <c r="V155" s="152"/>
      <c r="W155" s="157"/>
      <c r="X155" s="197"/>
      <c r="Y155" s="198"/>
    </row>
    <row r="156" ht="15.75" customHeight="1">
      <c r="A156" s="189"/>
      <c r="B156" s="193"/>
      <c r="C156" s="194"/>
      <c r="N156" s="152"/>
      <c r="Q156" s="195"/>
      <c r="S156" s="196"/>
      <c r="T156" s="196"/>
      <c r="U156" s="152"/>
      <c r="V156" s="152"/>
      <c r="W156" s="157"/>
      <c r="X156" s="197"/>
      <c r="Y156" s="198"/>
    </row>
    <row r="157" ht="15.75" customHeight="1">
      <c r="A157" s="189"/>
      <c r="B157" s="193"/>
      <c r="C157" s="194"/>
      <c r="N157" s="152"/>
      <c r="Q157" s="195"/>
      <c r="S157" s="196"/>
      <c r="T157" s="196"/>
      <c r="U157" s="152"/>
      <c r="V157" s="152"/>
      <c r="W157" s="157"/>
      <c r="X157" s="197"/>
      <c r="Y157" s="198"/>
    </row>
    <row r="158" ht="15.75" customHeight="1">
      <c r="A158" s="189"/>
      <c r="B158" s="193"/>
      <c r="C158" s="194"/>
      <c r="N158" s="152"/>
      <c r="Q158" s="195"/>
      <c r="S158" s="196"/>
      <c r="T158" s="196"/>
      <c r="U158" s="152"/>
      <c r="V158" s="152"/>
      <c r="W158" s="157"/>
      <c r="X158" s="197"/>
      <c r="Y158" s="198"/>
    </row>
    <row r="159" ht="15.75" customHeight="1">
      <c r="A159" s="189"/>
      <c r="B159" s="193"/>
      <c r="C159" s="194"/>
      <c r="N159" s="152"/>
      <c r="Q159" s="195"/>
      <c r="S159" s="196"/>
      <c r="T159" s="196"/>
      <c r="U159" s="152"/>
      <c r="V159" s="152"/>
      <c r="W159" s="157"/>
      <c r="X159" s="197"/>
      <c r="Y159" s="198"/>
    </row>
    <row r="160" ht="15.75" customHeight="1">
      <c r="A160" s="189"/>
      <c r="B160" s="193"/>
      <c r="C160" s="194"/>
      <c r="N160" s="152"/>
      <c r="Q160" s="195"/>
      <c r="S160" s="196"/>
      <c r="T160" s="196"/>
      <c r="U160" s="152"/>
      <c r="V160" s="152"/>
      <c r="W160" s="157"/>
      <c r="X160" s="197"/>
      <c r="Y160" s="198"/>
    </row>
    <row r="161" ht="15.75" customHeight="1">
      <c r="A161" s="189"/>
      <c r="B161" s="193"/>
      <c r="C161" s="194"/>
      <c r="N161" s="152"/>
      <c r="Q161" s="195"/>
      <c r="S161" s="196"/>
      <c r="T161" s="196"/>
      <c r="U161" s="152"/>
      <c r="V161" s="152"/>
      <c r="W161" s="157"/>
      <c r="X161" s="197"/>
      <c r="Y161" s="198"/>
    </row>
    <row r="162" ht="15.75" customHeight="1">
      <c r="A162" s="189"/>
      <c r="B162" s="193"/>
      <c r="C162" s="194"/>
      <c r="N162" s="152"/>
      <c r="Q162" s="195"/>
      <c r="S162" s="196"/>
      <c r="T162" s="196"/>
      <c r="U162" s="152"/>
      <c r="V162" s="152"/>
      <c r="W162" s="157"/>
      <c r="X162" s="197"/>
      <c r="Y162" s="198"/>
    </row>
    <row r="163" ht="15.75" customHeight="1">
      <c r="A163" s="189"/>
      <c r="B163" s="193"/>
      <c r="C163" s="194"/>
      <c r="N163" s="152"/>
      <c r="Q163" s="195"/>
      <c r="S163" s="196"/>
      <c r="T163" s="196"/>
      <c r="U163" s="152"/>
      <c r="V163" s="152"/>
      <c r="W163" s="157"/>
      <c r="X163" s="197"/>
      <c r="Y163" s="198"/>
    </row>
    <row r="164" ht="15.75" customHeight="1">
      <c r="A164" s="189"/>
      <c r="B164" s="193"/>
      <c r="C164" s="194"/>
      <c r="N164" s="152"/>
      <c r="Q164" s="195"/>
      <c r="S164" s="196"/>
      <c r="T164" s="196"/>
      <c r="U164" s="152"/>
      <c r="V164" s="152"/>
      <c r="W164" s="157"/>
      <c r="X164" s="197"/>
      <c r="Y164" s="198"/>
    </row>
    <row r="165" ht="15.75" customHeight="1">
      <c r="A165" s="189"/>
      <c r="B165" s="193"/>
      <c r="C165" s="194"/>
      <c r="N165" s="152"/>
      <c r="Q165" s="195"/>
      <c r="S165" s="196"/>
      <c r="T165" s="196"/>
      <c r="U165" s="152"/>
      <c r="V165" s="152"/>
      <c r="W165" s="157"/>
      <c r="X165" s="197"/>
      <c r="Y165" s="198"/>
    </row>
    <row r="166" ht="15.75" customHeight="1">
      <c r="A166" s="189"/>
      <c r="B166" s="193"/>
      <c r="C166" s="194"/>
      <c r="N166" s="152"/>
      <c r="Q166" s="195"/>
      <c r="S166" s="196"/>
      <c r="T166" s="196"/>
      <c r="U166" s="152"/>
      <c r="V166" s="152"/>
      <c r="W166" s="157"/>
      <c r="X166" s="197"/>
      <c r="Y166" s="198"/>
    </row>
    <row r="167" ht="15.75" customHeight="1">
      <c r="A167" s="189"/>
      <c r="B167" s="193"/>
      <c r="C167" s="194"/>
      <c r="N167" s="152"/>
      <c r="Q167" s="195"/>
      <c r="S167" s="196"/>
      <c r="T167" s="196"/>
      <c r="U167" s="152"/>
      <c r="V167" s="152"/>
      <c r="W167" s="157"/>
      <c r="X167" s="197"/>
      <c r="Y167" s="198"/>
    </row>
    <row r="168" ht="15.75" customHeight="1">
      <c r="A168" s="189"/>
      <c r="B168" s="193"/>
      <c r="C168" s="194"/>
      <c r="N168" s="152"/>
      <c r="Q168" s="195"/>
      <c r="S168" s="196"/>
      <c r="T168" s="196"/>
      <c r="U168" s="152"/>
      <c r="V168" s="152"/>
      <c r="W168" s="157"/>
      <c r="X168" s="197"/>
      <c r="Y168" s="198"/>
    </row>
    <row r="169" ht="15.75" customHeight="1">
      <c r="A169" s="189"/>
      <c r="B169" s="193"/>
      <c r="C169" s="194"/>
      <c r="N169" s="152"/>
      <c r="Q169" s="195"/>
      <c r="S169" s="196"/>
      <c r="T169" s="196"/>
      <c r="U169" s="152"/>
      <c r="V169" s="152"/>
      <c r="W169" s="157"/>
      <c r="X169" s="197"/>
      <c r="Y169" s="198"/>
    </row>
    <row r="170" ht="15.75" customHeight="1">
      <c r="A170" s="189"/>
      <c r="B170" s="193"/>
      <c r="C170" s="194"/>
      <c r="N170" s="152"/>
      <c r="Q170" s="195"/>
      <c r="S170" s="196"/>
      <c r="T170" s="196"/>
      <c r="U170" s="152"/>
      <c r="V170" s="152"/>
      <c r="W170" s="157"/>
      <c r="X170" s="197"/>
      <c r="Y170" s="198"/>
    </row>
    <row r="171" ht="15.75" customHeight="1">
      <c r="A171" s="189"/>
      <c r="B171" s="193"/>
      <c r="C171" s="194"/>
      <c r="N171" s="152"/>
      <c r="Q171" s="195"/>
      <c r="S171" s="196"/>
      <c r="T171" s="196"/>
      <c r="U171" s="152"/>
      <c r="V171" s="152"/>
      <c r="W171" s="157"/>
      <c r="X171" s="197"/>
      <c r="Y171" s="198"/>
    </row>
    <row r="172" ht="15.75" customHeight="1">
      <c r="A172" s="189"/>
      <c r="B172" s="193"/>
      <c r="C172" s="194"/>
      <c r="N172" s="152"/>
      <c r="Q172" s="195"/>
      <c r="S172" s="196"/>
      <c r="T172" s="196"/>
      <c r="U172" s="152"/>
      <c r="V172" s="152"/>
      <c r="W172" s="157"/>
      <c r="X172" s="197"/>
      <c r="Y172" s="198"/>
    </row>
    <row r="173" ht="15.75" customHeight="1">
      <c r="A173" s="189"/>
      <c r="B173" s="193"/>
      <c r="C173" s="194"/>
      <c r="N173" s="152"/>
      <c r="Q173" s="195"/>
      <c r="S173" s="196"/>
      <c r="T173" s="196"/>
      <c r="U173" s="152"/>
      <c r="V173" s="152"/>
      <c r="W173" s="157"/>
      <c r="X173" s="197"/>
      <c r="Y173" s="198"/>
    </row>
    <row r="174" ht="15.75" customHeight="1">
      <c r="A174" s="189"/>
      <c r="B174" s="193"/>
      <c r="C174" s="194"/>
      <c r="N174" s="152"/>
      <c r="Q174" s="195"/>
      <c r="S174" s="196"/>
      <c r="T174" s="196"/>
      <c r="U174" s="152"/>
      <c r="V174" s="152"/>
      <c r="W174" s="157"/>
      <c r="X174" s="197"/>
      <c r="Y174" s="198"/>
    </row>
    <row r="175" ht="15.75" customHeight="1">
      <c r="A175" s="189"/>
      <c r="B175" s="193"/>
      <c r="C175" s="194"/>
      <c r="N175" s="152"/>
      <c r="Q175" s="195"/>
      <c r="S175" s="196"/>
      <c r="T175" s="196"/>
      <c r="U175" s="152"/>
      <c r="V175" s="152"/>
      <c r="W175" s="157"/>
      <c r="X175" s="197"/>
      <c r="Y175" s="198"/>
    </row>
    <row r="176" ht="15.75" customHeight="1">
      <c r="A176" s="189"/>
      <c r="B176" s="193"/>
      <c r="C176" s="194"/>
      <c r="N176" s="152"/>
      <c r="Q176" s="195"/>
      <c r="S176" s="196"/>
      <c r="T176" s="196"/>
      <c r="U176" s="152"/>
      <c r="V176" s="152"/>
      <c r="W176" s="157"/>
      <c r="X176" s="197"/>
      <c r="Y176" s="198"/>
    </row>
    <row r="177" ht="15.75" customHeight="1">
      <c r="A177" s="189"/>
      <c r="B177" s="193"/>
      <c r="C177" s="194"/>
      <c r="N177" s="152"/>
      <c r="Q177" s="195"/>
      <c r="S177" s="196"/>
      <c r="T177" s="196"/>
      <c r="U177" s="152"/>
      <c r="V177" s="152"/>
      <c r="W177" s="157"/>
      <c r="X177" s="197"/>
      <c r="Y177" s="198"/>
    </row>
    <row r="178" ht="15.75" customHeight="1">
      <c r="A178" s="189"/>
      <c r="B178" s="193"/>
      <c r="C178" s="194"/>
      <c r="N178" s="152"/>
      <c r="Q178" s="195"/>
      <c r="S178" s="196"/>
      <c r="T178" s="196"/>
      <c r="U178" s="152"/>
      <c r="V178" s="152"/>
      <c r="W178" s="157"/>
      <c r="X178" s="197"/>
      <c r="Y178" s="198"/>
    </row>
    <row r="179" ht="15.75" customHeight="1">
      <c r="A179" s="189"/>
      <c r="B179" s="193"/>
      <c r="C179" s="194"/>
      <c r="N179" s="152"/>
      <c r="Q179" s="195"/>
      <c r="S179" s="196"/>
      <c r="T179" s="196"/>
      <c r="U179" s="152"/>
      <c r="V179" s="152"/>
      <c r="W179" s="157"/>
      <c r="X179" s="197"/>
      <c r="Y179" s="198"/>
    </row>
    <row r="180" ht="15.75" customHeight="1">
      <c r="A180" s="189"/>
      <c r="B180" s="193"/>
      <c r="C180" s="194"/>
      <c r="N180" s="152"/>
      <c r="Q180" s="195"/>
      <c r="S180" s="196"/>
      <c r="T180" s="196"/>
      <c r="U180" s="152"/>
      <c r="V180" s="152"/>
      <c r="W180" s="157"/>
      <c r="X180" s="197"/>
      <c r="Y180" s="198"/>
    </row>
    <row r="181" ht="15.75" customHeight="1">
      <c r="A181" s="189"/>
      <c r="B181" s="193"/>
      <c r="C181" s="194"/>
      <c r="N181" s="152"/>
      <c r="Q181" s="195"/>
      <c r="S181" s="196"/>
      <c r="T181" s="196"/>
      <c r="U181" s="152"/>
      <c r="V181" s="152"/>
      <c r="W181" s="157"/>
      <c r="X181" s="197"/>
      <c r="Y181" s="198"/>
    </row>
    <row r="182" ht="15.75" customHeight="1">
      <c r="A182" s="189"/>
      <c r="B182" s="193"/>
      <c r="C182" s="194"/>
      <c r="N182" s="152"/>
      <c r="Q182" s="195"/>
      <c r="S182" s="196"/>
      <c r="T182" s="196"/>
      <c r="U182" s="152"/>
      <c r="V182" s="152"/>
      <c r="W182" s="157"/>
      <c r="X182" s="197"/>
      <c r="Y182" s="198"/>
    </row>
    <row r="183" ht="15.75" customHeight="1">
      <c r="A183" s="189"/>
      <c r="B183" s="193"/>
      <c r="C183" s="194"/>
      <c r="N183" s="152"/>
      <c r="Q183" s="195"/>
      <c r="S183" s="196"/>
      <c r="T183" s="196"/>
      <c r="U183" s="152"/>
      <c r="V183" s="152"/>
      <c r="W183" s="157"/>
      <c r="X183" s="197"/>
      <c r="Y183" s="198"/>
    </row>
    <row r="184" ht="15.75" customHeight="1">
      <c r="A184" s="189"/>
      <c r="B184" s="193"/>
      <c r="C184" s="194"/>
      <c r="N184" s="152"/>
      <c r="Q184" s="195"/>
      <c r="S184" s="196"/>
      <c r="T184" s="196"/>
      <c r="U184" s="152"/>
      <c r="V184" s="152"/>
      <c r="W184" s="157"/>
      <c r="X184" s="197"/>
      <c r="Y184" s="198"/>
    </row>
    <row r="185" ht="15.75" customHeight="1">
      <c r="A185" s="189"/>
      <c r="B185" s="193"/>
      <c r="C185" s="194"/>
      <c r="N185" s="152"/>
      <c r="Q185" s="195"/>
      <c r="S185" s="196"/>
      <c r="T185" s="196"/>
      <c r="U185" s="152"/>
      <c r="V185" s="152"/>
      <c r="W185" s="157"/>
      <c r="X185" s="197"/>
      <c r="Y185" s="198"/>
    </row>
    <row r="186" ht="15.75" customHeight="1">
      <c r="A186" s="189"/>
      <c r="B186" s="193"/>
      <c r="C186" s="194"/>
      <c r="N186" s="152"/>
      <c r="Q186" s="195"/>
      <c r="S186" s="196"/>
      <c r="T186" s="196"/>
      <c r="U186" s="152"/>
      <c r="V186" s="152"/>
      <c r="W186" s="157"/>
      <c r="X186" s="197"/>
      <c r="Y186" s="198"/>
    </row>
    <row r="187" ht="15.75" customHeight="1">
      <c r="A187" s="189"/>
      <c r="B187" s="193"/>
      <c r="C187" s="194"/>
      <c r="N187" s="152"/>
      <c r="Q187" s="195"/>
      <c r="S187" s="196"/>
      <c r="T187" s="196"/>
      <c r="U187" s="152"/>
      <c r="V187" s="152"/>
      <c r="W187" s="157"/>
      <c r="X187" s="197"/>
      <c r="Y187" s="198"/>
    </row>
    <row r="188" ht="15.75" customHeight="1">
      <c r="A188" s="189"/>
      <c r="B188" s="193"/>
      <c r="C188" s="194"/>
      <c r="N188" s="152"/>
      <c r="Q188" s="195"/>
      <c r="S188" s="196"/>
      <c r="T188" s="196"/>
      <c r="U188" s="152"/>
      <c r="V188" s="152"/>
      <c r="W188" s="157"/>
      <c r="X188" s="197"/>
      <c r="Y188" s="198"/>
    </row>
    <row r="189" ht="15.75" customHeight="1">
      <c r="A189" s="189"/>
      <c r="B189" s="193"/>
      <c r="C189" s="194"/>
      <c r="N189" s="152"/>
      <c r="Q189" s="195"/>
      <c r="S189" s="196"/>
      <c r="T189" s="196"/>
      <c r="U189" s="152"/>
      <c r="V189" s="152"/>
      <c r="W189" s="157"/>
      <c r="X189" s="197"/>
      <c r="Y189" s="198"/>
    </row>
    <row r="190" ht="15.75" customHeight="1">
      <c r="A190" s="189"/>
      <c r="B190" s="193"/>
      <c r="C190" s="194"/>
      <c r="N190" s="152"/>
      <c r="Q190" s="195"/>
      <c r="S190" s="196"/>
      <c r="T190" s="196"/>
      <c r="U190" s="152"/>
      <c r="V190" s="152"/>
      <c r="W190" s="157"/>
      <c r="X190" s="197"/>
      <c r="Y190" s="198"/>
    </row>
    <row r="191" ht="15.75" customHeight="1">
      <c r="A191" s="189"/>
      <c r="B191" s="193"/>
      <c r="C191" s="194"/>
      <c r="N191" s="152"/>
      <c r="Q191" s="195"/>
      <c r="S191" s="196"/>
      <c r="T191" s="196"/>
      <c r="U191" s="152"/>
      <c r="V191" s="152"/>
      <c r="W191" s="157"/>
      <c r="X191" s="197"/>
      <c r="Y191" s="198"/>
    </row>
    <row r="192" ht="15.75" customHeight="1">
      <c r="A192" s="189"/>
      <c r="B192" s="193"/>
      <c r="C192" s="194"/>
      <c r="N192" s="152"/>
      <c r="Q192" s="195"/>
      <c r="S192" s="196"/>
      <c r="T192" s="196"/>
      <c r="U192" s="152"/>
      <c r="V192" s="152"/>
      <c r="W192" s="157"/>
      <c r="X192" s="197"/>
      <c r="Y192" s="198"/>
    </row>
    <row r="193" ht="15.75" customHeight="1">
      <c r="A193" s="189"/>
      <c r="B193" s="193"/>
      <c r="C193" s="194"/>
      <c r="N193" s="152"/>
      <c r="Q193" s="195"/>
      <c r="S193" s="196"/>
      <c r="T193" s="196"/>
      <c r="U193" s="152"/>
      <c r="V193" s="152"/>
      <c r="W193" s="157"/>
      <c r="X193" s="197"/>
      <c r="Y193" s="198"/>
    </row>
    <row r="194" ht="15.75" customHeight="1">
      <c r="A194" s="189"/>
      <c r="B194" s="193"/>
      <c r="C194" s="194"/>
      <c r="N194" s="152"/>
      <c r="Q194" s="195"/>
      <c r="S194" s="196"/>
      <c r="T194" s="196"/>
      <c r="U194" s="152"/>
      <c r="V194" s="152"/>
      <c r="W194" s="157"/>
      <c r="X194" s="197"/>
      <c r="Y194" s="198"/>
    </row>
    <row r="195" ht="15.75" customHeight="1">
      <c r="A195" s="189"/>
      <c r="B195" s="193"/>
      <c r="C195" s="194"/>
      <c r="N195" s="152"/>
      <c r="Q195" s="195"/>
      <c r="S195" s="196"/>
      <c r="T195" s="196"/>
      <c r="U195" s="152"/>
      <c r="V195" s="152"/>
      <c r="W195" s="157"/>
      <c r="X195" s="197"/>
      <c r="Y195" s="198"/>
    </row>
    <row r="196" ht="15.75" customHeight="1">
      <c r="A196" s="189"/>
      <c r="B196" s="193"/>
      <c r="C196" s="194"/>
      <c r="N196" s="152"/>
      <c r="Q196" s="195"/>
      <c r="S196" s="196"/>
      <c r="T196" s="196"/>
      <c r="U196" s="152"/>
      <c r="V196" s="152"/>
      <c r="W196" s="157"/>
      <c r="X196" s="197"/>
      <c r="Y196" s="198"/>
    </row>
    <row r="197" ht="15.75" customHeight="1">
      <c r="A197" s="189"/>
      <c r="B197" s="193"/>
      <c r="C197" s="194"/>
      <c r="N197" s="152"/>
      <c r="Q197" s="195"/>
      <c r="S197" s="196"/>
      <c r="T197" s="196"/>
      <c r="U197" s="152"/>
      <c r="V197" s="152"/>
      <c r="W197" s="157"/>
      <c r="X197" s="197"/>
      <c r="Y197" s="198"/>
    </row>
    <row r="198" ht="15.75" customHeight="1">
      <c r="A198" s="189"/>
      <c r="B198" s="193"/>
      <c r="C198" s="194"/>
      <c r="N198" s="152"/>
      <c r="Q198" s="195"/>
      <c r="S198" s="196"/>
      <c r="T198" s="196"/>
      <c r="U198" s="152"/>
      <c r="V198" s="152"/>
      <c r="W198" s="157"/>
      <c r="X198" s="197"/>
      <c r="Y198" s="198"/>
    </row>
    <row r="199" ht="15.75" customHeight="1">
      <c r="A199" s="189"/>
      <c r="B199" s="193"/>
      <c r="C199" s="194"/>
      <c r="N199" s="152"/>
      <c r="Q199" s="195"/>
      <c r="S199" s="196"/>
      <c r="T199" s="196"/>
      <c r="U199" s="152"/>
      <c r="V199" s="152"/>
      <c r="W199" s="157"/>
      <c r="X199" s="197"/>
      <c r="Y199" s="198"/>
    </row>
    <row r="200" ht="15.75" customHeight="1">
      <c r="A200" s="189"/>
      <c r="B200" s="193"/>
      <c r="C200" s="194"/>
      <c r="N200" s="152"/>
      <c r="Q200" s="195"/>
      <c r="S200" s="196"/>
      <c r="T200" s="196"/>
      <c r="U200" s="152"/>
      <c r="V200" s="152"/>
      <c r="W200" s="157"/>
      <c r="X200" s="197"/>
      <c r="Y200" s="198"/>
    </row>
    <row r="201" ht="15.75" customHeight="1">
      <c r="A201" s="189"/>
      <c r="B201" s="193"/>
      <c r="C201" s="194"/>
      <c r="N201" s="152"/>
      <c r="Q201" s="195"/>
      <c r="S201" s="196"/>
      <c r="T201" s="196"/>
      <c r="U201" s="152"/>
      <c r="V201" s="152"/>
      <c r="W201" s="157"/>
      <c r="X201" s="197"/>
      <c r="Y201" s="198"/>
    </row>
    <row r="202" ht="15.75" customHeight="1">
      <c r="A202" s="189"/>
      <c r="B202" s="193"/>
      <c r="C202" s="194"/>
      <c r="N202" s="152"/>
      <c r="Q202" s="195"/>
      <c r="S202" s="196"/>
      <c r="T202" s="196"/>
      <c r="U202" s="152"/>
      <c r="V202" s="152"/>
      <c r="W202" s="157"/>
      <c r="X202" s="197"/>
      <c r="Y202" s="198"/>
    </row>
    <row r="203" ht="15.75" customHeight="1">
      <c r="A203" s="189"/>
      <c r="B203" s="193"/>
      <c r="C203" s="194"/>
      <c r="N203" s="152"/>
      <c r="Q203" s="195"/>
      <c r="S203" s="196"/>
      <c r="T203" s="196"/>
      <c r="U203" s="152"/>
      <c r="V203" s="152"/>
      <c r="W203" s="157"/>
      <c r="X203" s="197"/>
      <c r="Y203" s="198"/>
    </row>
    <row r="204" ht="15.75" customHeight="1">
      <c r="A204" s="189"/>
      <c r="B204" s="193"/>
      <c r="C204" s="194"/>
      <c r="N204" s="152"/>
      <c r="Q204" s="195"/>
      <c r="S204" s="196"/>
      <c r="T204" s="196"/>
      <c r="U204" s="152"/>
      <c r="V204" s="152"/>
      <c r="W204" s="157"/>
      <c r="X204" s="197"/>
      <c r="Y204" s="198"/>
    </row>
    <row r="205" ht="15.75" customHeight="1">
      <c r="A205" s="189"/>
      <c r="B205" s="193"/>
      <c r="C205" s="194"/>
      <c r="N205" s="152"/>
      <c r="Q205" s="195"/>
      <c r="S205" s="196"/>
      <c r="T205" s="196"/>
      <c r="U205" s="152"/>
      <c r="V205" s="152"/>
      <c r="W205" s="157"/>
      <c r="X205" s="197"/>
      <c r="Y205" s="198"/>
    </row>
    <row r="206" ht="15.75" customHeight="1">
      <c r="A206" s="189"/>
      <c r="B206" s="193"/>
      <c r="C206" s="194"/>
      <c r="N206" s="152"/>
      <c r="Q206" s="195"/>
      <c r="S206" s="196"/>
      <c r="T206" s="196"/>
      <c r="U206" s="152"/>
      <c r="V206" s="152"/>
      <c r="W206" s="157"/>
      <c r="X206" s="197"/>
      <c r="Y206" s="198"/>
    </row>
    <row r="207" ht="15.75" customHeight="1">
      <c r="A207" s="189"/>
      <c r="B207" s="193"/>
      <c r="C207" s="194"/>
      <c r="N207" s="152"/>
      <c r="Q207" s="195"/>
      <c r="S207" s="196"/>
      <c r="T207" s="196"/>
      <c r="U207" s="152"/>
      <c r="V207" s="152"/>
      <c r="W207" s="157"/>
      <c r="X207" s="197"/>
      <c r="Y207" s="198"/>
    </row>
    <row r="208" ht="15.75" customHeight="1">
      <c r="A208" s="189"/>
      <c r="B208" s="193"/>
      <c r="C208" s="194"/>
      <c r="N208" s="152"/>
      <c r="Q208" s="195"/>
      <c r="S208" s="196"/>
      <c r="T208" s="196"/>
      <c r="U208" s="152"/>
      <c r="V208" s="152"/>
      <c r="W208" s="157"/>
      <c r="X208" s="197"/>
      <c r="Y208" s="198"/>
    </row>
    <row r="209" ht="15.75" customHeight="1">
      <c r="A209" s="189"/>
      <c r="B209" s="193"/>
      <c r="C209" s="194"/>
      <c r="N209" s="152"/>
      <c r="Q209" s="195"/>
      <c r="S209" s="196"/>
      <c r="T209" s="196"/>
      <c r="U209" s="152"/>
      <c r="V209" s="152"/>
      <c r="W209" s="157"/>
      <c r="X209" s="197"/>
      <c r="Y209" s="198"/>
    </row>
    <row r="210" ht="15.75" customHeight="1">
      <c r="A210" s="189"/>
      <c r="B210" s="193"/>
      <c r="C210" s="194"/>
      <c r="N210" s="152"/>
      <c r="Q210" s="195"/>
      <c r="S210" s="196"/>
      <c r="T210" s="196"/>
      <c r="U210" s="152"/>
      <c r="V210" s="152"/>
      <c r="W210" s="157"/>
      <c r="X210" s="197"/>
      <c r="Y210" s="198"/>
    </row>
    <row r="211" ht="15.75" customHeight="1">
      <c r="A211" s="189"/>
      <c r="B211" s="193"/>
      <c r="C211" s="194"/>
      <c r="N211" s="152"/>
      <c r="Q211" s="195"/>
      <c r="S211" s="196"/>
      <c r="T211" s="196"/>
      <c r="U211" s="152"/>
      <c r="V211" s="152"/>
      <c r="W211" s="157"/>
      <c r="X211" s="197"/>
      <c r="Y211" s="198"/>
    </row>
    <row r="212" ht="15.75" customHeight="1">
      <c r="A212" s="189"/>
      <c r="B212" s="193"/>
      <c r="C212" s="194"/>
      <c r="N212" s="152"/>
      <c r="Q212" s="195"/>
      <c r="S212" s="196"/>
      <c r="T212" s="196"/>
      <c r="U212" s="152"/>
      <c r="V212" s="152"/>
      <c r="W212" s="157"/>
      <c r="X212" s="197"/>
      <c r="Y212" s="198"/>
    </row>
    <row r="213" ht="15.75" customHeight="1">
      <c r="A213" s="189"/>
      <c r="B213" s="193"/>
      <c r="C213" s="194"/>
      <c r="N213" s="152"/>
      <c r="Q213" s="195"/>
      <c r="S213" s="196"/>
      <c r="T213" s="196"/>
      <c r="U213" s="152"/>
      <c r="V213" s="152"/>
      <c r="W213" s="157"/>
      <c r="X213" s="197"/>
      <c r="Y213" s="198"/>
    </row>
    <row r="214" ht="15.75" customHeight="1">
      <c r="A214" s="189"/>
      <c r="B214" s="193"/>
      <c r="C214" s="194"/>
      <c r="N214" s="152"/>
      <c r="Q214" s="195"/>
      <c r="S214" s="196"/>
      <c r="T214" s="196"/>
      <c r="U214" s="152"/>
      <c r="V214" s="152"/>
      <c r="W214" s="157"/>
      <c r="X214" s="197"/>
      <c r="Y214" s="198"/>
    </row>
    <row r="215" ht="15.75" customHeight="1">
      <c r="A215" s="189"/>
      <c r="B215" s="193"/>
      <c r="C215" s="194"/>
      <c r="N215" s="152"/>
      <c r="Q215" s="195"/>
      <c r="S215" s="196"/>
      <c r="T215" s="196"/>
      <c r="U215" s="152"/>
      <c r="V215" s="152"/>
      <c r="W215" s="157"/>
      <c r="X215" s="197"/>
      <c r="Y215" s="198"/>
    </row>
    <row r="216" ht="15.75" customHeight="1">
      <c r="A216" s="189"/>
      <c r="B216" s="193"/>
      <c r="C216" s="194"/>
      <c r="N216" s="152"/>
      <c r="Q216" s="195"/>
      <c r="S216" s="196"/>
      <c r="T216" s="196"/>
      <c r="U216" s="152"/>
      <c r="V216" s="152"/>
      <c r="W216" s="157"/>
      <c r="X216" s="197"/>
      <c r="Y216" s="198"/>
    </row>
    <row r="217" ht="15.75" customHeight="1">
      <c r="A217" s="189"/>
      <c r="B217" s="193"/>
      <c r="C217" s="194"/>
      <c r="N217" s="152"/>
      <c r="Q217" s="195"/>
      <c r="S217" s="196"/>
      <c r="T217" s="196"/>
      <c r="U217" s="152"/>
      <c r="V217" s="152"/>
      <c r="W217" s="157"/>
      <c r="X217" s="197"/>
      <c r="Y217" s="198"/>
    </row>
    <row r="218" ht="15.75" customHeight="1">
      <c r="A218" s="189"/>
      <c r="B218" s="193"/>
      <c r="C218" s="194"/>
      <c r="N218" s="152"/>
      <c r="Q218" s="195"/>
      <c r="S218" s="196"/>
      <c r="T218" s="196"/>
      <c r="U218" s="152"/>
      <c r="V218" s="152"/>
      <c r="W218" s="157"/>
      <c r="X218" s="197"/>
      <c r="Y218" s="198"/>
    </row>
    <row r="219" ht="15.75" customHeight="1">
      <c r="A219" s="189"/>
      <c r="B219" s="193"/>
      <c r="C219" s="194"/>
      <c r="N219" s="152"/>
      <c r="Q219" s="195"/>
      <c r="S219" s="196"/>
      <c r="T219" s="196"/>
      <c r="U219" s="152"/>
      <c r="V219" s="152"/>
      <c r="W219" s="157"/>
      <c r="X219" s="197"/>
      <c r="Y219" s="198"/>
    </row>
    <row r="220" ht="15.75" customHeight="1">
      <c r="A220" s="189"/>
      <c r="B220" s="193"/>
      <c r="C220" s="194"/>
      <c r="N220" s="152"/>
      <c r="Q220" s="195"/>
      <c r="S220" s="196"/>
      <c r="T220" s="196"/>
      <c r="U220" s="152"/>
      <c r="V220" s="152"/>
      <c r="W220" s="157"/>
      <c r="X220" s="197"/>
      <c r="Y220" s="198"/>
    </row>
    <row r="221" ht="15.75" customHeight="1">
      <c r="B221" s="199"/>
      <c r="N221" s="152"/>
      <c r="Q221" s="195"/>
      <c r="S221" s="200"/>
      <c r="T221" s="200"/>
      <c r="U221" s="152"/>
      <c r="V221" s="152"/>
      <c r="W221" s="157"/>
      <c r="X221" s="197"/>
      <c r="Y221" s="198"/>
    </row>
    <row r="222" ht="15.75" customHeight="1">
      <c r="B222" s="199"/>
      <c r="N222" s="152"/>
      <c r="Q222" s="195"/>
      <c r="S222" s="200"/>
      <c r="T222" s="200"/>
      <c r="U222" s="152"/>
      <c r="V222" s="152"/>
      <c r="W222" s="157"/>
      <c r="X222" s="197"/>
      <c r="Y222" s="198"/>
    </row>
    <row r="223" ht="15.75" customHeight="1">
      <c r="B223" s="199"/>
      <c r="N223" s="152"/>
      <c r="Q223" s="195"/>
      <c r="S223" s="200"/>
      <c r="T223" s="200"/>
      <c r="U223" s="152"/>
      <c r="V223" s="152"/>
      <c r="W223" s="157"/>
      <c r="X223" s="197"/>
      <c r="Y223" s="198"/>
    </row>
    <row r="224" ht="15.75" customHeight="1">
      <c r="B224" s="199"/>
      <c r="N224" s="152"/>
      <c r="Q224" s="195"/>
      <c r="S224" s="200"/>
      <c r="T224" s="200"/>
      <c r="U224" s="152"/>
      <c r="V224" s="152"/>
      <c r="W224" s="157"/>
      <c r="X224" s="197"/>
      <c r="Y224" s="198"/>
    </row>
    <row r="225" ht="15.75" customHeight="1">
      <c r="B225" s="199"/>
      <c r="N225" s="152"/>
      <c r="Q225" s="195"/>
      <c r="S225" s="200"/>
      <c r="T225" s="200"/>
      <c r="U225" s="152"/>
      <c r="V225" s="152"/>
      <c r="W225" s="157"/>
      <c r="X225" s="197"/>
      <c r="Y225" s="198"/>
    </row>
    <row r="226" ht="15.75" customHeight="1">
      <c r="B226" s="199"/>
      <c r="N226" s="152"/>
      <c r="Q226" s="195"/>
      <c r="S226" s="200"/>
      <c r="T226" s="200"/>
      <c r="U226" s="152"/>
      <c r="V226" s="152"/>
      <c r="W226" s="157"/>
      <c r="X226" s="197"/>
      <c r="Y226" s="198"/>
    </row>
    <row r="227" ht="15.75" customHeight="1">
      <c r="B227" s="199"/>
      <c r="N227" s="152"/>
      <c r="Q227" s="195"/>
      <c r="S227" s="200"/>
      <c r="T227" s="200"/>
      <c r="U227" s="152"/>
      <c r="V227" s="152"/>
      <c r="W227" s="157"/>
      <c r="X227" s="197"/>
      <c r="Y227" s="198"/>
    </row>
    <row r="228" ht="15.75" customHeight="1">
      <c r="B228" s="199"/>
      <c r="N228" s="152"/>
      <c r="Q228" s="195"/>
      <c r="S228" s="200"/>
      <c r="T228" s="200"/>
      <c r="U228" s="152"/>
      <c r="V228" s="152"/>
      <c r="W228" s="157"/>
      <c r="X228" s="197"/>
      <c r="Y228" s="198"/>
    </row>
    <row r="229" ht="15.75" customHeight="1">
      <c r="B229" s="199"/>
      <c r="N229" s="152"/>
      <c r="Q229" s="195"/>
      <c r="S229" s="200"/>
      <c r="T229" s="200"/>
      <c r="U229" s="152"/>
      <c r="V229" s="152"/>
      <c r="W229" s="157"/>
      <c r="X229" s="197"/>
      <c r="Y229" s="198"/>
    </row>
    <row r="230" ht="15.75" customHeight="1">
      <c r="B230" s="199"/>
      <c r="N230" s="152"/>
      <c r="Q230" s="195"/>
      <c r="S230" s="200"/>
      <c r="T230" s="200"/>
      <c r="U230" s="152"/>
      <c r="V230" s="152"/>
      <c r="W230" s="157"/>
      <c r="X230" s="197"/>
      <c r="Y230" s="198"/>
    </row>
    <row r="231" ht="15.75" customHeight="1">
      <c r="B231" s="199"/>
      <c r="N231" s="152"/>
      <c r="Q231" s="195"/>
      <c r="S231" s="200"/>
      <c r="T231" s="200"/>
      <c r="U231" s="152"/>
      <c r="V231" s="152"/>
      <c r="W231" s="157"/>
      <c r="X231" s="197"/>
      <c r="Y231" s="198"/>
    </row>
    <row r="232" ht="15.75" customHeight="1">
      <c r="B232" s="199"/>
      <c r="N232" s="152"/>
      <c r="Q232" s="195"/>
      <c r="S232" s="200"/>
      <c r="T232" s="200"/>
      <c r="U232" s="152"/>
      <c r="V232" s="152"/>
      <c r="W232" s="157"/>
      <c r="X232" s="197"/>
      <c r="Y232" s="198"/>
    </row>
    <row r="233" ht="15.75" customHeight="1">
      <c r="B233" s="199"/>
      <c r="N233" s="152"/>
      <c r="Q233" s="195"/>
      <c r="S233" s="200"/>
      <c r="T233" s="200"/>
      <c r="U233" s="152"/>
      <c r="V233" s="152"/>
      <c r="W233" s="157"/>
      <c r="X233" s="197"/>
      <c r="Y233" s="198"/>
    </row>
    <row r="234" ht="15.75" customHeight="1">
      <c r="B234" s="199"/>
      <c r="N234" s="152"/>
      <c r="Q234" s="195"/>
      <c r="S234" s="200"/>
      <c r="T234" s="200"/>
      <c r="U234" s="152"/>
      <c r="V234" s="152"/>
      <c r="W234" s="157"/>
      <c r="X234" s="197"/>
      <c r="Y234" s="198"/>
    </row>
    <row r="235" ht="15.75" customHeight="1">
      <c r="B235" s="199"/>
      <c r="N235" s="152"/>
      <c r="Q235" s="195"/>
      <c r="S235" s="200"/>
      <c r="T235" s="200"/>
      <c r="U235" s="152"/>
      <c r="V235" s="152"/>
      <c r="W235" s="157"/>
      <c r="X235" s="197"/>
      <c r="Y235" s="198"/>
    </row>
    <row r="236" ht="15.75" customHeight="1">
      <c r="B236" s="199"/>
      <c r="N236" s="152"/>
      <c r="Q236" s="195"/>
      <c r="S236" s="200"/>
      <c r="T236" s="200"/>
      <c r="U236" s="152"/>
      <c r="V236" s="152"/>
      <c r="W236" s="157"/>
      <c r="X236" s="197"/>
      <c r="Y236" s="198"/>
    </row>
    <row r="237" ht="15.75" customHeight="1">
      <c r="B237" s="199"/>
      <c r="N237" s="152"/>
      <c r="Q237" s="195"/>
      <c r="S237" s="200"/>
      <c r="T237" s="200"/>
      <c r="U237" s="152"/>
      <c r="V237" s="152"/>
      <c r="W237" s="157"/>
      <c r="X237" s="197"/>
      <c r="Y237" s="198"/>
    </row>
    <row r="238" ht="15.75" customHeight="1">
      <c r="B238" s="199"/>
      <c r="N238" s="152"/>
      <c r="Q238" s="195"/>
      <c r="S238" s="200"/>
      <c r="T238" s="200"/>
      <c r="U238" s="152"/>
      <c r="V238" s="152"/>
      <c r="W238" s="157"/>
      <c r="X238" s="197"/>
      <c r="Y238" s="198"/>
    </row>
    <row r="239" ht="15.75" customHeight="1">
      <c r="B239" s="199"/>
      <c r="N239" s="152"/>
      <c r="Q239" s="195"/>
      <c r="S239" s="200"/>
      <c r="T239" s="200"/>
      <c r="U239" s="152"/>
      <c r="V239" s="152"/>
      <c r="W239" s="157"/>
      <c r="X239" s="197"/>
      <c r="Y239" s="198"/>
    </row>
    <row r="240" ht="15.75" customHeight="1">
      <c r="B240" s="199"/>
      <c r="N240" s="152"/>
      <c r="Q240" s="195"/>
      <c r="S240" s="200"/>
      <c r="T240" s="200"/>
      <c r="U240" s="152"/>
      <c r="V240" s="152"/>
      <c r="W240" s="157"/>
      <c r="X240" s="197"/>
      <c r="Y240" s="198"/>
    </row>
    <row r="241" ht="15.75" customHeight="1">
      <c r="B241" s="199"/>
      <c r="N241" s="152"/>
      <c r="Q241" s="195"/>
      <c r="S241" s="200"/>
      <c r="T241" s="200"/>
      <c r="U241" s="152"/>
      <c r="V241" s="152"/>
      <c r="W241" s="157"/>
      <c r="X241" s="197"/>
      <c r="Y241" s="198"/>
    </row>
    <row r="242" ht="15.75" customHeight="1">
      <c r="B242" s="199"/>
      <c r="N242" s="152"/>
      <c r="Q242" s="195"/>
      <c r="S242" s="200"/>
      <c r="T242" s="200"/>
      <c r="U242" s="152"/>
      <c r="V242" s="152"/>
      <c r="W242" s="157"/>
      <c r="X242" s="197"/>
      <c r="Y242" s="198"/>
    </row>
    <row r="243" ht="15.75" customHeight="1">
      <c r="B243" s="199"/>
      <c r="N243" s="152"/>
      <c r="Q243" s="195"/>
      <c r="S243" s="200"/>
      <c r="T243" s="200"/>
      <c r="U243" s="152"/>
      <c r="V243" s="152"/>
      <c r="W243" s="157"/>
      <c r="X243" s="197"/>
      <c r="Y243" s="198"/>
    </row>
    <row r="244" ht="15.75" customHeight="1">
      <c r="B244" s="199"/>
      <c r="N244" s="152"/>
      <c r="Q244" s="195"/>
      <c r="S244" s="200"/>
      <c r="T244" s="200"/>
      <c r="U244" s="152"/>
      <c r="V244" s="152"/>
      <c r="W244" s="157"/>
      <c r="X244" s="197"/>
      <c r="Y244" s="198"/>
    </row>
    <row r="245" ht="15.75" customHeight="1">
      <c r="B245" s="199"/>
      <c r="N245" s="152"/>
      <c r="Q245" s="195"/>
      <c r="S245" s="200"/>
      <c r="T245" s="200"/>
      <c r="U245" s="152"/>
      <c r="V245" s="152"/>
      <c r="W245" s="157"/>
      <c r="X245" s="197"/>
      <c r="Y245" s="198"/>
    </row>
    <row r="246" ht="15.75" customHeight="1">
      <c r="B246" s="199"/>
      <c r="N246" s="152"/>
      <c r="Q246" s="195"/>
      <c r="S246" s="200"/>
      <c r="T246" s="200"/>
      <c r="U246" s="152"/>
      <c r="V246" s="152"/>
      <c r="W246" s="157"/>
      <c r="X246" s="197"/>
      <c r="Y246" s="198"/>
    </row>
    <row r="247" ht="15.75" customHeight="1">
      <c r="B247" s="199"/>
      <c r="N247" s="152"/>
      <c r="Q247" s="195"/>
      <c r="S247" s="200"/>
      <c r="T247" s="200"/>
      <c r="U247" s="152"/>
      <c r="V247" s="152"/>
      <c r="W247" s="157"/>
      <c r="X247" s="197"/>
      <c r="Y247" s="198"/>
    </row>
    <row r="248" ht="15.75" customHeight="1">
      <c r="B248" s="199"/>
      <c r="N248" s="152"/>
      <c r="Q248" s="195"/>
      <c r="S248" s="200"/>
      <c r="T248" s="200"/>
      <c r="U248" s="152"/>
      <c r="V248" s="152"/>
      <c r="W248" s="157"/>
      <c r="X248" s="197"/>
      <c r="Y248" s="198"/>
    </row>
    <row r="249" ht="15.75" customHeight="1">
      <c r="B249" s="199"/>
      <c r="N249" s="152"/>
      <c r="Q249" s="195"/>
      <c r="S249" s="200"/>
      <c r="T249" s="200"/>
      <c r="U249" s="152"/>
      <c r="V249" s="152"/>
      <c r="W249" s="157"/>
      <c r="X249" s="197"/>
      <c r="Y249" s="198"/>
    </row>
    <row r="250" ht="15.75" customHeight="1">
      <c r="B250" s="199"/>
      <c r="N250" s="152"/>
      <c r="Q250" s="195"/>
      <c r="S250" s="200"/>
      <c r="T250" s="200"/>
      <c r="U250" s="152"/>
      <c r="V250" s="152"/>
      <c r="W250" s="157"/>
      <c r="X250" s="197"/>
      <c r="Y250" s="198"/>
    </row>
    <row r="251" ht="15.75" customHeight="1">
      <c r="B251" s="199"/>
      <c r="N251" s="152"/>
      <c r="Q251" s="195"/>
      <c r="S251" s="200"/>
      <c r="T251" s="200"/>
      <c r="U251" s="152"/>
      <c r="V251" s="152"/>
      <c r="W251" s="157"/>
      <c r="X251" s="197"/>
      <c r="Y251" s="198"/>
    </row>
    <row r="252" ht="15.75" customHeight="1">
      <c r="B252" s="199"/>
      <c r="N252" s="152"/>
      <c r="Q252" s="195"/>
      <c r="S252" s="200"/>
      <c r="T252" s="200"/>
      <c r="U252" s="152"/>
      <c r="V252" s="152"/>
      <c r="W252" s="157"/>
      <c r="X252" s="197"/>
      <c r="Y252" s="198"/>
    </row>
    <row r="253" ht="15.75" customHeight="1">
      <c r="B253" s="199"/>
      <c r="N253" s="152"/>
      <c r="Q253" s="195"/>
      <c r="S253" s="200"/>
      <c r="T253" s="200"/>
      <c r="U253" s="152"/>
      <c r="V253" s="152"/>
      <c r="W253" s="157"/>
      <c r="X253" s="197"/>
      <c r="Y253" s="198"/>
    </row>
    <row r="254" ht="15.75" customHeight="1">
      <c r="B254" s="199"/>
      <c r="N254" s="152"/>
      <c r="Q254" s="195"/>
      <c r="S254" s="200"/>
      <c r="T254" s="200"/>
      <c r="U254" s="152"/>
      <c r="V254" s="152"/>
      <c r="W254" s="157"/>
      <c r="X254" s="197"/>
      <c r="Y254" s="198"/>
    </row>
    <row r="255" ht="15.75" customHeight="1">
      <c r="B255" s="199"/>
      <c r="N255" s="152"/>
      <c r="Q255" s="195"/>
      <c r="S255" s="200"/>
      <c r="T255" s="200"/>
      <c r="U255" s="152"/>
      <c r="V255" s="152"/>
      <c r="W255" s="157"/>
      <c r="X255" s="197"/>
      <c r="Y255" s="198"/>
    </row>
    <row r="256" ht="15.75" customHeight="1">
      <c r="B256" s="199"/>
      <c r="N256" s="152"/>
      <c r="Q256" s="195"/>
      <c r="S256" s="200"/>
      <c r="T256" s="200"/>
      <c r="U256" s="152"/>
      <c r="V256" s="152"/>
      <c r="W256" s="157"/>
      <c r="X256" s="197"/>
      <c r="Y256" s="198"/>
    </row>
    <row r="257" ht="15.75" customHeight="1">
      <c r="B257" s="199"/>
      <c r="N257" s="152"/>
      <c r="Q257" s="195"/>
      <c r="S257" s="200"/>
      <c r="T257" s="200"/>
      <c r="U257" s="152"/>
      <c r="V257" s="152"/>
      <c r="W257" s="157"/>
      <c r="X257" s="197"/>
      <c r="Y257" s="198"/>
    </row>
    <row r="258" ht="15.75" customHeight="1">
      <c r="B258" s="199"/>
      <c r="N258" s="152"/>
      <c r="Q258" s="195"/>
      <c r="S258" s="200"/>
      <c r="T258" s="200"/>
      <c r="U258" s="152"/>
      <c r="V258" s="152"/>
      <c r="W258" s="157"/>
      <c r="X258" s="197"/>
      <c r="Y258" s="198"/>
    </row>
    <row r="259" ht="15.75" customHeight="1">
      <c r="B259" s="199"/>
      <c r="N259" s="152"/>
      <c r="Q259" s="195"/>
      <c r="S259" s="200"/>
      <c r="T259" s="200"/>
      <c r="U259" s="152"/>
      <c r="V259" s="152"/>
      <c r="W259" s="157"/>
      <c r="X259" s="197"/>
      <c r="Y259" s="198"/>
    </row>
    <row r="260" ht="15.75" customHeight="1">
      <c r="B260" s="199"/>
      <c r="N260" s="152"/>
      <c r="Q260" s="195"/>
      <c r="S260" s="200"/>
      <c r="T260" s="200"/>
      <c r="U260" s="152"/>
      <c r="V260" s="152"/>
      <c r="W260" s="157"/>
      <c r="X260" s="197"/>
      <c r="Y260" s="198"/>
    </row>
    <row r="261" ht="15.75" customHeight="1">
      <c r="B261" s="199"/>
      <c r="N261" s="152"/>
      <c r="Q261" s="195"/>
      <c r="S261" s="200"/>
      <c r="T261" s="200"/>
      <c r="U261" s="152"/>
      <c r="V261" s="152"/>
      <c r="W261" s="157"/>
      <c r="X261" s="197"/>
      <c r="Y261" s="198"/>
    </row>
    <row r="262" ht="15.75" customHeight="1">
      <c r="B262" s="199"/>
      <c r="N262" s="152"/>
      <c r="Q262" s="195"/>
      <c r="S262" s="200"/>
      <c r="T262" s="200"/>
      <c r="U262" s="152"/>
      <c r="V262" s="152"/>
      <c r="W262" s="157"/>
      <c r="X262" s="197"/>
      <c r="Y262" s="198"/>
    </row>
    <row r="263" ht="15.75" customHeight="1">
      <c r="B263" s="199"/>
      <c r="N263" s="152"/>
      <c r="Q263" s="195"/>
      <c r="S263" s="200"/>
      <c r="T263" s="200"/>
      <c r="U263" s="152"/>
      <c r="V263" s="152"/>
      <c r="W263" s="157"/>
      <c r="X263" s="197"/>
      <c r="Y263" s="198"/>
    </row>
    <row r="264" ht="15.75" customHeight="1">
      <c r="B264" s="199"/>
      <c r="N264" s="152"/>
      <c r="Q264" s="195"/>
      <c r="S264" s="200"/>
      <c r="T264" s="200"/>
      <c r="U264" s="152"/>
      <c r="V264" s="152"/>
      <c r="W264" s="157"/>
      <c r="X264" s="197"/>
      <c r="Y264" s="198"/>
    </row>
    <row r="265" ht="15.75" customHeight="1">
      <c r="B265" s="199"/>
      <c r="N265" s="152"/>
      <c r="Q265" s="195"/>
      <c r="S265" s="200"/>
      <c r="T265" s="200"/>
      <c r="U265" s="152"/>
      <c r="V265" s="152"/>
      <c r="W265" s="157"/>
      <c r="X265" s="197"/>
      <c r="Y265" s="198"/>
    </row>
    <row r="266" ht="15.75" customHeight="1">
      <c r="B266" s="199"/>
      <c r="N266" s="152"/>
      <c r="Q266" s="195"/>
      <c r="S266" s="200"/>
      <c r="T266" s="200"/>
      <c r="U266" s="152"/>
      <c r="V266" s="152"/>
      <c r="W266" s="157"/>
      <c r="X266" s="197"/>
      <c r="Y266" s="198"/>
    </row>
    <row r="267" ht="15.75" customHeight="1">
      <c r="B267" s="199"/>
      <c r="N267" s="152"/>
      <c r="Q267" s="195"/>
      <c r="S267" s="200"/>
      <c r="T267" s="200"/>
      <c r="U267" s="152"/>
      <c r="V267" s="152"/>
      <c r="W267" s="157"/>
      <c r="X267" s="197"/>
      <c r="Y267" s="198"/>
    </row>
    <row r="268" ht="15.75" customHeight="1">
      <c r="B268" s="199"/>
      <c r="N268" s="152"/>
      <c r="Q268" s="195"/>
      <c r="S268" s="200"/>
      <c r="T268" s="200"/>
      <c r="U268" s="152"/>
      <c r="V268" s="152"/>
      <c r="W268" s="157"/>
      <c r="X268" s="197"/>
      <c r="Y268" s="198"/>
    </row>
    <row r="269" ht="15.75" customHeight="1">
      <c r="B269" s="199"/>
      <c r="N269" s="152"/>
      <c r="Q269" s="195"/>
      <c r="S269" s="200"/>
      <c r="T269" s="200"/>
      <c r="U269" s="152"/>
      <c r="V269" s="152"/>
      <c r="W269" s="157"/>
      <c r="X269" s="197"/>
      <c r="Y269" s="198"/>
    </row>
    <row r="270" ht="15.75" customHeight="1">
      <c r="B270" s="199"/>
      <c r="N270" s="152"/>
      <c r="Q270" s="195"/>
      <c r="S270" s="200"/>
      <c r="T270" s="200"/>
      <c r="U270" s="152"/>
      <c r="V270" s="152"/>
      <c r="W270" s="157"/>
      <c r="X270" s="197"/>
      <c r="Y270" s="198"/>
    </row>
    <row r="271" ht="15.75" customHeight="1">
      <c r="B271" s="199"/>
      <c r="N271" s="152"/>
      <c r="Q271" s="195"/>
      <c r="S271" s="200"/>
      <c r="T271" s="200"/>
      <c r="U271" s="152"/>
      <c r="V271" s="152"/>
      <c r="W271" s="157"/>
      <c r="X271" s="197"/>
      <c r="Y271" s="198"/>
    </row>
    <row r="272" ht="15.75" customHeight="1">
      <c r="B272" s="199"/>
      <c r="N272" s="152"/>
      <c r="Q272" s="195"/>
      <c r="S272" s="200"/>
      <c r="T272" s="200"/>
      <c r="U272" s="152"/>
      <c r="V272" s="152"/>
      <c r="W272" s="157"/>
      <c r="X272" s="197"/>
      <c r="Y272" s="198"/>
    </row>
    <row r="273" ht="15.75" customHeight="1">
      <c r="B273" s="199"/>
      <c r="N273" s="152"/>
      <c r="Q273" s="195"/>
      <c r="S273" s="200"/>
      <c r="T273" s="200"/>
      <c r="U273" s="152"/>
      <c r="V273" s="152"/>
      <c r="W273" s="157"/>
      <c r="X273" s="197"/>
      <c r="Y273" s="198"/>
    </row>
    <row r="274" ht="15.75" customHeight="1">
      <c r="B274" s="199"/>
      <c r="N274" s="152"/>
      <c r="Q274" s="195"/>
      <c r="S274" s="200"/>
      <c r="T274" s="200"/>
      <c r="U274" s="152"/>
      <c r="V274" s="152"/>
      <c r="W274" s="157"/>
      <c r="X274" s="197"/>
      <c r="Y274" s="198"/>
    </row>
    <row r="275" ht="15.75" customHeight="1">
      <c r="B275" s="199"/>
      <c r="N275" s="152"/>
      <c r="Q275" s="195"/>
      <c r="S275" s="200"/>
      <c r="T275" s="200"/>
      <c r="U275" s="152"/>
      <c r="V275" s="152"/>
      <c r="W275" s="157"/>
      <c r="X275" s="197"/>
      <c r="Y275" s="198"/>
    </row>
    <row r="276" ht="15.75" customHeight="1">
      <c r="B276" s="199"/>
      <c r="N276" s="152"/>
      <c r="Q276" s="195"/>
      <c r="S276" s="200"/>
      <c r="T276" s="200"/>
      <c r="U276" s="152"/>
      <c r="V276" s="152"/>
      <c r="W276" s="157"/>
      <c r="X276" s="197"/>
      <c r="Y276" s="198"/>
    </row>
    <row r="277" ht="15.75" customHeight="1">
      <c r="B277" s="199"/>
      <c r="N277" s="152"/>
      <c r="Q277" s="195"/>
      <c r="S277" s="200"/>
      <c r="T277" s="200"/>
      <c r="U277" s="152"/>
      <c r="V277" s="152"/>
      <c r="W277" s="157"/>
      <c r="X277" s="197"/>
      <c r="Y277" s="198"/>
    </row>
    <row r="278" ht="15.75" customHeight="1">
      <c r="B278" s="199"/>
      <c r="N278" s="152"/>
      <c r="Q278" s="195"/>
      <c r="S278" s="200"/>
      <c r="T278" s="200"/>
      <c r="U278" s="152"/>
      <c r="V278" s="152"/>
      <c r="W278" s="157"/>
      <c r="X278" s="197"/>
      <c r="Y278" s="198"/>
    </row>
    <row r="279" ht="15.75" customHeight="1">
      <c r="B279" s="199"/>
      <c r="N279" s="152"/>
      <c r="Q279" s="195"/>
      <c r="S279" s="200"/>
      <c r="T279" s="200"/>
      <c r="U279" s="152"/>
      <c r="V279" s="152"/>
      <c r="W279" s="157"/>
      <c r="X279" s="197"/>
      <c r="Y279" s="198"/>
    </row>
    <row r="280" ht="15.75" customHeight="1">
      <c r="B280" s="199"/>
      <c r="N280" s="152"/>
      <c r="Q280" s="195"/>
      <c r="S280" s="200"/>
      <c r="T280" s="200"/>
      <c r="U280" s="152"/>
      <c r="V280" s="152"/>
      <c r="W280" s="157"/>
      <c r="X280" s="197"/>
      <c r="Y280" s="198"/>
    </row>
    <row r="281" ht="15.75" customHeight="1">
      <c r="B281" s="199"/>
      <c r="N281" s="152"/>
      <c r="Q281" s="195"/>
      <c r="S281" s="200"/>
      <c r="T281" s="200"/>
      <c r="U281" s="152"/>
      <c r="V281" s="152"/>
      <c r="W281" s="157"/>
      <c r="X281" s="197"/>
      <c r="Y281" s="198"/>
    </row>
    <row r="282" ht="15.75" customHeight="1">
      <c r="B282" s="199"/>
      <c r="N282" s="152"/>
      <c r="Q282" s="195"/>
      <c r="S282" s="200"/>
      <c r="T282" s="200"/>
      <c r="U282" s="152"/>
      <c r="V282" s="152"/>
      <c r="W282" s="157"/>
      <c r="X282" s="197"/>
      <c r="Y282" s="198"/>
    </row>
    <row r="283" ht="15.75" customHeight="1">
      <c r="B283" s="199"/>
      <c r="N283" s="152"/>
      <c r="Q283" s="195"/>
      <c r="S283" s="200"/>
      <c r="T283" s="200"/>
      <c r="U283" s="152"/>
      <c r="V283" s="152"/>
      <c r="W283" s="157"/>
      <c r="X283" s="197"/>
      <c r="Y283" s="198"/>
    </row>
    <row r="284" ht="15.75" customHeight="1">
      <c r="B284" s="199"/>
      <c r="N284" s="152"/>
      <c r="Q284" s="195"/>
      <c r="S284" s="200"/>
      <c r="T284" s="200"/>
      <c r="U284" s="152"/>
      <c r="V284" s="152"/>
      <c r="W284" s="157"/>
      <c r="X284" s="197"/>
      <c r="Y284" s="198"/>
    </row>
    <row r="285" ht="15.75" customHeight="1">
      <c r="B285" s="199"/>
      <c r="N285" s="152"/>
      <c r="Q285" s="195"/>
      <c r="S285" s="200"/>
      <c r="T285" s="200"/>
      <c r="U285" s="152"/>
      <c r="V285" s="152"/>
      <c r="W285" s="157"/>
      <c r="X285" s="197"/>
      <c r="Y285" s="198"/>
    </row>
    <row r="286" ht="15.75" customHeight="1">
      <c r="B286" s="199"/>
      <c r="N286" s="152"/>
      <c r="Q286" s="195"/>
      <c r="S286" s="200"/>
      <c r="T286" s="200"/>
      <c r="U286" s="152"/>
      <c r="V286" s="152"/>
      <c r="W286" s="157"/>
      <c r="X286" s="197"/>
      <c r="Y286" s="198"/>
    </row>
    <row r="287" ht="15.75" customHeight="1">
      <c r="B287" s="199"/>
      <c r="N287" s="152"/>
      <c r="Q287" s="195"/>
      <c r="S287" s="200"/>
      <c r="T287" s="200"/>
      <c r="U287" s="152"/>
      <c r="V287" s="152"/>
      <c r="W287" s="157"/>
      <c r="X287" s="197"/>
      <c r="Y287" s="198"/>
    </row>
    <row r="288" ht="15.75" customHeight="1">
      <c r="B288" s="199"/>
      <c r="N288" s="152"/>
      <c r="Q288" s="195"/>
      <c r="S288" s="200"/>
      <c r="T288" s="200"/>
      <c r="U288" s="152"/>
      <c r="V288" s="152"/>
      <c r="W288" s="157"/>
      <c r="X288" s="197"/>
      <c r="Y288" s="198"/>
    </row>
    <row r="289" ht="15.75" customHeight="1">
      <c r="B289" s="199"/>
      <c r="N289" s="152"/>
      <c r="Q289" s="195"/>
      <c r="S289" s="200"/>
      <c r="T289" s="200"/>
      <c r="U289" s="152"/>
      <c r="V289" s="152"/>
      <c r="W289" s="157"/>
      <c r="X289" s="197"/>
      <c r="Y289" s="198"/>
    </row>
    <row r="290" ht="15.75" customHeight="1">
      <c r="B290" s="199"/>
      <c r="N290" s="152"/>
      <c r="Q290" s="195"/>
      <c r="S290" s="200"/>
      <c r="T290" s="200"/>
      <c r="U290" s="152"/>
      <c r="V290" s="152"/>
      <c r="W290" s="157"/>
      <c r="X290" s="197"/>
      <c r="Y290" s="198"/>
    </row>
    <row r="291" ht="15.75" customHeight="1">
      <c r="B291" s="199"/>
      <c r="N291" s="152"/>
      <c r="Q291" s="195"/>
      <c r="S291" s="200"/>
      <c r="T291" s="200"/>
      <c r="U291" s="152"/>
      <c r="V291" s="152"/>
      <c r="W291" s="157"/>
      <c r="X291" s="197"/>
      <c r="Y291" s="198"/>
    </row>
    <row r="292" ht="15.75" customHeight="1">
      <c r="B292" s="199"/>
      <c r="N292" s="152"/>
      <c r="Q292" s="195"/>
      <c r="S292" s="200"/>
      <c r="T292" s="200"/>
      <c r="U292" s="152"/>
      <c r="V292" s="152"/>
      <c r="W292" s="157"/>
      <c r="X292" s="197"/>
      <c r="Y292" s="198"/>
    </row>
    <row r="293" ht="15.75" customHeight="1">
      <c r="B293" s="199"/>
      <c r="N293" s="152"/>
      <c r="Q293" s="195"/>
      <c r="S293" s="200"/>
      <c r="T293" s="200"/>
      <c r="U293" s="152"/>
      <c r="V293" s="152"/>
      <c r="W293" s="157"/>
      <c r="X293" s="197"/>
      <c r="Y293" s="198"/>
    </row>
    <row r="294" ht="15.75" customHeight="1">
      <c r="B294" s="199"/>
      <c r="N294" s="152"/>
      <c r="Q294" s="195"/>
      <c r="S294" s="200"/>
      <c r="T294" s="200"/>
      <c r="U294" s="152"/>
      <c r="V294" s="152"/>
      <c r="W294" s="157"/>
      <c r="X294" s="197"/>
      <c r="Y294" s="198"/>
    </row>
    <row r="295" ht="15.75" customHeight="1">
      <c r="B295" s="199"/>
      <c r="N295" s="152"/>
      <c r="Q295" s="195"/>
      <c r="S295" s="200"/>
      <c r="T295" s="200"/>
      <c r="U295" s="152"/>
      <c r="V295" s="152"/>
      <c r="W295" s="157"/>
      <c r="X295" s="197"/>
      <c r="Y295" s="198"/>
    </row>
    <row r="296" ht="15.75" customHeight="1">
      <c r="B296" s="199"/>
      <c r="N296" s="152"/>
      <c r="Q296" s="195"/>
      <c r="S296" s="200"/>
      <c r="T296" s="200"/>
      <c r="U296" s="152"/>
      <c r="V296" s="152"/>
      <c r="W296" s="157"/>
      <c r="X296" s="197"/>
      <c r="Y296" s="198"/>
    </row>
    <row r="297" ht="15.75" customHeight="1">
      <c r="B297" s="199"/>
      <c r="N297" s="152"/>
      <c r="Q297" s="195"/>
      <c r="S297" s="200"/>
      <c r="T297" s="200"/>
      <c r="U297" s="152"/>
      <c r="V297" s="152"/>
      <c r="W297" s="157"/>
      <c r="X297" s="197"/>
      <c r="Y297" s="198"/>
    </row>
    <row r="298" ht="15.75" customHeight="1">
      <c r="B298" s="199"/>
      <c r="N298" s="152"/>
      <c r="Q298" s="195"/>
      <c r="S298" s="200"/>
      <c r="T298" s="200"/>
      <c r="U298" s="152"/>
      <c r="V298" s="152"/>
      <c r="W298" s="157"/>
      <c r="X298" s="197"/>
      <c r="Y298" s="198"/>
    </row>
    <row r="299" ht="15.75" customHeight="1">
      <c r="B299" s="199"/>
      <c r="N299" s="152"/>
      <c r="Q299" s="195"/>
      <c r="S299" s="200"/>
      <c r="T299" s="200"/>
      <c r="U299" s="152"/>
      <c r="V299" s="152"/>
      <c r="W299" s="157"/>
      <c r="X299" s="197"/>
      <c r="Y299" s="198"/>
    </row>
    <row r="300" ht="15.75" customHeight="1">
      <c r="B300" s="199"/>
      <c r="N300" s="152"/>
      <c r="Q300" s="195"/>
      <c r="S300" s="200"/>
      <c r="T300" s="200"/>
      <c r="U300" s="152"/>
      <c r="V300" s="152"/>
      <c r="W300" s="157"/>
      <c r="X300" s="197"/>
      <c r="Y300" s="198"/>
    </row>
    <row r="301" ht="15.75" customHeight="1">
      <c r="B301" s="199"/>
      <c r="N301" s="152"/>
      <c r="Q301" s="195"/>
      <c r="S301" s="200"/>
      <c r="T301" s="200"/>
      <c r="U301" s="152"/>
      <c r="V301" s="152"/>
      <c r="W301" s="157"/>
      <c r="X301" s="197"/>
      <c r="Y301" s="198"/>
    </row>
    <row r="302" ht="15.75" customHeight="1">
      <c r="B302" s="199"/>
      <c r="N302" s="152"/>
      <c r="Q302" s="195"/>
      <c r="S302" s="200"/>
      <c r="T302" s="200"/>
      <c r="U302" s="152"/>
      <c r="V302" s="152"/>
      <c r="W302" s="157"/>
      <c r="X302" s="197"/>
      <c r="Y302" s="198"/>
    </row>
    <row r="303" ht="15.75" customHeight="1">
      <c r="B303" s="199"/>
      <c r="N303" s="152"/>
      <c r="Q303" s="195"/>
      <c r="S303" s="200"/>
      <c r="T303" s="200"/>
      <c r="U303" s="152"/>
      <c r="V303" s="152"/>
      <c r="W303" s="157"/>
      <c r="X303" s="197"/>
      <c r="Y303" s="198"/>
    </row>
    <row r="304" ht="15.75" customHeight="1">
      <c r="B304" s="199"/>
      <c r="N304" s="152"/>
      <c r="Q304" s="195"/>
      <c r="S304" s="200"/>
      <c r="T304" s="200"/>
      <c r="U304" s="152"/>
      <c r="V304" s="152"/>
      <c r="W304" s="157"/>
      <c r="X304" s="197"/>
      <c r="Y304" s="198"/>
    </row>
    <row r="305" ht="15.75" customHeight="1">
      <c r="B305" s="199"/>
      <c r="N305" s="152"/>
      <c r="Q305" s="195"/>
      <c r="S305" s="200"/>
      <c r="T305" s="200"/>
      <c r="U305" s="152"/>
      <c r="V305" s="152"/>
      <c r="W305" s="157"/>
      <c r="X305" s="197"/>
      <c r="Y305" s="198"/>
    </row>
    <row r="306" ht="15.75" customHeight="1">
      <c r="B306" s="199"/>
      <c r="N306" s="152"/>
      <c r="Q306" s="195"/>
      <c r="S306" s="200"/>
      <c r="T306" s="200"/>
      <c r="U306" s="152"/>
      <c r="V306" s="152"/>
      <c r="W306" s="157"/>
      <c r="X306" s="197"/>
      <c r="Y306" s="198"/>
    </row>
    <row r="307" ht="15.75" customHeight="1">
      <c r="B307" s="199"/>
      <c r="N307" s="152"/>
      <c r="Q307" s="195"/>
      <c r="S307" s="200"/>
      <c r="T307" s="200"/>
      <c r="U307" s="152"/>
      <c r="V307" s="152"/>
      <c r="W307" s="157"/>
      <c r="X307" s="197"/>
      <c r="Y307" s="198"/>
    </row>
    <row r="308" ht="15.75" customHeight="1">
      <c r="B308" s="199"/>
      <c r="N308" s="152"/>
      <c r="Q308" s="195"/>
      <c r="S308" s="200"/>
      <c r="T308" s="200"/>
      <c r="U308" s="152"/>
      <c r="V308" s="152"/>
      <c r="W308" s="157"/>
      <c r="X308" s="197"/>
      <c r="Y308" s="198"/>
    </row>
    <row r="309" ht="15.75" customHeight="1">
      <c r="B309" s="199"/>
      <c r="N309" s="152"/>
      <c r="Q309" s="195"/>
      <c r="S309" s="200"/>
      <c r="T309" s="200"/>
      <c r="U309" s="152"/>
      <c r="V309" s="152"/>
      <c r="W309" s="157"/>
      <c r="X309" s="197"/>
      <c r="Y309" s="198"/>
    </row>
    <row r="310" ht="15.75" customHeight="1">
      <c r="B310" s="199"/>
      <c r="N310" s="152"/>
      <c r="Q310" s="195"/>
      <c r="S310" s="200"/>
      <c r="T310" s="200"/>
      <c r="U310" s="152"/>
      <c r="V310" s="152"/>
      <c r="W310" s="157"/>
      <c r="X310" s="197"/>
      <c r="Y310" s="198"/>
    </row>
    <row r="311" ht="15.75" customHeight="1">
      <c r="B311" s="199"/>
      <c r="N311" s="152"/>
      <c r="Q311" s="195"/>
      <c r="S311" s="200"/>
      <c r="T311" s="200"/>
      <c r="U311" s="152"/>
      <c r="V311" s="152"/>
      <c r="W311" s="157"/>
      <c r="X311" s="197"/>
      <c r="Y311" s="198"/>
    </row>
    <row r="312" ht="15.75" customHeight="1">
      <c r="B312" s="199"/>
      <c r="N312" s="152"/>
      <c r="Q312" s="195"/>
      <c r="S312" s="200"/>
      <c r="T312" s="200"/>
      <c r="U312" s="152"/>
      <c r="V312" s="152"/>
      <c r="W312" s="157"/>
      <c r="X312" s="197"/>
      <c r="Y312" s="198"/>
    </row>
    <row r="313" ht="15.75" customHeight="1">
      <c r="B313" s="199"/>
      <c r="N313" s="152"/>
      <c r="Q313" s="195"/>
      <c r="S313" s="200"/>
      <c r="T313" s="200"/>
      <c r="U313" s="152"/>
      <c r="V313" s="152"/>
      <c r="W313" s="157"/>
      <c r="X313" s="197"/>
      <c r="Y313" s="198"/>
    </row>
    <row r="314" ht="15.75" customHeight="1">
      <c r="B314" s="199"/>
      <c r="N314" s="152"/>
      <c r="Q314" s="195"/>
      <c r="S314" s="200"/>
      <c r="T314" s="200"/>
      <c r="U314" s="152"/>
      <c r="V314" s="152"/>
      <c r="W314" s="157"/>
      <c r="X314" s="197"/>
      <c r="Y314" s="198"/>
    </row>
    <row r="315" ht="15.75" customHeight="1">
      <c r="B315" s="199"/>
      <c r="N315" s="152"/>
      <c r="Q315" s="195"/>
      <c r="S315" s="200"/>
      <c r="T315" s="200"/>
      <c r="U315" s="152"/>
      <c r="V315" s="152"/>
      <c r="W315" s="157"/>
      <c r="X315" s="197"/>
      <c r="Y315" s="198"/>
    </row>
    <row r="316" ht="15.75" customHeight="1">
      <c r="B316" s="199"/>
      <c r="N316" s="152"/>
      <c r="Q316" s="195"/>
      <c r="S316" s="200"/>
      <c r="T316" s="200"/>
      <c r="U316" s="152"/>
      <c r="V316" s="152"/>
      <c r="W316" s="157"/>
      <c r="X316" s="197"/>
      <c r="Y316" s="198"/>
    </row>
    <row r="317" ht="15.75" customHeight="1">
      <c r="B317" s="199"/>
      <c r="N317" s="152"/>
      <c r="Q317" s="195"/>
      <c r="S317" s="200"/>
      <c r="T317" s="200"/>
      <c r="U317" s="152"/>
      <c r="V317" s="152"/>
      <c r="W317" s="157"/>
      <c r="X317" s="197"/>
      <c r="Y317" s="198"/>
    </row>
    <row r="318" ht="15.75" customHeight="1">
      <c r="B318" s="199"/>
      <c r="N318" s="152"/>
      <c r="Q318" s="195"/>
      <c r="S318" s="200"/>
      <c r="T318" s="200"/>
      <c r="U318" s="152"/>
      <c r="V318" s="152"/>
      <c r="W318" s="157"/>
      <c r="X318" s="197"/>
      <c r="Y318" s="198"/>
    </row>
    <row r="319" ht="15.75" customHeight="1">
      <c r="B319" s="199"/>
      <c r="N319" s="152"/>
      <c r="Q319" s="195"/>
      <c r="S319" s="200"/>
      <c r="T319" s="200"/>
      <c r="U319" s="152"/>
      <c r="V319" s="152"/>
      <c r="W319" s="157"/>
      <c r="X319" s="197"/>
      <c r="Y319" s="198"/>
    </row>
    <row r="320" ht="15.75" customHeight="1">
      <c r="B320" s="199"/>
      <c r="N320" s="152"/>
      <c r="Q320" s="195"/>
      <c r="S320" s="200"/>
      <c r="T320" s="200"/>
      <c r="U320" s="152"/>
      <c r="V320" s="152"/>
      <c r="W320" s="157"/>
      <c r="X320" s="197"/>
      <c r="Y320" s="198"/>
    </row>
    <row r="321" ht="15.75" customHeight="1">
      <c r="B321" s="199"/>
      <c r="N321" s="152"/>
      <c r="Q321" s="195"/>
      <c r="S321" s="200"/>
      <c r="T321" s="200"/>
      <c r="U321" s="152"/>
      <c r="V321" s="152"/>
      <c r="W321" s="157"/>
      <c r="X321" s="197"/>
      <c r="Y321" s="198"/>
    </row>
    <row r="322" ht="15.75" customHeight="1">
      <c r="B322" s="199"/>
      <c r="N322" s="152"/>
      <c r="Q322" s="195"/>
      <c r="S322" s="200"/>
      <c r="T322" s="200"/>
      <c r="U322" s="152"/>
      <c r="V322" s="152"/>
      <c r="W322" s="157"/>
      <c r="X322" s="197"/>
      <c r="Y322" s="198"/>
    </row>
    <row r="323" ht="15.75" customHeight="1">
      <c r="B323" s="199"/>
      <c r="N323" s="152"/>
      <c r="Q323" s="195"/>
      <c r="S323" s="200"/>
      <c r="T323" s="200"/>
      <c r="U323" s="152"/>
      <c r="V323" s="152"/>
      <c r="W323" s="157"/>
      <c r="X323" s="197"/>
      <c r="Y323" s="198"/>
    </row>
    <row r="324" ht="15.75" customHeight="1">
      <c r="B324" s="199"/>
      <c r="N324" s="152"/>
      <c r="Q324" s="195"/>
      <c r="S324" s="200"/>
      <c r="T324" s="200"/>
      <c r="U324" s="152"/>
      <c r="V324" s="152"/>
      <c r="W324" s="157"/>
      <c r="X324" s="197"/>
      <c r="Y324" s="198"/>
    </row>
    <row r="325" ht="15.75" customHeight="1">
      <c r="B325" s="199"/>
      <c r="N325" s="152"/>
      <c r="Q325" s="195"/>
      <c r="S325" s="200"/>
      <c r="T325" s="200"/>
      <c r="U325" s="152"/>
      <c r="V325" s="152"/>
      <c r="W325" s="157"/>
      <c r="X325" s="197"/>
      <c r="Y325" s="198"/>
    </row>
    <row r="326" ht="15.75" customHeight="1">
      <c r="B326" s="199"/>
      <c r="N326" s="152"/>
      <c r="Q326" s="195"/>
      <c r="S326" s="200"/>
      <c r="T326" s="200"/>
      <c r="U326" s="152"/>
      <c r="V326" s="152"/>
      <c r="W326" s="157"/>
      <c r="X326" s="197"/>
      <c r="Y326" s="198"/>
    </row>
    <row r="327" ht="15.75" customHeight="1">
      <c r="B327" s="199"/>
      <c r="N327" s="152"/>
      <c r="Q327" s="195"/>
      <c r="S327" s="200"/>
      <c r="T327" s="200"/>
      <c r="U327" s="152"/>
      <c r="V327" s="152"/>
      <c r="W327" s="157"/>
      <c r="X327" s="197"/>
      <c r="Y327" s="198"/>
    </row>
    <row r="328" ht="15.75" customHeight="1">
      <c r="B328" s="199"/>
      <c r="N328" s="152"/>
      <c r="Q328" s="195"/>
      <c r="S328" s="200"/>
      <c r="T328" s="200"/>
      <c r="U328" s="152"/>
      <c r="V328" s="152"/>
      <c r="W328" s="157"/>
      <c r="X328" s="197"/>
      <c r="Y328" s="198"/>
    </row>
    <row r="329" ht="15.75" customHeight="1">
      <c r="B329" s="199"/>
      <c r="N329" s="152"/>
      <c r="Q329" s="195"/>
      <c r="S329" s="200"/>
      <c r="T329" s="200"/>
      <c r="U329" s="152"/>
      <c r="V329" s="152"/>
      <c r="W329" s="157"/>
      <c r="X329" s="197"/>
      <c r="Y329" s="198"/>
    </row>
    <row r="330" ht="15.75" customHeight="1">
      <c r="B330" s="199"/>
      <c r="N330" s="152"/>
      <c r="Q330" s="195"/>
      <c r="S330" s="200"/>
      <c r="T330" s="200"/>
      <c r="U330" s="152"/>
      <c r="V330" s="152"/>
      <c r="W330" s="157"/>
      <c r="X330" s="197"/>
      <c r="Y330" s="198"/>
    </row>
    <row r="331" ht="15.75" customHeight="1">
      <c r="B331" s="199"/>
      <c r="N331" s="152"/>
      <c r="Q331" s="195"/>
      <c r="S331" s="200"/>
      <c r="T331" s="200"/>
      <c r="U331" s="152"/>
      <c r="V331" s="152"/>
      <c r="W331" s="157"/>
      <c r="X331" s="197"/>
      <c r="Y331" s="198"/>
    </row>
    <row r="332" ht="15.75" customHeight="1">
      <c r="B332" s="199"/>
      <c r="N332" s="152"/>
      <c r="Q332" s="195"/>
      <c r="S332" s="200"/>
      <c r="T332" s="200"/>
      <c r="U332" s="152"/>
      <c r="V332" s="152"/>
      <c r="W332" s="157"/>
      <c r="X332" s="197"/>
      <c r="Y332" s="198"/>
    </row>
    <row r="333" ht="15.75" customHeight="1">
      <c r="B333" s="199"/>
      <c r="N333" s="152"/>
      <c r="Q333" s="195"/>
      <c r="S333" s="200"/>
      <c r="T333" s="200"/>
      <c r="U333" s="152"/>
      <c r="V333" s="152"/>
      <c r="W333" s="157"/>
      <c r="X333" s="197"/>
      <c r="Y333" s="198"/>
    </row>
    <row r="334" ht="15.75" customHeight="1">
      <c r="B334" s="199"/>
      <c r="N334" s="152"/>
      <c r="Q334" s="195"/>
      <c r="S334" s="200"/>
      <c r="T334" s="200"/>
      <c r="U334" s="152"/>
      <c r="V334" s="152"/>
      <c r="W334" s="157"/>
      <c r="X334" s="197"/>
      <c r="Y334" s="198"/>
    </row>
    <row r="335" ht="15.75" customHeight="1">
      <c r="B335" s="199"/>
      <c r="N335" s="152"/>
      <c r="Q335" s="195"/>
      <c r="S335" s="200"/>
      <c r="T335" s="200"/>
      <c r="U335" s="152"/>
      <c r="V335" s="152"/>
      <c r="W335" s="157"/>
      <c r="X335" s="197"/>
      <c r="Y335" s="198"/>
    </row>
    <row r="336" ht="15.75" customHeight="1">
      <c r="B336" s="199"/>
      <c r="N336" s="152"/>
      <c r="Q336" s="195"/>
      <c r="S336" s="200"/>
      <c r="T336" s="200"/>
      <c r="U336" s="152"/>
      <c r="V336" s="152"/>
      <c r="W336" s="157"/>
      <c r="X336" s="197"/>
      <c r="Y336" s="198"/>
    </row>
    <row r="337" ht="15.75" customHeight="1">
      <c r="B337" s="199"/>
      <c r="N337" s="152"/>
      <c r="Q337" s="195"/>
      <c r="S337" s="200"/>
      <c r="T337" s="200"/>
      <c r="U337" s="152"/>
      <c r="V337" s="152"/>
      <c r="W337" s="157"/>
      <c r="X337" s="197"/>
      <c r="Y337" s="198"/>
    </row>
    <row r="338" ht="15.75" customHeight="1">
      <c r="B338" s="199"/>
      <c r="N338" s="152"/>
      <c r="Q338" s="195"/>
      <c r="S338" s="200"/>
      <c r="T338" s="200"/>
      <c r="U338" s="152"/>
      <c r="V338" s="152"/>
      <c r="W338" s="157"/>
      <c r="X338" s="197"/>
      <c r="Y338" s="198"/>
    </row>
    <row r="339" ht="15.75" customHeight="1">
      <c r="B339" s="199"/>
      <c r="N339" s="152"/>
      <c r="Q339" s="195"/>
      <c r="S339" s="200"/>
      <c r="T339" s="200"/>
      <c r="U339" s="152"/>
      <c r="V339" s="152"/>
      <c r="W339" s="157"/>
      <c r="X339" s="197"/>
      <c r="Y339" s="198"/>
    </row>
    <row r="340" ht="15.75" customHeight="1">
      <c r="B340" s="199"/>
      <c r="N340" s="152"/>
      <c r="Q340" s="195"/>
      <c r="S340" s="200"/>
      <c r="T340" s="200"/>
      <c r="U340" s="152"/>
      <c r="V340" s="152"/>
      <c r="W340" s="157"/>
      <c r="X340" s="197"/>
      <c r="Y340" s="198"/>
    </row>
    <row r="341" ht="15.75" customHeight="1">
      <c r="B341" s="199"/>
      <c r="N341" s="152"/>
      <c r="Q341" s="195"/>
      <c r="S341" s="200"/>
      <c r="T341" s="200"/>
      <c r="U341" s="152"/>
      <c r="V341" s="152"/>
      <c r="W341" s="157"/>
      <c r="X341" s="197"/>
      <c r="Y341" s="198"/>
    </row>
    <row r="342" ht="15.75" customHeight="1">
      <c r="B342" s="199"/>
      <c r="N342" s="152"/>
      <c r="Q342" s="195"/>
      <c r="S342" s="200"/>
      <c r="T342" s="200"/>
      <c r="U342" s="152"/>
      <c r="V342" s="152"/>
      <c r="W342" s="157"/>
      <c r="X342" s="197"/>
      <c r="Y342" s="198"/>
    </row>
    <row r="343" ht="15.75" customHeight="1">
      <c r="B343" s="199"/>
      <c r="N343" s="152"/>
      <c r="Q343" s="195"/>
      <c r="S343" s="200"/>
      <c r="T343" s="200"/>
      <c r="U343" s="152"/>
      <c r="V343" s="152"/>
      <c r="W343" s="157"/>
      <c r="X343" s="197"/>
      <c r="Y343" s="198"/>
    </row>
    <row r="344" ht="15.75" customHeight="1">
      <c r="B344" s="199"/>
      <c r="N344" s="152"/>
      <c r="Q344" s="195"/>
      <c r="S344" s="200"/>
      <c r="T344" s="200"/>
      <c r="U344" s="152"/>
      <c r="V344" s="152"/>
      <c r="W344" s="157"/>
      <c r="X344" s="197"/>
      <c r="Y344" s="198"/>
    </row>
    <row r="345" ht="15.75" customHeight="1">
      <c r="B345" s="199"/>
      <c r="N345" s="152"/>
      <c r="Q345" s="195"/>
      <c r="S345" s="200"/>
      <c r="T345" s="200"/>
      <c r="U345" s="152"/>
      <c r="V345" s="152"/>
      <c r="W345" s="157"/>
      <c r="X345" s="197"/>
      <c r="Y345" s="198"/>
    </row>
    <row r="346" ht="15.75" customHeight="1">
      <c r="B346" s="199"/>
      <c r="N346" s="152"/>
      <c r="Q346" s="195"/>
      <c r="S346" s="200"/>
      <c r="T346" s="200"/>
      <c r="U346" s="152"/>
      <c r="V346" s="152"/>
      <c r="W346" s="157"/>
      <c r="X346" s="197"/>
      <c r="Y346" s="198"/>
    </row>
    <row r="347" ht="15.75" customHeight="1">
      <c r="B347" s="199"/>
      <c r="N347" s="152"/>
      <c r="Q347" s="195"/>
      <c r="S347" s="200"/>
      <c r="T347" s="200"/>
      <c r="U347" s="152"/>
      <c r="V347" s="152"/>
      <c r="W347" s="157"/>
      <c r="X347" s="197"/>
      <c r="Y347" s="198"/>
    </row>
    <row r="348" ht="15.75" customHeight="1">
      <c r="B348" s="199"/>
      <c r="N348" s="152"/>
      <c r="Q348" s="195"/>
      <c r="S348" s="200"/>
      <c r="T348" s="200"/>
      <c r="U348" s="152"/>
      <c r="V348" s="152"/>
      <c r="W348" s="157"/>
      <c r="X348" s="197"/>
      <c r="Y348" s="198"/>
    </row>
    <row r="349" ht="15.75" customHeight="1">
      <c r="B349" s="199"/>
      <c r="N349" s="152"/>
      <c r="Q349" s="195"/>
      <c r="S349" s="200"/>
      <c r="T349" s="200"/>
      <c r="U349" s="152"/>
      <c r="V349" s="152"/>
      <c r="W349" s="157"/>
      <c r="X349" s="197"/>
      <c r="Y349" s="198"/>
    </row>
    <row r="350" ht="15.75" customHeight="1">
      <c r="B350" s="199"/>
      <c r="N350" s="152"/>
      <c r="Q350" s="195"/>
      <c r="S350" s="200"/>
      <c r="T350" s="200"/>
      <c r="U350" s="152"/>
      <c r="V350" s="152"/>
      <c r="W350" s="157"/>
      <c r="X350" s="197"/>
      <c r="Y350" s="198"/>
    </row>
    <row r="351" ht="15.75" customHeight="1">
      <c r="B351" s="199"/>
      <c r="N351" s="152"/>
      <c r="Q351" s="195"/>
      <c r="S351" s="200"/>
      <c r="T351" s="200"/>
      <c r="U351" s="152"/>
      <c r="V351" s="152"/>
      <c r="W351" s="157"/>
      <c r="X351" s="197"/>
      <c r="Y351" s="198"/>
    </row>
    <row r="352" ht="15.75" customHeight="1">
      <c r="B352" s="199"/>
      <c r="N352" s="152"/>
      <c r="Q352" s="195"/>
      <c r="S352" s="200"/>
      <c r="T352" s="200"/>
      <c r="U352" s="152"/>
      <c r="V352" s="152"/>
      <c r="W352" s="157"/>
      <c r="X352" s="197"/>
      <c r="Y352" s="198"/>
    </row>
    <row r="353" ht="15.75" customHeight="1">
      <c r="B353" s="199"/>
      <c r="N353" s="152"/>
      <c r="Q353" s="195"/>
      <c r="S353" s="200"/>
      <c r="T353" s="200"/>
      <c r="U353" s="152"/>
      <c r="V353" s="152"/>
      <c r="W353" s="157"/>
      <c r="X353" s="197"/>
      <c r="Y353" s="198"/>
    </row>
    <row r="354" ht="15.75" customHeight="1">
      <c r="B354" s="199"/>
      <c r="N354" s="152"/>
      <c r="Q354" s="195"/>
      <c r="S354" s="200"/>
      <c r="T354" s="200"/>
      <c r="U354" s="152"/>
      <c r="V354" s="152"/>
      <c r="W354" s="157"/>
      <c r="X354" s="197"/>
      <c r="Y354" s="198"/>
    </row>
    <row r="355" ht="15.75" customHeight="1">
      <c r="B355" s="199"/>
      <c r="N355" s="152"/>
      <c r="Q355" s="195"/>
      <c r="S355" s="200"/>
      <c r="T355" s="200"/>
      <c r="U355" s="152"/>
      <c r="V355" s="152"/>
      <c r="W355" s="157"/>
      <c r="X355" s="197"/>
      <c r="Y355" s="198"/>
    </row>
    <row r="356" ht="15.75" customHeight="1">
      <c r="B356" s="199"/>
      <c r="N356" s="152"/>
      <c r="Q356" s="195"/>
      <c r="S356" s="200"/>
      <c r="T356" s="200"/>
      <c r="U356" s="152"/>
      <c r="V356" s="152"/>
      <c r="W356" s="157"/>
      <c r="X356" s="197"/>
      <c r="Y356" s="198"/>
    </row>
    <row r="357" ht="15.75" customHeight="1">
      <c r="B357" s="199"/>
      <c r="N357" s="152"/>
      <c r="Q357" s="195"/>
      <c r="S357" s="200"/>
      <c r="T357" s="200"/>
      <c r="U357" s="152"/>
      <c r="V357" s="152"/>
      <c r="W357" s="157"/>
      <c r="X357" s="197"/>
      <c r="Y357" s="198"/>
    </row>
    <row r="358" ht="15.75" customHeight="1">
      <c r="B358" s="199"/>
      <c r="N358" s="152"/>
      <c r="Q358" s="195"/>
      <c r="S358" s="200"/>
      <c r="T358" s="200"/>
      <c r="U358" s="152"/>
      <c r="V358" s="152"/>
      <c r="W358" s="157"/>
      <c r="X358" s="197"/>
      <c r="Y358" s="198"/>
    </row>
    <row r="359" ht="15.75" customHeight="1">
      <c r="B359" s="199"/>
      <c r="N359" s="152"/>
      <c r="Q359" s="195"/>
      <c r="S359" s="200"/>
      <c r="T359" s="200"/>
      <c r="U359" s="152"/>
      <c r="V359" s="152"/>
      <c r="W359" s="157"/>
      <c r="X359" s="197"/>
      <c r="Y359" s="198"/>
    </row>
    <row r="360" ht="15.75" customHeight="1">
      <c r="B360" s="199"/>
      <c r="N360" s="152"/>
      <c r="Q360" s="195"/>
      <c r="S360" s="200"/>
      <c r="T360" s="200"/>
      <c r="U360" s="152"/>
      <c r="V360" s="152"/>
      <c r="W360" s="157"/>
      <c r="X360" s="197"/>
      <c r="Y360" s="198"/>
    </row>
    <row r="361" ht="15.75" customHeight="1">
      <c r="B361" s="199"/>
      <c r="N361" s="152"/>
      <c r="Q361" s="195"/>
      <c r="S361" s="200"/>
      <c r="T361" s="200"/>
      <c r="U361" s="152"/>
      <c r="V361" s="152"/>
      <c r="W361" s="157"/>
      <c r="X361" s="197"/>
      <c r="Y361" s="198"/>
    </row>
    <row r="362" ht="15.75" customHeight="1">
      <c r="B362" s="199"/>
      <c r="N362" s="152"/>
      <c r="Q362" s="195"/>
      <c r="S362" s="200"/>
      <c r="T362" s="200"/>
      <c r="U362" s="152"/>
      <c r="V362" s="152"/>
      <c r="W362" s="157"/>
      <c r="X362" s="197"/>
      <c r="Y362" s="198"/>
    </row>
    <row r="363" ht="15.75" customHeight="1">
      <c r="B363" s="199"/>
      <c r="N363" s="152"/>
      <c r="Q363" s="195"/>
      <c r="S363" s="200"/>
      <c r="T363" s="200"/>
      <c r="U363" s="152"/>
      <c r="V363" s="152"/>
      <c r="W363" s="157"/>
      <c r="X363" s="197"/>
      <c r="Y363" s="198"/>
    </row>
    <row r="364" ht="15.75" customHeight="1">
      <c r="B364" s="199"/>
      <c r="N364" s="152"/>
      <c r="Q364" s="195"/>
      <c r="S364" s="200"/>
      <c r="T364" s="200"/>
      <c r="U364" s="152"/>
      <c r="V364" s="152"/>
      <c r="W364" s="157"/>
      <c r="X364" s="197"/>
      <c r="Y364" s="198"/>
    </row>
    <row r="365" ht="15.75" customHeight="1">
      <c r="B365" s="199"/>
      <c r="N365" s="152"/>
      <c r="Q365" s="195"/>
      <c r="S365" s="200"/>
      <c r="T365" s="200"/>
      <c r="U365" s="152"/>
      <c r="V365" s="152"/>
      <c r="W365" s="157"/>
      <c r="X365" s="197"/>
      <c r="Y365" s="198"/>
    </row>
    <row r="366" ht="15.75" customHeight="1">
      <c r="B366" s="199"/>
      <c r="N366" s="152"/>
      <c r="Q366" s="195"/>
      <c r="S366" s="200"/>
      <c r="T366" s="200"/>
      <c r="U366" s="152"/>
      <c r="V366" s="152"/>
      <c r="W366" s="157"/>
      <c r="X366" s="197"/>
      <c r="Y366" s="198"/>
    </row>
    <row r="367" ht="15.75" customHeight="1">
      <c r="B367" s="199"/>
      <c r="N367" s="152"/>
      <c r="Q367" s="195"/>
      <c r="S367" s="200"/>
      <c r="T367" s="200"/>
      <c r="U367" s="152"/>
      <c r="V367" s="152"/>
      <c r="W367" s="157"/>
      <c r="X367" s="197"/>
      <c r="Y367" s="198"/>
    </row>
    <row r="368" ht="15.75" customHeight="1">
      <c r="B368" s="199"/>
      <c r="N368" s="152"/>
      <c r="Q368" s="195"/>
      <c r="S368" s="200"/>
      <c r="T368" s="200"/>
      <c r="U368" s="152"/>
      <c r="V368" s="152"/>
      <c r="W368" s="157"/>
      <c r="X368" s="197"/>
      <c r="Y368" s="198"/>
    </row>
    <row r="369" ht="15.75" customHeight="1">
      <c r="B369" s="199"/>
      <c r="N369" s="152"/>
      <c r="Q369" s="195"/>
      <c r="S369" s="200"/>
      <c r="T369" s="200"/>
      <c r="U369" s="152"/>
      <c r="V369" s="152"/>
      <c r="W369" s="157"/>
      <c r="X369" s="197"/>
      <c r="Y369" s="198"/>
    </row>
    <row r="370" ht="15.75" customHeight="1">
      <c r="B370" s="199"/>
      <c r="N370" s="152"/>
      <c r="Q370" s="195"/>
      <c r="S370" s="200"/>
      <c r="T370" s="200"/>
      <c r="U370" s="152"/>
      <c r="V370" s="152"/>
      <c r="W370" s="157"/>
      <c r="X370" s="197"/>
      <c r="Y370" s="198"/>
    </row>
    <row r="371" ht="15.75" customHeight="1">
      <c r="B371" s="199"/>
      <c r="N371" s="152"/>
      <c r="Q371" s="195"/>
      <c r="S371" s="200"/>
      <c r="T371" s="200"/>
      <c r="U371" s="152"/>
      <c r="V371" s="152"/>
      <c r="W371" s="157"/>
      <c r="X371" s="197"/>
      <c r="Y371" s="198"/>
    </row>
    <row r="372" ht="15.75" customHeight="1">
      <c r="B372" s="199"/>
      <c r="N372" s="152"/>
      <c r="Q372" s="195"/>
      <c r="S372" s="200"/>
      <c r="T372" s="200"/>
      <c r="U372" s="152"/>
      <c r="V372" s="152"/>
      <c r="W372" s="157"/>
      <c r="X372" s="197"/>
      <c r="Y372" s="198"/>
    </row>
    <row r="373" ht="15.75" customHeight="1">
      <c r="B373" s="199"/>
      <c r="N373" s="152"/>
      <c r="Q373" s="195"/>
      <c r="S373" s="200"/>
      <c r="T373" s="200"/>
      <c r="U373" s="152"/>
      <c r="V373" s="152"/>
      <c r="W373" s="157"/>
      <c r="X373" s="197"/>
      <c r="Y373" s="198"/>
    </row>
    <row r="374" ht="15.75" customHeight="1">
      <c r="B374" s="199"/>
      <c r="N374" s="152"/>
      <c r="Q374" s="195"/>
      <c r="S374" s="200"/>
      <c r="T374" s="200"/>
      <c r="U374" s="152"/>
      <c r="V374" s="152"/>
      <c r="W374" s="157"/>
      <c r="X374" s="197"/>
      <c r="Y374" s="198"/>
    </row>
    <row r="375" ht="15.75" customHeight="1">
      <c r="B375" s="199"/>
      <c r="N375" s="152"/>
      <c r="Q375" s="195"/>
      <c r="S375" s="200"/>
      <c r="T375" s="200"/>
      <c r="U375" s="152"/>
      <c r="V375" s="152"/>
      <c r="W375" s="157"/>
      <c r="X375" s="197"/>
      <c r="Y375" s="198"/>
    </row>
    <row r="376" ht="15.75" customHeight="1">
      <c r="B376" s="199"/>
      <c r="N376" s="152"/>
      <c r="Q376" s="195"/>
      <c r="S376" s="200"/>
      <c r="T376" s="200"/>
      <c r="U376" s="152"/>
      <c r="V376" s="152"/>
      <c r="W376" s="157"/>
      <c r="X376" s="197"/>
      <c r="Y376" s="198"/>
    </row>
    <row r="377" ht="15.75" customHeight="1">
      <c r="B377" s="199"/>
      <c r="N377" s="152"/>
      <c r="Q377" s="195"/>
      <c r="S377" s="200"/>
      <c r="T377" s="200"/>
      <c r="U377" s="152"/>
      <c r="V377" s="152"/>
      <c r="W377" s="157"/>
      <c r="X377" s="197"/>
      <c r="Y377" s="198"/>
    </row>
    <row r="378" ht="15.75" customHeight="1">
      <c r="B378" s="199"/>
      <c r="N378" s="152"/>
      <c r="Q378" s="195"/>
      <c r="S378" s="200"/>
      <c r="T378" s="200"/>
      <c r="U378" s="152"/>
      <c r="V378" s="152"/>
      <c r="W378" s="157"/>
      <c r="X378" s="197"/>
      <c r="Y378" s="198"/>
    </row>
    <row r="379" ht="15.75" customHeight="1">
      <c r="B379" s="199"/>
      <c r="N379" s="152"/>
      <c r="Q379" s="195"/>
      <c r="S379" s="200"/>
      <c r="T379" s="200"/>
      <c r="U379" s="152"/>
      <c r="V379" s="152"/>
      <c r="W379" s="157"/>
      <c r="X379" s="197"/>
      <c r="Y379" s="198"/>
    </row>
    <row r="380" ht="15.75" customHeight="1">
      <c r="B380" s="199"/>
      <c r="N380" s="152"/>
      <c r="Q380" s="195"/>
      <c r="S380" s="200"/>
      <c r="T380" s="200"/>
      <c r="U380" s="152"/>
      <c r="V380" s="152"/>
      <c r="W380" s="157"/>
      <c r="X380" s="197"/>
      <c r="Y380" s="198"/>
    </row>
    <row r="381" ht="15.75" customHeight="1">
      <c r="B381" s="199"/>
      <c r="N381" s="152"/>
      <c r="Q381" s="195"/>
      <c r="S381" s="200"/>
      <c r="T381" s="200"/>
      <c r="U381" s="152"/>
      <c r="V381" s="152"/>
      <c r="W381" s="157"/>
      <c r="X381" s="197"/>
      <c r="Y381" s="198"/>
    </row>
    <row r="382" ht="15.75" customHeight="1">
      <c r="B382" s="199"/>
      <c r="N382" s="152"/>
      <c r="Q382" s="195"/>
      <c r="S382" s="200"/>
      <c r="T382" s="200"/>
      <c r="U382" s="152"/>
      <c r="V382" s="152"/>
      <c r="W382" s="157"/>
      <c r="X382" s="197"/>
      <c r="Y382" s="198"/>
    </row>
    <row r="383" ht="15.75" customHeight="1">
      <c r="B383" s="199"/>
      <c r="N383" s="152"/>
      <c r="Q383" s="195"/>
      <c r="S383" s="200"/>
      <c r="T383" s="200"/>
      <c r="U383" s="152"/>
      <c r="V383" s="152"/>
      <c r="W383" s="157"/>
      <c r="X383" s="197"/>
      <c r="Y383" s="198"/>
    </row>
    <row r="384" ht="15.75" customHeight="1">
      <c r="B384" s="199"/>
      <c r="N384" s="152"/>
      <c r="Q384" s="195"/>
      <c r="S384" s="200"/>
      <c r="T384" s="200"/>
      <c r="U384" s="152"/>
      <c r="V384" s="152"/>
      <c r="W384" s="157"/>
      <c r="X384" s="197"/>
      <c r="Y384" s="198"/>
    </row>
    <row r="385" ht="15.75" customHeight="1">
      <c r="B385" s="199"/>
      <c r="N385" s="152"/>
      <c r="Q385" s="195"/>
      <c r="S385" s="200"/>
      <c r="T385" s="200"/>
      <c r="U385" s="152"/>
      <c r="V385" s="152"/>
      <c r="W385" s="157"/>
      <c r="X385" s="197"/>
      <c r="Y385" s="198"/>
    </row>
    <row r="386" ht="15.75" customHeight="1">
      <c r="B386" s="199"/>
      <c r="N386" s="152"/>
      <c r="Q386" s="195"/>
      <c r="S386" s="200"/>
      <c r="T386" s="200"/>
      <c r="U386" s="152"/>
      <c r="V386" s="152"/>
      <c r="W386" s="157"/>
      <c r="X386" s="197"/>
      <c r="Y386" s="198"/>
    </row>
    <row r="387" ht="15.75" customHeight="1">
      <c r="B387" s="199"/>
      <c r="N387" s="152"/>
      <c r="Q387" s="195"/>
      <c r="S387" s="200"/>
      <c r="T387" s="200"/>
      <c r="U387" s="152"/>
      <c r="V387" s="152"/>
      <c r="W387" s="157"/>
      <c r="X387" s="197"/>
      <c r="Y387" s="198"/>
    </row>
    <row r="388" ht="15.75" customHeight="1">
      <c r="B388" s="199"/>
      <c r="N388" s="152"/>
      <c r="Q388" s="195"/>
      <c r="S388" s="200"/>
      <c r="T388" s="200"/>
      <c r="U388" s="152"/>
      <c r="V388" s="152"/>
      <c r="W388" s="157"/>
      <c r="X388" s="197"/>
      <c r="Y388" s="198"/>
    </row>
    <row r="389" ht="15.75" customHeight="1">
      <c r="B389" s="199"/>
      <c r="N389" s="152"/>
      <c r="Q389" s="195"/>
      <c r="S389" s="200"/>
      <c r="T389" s="200"/>
      <c r="U389" s="152"/>
      <c r="V389" s="152"/>
      <c r="W389" s="157"/>
      <c r="X389" s="197"/>
      <c r="Y389" s="198"/>
    </row>
    <row r="390" ht="15.75" customHeight="1">
      <c r="B390" s="199"/>
      <c r="N390" s="152"/>
      <c r="Q390" s="195"/>
      <c r="S390" s="200"/>
      <c r="T390" s="200"/>
      <c r="U390" s="152"/>
      <c r="V390" s="152"/>
      <c r="W390" s="157"/>
      <c r="X390" s="197"/>
      <c r="Y390" s="198"/>
    </row>
    <row r="391" ht="15.75" customHeight="1">
      <c r="B391" s="199"/>
      <c r="N391" s="152"/>
      <c r="Q391" s="195"/>
      <c r="S391" s="200"/>
      <c r="T391" s="200"/>
      <c r="U391" s="152"/>
      <c r="V391" s="152"/>
      <c r="W391" s="157"/>
      <c r="X391" s="197"/>
      <c r="Y391" s="198"/>
    </row>
    <row r="392" ht="15.75" customHeight="1">
      <c r="B392" s="199"/>
      <c r="N392" s="152"/>
      <c r="Q392" s="195"/>
      <c r="S392" s="200"/>
      <c r="T392" s="200"/>
      <c r="U392" s="152"/>
      <c r="V392" s="152"/>
      <c r="W392" s="157"/>
      <c r="X392" s="197"/>
      <c r="Y392" s="198"/>
    </row>
    <row r="393" ht="15.75" customHeight="1">
      <c r="B393" s="199"/>
      <c r="N393" s="152"/>
      <c r="Q393" s="195"/>
      <c r="S393" s="200"/>
      <c r="T393" s="200"/>
      <c r="U393" s="152"/>
      <c r="V393" s="152"/>
      <c r="W393" s="157"/>
      <c r="X393" s="197"/>
      <c r="Y393" s="198"/>
    </row>
    <row r="394" ht="15.75" customHeight="1">
      <c r="B394" s="199"/>
      <c r="N394" s="152"/>
      <c r="Q394" s="195"/>
      <c r="S394" s="200"/>
      <c r="T394" s="200"/>
      <c r="U394" s="152"/>
      <c r="V394" s="152"/>
      <c r="W394" s="157"/>
      <c r="X394" s="197"/>
      <c r="Y394" s="198"/>
    </row>
    <row r="395" ht="15.75" customHeight="1">
      <c r="B395" s="199"/>
      <c r="N395" s="152"/>
      <c r="Q395" s="195"/>
      <c r="S395" s="200"/>
      <c r="T395" s="200"/>
      <c r="U395" s="152"/>
      <c r="V395" s="152"/>
      <c r="W395" s="157"/>
      <c r="X395" s="197"/>
      <c r="Y395" s="198"/>
    </row>
    <row r="396" ht="15.75" customHeight="1">
      <c r="B396" s="199"/>
      <c r="N396" s="152"/>
      <c r="Q396" s="195"/>
      <c r="S396" s="200"/>
      <c r="T396" s="200"/>
      <c r="U396" s="152"/>
      <c r="V396" s="152"/>
      <c r="W396" s="157"/>
      <c r="X396" s="197"/>
      <c r="Y396" s="198"/>
    </row>
    <row r="397" ht="15.75" customHeight="1">
      <c r="B397" s="199"/>
      <c r="N397" s="152"/>
      <c r="Q397" s="195"/>
      <c r="S397" s="200"/>
      <c r="T397" s="200"/>
      <c r="U397" s="152"/>
      <c r="V397" s="152"/>
      <c r="W397" s="157"/>
      <c r="X397" s="197"/>
      <c r="Y397" s="198"/>
    </row>
    <row r="398" ht="15.75" customHeight="1">
      <c r="B398" s="199"/>
      <c r="N398" s="152"/>
      <c r="Q398" s="195"/>
      <c r="S398" s="200"/>
      <c r="T398" s="200"/>
      <c r="U398" s="152"/>
      <c r="V398" s="152"/>
      <c r="W398" s="157"/>
      <c r="X398" s="197"/>
      <c r="Y398" s="198"/>
    </row>
    <row r="399" ht="15.75" customHeight="1">
      <c r="B399" s="199"/>
      <c r="N399" s="152"/>
      <c r="Q399" s="195"/>
      <c r="S399" s="200"/>
      <c r="T399" s="200"/>
      <c r="U399" s="152"/>
      <c r="V399" s="152"/>
      <c r="W399" s="157"/>
      <c r="X399" s="197"/>
      <c r="Y399" s="198"/>
    </row>
    <row r="400" ht="15.75" customHeight="1">
      <c r="B400" s="199"/>
      <c r="N400" s="152"/>
      <c r="Q400" s="195"/>
      <c r="S400" s="200"/>
      <c r="T400" s="200"/>
      <c r="U400" s="152"/>
      <c r="V400" s="152"/>
      <c r="W400" s="157"/>
      <c r="X400" s="197"/>
      <c r="Y400" s="198"/>
    </row>
    <row r="401" ht="15.75" customHeight="1">
      <c r="B401" s="199"/>
      <c r="N401" s="152"/>
      <c r="Q401" s="195"/>
      <c r="S401" s="200"/>
      <c r="T401" s="200"/>
      <c r="U401" s="152"/>
      <c r="V401" s="152"/>
      <c r="W401" s="157"/>
      <c r="X401" s="197"/>
      <c r="Y401" s="198"/>
    </row>
    <row r="402" ht="15.75" customHeight="1">
      <c r="B402" s="199"/>
      <c r="N402" s="152"/>
      <c r="Q402" s="195"/>
      <c r="S402" s="200"/>
      <c r="T402" s="200"/>
      <c r="U402" s="152"/>
      <c r="V402" s="152"/>
      <c r="W402" s="157"/>
      <c r="X402" s="197"/>
      <c r="Y402" s="198"/>
    </row>
    <row r="403" ht="15.75" customHeight="1">
      <c r="B403" s="199"/>
      <c r="N403" s="152"/>
      <c r="Q403" s="195"/>
      <c r="S403" s="200"/>
      <c r="T403" s="200"/>
      <c r="U403" s="152"/>
      <c r="V403" s="152"/>
      <c r="W403" s="157"/>
      <c r="X403" s="197"/>
      <c r="Y403" s="198"/>
    </row>
    <row r="404" ht="15.75" customHeight="1">
      <c r="B404" s="199"/>
      <c r="N404" s="152"/>
      <c r="Q404" s="195"/>
      <c r="S404" s="200"/>
      <c r="T404" s="200"/>
      <c r="U404" s="152"/>
      <c r="V404" s="152"/>
      <c r="W404" s="157"/>
      <c r="X404" s="197"/>
      <c r="Y404" s="198"/>
    </row>
    <row r="405" ht="15.75" customHeight="1">
      <c r="B405" s="199"/>
      <c r="N405" s="152"/>
      <c r="Q405" s="195"/>
      <c r="S405" s="200"/>
      <c r="T405" s="200"/>
      <c r="U405" s="152"/>
      <c r="V405" s="152"/>
      <c r="W405" s="157"/>
      <c r="X405" s="197"/>
      <c r="Y405" s="198"/>
    </row>
    <row r="406" ht="15.75" customHeight="1">
      <c r="B406" s="199"/>
      <c r="N406" s="152"/>
      <c r="Q406" s="195"/>
      <c r="S406" s="200"/>
      <c r="T406" s="200"/>
      <c r="U406" s="152"/>
      <c r="V406" s="152"/>
      <c r="W406" s="157"/>
      <c r="X406" s="197"/>
      <c r="Y406" s="198"/>
    </row>
    <row r="407" ht="15.75" customHeight="1">
      <c r="B407" s="199"/>
      <c r="N407" s="152"/>
      <c r="Q407" s="195"/>
      <c r="S407" s="200"/>
      <c r="T407" s="200"/>
      <c r="U407" s="152"/>
      <c r="V407" s="152"/>
      <c r="W407" s="157"/>
      <c r="X407" s="197"/>
      <c r="Y407" s="198"/>
    </row>
    <row r="408" ht="15.75" customHeight="1">
      <c r="B408" s="199"/>
      <c r="N408" s="152"/>
      <c r="Q408" s="195"/>
      <c r="S408" s="200"/>
      <c r="T408" s="200"/>
      <c r="U408" s="152"/>
      <c r="V408" s="152"/>
      <c r="W408" s="157"/>
      <c r="X408" s="197"/>
      <c r="Y408" s="198"/>
    </row>
    <row r="409" ht="15.75" customHeight="1">
      <c r="B409" s="199"/>
      <c r="N409" s="152"/>
      <c r="Q409" s="195"/>
      <c r="S409" s="200"/>
      <c r="T409" s="200"/>
      <c r="U409" s="152"/>
      <c r="V409" s="152"/>
      <c r="W409" s="157"/>
      <c r="X409" s="197"/>
      <c r="Y409" s="198"/>
    </row>
    <row r="410" ht="15.75" customHeight="1">
      <c r="B410" s="199"/>
      <c r="N410" s="152"/>
      <c r="Q410" s="195"/>
      <c r="S410" s="200"/>
      <c r="T410" s="200"/>
      <c r="U410" s="152"/>
      <c r="V410" s="152"/>
      <c r="W410" s="157"/>
      <c r="X410" s="197"/>
      <c r="Y410" s="198"/>
    </row>
    <row r="411" ht="15.75" customHeight="1">
      <c r="B411" s="199"/>
      <c r="N411" s="152"/>
      <c r="Q411" s="195"/>
      <c r="S411" s="200"/>
      <c r="T411" s="200"/>
      <c r="U411" s="152"/>
      <c r="V411" s="152"/>
      <c r="W411" s="157"/>
      <c r="X411" s="197"/>
      <c r="Y411" s="198"/>
    </row>
    <row r="412" ht="15.75" customHeight="1">
      <c r="B412" s="199"/>
      <c r="N412" s="152"/>
      <c r="Q412" s="195"/>
      <c r="S412" s="200"/>
      <c r="T412" s="200"/>
      <c r="U412" s="152"/>
      <c r="V412" s="152"/>
      <c r="W412" s="157"/>
      <c r="X412" s="197"/>
      <c r="Y412" s="198"/>
    </row>
    <row r="413" ht="15.75" customHeight="1">
      <c r="B413" s="199"/>
      <c r="N413" s="152"/>
      <c r="Q413" s="195"/>
      <c r="S413" s="200"/>
      <c r="T413" s="200"/>
      <c r="U413" s="152"/>
      <c r="V413" s="152"/>
      <c r="W413" s="157"/>
      <c r="X413" s="197"/>
      <c r="Y413" s="198"/>
    </row>
    <row r="414" ht="15.75" customHeight="1">
      <c r="B414" s="199"/>
      <c r="N414" s="152"/>
      <c r="Q414" s="195"/>
      <c r="S414" s="200"/>
      <c r="T414" s="200"/>
      <c r="U414" s="152"/>
      <c r="V414" s="152"/>
      <c r="W414" s="157"/>
      <c r="X414" s="197"/>
      <c r="Y414" s="198"/>
    </row>
    <row r="415" ht="15.75" customHeight="1">
      <c r="B415" s="199"/>
      <c r="N415" s="152"/>
      <c r="Q415" s="195"/>
      <c r="S415" s="200"/>
      <c r="T415" s="200"/>
      <c r="U415" s="152"/>
      <c r="V415" s="152"/>
      <c r="W415" s="157"/>
      <c r="X415" s="197"/>
      <c r="Y415" s="198"/>
    </row>
    <row r="416" ht="15.75" customHeight="1">
      <c r="B416" s="199"/>
      <c r="N416" s="152"/>
      <c r="Q416" s="195"/>
      <c r="S416" s="200"/>
      <c r="T416" s="200"/>
      <c r="U416" s="152"/>
      <c r="V416" s="152"/>
      <c r="W416" s="157"/>
      <c r="X416" s="197"/>
      <c r="Y416" s="198"/>
    </row>
    <row r="417" ht="15.75" customHeight="1">
      <c r="B417" s="199"/>
      <c r="N417" s="152"/>
      <c r="Q417" s="195"/>
      <c r="S417" s="200"/>
      <c r="T417" s="200"/>
      <c r="U417" s="152"/>
      <c r="V417" s="152"/>
      <c r="W417" s="157"/>
      <c r="X417" s="197"/>
      <c r="Y417" s="198"/>
    </row>
    <row r="418" ht="15.75" customHeight="1">
      <c r="B418" s="199"/>
      <c r="N418" s="152"/>
      <c r="Q418" s="195"/>
      <c r="S418" s="200"/>
      <c r="T418" s="200"/>
      <c r="U418" s="152"/>
      <c r="V418" s="152"/>
      <c r="W418" s="157"/>
      <c r="X418" s="197"/>
      <c r="Y418" s="198"/>
    </row>
    <row r="419" ht="15.75" customHeight="1">
      <c r="B419" s="199"/>
      <c r="N419" s="152"/>
      <c r="Q419" s="195"/>
      <c r="S419" s="200"/>
      <c r="T419" s="200"/>
      <c r="U419" s="152"/>
      <c r="V419" s="152"/>
      <c r="W419" s="157"/>
      <c r="X419" s="197"/>
      <c r="Y419" s="198"/>
    </row>
    <row r="420" ht="15.75" customHeight="1">
      <c r="B420" s="199"/>
      <c r="N420" s="152"/>
      <c r="Q420" s="195"/>
      <c r="S420" s="200"/>
      <c r="T420" s="200"/>
      <c r="U420" s="152"/>
      <c r="V420" s="152"/>
      <c r="W420" s="157"/>
      <c r="X420" s="197"/>
      <c r="Y420" s="198"/>
    </row>
    <row r="421" ht="15.75" customHeight="1">
      <c r="B421" s="199"/>
      <c r="N421" s="152"/>
      <c r="Q421" s="195"/>
      <c r="S421" s="200"/>
      <c r="T421" s="200"/>
      <c r="U421" s="152"/>
      <c r="V421" s="152"/>
      <c r="W421" s="157"/>
      <c r="X421" s="197"/>
      <c r="Y421" s="198"/>
    </row>
    <row r="422" ht="15.75" customHeight="1">
      <c r="B422" s="199"/>
      <c r="N422" s="152"/>
      <c r="Q422" s="195"/>
      <c r="S422" s="200"/>
      <c r="T422" s="200"/>
      <c r="U422" s="152"/>
      <c r="V422" s="152"/>
      <c r="W422" s="157"/>
      <c r="X422" s="197"/>
      <c r="Y422" s="198"/>
    </row>
    <row r="423" ht="15.75" customHeight="1">
      <c r="B423" s="199"/>
      <c r="N423" s="152"/>
      <c r="Q423" s="195"/>
      <c r="S423" s="200"/>
      <c r="T423" s="200"/>
      <c r="U423" s="152"/>
      <c r="V423" s="152"/>
      <c r="W423" s="157"/>
      <c r="X423" s="197"/>
      <c r="Y423" s="198"/>
    </row>
    <row r="424" ht="15.75" customHeight="1">
      <c r="B424" s="199"/>
      <c r="N424" s="152"/>
      <c r="Q424" s="195"/>
      <c r="S424" s="200"/>
      <c r="T424" s="200"/>
      <c r="U424" s="152"/>
      <c r="V424" s="152"/>
      <c r="W424" s="157"/>
      <c r="X424" s="197"/>
      <c r="Y424" s="198"/>
    </row>
    <row r="425" ht="15.75" customHeight="1">
      <c r="B425" s="199"/>
      <c r="N425" s="152"/>
      <c r="Q425" s="195"/>
      <c r="S425" s="200"/>
      <c r="T425" s="200"/>
      <c r="U425" s="152"/>
      <c r="V425" s="152"/>
      <c r="W425" s="157"/>
      <c r="X425" s="197"/>
      <c r="Y425" s="198"/>
    </row>
    <row r="426" ht="15.75" customHeight="1">
      <c r="B426" s="199"/>
      <c r="N426" s="152"/>
      <c r="Q426" s="195"/>
      <c r="S426" s="200"/>
      <c r="T426" s="200"/>
      <c r="U426" s="152"/>
      <c r="V426" s="152"/>
      <c r="W426" s="157"/>
      <c r="X426" s="197"/>
      <c r="Y426" s="198"/>
    </row>
    <row r="427" ht="15.75" customHeight="1">
      <c r="B427" s="199"/>
      <c r="N427" s="152"/>
      <c r="Q427" s="195"/>
      <c r="S427" s="200"/>
      <c r="T427" s="200"/>
      <c r="U427" s="152"/>
      <c r="V427" s="152"/>
      <c r="W427" s="157"/>
      <c r="X427" s="197"/>
      <c r="Y427" s="198"/>
    </row>
    <row r="428" ht="15.75" customHeight="1">
      <c r="B428" s="199"/>
      <c r="N428" s="152"/>
      <c r="Q428" s="195"/>
      <c r="S428" s="200"/>
      <c r="T428" s="200"/>
      <c r="U428" s="152"/>
      <c r="V428" s="152"/>
      <c r="W428" s="157"/>
      <c r="X428" s="197"/>
      <c r="Y428" s="198"/>
    </row>
    <row r="429" ht="15.75" customHeight="1">
      <c r="B429" s="199"/>
      <c r="N429" s="152"/>
      <c r="Q429" s="195"/>
      <c r="S429" s="200"/>
      <c r="T429" s="200"/>
      <c r="U429" s="152"/>
      <c r="V429" s="152"/>
      <c r="W429" s="157"/>
      <c r="X429" s="197"/>
      <c r="Y429" s="198"/>
    </row>
    <row r="430" ht="15.75" customHeight="1">
      <c r="B430" s="199"/>
      <c r="N430" s="152"/>
      <c r="Q430" s="195"/>
      <c r="S430" s="200"/>
      <c r="T430" s="200"/>
      <c r="U430" s="152"/>
      <c r="V430" s="152"/>
      <c r="W430" s="157"/>
      <c r="X430" s="197"/>
      <c r="Y430" s="198"/>
    </row>
    <row r="431" ht="15.75" customHeight="1">
      <c r="B431" s="199"/>
      <c r="N431" s="152"/>
      <c r="Q431" s="195"/>
      <c r="S431" s="200"/>
      <c r="T431" s="200"/>
      <c r="U431" s="152"/>
      <c r="V431" s="152"/>
      <c r="W431" s="157"/>
      <c r="X431" s="197"/>
      <c r="Y431" s="198"/>
    </row>
    <row r="432" ht="15.75" customHeight="1">
      <c r="B432" s="199"/>
      <c r="N432" s="152"/>
      <c r="Q432" s="195"/>
      <c r="S432" s="200"/>
      <c r="T432" s="200"/>
      <c r="U432" s="152"/>
      <c r="V432" s="152"/>
      <c r="W432" s="157"/>
      <c r="X432" s="197"/>
      <c r="Y432" s="198"/>
    </row>
    <row r="433" ht="15.75" customHeight="1">
      <c r="B433" s="199"/>
      <c r="N433" s="152"/>
      <c r="Q433" s="195"/>
      <c r="S433" s="200"/>
      <c r="T433" s="200"/>
      <c r="U433" s="152"/>
      <c r="V433" s="152"/>
      <c r="W433" s="157"/>
      <c r="X433" s="197"/>
      <c r="Y433" s="198"/>
    </row>
    <row r="434" ht="15.75" customHeight="1">
      <c r="B434" s="199"/>
      <c r="N434" s="152"/>
      <c r="Q434" s="195"/>
      <c r="S434" s="200"/>
      <c r="T434" s="200"/>
      <c r="U434" s="152"/>
      <c r="V434" s="152"/>
      <c r="W434" s="157"/>
      <c r="X434" s="197"/>
      <c r="Y434" s="198"/>
    </row>
    <row r="435" ht="15.75" customHeight="1">
      <c r="B435" s="199"/>
      <c r="N435" s="152"/>
      <c r="Q435" s="195"/>
      <c r="S435" s="200"/>
      <c r="T435" s="200"/>
      <c r="U435" s="152"/>
      <c r="V435" s="152"/>
      <c r="W435" s="157"/>
      <c r="X435" s="197"/>
      <c r="Y435" s="198"/>
    </row>
    <row r="436" ht="15.75" customHeight="1">
      <c r="B436" s="199"/>
      <c r="N436" s="152"/>
      <c r="Q436" s="195"/>
      <c r="S436" s="200"/>
      <c r="T436" s="200"/>
      <c r="U436" s="152"/>
      <c r="V436" s="152"/>
      <c r="W436" s="157"/>
      <c r="X436" s="197"/>
      <c r="Y436" s="198"/>
    </row>
    <row r="437" ht="15.75" customHeight="1">
      <c r="B437" s="199"/>
      <c r="N437" s="152"/>
      <c r="Q437" s="195"/>
      <c r="S437" s="200"/>
      <c r="T437" s="200"/>
      <c r="U437" s="152"/>
      <c r="V437" s="152"/>
      <c r="W437" s="157"/>
      <c r="X437" s="197"/>
      <c r="Y437" s="198"/>
    </row>
    <row r="438" ht="15.75" customHeight="1">
      <c r="B438" s="199"/>
      <c r="N438" s="152"/>
      <c r="Q438" s="195"/>
      <c r="S438" s="200"/>
      <c r="T438" s="200"/>
      <c r="U438" s="152"/>
      <c r="V438" s="152"/>
      <c r="W438" s="157"/>
      <c r="X438" s="197"/>
      <c r="Y438" s="198"/>
    </row>
    <row r="439" ht="15.75" customHeight="1">
      <c r="B439" s="199"/>
      <c r="N439" s="152"/>
      <c r="Q439" s="195"/>
      <c r="S439" s="200"/>
      <c r="T439" s="200"/>
      <c r="U439" s="152"/>
      <c r="V439" s="152"/>
      <c r="W439" s="157"/>
      <c r="X439" s="197"/>
      <c r="Y439" s="198"/>
    </row>
    <row r="440" ht="15.75" customHeight="1">
      <c r="B440" s="199"/>
      <c r="N440" s="152"/>
      <c r="Q440" s="195"/>
      <c r="S440" s="200"/>
      <c r="T440" s="200"/>
      <c r="U440" s="152"/>
      <c r="V440" s="152"/>
      <c r="W440" s="157"/>
      <c r="X440" s="197"/>
      <c r="Y440" s="198"/>
    </row>
    <row r="441" ht="15.75" customHeight="1">
      <c r="B441" s="199"/>
      <c r="N441" s="152"/>
      <c r="Q441" s="195"/>
      <c r="S441" s="200"/>
      <c r="T441" s="200"/>
      <c r="U441" s="152"/>
      <c r="V441" s="152"/>
      <c r="W441" s="157"/>
      <c r="X441" s="197"/>
      <c r="Y441" s="198"/>
    </row>
    <row r="442" ht="15.75" customHeight="1">
      <c r="B442" s="199"/>
      <c r="N442" s="152"/>
      <c r="Q442" s="195"/>
      <c r="S442" s="200"/>
      <c r="T442" s="200"/>
      <c r="U442" s="152"/>
      <c r="V442" s="152"/>
      <c r="W442" s="157"/>
      <c r="X442" s="197"/>
      <c r="Y442" s="198"/>
    </row>
    <row r="443" ht="15.75" customHeight="1">
      <c r="B443" s="199"/>
      <c r="N443" s="152"/>
      <c r="Q443" s="195"/>
      <c r="S443" s="200"/>
      <c r="T443" s="200"/>
      <c r="U443" s="152"/>
      <c r="V443" s="152"/>
      <c r="W443" s="157"/>
      <c r="X443" s="197"/>
      <c r="Y443" s="198"/>
    </row>
    <row r="444" ht="15.75" customHeight="1">
      <c r="B444" s="199"/>
      <c r="N444" s="152"/>
      <c r="Q444" s="195"/>
      <c r="S444" s="200"/>
      <c r="T444" s="200"/>
      <c r="U444" s="152"/>
      <c r="V444" s="152"/>
      <c r="W444" s="157"/>
      <c r="X444" s="197"/>
      <c r="Y444" s="198"/>
    </row>
    <row r="445" ht="15.75" customHeight="1">
      <c r="B445" s="199"/>
      <c r="N445" s="152"/>
      <c r="Q445" s="195"/>
      <c r="S445" s="200"/>
      <c r="T445" s="200"/>
      <c r="U445" s="152"/>
      <c r="V445" s="152"/>
      <c r="W445" s="157"/>
      <c r="X445" s="197"/>
      <c r="Y445" s="198"/>
    </row>
    <row r="446" ht="15.75" customHeight="1">
      <c r="B446" s="199"/>
      <c r="N446" s="152"/>
      <c r="Q446" s="195"/>
      <c r="S446" s="200"/>
      <c r="T446" s="200"/>
      <c r="U446" s="152"/>
      <c r="V446" s="152"/>
      <c r="W446" s="157"/>
      <c r="X446" s="197"/>
      <c r="Y446" s="198"/>
    </row>
    <row r="447" ht="15.75" customHeight="1">
      <c r="B447" s="199"/>
      <c r="N447" s="152"/>
      <c r="Q447" s="195"/>
      <c r="S447" s="200"/>
      <c r="T447" s="200"/>
      <c r="U447" s="152"/>
      <c r="V447" s="152"/>
      <c r="W447" s="157"/>
      <c r="X447" s="197"/>
      <c r="Y447" s="198"/>
    </row>
    <row r="448" ht="15.75" customHeight="1">
      <c r="B448" s="199"/>
      <c r="N448" s="152"/>
      <c r="Q448" s="195"/>
      <c r="S448" s="200"/>
      <c r="T448" s="200"/>
      <c r="U448" s="152"/>
      <c r="V448" s="152"/>
      <c r="W448" s="157"/>
      <c r="X448" s="197"/>
      <c r="Y448" s="198"/>
    </row>
    <row r="449" ht="15.75" customHeight="1">
      <c r="B449" s="199"/>
      <c r="N449" s="152"/>
      <c r="Q449" s="195"/>
      <c r="S449" s="200"/>
      <c r="T449" s="200"/>
      <c r="U449" s="152"/>
      <c r="V449" s="152"/>
      <c r="W449" s="157"/>
      <c r="X449" s="197"/>
      <c r="Y449" s="198"/>
    </row>
    <row r="450" ht="15.75" customHeight="1">
      <c r="B450" s="199"/>
      <c r="N450" s="152"/>
      <c r="Q450" s="195"/>
      <c r="S450" s="200"/>
      <c r="T450" s="200"/>
      <c r="U450" s="152"/>
      <c r="V450" s="152"/>
      <c r="W450" s="157"/>
      <c r="X450" s="197"/>
      <c r="Y450" s="198"/>
    </row>
    <row r="451" ht="15.75" customHeight="1">
      <c r="B451" s="199"/>
      <c r="N451" s="152"/>
      <c r="Q451" s="195"/>
      <c r="S451" s="200"/>
      <c r="T451" s="200"/>
      <c r="U451" s="152"/>
      <c r="V451" s="152"/>
      <c r="W451" s="157"/>
      <c r="X451" s="197"/>
      <c r="Y451" s="198"/>
    </row>
    <row r="452" ht="15.75" customHeight="1">
      <c r="B452" s="199"/>
      <c r="N452" s="152"/>
      <c r="Q452" s="195"/>
      <c r="S452" s="200"/>
      <c r="T452" s="200"/>
      <c r="U452" s="152"/>
      <c r="V452" s="152"/>
      <c r="W452" s="157"/>
      <c r="X452" s="197"/>
      <c r="Y452" s="198"/>
    </row>
    <row r="453" ht="15.75" customHeight="1">
      <c r="B453" s="199"/>
      <c r="N453" s="152"/>
      <c r="Q453" s="195"/>
      <c r="S453" s="200"/>
      <c r="T453" s="200"/>
      <c r="U453" s="152"/>
      <c r="V453" s="152"/>
      <c r="W453" s="157"/>
      <c r="X453" s="197"/>
      <c r="Y453" s="198"/>
    </row>
    <row r="454" ht="15.75" customHeight="1">
      <c r="B454" s="199"/>
      <c r="N454" s="152"/>
      <c r="Q454" s="195"/>
      <c r="S454" s="200"/>
      <c r="T454" s="200"/>
      <c r="U454" s="152"/>
      <c r="V454" s="152"/>
      <c r="W454" s="157"/>
      <c r="X454" s="197"/>
      <c r="Y454" s="198"/>
    </row>
    <row r="455" ht="15.75" customHeight="1">
      <c r="B455" s="199"/>
      <c r="N455" s="152"/>
      <c r="Q455" s="195"/>
      <c r="S455" s="200"/>
      <c r="T455" s="200"/>
      <c r="U455" s="152"/>
      <c r="V455" s="152"/>
      <c r="W455" s="157"/>
      <c r="X455" s="197"/>
      <c r="Y455" s="198"/>
    </row>
    <row r="456" ht="15.75" customHeight="1">
      <c r="B456" s="199"/>
      <c r="N456" s="152"/>
      <c r="Q456" s="195"/>
      <c r="S456" s="200"/>
      <c r="T456" s="200"/>
      <c r="U456" s="152"/>
      <c r="V456" s="152"/>
      <c r="W456" s="157"/>
      <c r="X456" s="197"/>
      <c r="Y456" s="198"/>
    </row>
    <row r="457" ht="15.75" customHeight="1">
      <c r="B457" s="199"/>
      <c r="N457" s="152"/>
      <c r="Q457" s="195"/>
      <c r="S457" s="200"/>
      <c r="T457" s="200"/>
      <c r="U457" s="152"/>
      <c r="V457" s="152"/>
      <c r="W457" s="157"/>
      <c r="X457" s="197"/>
      <c r="Y457" s="198"/>
    </row>
    <row r="458" ht="15.75" customHeight="1">
      <c r="B458" s="199"/>
      <c r="N458" s="152"/>
      <c r="Q458" s="195"/>
      <c r="S458" s="200"/>
      <c r="T458" s="200"/>
      <c r="U458" s="152"/>
      <c r="V458" s="152"/>
      <c r="W458" s="157"/>
      <c r="X458" s="197"/>
      <c r="Y458" s="198"/>
    </row>
    <row r="459" ht="15.75" customHeight="1">
      <c r="B459" s="199"/>
      <c r="N459" s="152"/>
      <c r="Q459" s="195"/>
      <c r="S459" s="200"/>
      <c r="T459" s="200"/>
      <c r="U459" s="152"/>
      <c r="V459" s="152"/>
      <c r="W459" s="157"/>
      <c r="X459" s="197"/>
      <c r="Y459" s="198"/>
    </row>
    <row r="460" ht="15.75" customHeight="1">
      <c r="B460" s="199"/>
      <c r="N460" s="152"/>
      <c r="Q460" s="195"/>
      <c r="S460" s="200"/>
      <c r="T460" s="200"/>
      <c r="U460" s="152"/>
      <c r="V460" s="152"/>
      <c r="W460" s="157"/>
      <c r="X460" s="197"/>
      <c r="Y460" s="198"/>
    </row>
    <row r="461" ht="15.75" customHeight="1">
      <c r="B461" s="199"/>
      <c r="N461" s="152"/>
      <c r="Q461" s="195"/>
      <c r="S461" s="200"/>
      <c r="T461" s="200"/>
      <c r="U461" s="152"/>
      <c r="V461" s="152"/>
      <c r="W461" s="157"/>
      <c r="X461" s="197"/>
      <c r="Y461" s="198"/>
    </row>
    <row r="462" ht="15.75" customHeight="1">
      <c r="B462" s="199"/>
      <c r="N462" s="152"/>
      <c r="Q462" s="195"/>
      <c r="S462" s="200"/>
      <c r="T462" s="200"/>
      <c r="U462" s="152"/>
      <c r="V462" s="152"/>
      <c r="W462" s="157"/>
      <c r="X462" s="197"/>
      <c r="Y462" s="198"/>
    </row>
    <row r="463" ht="15.75" customHeight="1">
      <c r="B463" s="199"/>
      <c r="N463" s="152"/>
      <c r="Q463" s="195"/>
      <c r="S463" s="200"/>
      <c r="T463" s="200"/>
      <c r="U463" s="152"/>
      <c r="V463" s="152"/>
      <c r="W463" s="157"/>
      <c r="X463" s="197"/>
      <c r="Y463" s="198"/>
    </row>
    <row r="464" ht="15.75" customHeight="1">
      <c r="B464" s="199"/>
      <c r="N464" s="152"/>
      <c r="Q464" s="195"/>
      <c r="S464" s="200"/>
      <c r="T464" s="200"/>
      <c r="U464" s="152"/>
      <c r="V464" s="152"/>
      <c r="W464" s="157"/>
      <c r="X464" s="197"/>
      <c r="Y464" s="198"/>
    </row>
    <row r="465" ht="15.75" customHeight="1">
      <c r="B465" s="199"/>
      <c r="N465" s="152"/>
      <c r="Q465" s="195"/>
      <c r="S465" s="200"/>
      <c r="T465" s="200"/>
      <c r="U465" s="152"/>
      <c r="V465" s="152"/>
      <c r="W465" s="157"/>
      <c r="X465" s="197"/>
      <c r="Y465" s="198"/>
    </row>
    <row r="466" ht="15.75" customHeight="1">
      <c r="B466" s="199"/>
      <c r="N466" s="152"/>
      <c r="Q466" s="195"/>
      <c r="S466" s="200"/>
      <c r="T466" s="200"/>
      <c r="U466" s="152"/>
      <c r="V466" s="152"/>
      <c r="W466" s="157"/>
      <c r="X466" s="197"/>
      <c r="Y466" s="198"/>
    </row>
    <row r="467" ht="15.75" customHeight="1">
      <c r="B467" s="199"/>
      <c r="N467" s="152"/>
      <c r="Q467" s="195"/>
      <c r="S467" s="200"/>
      <c r="T467" s="200"/>
      <c r="U467" s="152"/>
      <c r="V467" s="152"/>
      <c r="W467" s="157"/>
      <c r="X467" s="197"/>
      <c r="Y467" s="198"/>
    </row>
    <row r="468" ht="15.75" customHeight="1">
      <c r="B468" s="199"/>
      <c r="N468" s="152"/>
      <c r="Q468" s="195"/>
      <c r="S468" s="200"/>
      <c r="T468" s="200"/>
      <c r="U468" s="152"/>
      <c r="V468" s="152"/>
      <c r="W468" s="157"/>
      <c r="X468" s="197"/>
      <c r="Y468" s="198"/>
    </row>
    <row r="469" ht="15.75" customHeight="1">
      <c r="B469" s="199"/>
      <c r="N469" s="152"/>
      <c r="Q469" s="195"/>
      <c r="S469" s="200"/>
      <c r="T469" s="200"/>
      <c r="U469" s="152"/>
      <c r="V469" s="152"/>
      <c r="W469" s="157"/>
      <c r="X469" s="197"/>
      <c r="Y469" s="198"/>
    </row>
    <row r="470" ht="15.75" customHeight="1">
      <c r="B470" s="199"/>
      <c r="N470" s="152"/>
      <c r="Q470" s="195"/>
      <c r="S470" s="200"/>
      <c r="T470" s="200"/>
      <c r="U470" s="152"/>
      <c r="V470" s="152"/>
      <c r="W470" s="157"/>
      <c r="X470" s="197"/>
      <c r="Y470" s="198"/>
    </row>
    <row r="471" ht="15.75" customHeight="1">
      <c r="B471" s="199"/>
      <c r="N471" s="152"/>
      <c r="Q471" s="195"/>
      <c r="S471" s="200"/>
      <c r="T471" s="200"/>
      <c r="U471" s="152"/>
      <c r="V471" s="152"/>
      <c r="W471" s="157"/>
      <c r="X471" s="197"/>
      <c r="Y471" s="198"/>
    </row>
    <row r="472" ht="15.75" customHeight="1">
      <c r="B472" s="199"/>
      <c r="N472" s="152"/>
      <c r="Q472" s="195"/>
      <c r="S472" s="200"/>
      <c r="T472" s="200"/>
      <c r="U472" s="152"/>
      <c r="V472" s="152"/>
      <c r="W472" s="157"/>
      <c r="X472" s="197"/>
      <c r="Y472" s="198"/>
    </row>
    <row r="473" ht="15.75" customHeight="1">
      <c r="B473" s="199"/>
      <c r="N473" s="152"/>
      <c r="Q473" s="195"/>
      <c r="S473" s="200"/>
      <c r="T473" s="200"/>
      <c r="U473" s="152"/>
      <c r="V473" s="152"/>
      <c r="W473" s="157"/>
      <c r="X473" s="197"/>
      <c r="Y473" s="198"/>
    </row>
    <row r="474" ht="15.75" customHeight="1">
      <c r="B474" s="199"/>
      <c r="N474" s="152"/>
      <c r="Q474" s="195"/>
      <c r="S474" s="200"/>
      <c r="T474" s="200"/>
      <c r="U474" s="152"/>
      <c r="V474" s="152"/>
      <c r="W474" s="157"/>
      <c r="X474" s="197"/>
      <c r="Y474" s="198"/>
    </row>
    <row r="475" ht="15.75" customHeight="1">
      <c r="B475" s="199"/>
      <c r="N475" s="152"/>
      <c r="Q475" s="195"/>
      <c r="S475" s="200"/>
      <c r="T475" s="200"/>
      <c r="U475" s="152"/>
      <c r="V475" s="152"/>
      <c r="W475" s="157"/>
      <c r="X475" s="197"/>
      <c r="Y475" s="198"/>
    </row>
    <row r="476" ht="15.75" customHeight="1">
      <c r="B476" s="199"/>
      <c r="N476" s="152"/>
      <c r="Q476" s="195"/>
      <c r="S476" s="200"/>
      <c r="T476" s="200"/>
      <c r="U476" s="152"/>
      <c r="V476" s="152"/>
      <c r="W476" s="157"/>
      <c r="X476" s="197"/>
      <c r="Y476" s="198"/>
    </row>
    <row r="477" ht="15.75" customHeight="1">
      <c r="B477" s="199"/>
      <c r="N477" s="152"/>
      <c r="Q477" s="195"/>
      <c r="S477" s="200"/>
      <c r="T477" s="200"/>
      <c r="U477" s="152"/>
      <c r="V477" s="152"/>
      <c r="W477" s="157"/>
      <c r="X477" s="197"/>
      <c r="Y477" s="198"/>
    </row>
    <row r="478" ht="15.75" customHeight="1">
      <c r="B478" s="199"/>
      <c r="N478" s="152"/>
      <c r="Q478" s="195"/>
      <c r="S478" s="200"/>
      <c r="T478" s="200"/>
      <c r="U478" s="152"/>
      <c r="V478" s="152"/>
      <c r="W478" s="157"/>
      <c r="X478" s="197"/>
      <c r="Y478" s="198"/>
    </row>
    <row r="479" ht="15.75" customHeight="1">
      <c r="B479" s="199"/>
      <c r="N479" s="152"/>
      <c r="Q479" s="195"/>
      <c r="S479" s="200"/>
      <c r="T479" s="200"/>
      <c r="U479" s="152"/>
      <c r="V479" s="152"/>
      <c r="W479" s="157"/>
      <c r="X479" s="197"/>
      <c r="Y479" s="198"/>
    </row>
    <row r="480" ht="15.75" customHeight="1">
      <c r="B480" s="199"/>
      <c r="N480" s="152"/>
      <c r="Q480" s="195"/>
      <c r="S480" s="200"/>
      <c r="T480" s="200"/>
      <c r="U480" s="152"/>
      <c r="V480" s="152"/>
      <c r="W480" s="157"/>
      <c r="X480" s="197"/>
      <c r="Y480" s="198"/>
    </row>
    <row r="481" ht="15.75" customHeight="1">
      <c r="B481" s="199"/>
      <c r="N481" s="152"/>
      <c r="Q481" s="195"/>
      <c r="S481" s="200"/>
      <c r="T481" s="200"/>
      <c r="U481" s="152"/>
      <c r="V481" s="152"/>
      <c r="W481" s="157"/>
      <c r="X481" s="197"/>
      <c r="Y481" s="198"/>
    </row>
    <row r="482" ht="15.75" customHeight="1">
      <c r="B482" s="199"/>
      <c r="N482" s="152"/>
      <c r="Q482" s="195"/>
      <c r="S482" s="200"/>
      <c r="T482" s="200"/>
      <c r="U482" s="152"/>
      <c r="V482" s="152"/>
      <c r="W482" s="157"/>
      <c r="X482" s="197"/>
      <c r="Y482" s="198"/>
    </row>
    <row r="483" ht="15.75" customHeight="1">
      <c r="B483" s="199"/>
      <c r="N483" s="152"/>
      <c r="Q483" s="195"/>
      <c r="S483" s="200"/>
      <c r="T483" s="200"/>
      <c r="U483" s="152"/>
      <c r="V483" s="152"/>
      <c r="W483" s="157"/>
      <c r="X483" s="197"/>
      <c r="Y483" s="198"/>
    </row>
    <row r="484" ht="15.75" customHeight="1">
      <c r="B484" s="199"/>
      <c r="N484" s="152"/>
      <c r="Q484" s="195"/>
      <c r="S484" s="200"/>
      <c r="T484" s="200"/>
      <c r="U484" s="152"/>
      <c r="V484" s="152"/>
      <c r="W484" s="157"/>
      <c r="X484" s="197"/>
      <c r="Y484" s="198"/>
    </row>
    <row r="485" ht="15.75" customHeight="1">
      <c r="B485" s="199"/>
      <c r="N485" s="152"/>
      <c r="Q485" s="195"/>
      <c r="S485" s="200"/>
      <c r="T485" s="200"/>
      <c r="U485" s="152"/>
      <c r="V485" s="152"/>
      <c r="W485" s="157"/>
      <c r="X485" s="197"/>
      <c r="Y485" s="198"/>
    </row>
    <row r="486" ht="15.75" customHeight="1">
      <c r="B486" s="199"/>
      <c r="N486" s="152"/>
      <c r="Q486" s="195"/>
      <c r="S486" s="200"/>
      <c r="T486" s="200"/>
      <c r="U486" s="152"/>
      <c r="V486" s="152"/>
      <c r="W486" s="157"/>
      <c r="X486" s="197"/>
      <c r="Y486" s="198"/>
    </row>
    <row r="487" ht="15.75" customHeight="1">
      <c r="B487" s="199"/>
      <c r="N487" s="152"/>
      <c r="Q487" s="195"/>
      <c r="S487" s="200"/>
      <c r="T487" s="200"/>
      <c r="U487" s="152"/>
      <c r="V487" s="152"/>
      <c r="W487" s="157"/>
      <c r="X487" s="197"/>
      <c r="Y487" s="198"/>
    </row>
    <row r="488" ht="15.75" customHeight="1">
      <c r="B488" s="199"/>
      <c r="N488" s="152"/>
      <c r="Q488" s="195"/>
      <c r="S488" s="200"/>
      <c r="T488" s="200"/>
      <c r="U488" s="152"/>
      <c r="V488" s="152"/>
      <c r="W488" s="157"/>
      <c r="X488" s="197"/>
      <c r="Y488" s="198"/>
    </row>
    <row r="489" ht="15.75" customHeight="1">
      <c r="B489" s="199"/>
      <c r="N489" s="152"/>
      <c r="Q489" s="195"/>
      <c r="S489" s="200"/>
      <c r="T489" s="200"/>
      <c r="U489" s="152"/>
      <c r="V489" s="152"/>
      <c r="W489" s="157"/>
      <c r="X489" s="197"/>
      <c r="Y489" s="198"/>
    </row>
    <row r="490" ht="15.75" customHeight="1">
      <c r="B490" s="199"/>
      <c r="N490" s="152"/>
      <c r="Q490" s="195"/>
      <c r="S490" s="200"/>
      <c r="T490" s="200"/>
      <c r="U490" s="152"/>
      <c r="V490" s="152"/>
      <c r="W490" s="157"/>
      <c r="X490" s="197"/>
      <c r="Y490" s="198"/>
    </row>
    <row r="491" ht="15.75" customHeight="1">
      <c r="B491" s="199"/>
      <c r="N491" s="152"/>
      <c r="Q491" s="195"/>
      <c r="S491" s="200"/>
      <c r="T491" s="200"/>
      <c r="U491" s="152"/>
      <c r="V491" s="152"/>
      <c r="W491" s="157"/>
      <c r="X491" s="197"/>
      <c r="Y491" s="198"/>
    </row>
    <row r="492" ht="15.75" customHeight="1">
      <c r="B492" s="199"/>
      <c r="N492" s="152"/>
      <c r="Q492" s="195"/>
      <c r="S492" s="200"/>
      <c r="T492" s="200"/>
      <c r="U492" s="152"/>
      <c r="V492" s="152"/>
      <c r="W492" s="157"/>
      <c r="X492" s="197"/>
      <c r="Y492" s="198"/>
    </row>
    <row r="493" ht="15.75" customHeight="1">
      <c r="B493" s="199"/>
      <c r="N493" s="152"/>
      <c r="Q493" s="195"/>
      <c r="S493" s="200"/>
      <c r="T493" s="200"/>
      <c r="U493" s="152"/>
      <c r="V493" s="152"/>
      <c r="W493" s="157"/>
      <c r="X493" s="197"/>
      <c r="Y493" s="198"/>
    </row>
    <row r="494" ht="15.75" customHeight="1">
      <c r="B494" s="199"/>
      <c r="N494" s="152"/>
      <c r="Q494" s="195"/>
      <c r="S494" s="200"/>
      <c r="T494" s="200"/>
      <c r="U494" s="152"/>
      <c r="V494" s="152"/>
      <c r="W494" s="157"/>
      <c r="X494" s="197"/>
      <c r="Y494" s="198"/>
    </row>
    <row r="495" ht="15.75" customHeight="1">
      <c r="B495" s="199"/>
      <c r="N495" s="152"/>
      <c r="Q495" s="195"/>
      <c r="S495" s="200"/>
      <c r="T495" s="200"/>
      <c r="U495" s="152"/>
      <c r="V495" s="152"/>
      <c r="W495" s="157"/>
      <c r="X495" s="197"/>
      <c r="Y495" s="198"/>
    </row>
    <row r="496" ht="15.75" customHeight="1">
      <c r="B496" s="199"/>
      <c r="N496" s="152"/>
      <c r="Q496" s="195"/>
      <c r="S496" s="200"/>
      <c r="T496" s="200"/>
      <c r="U496" s="152"/>
      <c r="V496" s="152"/>
      <c r="W496" s="157"/>
      <c r="X496" s="197"/>
      <c r="Y496" s="198"/>
    </row>
    <row r="497" ht="15.75" customHeight="1">
      <c r="B497" s="199"/>
      <c r="N497" s="152"/>
      <c r="Q497" s="195"/>
      <c r="S497" s="200"/>
      <c r="T497" s="200"/>
      <c r="U497" s="152"/>
      <c r="V497" s="152"/>
      <c r="W497" s="157"/>
      <c r="X497" s="197"/>
      <c r="Y497" s="198"/>
    </row>
    <row r="498" ht="15.75" customHeight="1">
      <c r="B498" s="199"/>
      <c r="N498" s="152"/>
      <c r="Q498" s="195"/>
      <c r="S498" s="200"/>
      <c r="T498" s="200"/>
      <c r="U498" s="152"/>
      <c r="V498" s="152"/>
      <c r="W498" s="157"/>
      <c r="X498" s="197"/>
      <c r="Y498" s="198"/>
    </row>
    <row r="499" ht="15.75" customHeight="1">
      <c r="B499" s="199"/>
      <c r="N499" s="152"/>
      <c r="Q499" s="195"/>
      <c r="S499" s="200"/>
      <c r="T499" s="200"/>
      <c r="U499" s="152"/>
      <c r="V499" s="152"/>
      <c r="W499" s="157"/>
      <c r="X499" s="197"/>
      <c r="Y499" s="198"/>
    </row>
    <row r="500" ht="15.75" customHeight="1">
      <c r="B500" s="199"/>
      <c r="N500" s="152"/>
      <c r="Q500" s="195"/>
      <c r="S500" s="200"/>
      <c r="T500" s="200"/>
      <c r="U500" s="152"/>
      <c r="V500" s="152"/>
      <c r="W500" s="157"/>
      <c r="X500" s="197"/>
      <c r="Y500" s="198"/>
    </row>
    <row r="501" ht="15.75" customHeight="1">
      <c r="B501" s="199"/>
      <c r="N501" s="152"/>
      <c r="Q501" s="195"/>
      <c r="S501" s="200"/>
      <c r="T501" s="200"/>
      <c r="U501" s="152"/>
      <c r="V501" s="152"/>
      <c r="W501" s="157"/>
      <c r="X501" s="197"/>
      <c r="Y501" s="198"/>
    </row>
    <row r="502" ht="15.75" customHeight="1">
      <c r="B502" s="199"/>
      <c r="N502" s="152"/>
      <c r="Q502" s="195"/>
      <c r="S502" s="200"/>
      <c r="T502" s="200"/>
      <c r="U502" s="152"/>
      <c r="V502" s="152"/>
      <c r="W502" s="157"/>
      <c r="X502" s="197"/>
      <c r="Y502" s="198"/>
    </row>
    <row r="503" ht="15.75" customHeight="1">
      <c r="B503" s="199"/>
      <c r="N503" s="152"/>
      <c r="Q503" s="195"/>
      <c r="S503" s="200"/>
      <c r="T503" s="200"/>
      <c r="U503" s="152"/>
      <c r="V503" s="152"/>
      <c r="W503" s="157"/>
      <c r="X503" s="197"/>
      <c r="Y503" s="198"/>
    </row>
    <row r="504" ht="15.75" customHeight="1">
      <c r="B504" s="199"/>
      <c r="N504" s="152"/>
      <c r="Q504" s="195"/>
      <c r="S504" s="200"/>
      <c r="T504" s="200"/>
      <c r="U504" s="152"/>
      <c r="V504" s="152"/>
      <c r="W504" s="157"/>
      <c r="X504" s="197"/>
      <c r="Y504" s="198"/>
    </row>
    <row r="505" ht="15.75" customHeight="1">
      <c r="B505" s="199"/>
      <c r="N505" s="152"/>
      <c r="Q505" s="195"/>
      <c r="S505" s="200"/>
      <c r="T505" s="200"/>
      <c r="U505" s="152"/>
      <c r="V505" s="152"/>
      <c r="W505" s="157"/>
      <c r="X505" s="197"/>
      <c r="Y505" s="198"/>
    </row>
    <row r="506" ht="15.75" customHeight="1">
      <c r="B506" s="199"/>
      <c r="N506" s="152"/>
      <c r="Q506" s="195"/>
      <c r="S506" s="200"/>
      <c r="T506" s="200"/>
      <c r="U506" s="152"/>
      <c r="V506" s="152"/>
      <c r="W506" s="157"/>
      <c r="X506" s="197"/>
      <c r="Y506" s="198"/>
    </row>
    <row r="507" ht="15.75" customHeight="1">
      <c r="B507" s="199"/>
      <c r="N507" s="152"/>
      <c r="Q507" s="195"/>
      <c r="S507" s="200"/>
      <c r="T507" s="200"/>
      <c r="U507" s="152"/>
      <c r="V507" s="152"/>
      <c r="W507" s="157"/>
      <c r="X507" s="197"/>
      <c r="Y507" s="198"/>
    </row>
    <row r="508" ht="15.75" customHeight="1">
      <c r="B508" s="199"/>
      <c r="N508" s="152"/>
      <c r="Q508" s="195"/>
      <c r="S508" s="200"/>
      <c r="T508" s="200"/>
      <c r="U508" s="152"/>
      <c r="V508" s="152"/>
      <c r="W508" s="157"/>
      <c r="X508" s="197"/>
      <c r="Y508" s="198"/>
    </row>
    <row r="509" ht="15.75" customHeight="1">
      <c r="B509" s="199"/>
      <c r="N509" s="152"/>
      <c r="Q509" s="195"/>
      <c r="S509" s="200"/>
      <c r="T509" s="200"/>
      <c r="U509" s="152"/>
      <c r="V509" s="152"/>
      <c r="W509" s="157"/>
      <c r="X509" s="197"/>
      <c r="Y509" s="198"/>
    </row>
    <row r="510" ht="15.75" customHeight="1">
      <c r="B510" s="199"/>
      <c r="N510" s="152"/>
      <c r="Q510" s="195"/>
      <c r="S510" s="200"/>
      <c r="T510" s="200"/>
      <c r="U510" s="152"/>
      <c r="V510" s="152"/>
      <c r="W510" s="157"/>
      <c r="X510" s="197"/>
      <c r="Y510" s="198"/>
    </row>
    <row r="511" ht="15.75" customHeight="1">
      <c r="B511" s="199"/>
      <c r="N511" s="152"/>
      <c r="Q511" s="195"/>
      <c r="S511" s="200"/>
      <c r="T511" s="200"/>
      <c r="U511" s="152"/>
      <c r="V511" s="152"/>
      <c r="W511" s="157"/>
      <c r="X511" s="197"/>
      <c r="Y511" s="198"/>
    </row>
    <row r="512" ht="15.75" customHeight="1">
      <c r="B512" s="199"/>
      <c r="N512" s="152"/>
      <c r="Q512" s="195"/>
      <c r="S512" s="200"/>
      <c r="T512" s="200"/>
      <c r="U512" s="152"/>
      <c r="V512" s="152"/>
      <c r="W512" s="157"/>
      <c r="X512" s="197"/>
      <c r="Y512" s="198"/>
    </row>
    <row r="513" ht="15.75" customHeight="1">
      <c r="B513" s="199"/>
      <c r="N513" s="152"/>
      <c r="Q513" s="195"/>
      <c r="S513" s="200"/>
      <c r="T513" s="200"/>
      <c r="U513" s="152"/>
      <c r="V513" s="152"/>
      <c r="W513" s="157"/>
      <c r="X513" s="197"/>
      <c r="Y513" s="198"/>
    </row>
    <row r="514" ht="15.75" customHeight="1">
      <c r="B514" s="199"/>
      <c r="N514" s="152"/>
      <c r="Q514" s="195"/>
      <c r="S514" s="200"/>
      <c r="T514" s="200"/>
      <c r="U514" s="152"/>
      <c r="V514" s="152"/>
      <c r="W514" s="157"/>
      <c r="X514" s="197"/>
      <c r="Y514" s="198"/>
    </row>
    <row r="515" ht="15.75" customHeight="1">
      <c r="B515" s="199"/>
      <c r="N515" s="152"/>
      <c r="Q515" s="195"/>
      <c r="S515" s="200"/>
      <c r="T515" s="200"/>
      <c r="U515" s="152"/>
      <c r="V515" s="152"/>
      <c r="W515" s="157"/>
      <c r="X515" s="197"/>
      <c r="Y515" s="198"/>
    </row>
    <row r="516" ht="15.75" customHeight="1">
      <c r="B516" s="199"/>
      <c r="N516" s="152"/>
      <c r="Q516" s="195"/>
      <c r="S516" s="200"/>
      <c r="T516" s="200"/>
      <c r="U516" s="152"/>
      <c r="V516" s="152"/>
      <c r="W516" s="157"/>
      <c r="X516" s="197"/>
      <c r="Y516" s="198"/>
    </row>
    <row r="517" ht="15.75" customHeight="1">
      <c r="B517" s="199"/>
      <c r="N517" s="152"/>
      <c r="Q517" s="195"/>
      <c r="S517" s="200"/>
      <c r="T517" s="200"/>
      <c r="U517" s="152"/>
      <c r="V517" s="152"/>
      <c r="W517" s="157"/>
      <c r="X517" s="197"/>
      <c r="Y517" s="198"/>
    </row>
    <row r="518" ht="15.75" customHeight="1">
      <c r="B518" s="199"/>
      <c r="N518" s="152"/>
      <c r="Q518" s="195"/>
      <c r="S518" s="200"/>
      <c r="T518" s="200"/>
      <c r="U518" s="152"/>
      <c r="V518" s="152"/>
      <c r="W518" s="157"/>
      <c r="X518" s="197"/>
      <c r="Y518" s="198"/>
    </row>
    <row r="519" ht="15.75" customHeight="1">
      <c r="B519" s="199"/>
      <c r="N519" s="152"/>
      <c r="Q519" s="195"/>
      <c r="S519" s="200"/>
      <c r="T519" s="200"/>
      <c r="U519" s="152"/>
      <c r="V519" s="152"/>
      <c r="W519" s="157"/>
      <c r="X519" s="197"/>
      <c r="Y519" s="198"/>
    </row>
    <row r="520" ht="15.75" customHeight="1">
      <c r="B520" s="199"/>
      <c r="N520" s="152"/>
      <c r="Q520" s="195"/>
      <c r="S520" s="200"/>
      <c r="T520" s="200"/>
      <c r="U520" s="152"/>
      <c r="V520" s="152"/>
      <c r="W520" s="157"/>
      <c r="X520" s="197"/>
      <c r="Y520" s="198"/>
    </row>
    <row r="521" ht="15.75" customHeight="1">
      <c r="B521" s="199"/>
      <c r="N521" s="152"/>
      <c r="Q521" s="195"/>
      <c r="S521" s="200"/>
      <c r="T521" s="200"/>
      <c r="U521" s="152"/>
      <c r="V521" s="152"/>
      <c r="W521" s="157"/>
      <c r="X521" s="197"/>
      <c r="Y521" s="198"/>
    </row>
    <row r="522" ht="15.75" customHeight="1">
      <c r="B522" s="199"/>
      <c r="N522" s="152"/>
      <c r="Q522" s="195"/>
      <c r="S522" s="200"/>
      <c r="T522" s="200"/>
      <c r="U522" s="152"/>
      <c r="V522" s="152"/>
      <c r="W522" s="157"/>
      <c r="X522" s="197"/>
      <c r="Y522" s="198"/>
    </row>
    <row r="523" ht="15.75" customHeight="1">
      <c r="B523" s="199"/>
      <c r="N523" s="152"/>
      <c r="Q523" s="195"/>
      <c r="S523" s="200"/>
      <c r="T523" s="200"/>
      <c r="U523" s="152"/>
      <c r="V523" s="152"/>
      <c r="W523" s="157"/>
      <c r="X523" s="197"/>
      <c r="Y523" s="198"/>
    </row>
    <row r="524" ht="15.75" customHeight="1">
      <c r="B524" s="199"/>
      <c r="N524" s="152"/>
      <c r="Q524" s="195"/>
      <c r="S524" s="200"/>
      <c r="T524" s="200"/>
      <c r="U524" s="152"/>
      <c r="V524" s="152"/>
      <c r="W524" s="157"/>
      <c r="X524" s="197"/>
      <c r="Y524" s="198"/>
    </row>
    <row r="525" ht="15.75" customHeight="1">
      <c r="B525" s="199"/>
      <c r="N525" s="152"/>
      <c r="Q525" s="195"/>
      <c r="S525" s="200"/>
      <c r="T525" s="200"/>
      <c r="U525" s="152"/>
      <c r="V525" s="152"/>
      <c r="W525" s="157"/>
      <c r="X525" s="197"/>
      <c r="Y525" s="198"/>
    </row>
    <row r="526" ht="15.75" customHeight="1">
      <c r="B526" s="199"/>
      <c r="N526" s="152"/>
      <c r="Q526" s="195"/>
      <c r="S526" s="200"/>
      <c r="T526" s="200"/>
      <c r="U526" s="152"/>
      <c r="V526" s="152"/>
      <c r="W526" s="157"/>
      <c r="X526" s="197"/>
      <c r="Y526" s="198"/>
    </row>
    <row r="527" ht="15.75" customHeight="1">
      <c r="B527" s="199"/>
      <c r="N527" s="152"/>
      <c r="Q527" s="195"/>
      <c r="S527" s="200"/>
      <c r="T527" s="200"/>
      <c r="U527" s="152"/>
      <c r="V527" s="152"/>
      <c r="W527" s="157"/>
      <c r="X527" s="197"/>
      <c r="Y527" s="198"/>
    </row>
    <row r="528" ht="15.75" customHeight="1">
      <c r="B528" s="199"/>
      <c r="N528" s="152"/>
      <c r="Q528" s="195"/>
      <c r="S528" s="200"/>
      <c r="T528" s="200"/>
      <c r="U528" s="152"/>
      <c r="V528" s="152"/>
      <c r="W528" s="157"/>
      <c r="X528" s="197"/>
      <c r="Y528" s="198"/>
    </row>
    <row r="529" ht="15.75" customHeight="1">
      <c r="B529" s="199"/>
      <c r="N529" s="152"/>
      <c r="Q529" s="195"/>
      <c r="S529" s="200"/>
      <c r="T529" s="200"/>
      <c r="U529" s="152"/>
      <c r="V529" s="152"/>
      <c r="W529" s="157"/>
      <c r="X529" s="197"/>
      <c r="Y529" s="198"/>
    </row>
    <row r="530" ht="15.75" customHeight="1">
      <c r="B530" s="199"/>
      <c r="N530" s="152"/>
      <c r="Q530" s="195"/>
      <c r="S530" s="200"/>
      <c r="T530" s="200"/>
      <c r="U530" s="152"/>
      <c r="V530" s="152"/>
      <c r="W530" s="157"/>
      <c r="X530" s="197"/>
      <c r="Y530" s="198"/>
    </row>
    <row r="531" ht="15.75" customHeight="1">
      <c r="B531" s="199"/>
      <c r="N531" s="152"/>
      <c r="Q531" s="195"/>
      <c r="S531" s="200"/>
      <c r="T531" s="200"/>
      <c r="U531" s="152"/>
      <c r="V531" s="152"/>
      <c r="W531" s="157"/>
      <c r="X531" s="197"/>
      <c r="Y531" s="198"/>
    </row>
    <row r="532" ht="15.75" customHeight="1">
      <c r="B532" s="199"/>
      <c r="N532" s="152"/>
      <c r="Q532" s="195"/>
      <c r="S532" s="200"/>
      <c r="T532" s="200"/>
      <c r="U532" s="152"/>
      <c r="V532" s="152"/>
      <c r="W532" s="157"/>
      <c r="X532" s="197"/>
      <c r="Y532" s="198"/>
    </row>
    <row r="533" ht="15.75" customHeight="1">
      <c r="B533" s="199"/>
      <c r="N533" s="152"/>
      <c r="Q533" s="195"/>
      <c r="S533" s="200"/>
      <c r="T533" s="200"/>
      <c r="U533" s="152"/>
      <c r="V533" s="152"/>
      <c r="W533" s="157"/>
      <c r="X533" s="197"/>
      <c r="Y533" s="198"/>
    </row>
    <row r="534" ht="15.75" customHeight="1">
      <c r="B534" s="199"/>
      <c r="N534" s="152"/>
      <c r="Q534" s="195"/>
      <c r="S534" s="200"/>
      <c r="T534" s="200"/>
      <c r="U534" s="152"/>
      <c r="V534" s="152"/>
      <c r="W534" s="157"/>
      <c r="X534" s="197"/>
      <c r="Y534" s="198"/>
    </row>
    <row r="535" ht="15.75" customHeight="1">
      <c r="B535" s="199"/>
      <c r="N535" s="152"/>
      <c r="Q535" s="195"/>
      <c r="S535" s="200"/>
      <c r="T535" s="200"/>
      <c r="U535" s="152"/>
      <c r="V535" s="152"/>
      <c r="W535" s="157"/>
      <c r="X535" s="197"/>
      <c r="Y535" s="198"/>
    </row>
    <row r="536" ht="15.75" customHeight="1">
      <c r="B536" s="199"/>
      <c r="N536" s="152"/>
      <c r="Q536" s="195"/>
      <c r="S536" s="200"/>
      <c r="T536" s="200"/>
      <c r="U536" s="152"/>
      <c r="V536" s="152"/>
      <c r="W536" s="157"/>
      <c r="X536" s="197"/>
      <c r="Y536" s="198"/>
    </row>
    <row r="537" ht="15.75" customHeight="1">
      <c r="B537" s="199"/>
      <c r="N537" s="152"/>
      <c r="Q537" s="195"/>
      <c r="S537" s="200"/>
      <c r="T537" s="200"/>
      <c r="U537" s="152"/>
      <c r="V537" s="152"/>
      <c r="W537" s="157"/>
      <c r="X537" s="197"/>
      <c r="Y537" s="198"/>
    </row>
    <row r="538" ht="15.75" customHeight="1">
      <c r="B538" s="199"/>
      <c r="N538" s="152"/>
      <c r="Q538" s="195"/>
      <c r="S538" s="200"/>
      <c r="T538" s="200"/>
      <c r="U538" s="152"/>
      <c r="V538" s="152"/>
      <c r="W538" s="157"/>
      <c r="X538" s="197"/>
      <c r="Y538" s="198"/>
    </row>
    <row r="539" ht="15.75" customHeight="1">
      <c r="B539" s="199"/>
      <c r="N539" s="152"/>
      <c r="Q539" s="195"/>
      <c r="S539" s="200"/>
      <c r="T539" s="200"/>
      <c r="U539" s="152"/>
      <c r="V539" s="152"/>
      <c r="W539" s="157"/>
      <c r="X539" s="197"/>
      <c r="Y539" s="198"/>
    </row>
    <row r="540" ht="15.75" customHeight="1">
      <c r="B540" s="199"/>
      <c r="N540" s="152"/>
      <c r="Q540" s="195"/>
      <c r="S540" s="200"/>
      <c r="T540" s="200"/>
      <c r="U540" s="152"/>
      <c r="V540" s="152"/>
      <c r="W540" s="157"/>
      <c r="X540" s="197"/>
      <c r="Y540" s="198"/>
    </row>
    <row r="541" ht="15.75" customHeight="1">
      <c r="B541" s="199"/>
      <c r="N541" s="152"/>
      <c r="Q541" s="195"/>
      <c r="S541" s="200"/>
      <c r="T541" s="200"/>
      <c r="U541" s="152"/>
      <c r="V541" s="152"/>
      <c r="W541" s="157"/>
      <c r="X541" s="197"/>
      <c r="Y541" s="198"/>
    </row>
    <row r="542" ht="15.75" customHeight="1">
      <c r="B542" s="199"/>
      <c r="N542" s="152"/>
      <c r="Q542" s="195"/>
      <c r="S542" s="200"/>
      <c r="T542" s="200"/>
      <c r="U542" s="152"/>
      <c r="V542" s="152"/>
      <c r="W542" s="157"/>
      <c r="X542" s="197"/>
      <c r="Y542" s="198"/>
    </row>
    <row r="543" ht="15.75" customHeight="1">
      <c r="B543" s="199"/>
      <c r="N543" s="152"/>
      <c r="Q543" s="195"/>
      <c r="S543" s="200"/>
      <c r="T543" s="200"/>
      <c r="U543" s="152"/>
      <c r="V543" s="152"/>
      <c r="W543" s="157"/>
      <c r="X543" s="197"/>
      <c r="Y543" s="198"/>
    </row>
    <row r="544" ht="15.75" customHeight="1">
      <c r="B544" s="199"/>
      <c r="N544" s="152"/>
      <c r="Q544" s="195"/>
      <c r="S544" s="200"/>
      <c r="T544" s="200"/>
      <c r="U544" s="152"/>
      <c r="V544" s="152"/>
      <c r="W544" s="157"/>
      <c r="X544" s="197"/>
      <c r="Y544" s="198"/>
    </row>
    <row r="545" ht="15.75" customHeight="1">
      <c r="B545" s="199"/>
      <c r="N545" s="152"/>
      <c r="Q545" s="195"/>
      <c r="S545" s="200"/>
      <c r="T545" s="200"/>
      <c r="U545" s="152"/>
      <c r="V545" s="152"/>
      <c r="W545" s="157"/>
      <c r="X545" s="197"/>
      <c r="Y545" s="198"/>
    </row>
    <row r="546" ht="15.75" customHeight="1">
      <c r="B546" s="199"/>
      <c r="N546" s="152"/>
      <c r="Q546" s="195"/>
      <c r="S546" s="200"/>
      <c r="T546" s="200"/>
      <c r="U546" s="152"/>
      <c r="V546" s="152"/>
      <c r="W546" s="157"/>
      <c r="X546" s="197"/>
      <c r="Y546" s="198"/>
    </row>
    <row r="547" ht="15.75" customHeight="1">
      <c r="B547" s="199"/>
      <c r="N547" s="152"/>
      <c r="Q547" s="195"/>
      <c r="S547" s="200"/>
      <c r="T547" s="200"/>
      <c r="U547" s="152"/>
      <c r="V547" s="152"/>
      <c r="W547" s="157"/>
      <c r="X547" s="197"/>
      <c r="Y547" s="198"/>
    </row>
    <row r="548" ht="15.75" customHeight="1">
      <c r="B548" s="199"/>
      <c r="N548" s="152"/>
      <c r="Q548" s="195"/>
      <c r="S548" s="200"/>
      <c r="T548" s="200"/>
      <c r="U548" s="152"/>
      <c r="V548" s="152"/>
      <c r="W548" s="157"/>
      <c r="X548" s="197"/>
      <c r="Y548" s="198"/>
    </row>
    <row r="549" ht="15.75" customHeight="1">
      <c r="B549" s="199"/>
      <c r="N549" s="152"/>
      <c r="Q549" s="195"/>
      <c r="S549" s="200"/>
      <c r="T549" s="200"/>
      <c r="U549" s="152"/>
      <c r="V549" s="152"/>
      <c r="W549" s="157"/>
      <c r="X549" s="197"/>
      <c r="Y549" s="198"/>
    </row>
    <row r="550" ht="15.75" customHeight="1">
      <c r="B550" s="199"/>
      <c r="N550" s="152"/>
      <c r="Q550" s="195"/>
      <c r="S550" s="200"/>
      <c r="T550" s="200"/>
      <c r="U550" s="152"/>
      <c r="V550" s="152"/>
      <c r="W550" s="157"/>
      <c r="X550" s="197"/>
      <c r="Y550" s="198"/>
    </row>
    <row r="551" ht="15.75" customHeight="1">
      <c r="B551" s="199"/>
      <c r="N551" s="152"/>
      <c r="Q551" s="195"/>
      <c r="S551" s="200"/>
      <c r="T551" s="200"/>
      <c r="U551" s="152"/>
      <c r="V551" s="152"/>
      <c r="W551" s="157"/>
      <c r="X551" s="197"/>
      <c r="Y551" s="198"/>
    </row>
    <row r="552" ht="15.75" customHeight="1">
      <c r="B552" s="199"/>
      <c r="N552" s="152"/>
      <c r="Q552" s="195"/>
      <c r="S552" s="200"/>
      <c r="T552" s="200"/>
      <c r="U552" s="152"/>
      <c r="V552" s="152"/>
      <c r="W552" s="157"/>
      <c r="X552" s="197"/>
      <c r="Y552" s="198"/>
    </row>
    <row r="553" ht="15.75" customHeight="1">
      <c r="B553" s="199"/>
      <c r="N553" s="152"/>
      <c r="Q553" s="195"/>
      <c r="S553" s="200"/>
      <c r="T553" s="200"/>
      <c r="U553" s="152"/>
      <c r="V553" s="152"/>
      <c r="W553" s="157"/>
      <c r="X553" s="197"/>
      <c r="Y553" s="198"/>
    </row>
    <row r="554" ht="15.75" customHeight="1">
      <c r="B554" s="199"/>
      <c r="N554" s="152"/>
      <c r="Q554" s="195"/>
      <c r="S554" s="200"/>
      <c r="T554" s="200"/>
      <c r="U554" s="152"/>
      <c r="V554" s="152"/>
      <c r="W554" s="157"/>
      <c r="X554" s="197"/>
      <c r="Y554" s="198"/>
    </row>
    <row r="555" ht="15.75" customHeight="1">
      <c r="B555" s="199"/>
      <c r="N555" s="152"/>
      <c r="Q555" s="195"/>
      <c r="S555" s="200"/>
      <c r="T555" s="200"/>
      <c r="U555" s="152"/>
      <c r="V555" s="152"/>
      <c r="W555" s="157"/>
      <c r="X555" s="197"/>
      <c r="Y555" s="198"/>
    </row>
    <row r="556" ht="15.75" customHeight="1">
      <c r="B556" s="199"/>
      <c r="N556" s="152"/>
      <c r="Q556" s="195"/>
      <c r="S556" s="200"/>
      <c r="T556" s="200"/>
      <c r="U556" s="152"/>
      <c r="V556" s="152"/>
      <c r="W556" s="157"/>
      <c r="X556" s="197"/>
      <c r="Y556" s="198"/>
    </row>
    <row r="557" ht="15.75" customHeight="1">
      <c r="B557" s="199"/>
      <c r="N557" s="152"/>
      <c r="Q557" s="195"/>
      <c r="S557" s="200"/>
      <c r="T557" s="200"/>
      <c r="U557" s="152"/>
      <c r="V557" s="152"/>
      <c r="W557" s="157"/>
      <c r="X557" s="197"/>
      <c r="Y557" s="198"/>
    </row>
    <row r="558" ht="15.75" customHeight="1">
      <c r="B558" s="199"/>
      <c r="N558" s="152"/>
      <c r="Q558" s="195"/>
      <c r="S558" s="200"/>
      <c r="T558" s="200"/>
      <c r="U558" s="152"/>
      <c r="V558" s="152"/>
      <c r="W558" s="157"/>
      <c r="X558" s="197"/>
      <c r="Y558" s="198"/>
    </row>
    <row r="559" ht="15.75" customHeight="1">
      <c r="B559" s="199"/>
      <c r="N559" s="152"/>
      <c r="Q559" s="195"/>
      <c r="S559" s="200"/>
      <c r="T559" s="200"/>
      <c r="U559" s="152"/>
      <c r="V559" s="152"/>
      <c r="W559" s="157"/>
      <c r="X559" s="197"/>
      <c r="Y559" s="198"/>
    </row>
    <row r="560" ht="15.75" customHeight="1">
      <c r="B560" s="199"/>
      <c r="N560" s="152"/>
      <c r="Q560" s="195"/>
      <c r="S560" s="200"/>
      <c r="T560" s="200"/>
      <c r="U560" s="152"/>
      <c r="V560" s="152"/>
      <c r="W560" s="157"/>
      <c r="X560" s="197"/>
      <c r="Y560" s="198"/>
    </row>
    <row r="561" ht="15.75" customHeight="1">
      <c r="B561" s="199"/>
      <c r="N561" s="152"/>
      <c r="Q561" s="195"/>
      <c r="S561" s="200"/>
      <c r="T561" s="200"/>
      <c r="U561" s="152"/>
      <c r="V561" s="152"/>
      <c r="W561" s="157"/>
      <c r="X561" s="197"/>
      <c r="Y561" s="198"/>
    </row>
    <row r="562" ht="15.75" customHeight="1">
      <c r="B562" s="199"/>
      <c r="N562" s="152"/>
      <c r="Q562" s="195"/>
      <c r="S562" s="200"/>
      <c r="T562" s="200"/>
      <c r="U562" s="152"/>
      <c r="V562" s="152"/>
      <c r="W562" s="157"/>
      <c r="X562" s="197"/>
      <c r="Y562" s="198"/>
    </row>
    <row r="563" ht="15.75" customHeight="1">
      <c r="B563" s="199"/>
      <c r="N563" s="152"/>
      <c r="Q563" s="195"/>
      <c r="S563" s="200"/>
      <c r="T563" s="200"/>
      <c r="U563" s="152"/>
      <c r="V563" s="152"/>
      <c r="W563" s="157"/>
      <c r="X563" s="197"/>
      <c r="Y563" s="198"/>
    </row>
    <row r="564" ht="15.75" customHeight="1">
      <c r="B564" s="199"/>
      <c r="N564" s="152"/>
      <c r="Q564" s="195"/>
      <c r="S564" s="200"/>
      <c r="T564" s="200"/>
      <c r="U564" s="152"/>
      <c r="V564" s="152"/>
      <c r="W564" s="157"/>
      <c r="X564" s="197"/>
      <c r="Y564" s="198"/>
    </row>
    <row r="565" ht="15.75" customHeight="1">
      <c r="B565" s="199"/>
      <c r="N565" s="152"/>
      <c r="Q565" s="195"/>
      <c r="S565" s="200"/>
      <c r="T565" s="200"/>
      <c r="U565" s="152"/>
      <c r="V565" s="152"/>
      <c r="W565" s="157"/>
      <c r="X565" s="197"/>
      <c r="Y565" s="198"/>
    </row>
    <row r="566" ht="15.75" customHeight="1">
      <c r="B566" s="199"/>
      <c r="N566" s="152"/>
      <c r="Q566" s="195"/>
      <c r="S566" s="200"/>
      <c r="T566" s="200"/>
      <c r="U566" s="152"/>
      <c r="V566" s="152"/>
      <c r="W566" s="157"/>
      <c r="X566" s="197"/>
      <c r="Y566" s="198"/>
    </row>
    <row r="567" ht="15.75" customHeight="1">
      <c r="B567" s="199"/>
      <c r="N567" s="152"/>
      <c r="Q567" s="195"/>
      <c r="S567" s="200"/>
      <c r="T567" s="200"/>
      <c r="U567" s="152"/>
      <c r="V567" s="152"/>
      <c r="W567" s="157"/>
      <c r="X567" s="197"/>
      <c r="Y567" s="198"/>
    </row>
    <row r="568" ht="15.75" customHeight="1">
      <c r="B568" s="199"/>
      <c r="N568" s="152"/>
      <c r="Q568" s="195"/>
      <c r="S568" s="200"/>
      <c r="T568" s="200"/>
      <c r="U568" s="152"/>
      <c r="V568" s="152"/>
      <c r="W568" s="157"/>
      <c r="X568" s="197"/>
      <c r="Y568" s="198"/>
    </row>
    <row r="569" ht="15.75" customHeight="1">
      <c r="B569" s="199"/>
      <c r="N569" s="152"/>
      <c r="Q569" s="195"/>
      <c r="S569" s="200"/>
      <c r="T569" s="200"/>
      <c r="U569" s="152"/>
      <c r="V569" s="152"/>
      <c r="W569" s="157"/>
      <c r="X569" s="197"/>
      <c r="Y569" s="198"/>
    </row>
    <row r="570" ht="15.75" customHeight="1">
      <c r="B570" s="199"/>
      <c r="N570" s="152"/>
      <c r="Q570" s="195"/>
      <c r="S570" s="200"/>
      <c r="T570" s="200"/>
      <c r="U570" s="152"/>
      <c r="V570" s="152"/>
      <c r="W570" s="157"/>
      <c r="X570" s="197"/>
      <c r="Y570" s="198"/>
    </row>
    <row r="571" ht="15.75" customHeight="1">
      <c r="B571" s="199"/>
      <c r="N571" s="152"/>
      <c r="Q571" s="195"/>
      <c r="S571" s="200"/>
      <c r="T571" s="200"/>
      <c r="U571" s="152"/>
      <c r="V571" s="152"/>
      <c r="W571" s="157"/>
      <c r="X571" s="197"/>
      <c r="Y571" s="198"/>
    </row>
    <row r="572" ht="15.75" customHeight="1">
      <c r="B572" s="199"/>
      <c r="N572" s="152"/>
      <c r="Q572" s="195"/>
      <c r="S572" s="200"/>
      <c r="T572" s="200"/>
      <c r="U572" s="152"/>
      <c r="V572" s="152"/>
      <c r="W572" s="157"/>
      <c r="X572" s="197"/>
      <c r="Y572" s="198"/>
    </row>
    <row r="573" ht="15.75" customHeight="1">
      <c r="B573" s="199"/>
      <c r="N573" s="152"/>
      <c r="Q573" s="195"/>
      <c r="S573" s="200"/>
      <c r="T573" s="200"/>
      <c r="U573" s="152"/>
      <c r="V573" s="152"/>
      <c r="W573" s="157"/>
      <c r="X573" s="197"/>
      <c r="Y573" s="198"/>
    </row>
    <row r="574" ht="15.75" customHeight="1">
      <c r="B574" s="199"/>
      <c r="N574" s="152"/>
      <c r="Q574" s="195"/>
      <c r="S574" s="200"/>
      <c r="T574" s="200"/>
      <c r="U574" s="152"/>
      <c r="V574" s="152"/>
      <c r="W574" s="157"/>
      <c r="X574" s="197"/>
      <c r="Y574" s="198"/>
    </row>
    <row r="575" ht="15.75" customHeight="1">
      <c r="B575" s="199"/>
      <c r="N575" s="152"/>
      <c r="Q575" s="195"/>
      <c r="S575" s="200"/>
      <c r="T575" s="200"/>
      <c r="U575" s="152"/>
      <c r="V575" s="152"/>
      <c r="W575" s="157"/>
      <c r="X575" s="197"/>
      <c r="Y575" s="198"/>
    </row>
    <row r="576" ht="15.75" customHeight="1">
      <c r="B576" s="199"/>
      <c r="N576" s="152"/>
      <c r="Q576" s="195"/>
      <c r="S576" s="200"/>
      <c r="T576" s="200"/>
      <c r="U576" s="152"/>
      <c r="V576" s="152"/>
      <c r="W576" s="157"/>
      <c r="X576" s="197"/>
      <c r="Y576" s="198"/>
    </row>
    <row r="577" ht="15.75" customHeight="1">
      <c r="B577" s="199"/>
      <c r="N577" s="152"/>
      <c r="Q577" s="195"/>
      <c r="S577" s="200"/>
      <c r="T577" s="200"/>
      <c r="U577" s="152"/>
      <c r="V577" s="152"/>
      <c r="W577" s="157"/>
      <c r="X577" s="197"/>
      <c r="Y577" s="198"/>
    </row>
    <row r="578" ht="15.75" customHeight="1">
      <c r="B578" s="199"/>
      <c r="N578" s="152"/>
      <c r="Q578" s="195"/>
      <c r="S578" s="200"/>
      <c r="T578" s="200"/>
      <c r="U578" s="152"/>
      <c r="V578" s="152"/>
      <c r="W578" s="157"/>
      <c r="X578" s="197"/>
      <c r="Y578" s="198"/>
    </row>
    <row r="579" ht="15.75" customHeight="1">
      <c r="B579" s="199"/>
      <c r="N579" s="152"/>
      <c r="Q579" s="195"/>
      <c r="S579" s="200"/>
      <c r="T579" s="200"/>
      <c r="U579" s="152"/>
      <c r="V579" s="152"/>
      <c r="W579" s="157"/>
      <c r="X579" s="197"/>
      <c r="Y579" s="198"/>
    </row>
    <row r="580" ht="15.75" customHeight="1">
      <c r="B580" s="199"/>
      <c r="N580" s="152"/>
      <c r="Q580" s="195"/>
      <c r="S580" s="200"/>
      <c r="T580" s="200"/>
      <c r="U580" s="152"/>
      <c r="V580" s="152"/>
      <c r="W580" s="157"/>
      <c r="X580" s="197"/>
      <c r="Y580" s="198"/>
    </row>
    <row r="581" ht="15.75" customHeight="1">
      <c r="B581" s="199"/>
      <c r="N581" s="152"/>
      <c r="Q581" s="195"/>
      <c r="S581" s="200"/>
      <c r="T581" s="200"/>
      <c r="U581" s="152"/>
      <c r="V581" s="152"/>
      <c r="W581" s="157"/>
      <c r="X581" s="197"/>
      <c r="Y581" s="198"/>
    </row>
    <row r="582" ht="15.75" customHeight="1">
      <c r="B582" s="199"/>
      <c r="N582" s="152"/>
      <c r="Q582" s="195"/>
      <c r="S582" s="200"/>
      <c r="T582" s="200"/>
      <c r="U582" s="152"/>
      <c r="V582" s="152"/>
      <c r="W582" s="157"/>
      <c r="X582" s="197"/>
      <c r="Y582" s="198"/>
    </row>
    <row r="583" ht="15.75" customHeight="1">
      <c r="B583" s="199"/>
      <c r="N583" s="152"/>
      <c r="Q583" s="195"/>
      <c r="S583" s="200"/>
      <c r="T583" s="200"/>
      <c r="U583" s="152"/>
      <c r="V583" s="152"/>
      <c r="W583" s="157"/>
      <c r="X583" s="197"/>
      <c r="Y583" s="198"/>
    </row>
    <row r="584" ht="15.75" customHeight="1">
      <c r="B584" s="199"/>
      <c r="N584" s="152"/>
      <c r="Q584" s="195"/>
      <c r="S584" s="200"/>
      <c r="T584" s="200"/>
      <c r="U584" s="152"/>
      <c r="V584" s="152"/>
      <c r="W584" s="157"/>
      <c r="X584" s="197"/>
      <c r="Y584" s="198"/>
    </row>
    <row r="585" ht="15.75" customHeight="1">
      <c r="B585" s="199"/>
      <c r="N585" s="152"/>
      <c r="Q585" s="195"/>
      <c r="S585" s="200"/>
      <c r="T585" s="200"/>
      <c r="U585" s="152"/>
      <c r="V585" s="152"/>
      <c r="W585" s="157"/>
      <c r="X585" s="197"/>
      <c r="Y585" s="198"/>
    </row>
    <row r="586" ht="15.75" customHeight="1">
      <c r="B586" s="199"/>
      <c r="N586" s="152"/>
      <c r="Q586" s="195"/>
      <c r="S586" s="200"/>
      <c r="T586" s="200"/>
      <c r="U586" s="152"/>
      <c r="V586" s="152"/>
      <c r="W586" s="157"/>
      <c r="X586" s="197"/>
      <c r="Y586" s="198"/>
    </row>
    <row r="587" ht="15.75" customHeight="1">
      <c r="B587" s="199"/>
      <c r="N587" s="152"/>
      <c r="Q587" s="195"/>
      <c r="S587" s="200"/>
      <c r="T587" s="200"/>
      <c r="U587" s="152"/>
      <c r="V587" s="152"/>
      <c r="W587" s="157"/>
      <c r="X587" s="197"/>
      <c r="Y587" s="198"/>
    </row>
    <row r="588" ht="15.75" customHeight="1">
      <c r="B588" s="199"/>
      <c r="N588" s="152"/>
      <c r="Q588" s="195"/>
      <c r="S588" s="200"/>
      <c r="T588" s="200"/>
      <c r="U588" s="152"/>
      <c r="V588" s="152"/>
      <c r="W588" s="157"/>
      <c r="X588" s="197"/>
      <c r="Y588" s="198"/>
    </row>
    <row r="589" ht="15.75" customHeight="1">
      <c r="B589" s="199"/>
      <c r="N589" s="152"/>
      <c r="Q589" s="195"/>
      <c r="S589" s="200"/>
      <c r="T589" s="200"/>
      <c r="U589" s="152"/>
      <c r="V589" s="152"/>
      <c r="W589" s="157"/>
      <c r="X589" s="197"/>
      <c r="Y589" s="198"/>
    </row>
    <row r="590" ht="15.75" customHeight="1">
      <c r="B590" s="199"/>
      <c r="N590" s="152"/>
      <c r="Q590" s="195"/>
      <c r="S590" s="200"/>
      <c r="T590" s="200"/>
      <c r="U590" s="152"/>
      <c r="V590" s="152"/>
      <c r="W590" s="157"/>
      <c r="X590" s="197"/>
      <c r="Y590" s="198"/>
    </row>
    <row r="591" ht="15.75" customHeight="1">
      <c r="B591" s="199"/>
      <c r="N591" s="152"/>
      <c r="Q591" s="195"/>
      <c r="S591" s="200"/>
      <c r="T591" s="200"/>
      <c r="U591" s="152"/>
      <c r="V591" s="152"/>
      <c r="W591" s="157"/>
      <c r="X591" s="197"/>
      <c r="Y591" s="198"/>
    </row>
    <row r="592" ht="15.75" customHeight="1">
      <c r="B592" s="199"/>
      <c r="N592" s="152"/>
      <c r="Q592" s="195"/>
      <c r="S592" s="200"/>
      <c r="T592" s="200"/>
      <c r="U592" s="152"/>
      <c r="V592" s="152"/>
      <c r="W592" s="157"/>
      <c r="X592" s="197"/>
      <c r="Y592" s="198"/>
    </row>
    <row r="593" ht="15.75" customHeight="1">
      <c r="B593" s="199"/>
      <c r="N593" s="152"/>
      <c r="Q593" s="195"/>
      <c r="S593" s="200"/>
      <c r="T593" s="200"/>
      <c r="U593" s="152"/>
      <c r="V593" s="152"/>
      <c r="W593" s="157"/>
      <c r="X593" s="197"/>
      <c r="Y593" s="198"/>
    </row>
    <row r="594" ht="15.75" customHeight="1">
      <c r="B594" s="199"/>
      <c r="N594" s="152"/>
      <c r="Q594" s="195"/>
      <c r="S594" s="200"/>
      <c r="T594" s="200"/>
      <c r="U594" s="152"/>
      <c r="V594" s="152"/>
      <c r="W594" s="157"/>
      <c r="X594" s="197"/>
      <c r="Y594" s="198"/>
    </row>
    <row r="595" ht="15.75" customHeight="1">
      <c r="B595" s="199"/>
      <c r="N595" s="152"/>
      <c r="Q595" s="195"/>
      <c r="S595" s="200"/>
      <c r="T595" s="200"/>
      <c r="U595" s="152"/>
      <c r="V595" s="152"/>
      <c r="W595" s="157"/>
      <c r="X595" s="197"/>
      <c r="Y595" s="198"/>
    </row>
    <row r="596" ht="15.75" customHeight="1">
      <c r="B596" s="199"/>
      <c r="N596" s="152"/>
      <c r="Q596" s="195"/>
      <c r="S596" s="200"/>
      <c r="T596" s="200"/>
      <c r="U596" s="152"/>
      <c r="V596" s="152"/>
      <c r="W596" s="157"/>
      <c r="X596" s="197"/>
      <c r="Y596" s="198"/>
    </row>
    <row r="597" ht="15.75" customHeight="1">
      <c r="B597" s="199"/>
      <c r="N597" s="152"/>
      <c r="Q597" s="195"/>
      <c r="S597" s="200"/>
      <c r="T597" s="200"/>
      <c r="U597" s="152"/>
      <c r="V597" s="152"/>
      <c r="W597" s="157"/>
      <c r="X597" s="197"/>
      <c r="Y597" s="198"/>
    </row>
    <row r="598" ht="15.75" customHeight="1">
      <c r="B598" s="199"/>
      <c r="N598" s="152"/>
      <c r="Q598" s="195"/>
      <c r="S598" s="200"/>
      <c r="T598" s="200"/>
      <c r="U598" s="152"/>
      <c r="V598" s="152"/>
      <c r="W598" s="157"/>
      <c r="X598" s="197"/>
      <c r="Y598" s="198"/>
    </row>
    <row r="599" ht="15.75" customHeight="1">
      <c r="B599" s="199"/>
      <c r="N599" s="152"/>
      <c r="Q599" s="195"/>
      <c r="S599" s="200"/>
      <c r="T599" s="200"/>
      <c r="U599" s="152"/>
      <c r="V599" s="152"/>
      <c r="W599" s="157"/>
      <c r="X599" s="197"/>
      <c r="Y599" s="198"/>
    </row>
    <row r="600" ht="15.75" customHeight="1">
      <c r="B600" s="199"/>
      <c r="N600" s="152"/>
      <c r="Q600" s="195"/>
      <c r="S600" s="200"/>
      <c r="T600" s="200"/>
      <c r="U600" s="152"/>
      <c r="V600" s="152"/>
      <c r="W600" s="157"/>
      <c r="X600" s="197"/>
      <c r="Y600" s="198"/>
    </row>
    <row r="601" ht="15.75" customHeight="1">
      <c r="B601" s="199"/>
      <c r="N601" s="152"/>
      <c r="Q601" s="195"/>
      <c r="S601" s="200"/>
      <c r="T601" s="200"/>
      <c r="U601" s="152"/>
      <c r="V601" s="152"/>
      <c r="W601" s="157"/>
      <c r="X601" s="197"/>
      <c r="Y601" s="198"/>
    </row>
    <row r="602" ht="15.75" customHeight="1">
      <c r="B602" s="199"/>
      <c r="N602" s="152"/>
      <c r="Q602" s="195"/>
      <c r="S602" s="200"/>
      <c r="T602" s="200"/>
      <c r="U602" s="152"/>
      <c r="V602" s="152"/>
      <c r="W602" s="157"/>
      <c r="X602" s="197"/>
      <c r="Y602" s="198"/>
    </row>
    <row r="603" ht="15.75" customHeight="1">
      <c r="B603" s="199"/>
      <c r="N603" s="152"/>
      <c r="Q603" s="195"/>
      <c r="S603" s="200"/>
      <c r="T603" s="200"/>
      <c r="U603" s="152"/>
      <c r="V603" s="152"/>
      <c r="W603" s="157"/>
      <c r="X603" s="197"/>
      <c r="Y603" s="198"/>
    </row>
    <row r="604" ht="15.75" customHeight="1">
      <c r="B604" s="199"/>
      <c r="N604" s="152"/>
      <c r="Q604" s="195"/>
      <c r="S604" s="200"/>
      <c r="T604" s="200"/>
      <c r="U604" s="152"/>
      <c r="V604" s="152"/>
      <c r="W604" s="157"/>
      <c r="X604" s="197"/>
      <c r="Y604" s="198"/>
    </row>
    <row r="605" ht="15.75" customHeight="1">
      <c r="B605" s="199"/>
      <c r="N605" s="152"/>
      <c r="Q605" s="195"/>
      <c r="S605" s="200"/>
      <c r="T605" s="200"/>
      <c r="U605" s="152"/>
      <c r="V605" s="152"/>
      <c r="W605" s="157"/>
      <c r="X605" s="197"/>
      <c r="Y605" s="198"/>
    </row>
    <row r="606" ht="15.75" customHeight="1">
      <c r="B606" s="199"/>
      <c r="N606" s="152"/>
      <c r="Q606" s="195"/>
      <c r="S606" s="200"/>
      <c r="T606" s="200"/>
      <c r="U606" s="152"/>
      <c r="V606" s="152"/>
      <c r="W606" s="157"/>
      <c r="X606" s="197"/>
      <c r="Y606" s="198"/>
    </row>
    <row r="607" ht="15.75" customHeight="1">
      <c r="B607" s="199"/>
      <c r="N607" s="152"/>
      <c r="Q607" s="195"/>
      <c r="S607" s="200"/>
      <c r="T607" s="200"/>
      <c r="U607" s="152"/>
      <c r="V607" s="152"/>
      <c r="W607" s="157"/>
      <c r="X607" s="197"/>
      <c r="Y607" s="198"/>
    </row>
    <row r="608" ht="15.75" customHeight="1">
      <c r="B608" s="199"/>
      <c r="N608" s="152"/>
      <c r="Q608" s="195"/>
      <c r="S608" s="200"/>
      <c r="T608" s="200"/>
      <c r="U608" s="152"/>
      <c r="V608" s="152"/>
      <c r="W608" s="157"/>
      <c r="X608" s="197"/>
      <c r="Y608" s="198"/>
    </row>
    <row r="609" ht="15.75" customHeight="1">
      <c r="B609" s="199"/>
      <c r="N609" s="152"/>
      <c r="Q609" s="195"/>
      <c r="S609" s="200"/>
      <c r="T609" s="200"/>
      <c r="U609" s="152"/>
      <c r="V609" s="152"/>
      <c r="W609" s="157"/>
      <c r="X609" s="197"/>
      <c r="Y609" s="198"/>
    </row>
    <row r="610" ht="15.75" customHeight="1">
      <c r="B610" s="199"/>
      <c r="N610" s="152"/>
      <c r="Q610" s="195"/>
      <c r="S610" s="200"/>
      <c r="T610" s="200"/>
      <c r="U610" s="152"/>
      <c r="V610" s="152"/>
      <c r="W610" s="157"/>
      <c r="X610" s="197"/>
      <c r="Y610" s="198"/>
    </row>
    <row r="611" ht="15.75" customHeight="1">
      <c r="B611" s="199"/>
      <c r="N611" s="152"/>
      <c r="Q611" s="195"/>
      <c r="S611" s="200"/>
      <c r="T611" s="200"/>
      <c r="U611" s="152"/>
      <c r="V611" s="152"/>
      <c r="W611" s="157"/>
      <c r="X611" s="197"/>
      <c r="Y611" s="198"/>
    </row>
    <row r="612" ht="15.75" customHeight="1">
      <c r="B612" s="199"/>
      <c r="N612" s="152"/>
      <c r="Q612" s="195"/>
      <c r="S612" s="200"/>
      <c r="T612" s="200"/>
      <c r="U612" s="152"/>
      <c r="V612" s="152"/>
      <c r="W612" s="157"/>
      <c r="X612" s="197"/>
      <c r="Y612" s="198"/>
    </row>
    <row r="613" ht="15.75" customHeight="1">
      <c r="B613" s="199"/>
      <c r="N613" s="152"/>
      <c r="Q613" s="195"/>
      <c r="S613" s="200"/>
      <c r="T613" s="200"/>
      <c r="U613" s="152"/>
      <c r="V613" s="152"/>
      <c r="W613" s="157"/>
      <c r="X613" s="197"/>
      <c r="Y613" s="198"/>
    </row>
    <row r="614" ht="15.75" customHeight="1">
      <c r="B614" s="199"/>
      <c r="N614" s="152"/>
      <c r="Q614" s="195"/>
      <c r="S614" s="200"/>
      <c r="T614" s="200"/>
      <c r="U614" s="152"/>
      <c r="V614" s="152"/>
      <c r="W614" s="157"/>
      <c r="X614" s="197"/>
      <c r="Y614" s="198"/>
    </row>
    <row r="615" ht="15.75" customHeight="1">
      <c r="B615" s="199"/>
      <c r="N615" s="152"/>
      <c r="Q615" s="195"/>
      <c r="S615" s="200"/>
      <c r="T615" s="200"/>
      <c r="U615" s="152"/>
      <c r="V615" s="152"/>
      <c r="W615" s="157"/>
      <c r="X615" s="197"/>
      <c r="Y615" s="198"/>
    </row>
    <row r="616" ht="15.75" customHeight="1">
      <c r="B616" s="199"/>
      <c r="N616" s="152"/>
      <c r="Q616" s="195"/>
      <c r="S616" s="200"/>
      <c r="T616" s="200"/>
      <c r="U616" s="152"/>
      <c r="V616" s="152"/>
      <c r="W616" s="157"/>
      <c r="X616" s="197"/>
      <c r="Y616" s="198"/>
    </row>
    <row r="617" ht="15.75" customHeight="1">
      <c r="B617" s="199"/>
      <c r="N617" s="152"/>
      <c r="Q617" s="195"/>
      <c r="S617" s="200"/>
      <c r="T617" s="200"/>
      <c r="U617" s="152"/>
      <c r="V617" s="152"/>
      <c r="W617" s="157"/>
      <c r="X617" s="197"/>
      <c r="Y617" s="198"/>
    </row>
    <row r="618" ht="15.75" customHeight="1">
      <c r="B618" s="199"/>
      <c r="N618" s="152"/>
      <c r="Q618" s="195"/>
      <c r="S618" s="200"/>
      <c r="T618" s="200"/>
      <c r="U618" s="152"/>
      <c r="V618" s="152"/>
      <c r="W618" s="157"/>
      <c r="X618" s="197"/>
      <c r="Y618" s="198"/>
    </row>
    <row r="619" ht="15.75" customHeight="1">
      <c r="B619" s="199"/>
      <c r="N619" s="152"/>
      <c r="Q619" s="195"/>
      <c r="S619" s="200"/>
      <c r="T619" s="200"/>
      <c r="U619" s="152"/>
      <c r="V619" s="152"/>
      <c r="W619" s="157"/>
      <c r="X619" s="197"/>
      <c r="Y619" s="198"/>
    </row>
    <row r="620" ht="15.75" customHeight="1">
      <c r="B620" s="199"/>
      <c r="N620" s="152"/>
      <c r="Q620" s="195"/>
      <c r="S620" s="200"/>
      <c r="T620" s="200"/>
      <c r="U620" s="152"/>
      <c r="V620" s="152"/>
      <c r="W620" s="157"/>
      <c r="X620" s="197"/>
      <c r="Y620" s="198"/>
    </row>
    <row r="621" ht="15.75" customHeight="1">
      <c r="B621" s="199"/>
      <c r="N621" s="152"/>
      <c r="Q621" s="195"/>
      <c r="S621" s="200"/>
      <c r="T621" s="200"/>
      <c r="U621" s="152"/>
      <c r="V621" s="152"/>
      <c r="W621" s="157"/>
      <c r="X621" s="197"/>
      <c r="Y621" s="198"/>
    </row>
    <row r="622" ht="15.75" customHeight="1">
      <c r="B622" s="199"/>
      <c r="N622" s="152"/>
      <c r="Q622" s="195"/>
      <c r="S622" s="200"/>
      <c r="T622" s="200"/>
      <c r="U622" s="152"/>
      <c r="V622" s="152"/>
      <c r="W622" s="157"/>
      <c r="X622" s="197"/>
      <c r="Y622" s="198"/>
    </row>
    <row r="623" ht="15.75" customHeight="1">
      <c r="B623" s="199"/>
      <c r="N623" s="152"/>
      <c r="Q623" s="195"/>
      <c r="S623" s="200"/>
      <c r="T623" s="200"/>
      <c r="U623" s="152"/>
      <c r="V623" s="152"/>
      <c r="W623" s="157"/>
      <c r="X623" s="197"/>
      <c r="Y623" s="198"/>
    </row>
    <row r="624" ht="15.75" customHeight="1">
      <c r="B624" s="199"/>
      <c r="N624" s="152"/>
      <c r="Q624" s="195"/>
      <c r="S624" s="200"/>
      <c r="T624" s="200"/>
      <c r="U624" s="152"/>
      <c r="V624" s="152"/>
      <c r="W624" s="157"/>
      <c r="X624" s="197"/>
      <c r="Y624" s="198"/>
    </row>
    <row r="625" ht="15.75" customHeight="1">
      <c r="B625" s="199"/>
      <c r="N625" s="152"/>
      <c r="Q625" s="195"/>
      <c r="S625" s="200"/>
      <c r="T625" s="200"/>
      <c r="U625" s="152"/>
      <c r="V625" s="152"/>
      <c r="W625" s="157"/>
      <c r="X625" s="197"/>
      <c r="Y625" s="198"/>
    </row>
    <row r="626" ht="15.75" customHeight="1">
      <c r="B626" s="199"/>
      <c r="N626" s="152"/>
      <c r="Q626" s="195"/>
      <c r="S626" s="200"/>
      <c r="T626" s="200"/>
      <c r="U626" s="152"/>
      <c r="V626" s="152"/>
      <c r="W626" s="157"/>
      <c r="X626" s="197"/>
      <c r="Y626" s="198"/>
    </row>
    <row r="627" ht="15.75" customHeight="1">
      <c r="B627" s="199"/>
      <c r="N627" s="152"/>
      <c r="Q627" s="195"/>
      <c r="S627" s="200"/>
      <c r="T627" s="200"/>
      <c r="U627" s="152"/>
      <c r="V627" s="152"/>
      <c r="W627" s="157"/>
      <c r="X627" s="197"/>
      <c r="Y627" s="198"/>
    </row>
    <row r="628" ht="15.75" customHeight="1">
      <c r="B628" s="199"/>
      <c r="N628" s="152"/>
      <c r="Q628" s="195"/>
      <c r="S628" s="200"/>
      <c r="T628" s="200"/>
      <c r="U628" s="152"/>
      <c r="V628" s="152"/>
      <c r="W628" s="157"/>
      <c r="X628" s="197"/>
      <c r="Y628" s="198"/>
    </row>
    <row r="629" ht="15.75" customHeight="1">
      <c r="B629" s="199"/>
      <c r="N629" s="152"/>
      <c r="Q629" s="195"/>
      <c r="S629" s="200"/>
      <c r="T629" s="200"/>
      <c r="U629" s="152"/>
      <c r="V629" s="152"/>
      <c r="W629" s="157"/>
      <c r="X629" s="197"/>
      <c r="Y629" s="198"/>
    </row>
    <row r="630" ht="15.75" customHeight="1">
      <c r="B630" s="199"/>
      <c r="N630" s="152"/>
      <c r="Q630" s="195"/>
      <c r="S630" s="200"/>
      <c r="T630" s="200"/>
      <c r="U630" s="152"/>
      <c r="V630" s="152"/>
      <c r="W630" s="157"/>
      <c r="X630" s="197"/>
      <c r="Y630" s="198"/>
    </row>
    <row r="631" ht="15.75" customHeight="1">
      <c r="B631" s="199"/>
      <c r="N631" s="152"/>
      <c r="Q631" s="195"/>
      <c r="S631" s="200"/>
      <c r="T631" s="200"/>
      <c r="U631" s="152"/>
      <c r="V631" s="152"/>
      <c r="W631" s="157"/>
      <c r="X631" s="197"/>
      <c r="Y631" s="198"/>
    </row>
    <row r="632" ht="15.75" customHeight="1">
      <c r="B632" s="199"/>
      <c r="N632" s="152"/>
      <c r="Q632" s="195"/>
      <c r="S632" s="200"/>
      <c r="T632" s="200"/>
      <c r="U632" s="152"/>
      <c r="V632" s="152"/>
      <c r="W632" s="157"/>
      <c r="X632" s="197"/>
      <c r="Y632" s="198"/>
    </row>
    <row r="633" ht="15.75" customHeight="1">
      <c r="B633" s="199"/>
      <c r="N633" s="152"/>
      <c r="Q633" s="195"/>
      <c r="S633" s="200"/>
      <c r="T633" s="200"/>
      <c r="U633" s="152"/>
      <c r="V633" s="152"/>
      <c r="W633" s="157"/>
      <c r="X633" s="197"/>
      <c r="Y633" s="198"/>
    </row>
    <row r="634" ht="15.75" customHeight="1">
      <c r="B634" s="199"/>
      <c r="N634" s="152"/>
      <c r="Q634" s="195"/>
      <c r="S634" s="200"/>
      <c r="T634" s="200"/>
      <c r="U634" s="152"/>
      <c r="V634" s="152"/>
      <c r="W634" s="157"/>
      <c r="X634" s="197"/>
      <c r="Y634" s="198"/>
    </row>
    <row r="635" ht="15.75" customHeight="1">
      <c r="B635" s="199"/>
      <c r="N635" s="152"/>
      <c r="Q635" s="195"/>
      <c r="S635" s="200"/>
      <c r="T635" s="200"/>
      <c r="U635" s="152"/>
      <c r="V635" s="152"/>
      <c r="W635" s="157"/>
      <c r="X635" s="197"/>
      <c r="Y635" s="198"/>
    </row>
    <row r="636" ht="15.75" customHeight="1">
      <c r="B636" s="199"/>
      <c r="N636" s="152"/>
      <c r="Q636" s="195"/>
      <c r="S636" s="200"/>
      <c r="T636" s="200"/>
      <c r="U636" s="152"/>
      <c r="V636" s="152"/>
      <c r="W636" s="157"/>
      <c r="X636" s="197"/>
      <c r="Y636" s="198"/>
    </row>
    <row r="637" ht="15.75" customHeight="1">
      <c r="B637" s="199"/>
      <c r="N637" s="152"/>
      <c r="Q637" s="195"/>
      <c r="S637" s="200"/>
      <c r="T637" s="200"/>
      <c r="U637" s="152"/>
      <c r="V637" s="152"/>
      <c r="W637" s="157"/>
      <c r="X637" s="197"/>
      <c r="Y637" s="198"/>
    </row>
    <row r="638" ht="15.75" customHeight="1">
      <c r="B638" s="199"/>
      <c r="N638" s="152"/>
      <c r="Q638" s="195"/>
      <c r="S638" s="200"/>
      <c r="T638" s="200"/>
      <c r="U638" s="152"/>
      <c r="V638" s="152"/>
      <c r="W638" s="157"/>
      <c r="X638" s="197"/>
      <c r="Y638" s="198"/>
    </row>
    <row r="639" ht="15.75" customHeight="1">
      <c r="B639" s="199"/>
      <c r="N639" s="152"/>
      <c r="Q639" s="195"/>
      <c r="S639" s="200"/>
      <c r="T639" s="200"/>
      <c r="U639" s="152"/>
      <c r="V639" s="152"/>
      <c r="W639" s="157"/>
      <c r="X639" s="197"/>
      <c r="Y639" s="198"/>
    </row>
    <row r="640" ht="15.75" customHeight="1">
      <c r="B640" s="199"/>
      <c r="N640" s="152"/>
      <c r="Q640" s="195"/>
      <c r="S640" s="200"/>
      <c r="T640" s="200"/>
      <c r="U640" s="152"/>
      <c r="V640" s="152"/>
      <c r="W640" s="157"/>
      <c r="X640" s="197"/>
      <c r="Y640" s="198"/>
    </row>
    <row r="641" ht="15.75" customHeight="1">
      <c r="B641" s="199"/>
      <c r="N641" s="152"/>
      <c r="Q641" s="195"/>
      <c r="S641" s="200"/>
      <c r="T641" s="200"/>
      <c r="U641" s="152"/>
      <c r="V641" s="152"/>
      <c r="W641" s="157"/>
      <c r="X641" s="197"/>
      <c r="Y641" s="198"/>
    </row>
    <row r="642" ht="15.75" customHeight="1">
      <c r="B642" s="199"/>
      <c r="N642" s="152"/>
      <c r="Q642" s="195"/>
      <c r="S642" s="200"/>
      <c r="T642" s="200"/>
      <c r="U642" s="152"/>
      <c r="V642" s="152"/>
      <c r="W642" s="157"/>
      <c r="X642" s="197"/>
      <c r="Y642" s="198"/>
    </row>
    <row r="643" ht="15.75" customHeight="1">
      <c r="B643" s="199"/>
      <c r="N643" s="152"/>
      <c r="Q643" s="195"/>
      <c r="S643" s="200"/>
      <c r="T643" s="200"/>
      <c r="U643" s="152"/>
      <c r="V643" s="152"/>
      <c r="W643" s="157"/>
      <c r="X643" s="197"/>
      <c r="Y643" s="198"/>
    </row>
    <row r="644" ht="15.75" customHeight="1">
      <c r="B644" s="199"/>
      <c r="N644" s="152"/>
      <c r="Q644" s="195"/>
      <c r="S644" s="200"/>
      <c r="T644" s="200"/>
      <c r="U644" s="152"/>
      <c r="V644" s="152"/>
      <c r="W644" s="157"/>
      <c r="X644" s="197"/>
      <c r="Y644" s="198"/>
    </row>
    <row r="645" ht="15.75" customHeight="1">
      <c r="B645" s="199"/>
      <c r="N645" s="152"/>
      <c r="Q645" s="195"/>
      <c r="S645" s="200"/>
      <c r="T645" s="200"/>
      <c r="U645" s="152"/>
      <c r="V645" s="152"/>
      <c r="W645" s="157"/>
      <c r="X645" s="197"/>
      <c r="Y645" s="198"/>
    </row>
    <row r="646" ht="15.75" customHeight="1">
      <c r="B646" s="199"/>
      <c r="N646" s="152"/>
      <c r="Q646" s="195"/>
      <c r="S646" s="200"/>
      <c r="T646" s="200"/>
      <c r="U646" s="152"/>
      <c r="V646" s="152"/>
      <c r="W646" s="157"/>
      <c r="X646" s="197"/>
      <c r="Y646" s="198"/>
    </row>
    <row r="647" ht="15.75" customHeight="1">
      <c r="B647" s="199"/>
      <c r="N647" s="152"/>
      <c r="Q647" s="195"/>
      <c r="S647" s="200"/>
      <c r="T647" s="200"/>
      <c r="U647" s="152"/>
      <c r="V647" s="152"/>
      <c r="W647" s="157"/>
      <c r="X647" s="197"/>
      <c r="Y647" s="198"/>
    </row>
    <row r="648" ht="15.75" customHeight="1">
      <c r="B648" s="199"/>
      <c r="N648" s="152"/>
      <c r="Q648" s="195"/>
      <c r="S648" s="200"/>
      <c r="T648" s="200"/>
      <c r="U648" s="152"/>
      <c r="V648" s="152"/>
      <c r="W648" s="157"/>
      <c r="X648" s="197"/>
      <c r="Y648" s="198"/>
    </row>
    <row r="649" ht="15.75" customHeight="1">
      <c r="B649" s="199"/>
      <c r="N649" s="152"/>
      <c r="Q649" s="195"/>
      <c r="S649" s="200"/>
      <c r="T649" s="200"/>
      <c r="U649" s="152"/>
      <c r="V649" s="152"/>
      <c r="W649" s="157"/>
      <c r="X649" s="197"/>
      <c r="Y649" s="198"/>
    </row>
    <row r="650" ht="15.75" customHeight="1">
      <c r="B650" s="199"/>
      <c r="N650" s="152"/>
      <c r="Q650" s="195"/>
      <c r="S650" s="200"/>
      <c r="T650" s="200"/>
      <c r="U650" s="152"/>
      <c r="V650" s="152"/>
      <c r="W650" s="157"/>
      <c r="X650" s="197"/>
      <c r="Y650" s="198"/>
    </row>
    <row r="651" ht="15.75" customHeight="1">
      <c r="B651" s="199"/>
      <c r="N651" s="152"/>
      <c r="Q651" s="195"/>
      <c r="S651" s="200"/>
      <c r="T651" s="200"/>
      <c r="U651" s="152"/>
      <c r="V651" s="152"/>
      <c r="W651" s="157"/>
      <c r="X651" s="197"/>
      <c r="Y651" s="198"/>
    </row>
    <row r="652" ht="15.75" customHeight="1">
      <c r="B652" s="199"/>
      <c r="N652" s="152"/>
      <c r="Q652" s="195"/>
      <c r="S652" s="200"/>
      <c r="T652" s="200"/>
      <c r="U652" s="152"/>
      <c r="V652" s="152"/>
      <c r="W652" s="157"/>
      <c r="X652" s="197"/>
      <c r="Y652" s="198"/>
    </row>
    <row r="653" ht="15.75" customHeight="1">
      <c r="B653" s="199"/>
      <c r="N653" s="152"/>
      <c r="Q653" s="195"/>
      <c r="S653" s="200"/>
      <c r="T653" s="200"/>
      <c r="U653" s="152"/>
      <c r="V653" s="152"/>
      <c r="W653" s="157"/>
      <c r="X653" s="197"/>
      <c r="Y653" s="198"/>
    </row>
    <row r="654" ht="15.75" customHeight="1">
      <c r="B654" s="199"/>
      <c r="N654" s="152"/>
      <c r="Q654" s="195"/>
      <c r="S654" s="200"/>
      <c r="T654" s="200"/>
      <c r="U654" s="152"/>
      <c r="V654" s="152"/>
      <c r="W654" s="157"/>
      <c r="X654" s="197"/>
      <c r="Y654" s="198"/>
    </row>
    <row r="655" ht="15.75" customHeight="1">
      <c r="B655" s="199"/>
      <c r="N655" s="152"/>
      <c r="Q655" s="195"/>
      <c r="S655" s="200"/>
      <c r="T655" s="200"/>
      <c r="U655" s="152"/>
      <c r="V655" s="152"/>
      <c r="W655" s="157"/>
      <c r="X655" s="197"/>
      <c r="Y655" s="198"/>
    </row>
    <row r="656" ht="15.75" customHeight="1">
      <c r="B656" s="199"/>
      <c r="N656" s="152"/>
      <c r="Q656" s="195"/>
      <c r="S656" s="200"/>
      <c r="T656" s="200"/>
      <c r="U656" s="152"/>
      <c r="V656" s="152"/>
      <c r="W656" s="157"/>
      <c r="X656" s="197"/>
      <c r="Y656" s="198"/>
    </row>
    <row r="657" ht="15.75" customHeight="1">
      <c r="B657" s="199"/>
      <c r="N657" s="152"/>
      <c r="Q657" s="195"/>
      <c r="S657" s="200"/>
      <c r="T657" s="200"/>
      <c r="U657" s="152"/>
      <c r="V657" s="152"/>
      <c r="W657" s="157"/>
      <c r="X657" s="197"/>
      <c r="Y657" s="198"/>
    </row>
    <row r="658" ht="15.75" customHeight="1">
      <c r="B658" s="199"/>
      <c r="N658" s="152"/>
      <c r="Q658" s="195"/>
      <c r="S658" s="200"/>
      <c r="T658" s="200"/>
      <c r="U658" s="152"/>
      <c r="V658" s="152"/>
      <c r="W658" s="157"/>
      <c r="X658" s="197"/>
      <c r="Y658" s="198"/>
    </row>
    <row r="659" ht="15.75" customHeight="1">
      <c r="B659" s="199"/>
      <c r="N659" s="152"/>
      <c r="Q659" s="195"/>
      <c r="S659" s="200"/>
      <c r="T659" s="200"/>
      <c r="U659" s="152"/>
      <c r="V659" s="152"/>
      <c r="W659" s="157"/>
      <c r="X659" s="197"/>
      <c r="Y659" s="198"/>
    </row>
    <row r="660" ht="15.75" customHeight="1">
      <c r="B660" s="199"/>
      <c r="N660" s="152"/>
      <c r="Q660" s="195"/>
      <c r="S660" s="200"/>
      <c r="T660" s="200"/>
      <c r="U660" s="152"/>
      <c r="V660" s="152"/>
      <c r="W660" s="157"/>
      <c r="X660" s="197"/>
      <c r="Y660" s="198"/>
    </row>
    <row r="661" ht="15.75" customHeight="1">
      <c r="B661" s="199"/>
      <c r="N661" s="152"/>
      <c r="Q661" s="195"/>
      <c r="S661" s="200"/>
      <c r="T661" s="200"/>
      <c r="U661" s="152"/>
      <c r="V661" s="152"/>
      <c r="W661" s="157"/>
      <c r="X661" s="197"/>
      <c r="Y661" s="198"/>
    </row>
    <row r="662" ht="15.75" customHeight="1">
      <c r="B662" s="199"/>
      <c r="N662" s="152"/>
      <c r="Q662" s="195"/>
      <c r="S662" s="200"/>
      <c r="T662" s="200"/>
      <c r="U662" s="152"/>
      <c r="V662" s="152"/>
      <c r="W662" s="157"/>
      <c r="X662" s="197"/>
      <c r="Y662" s="198"/>
    </row>
    <row r="663" ht="15.75" customHeight="1">
      <c r="B663" s="199"/>
      <c r="N663" s="152"/>
      <c r="Q663" s="195"/>
      <c r="S663" s="200"/>
      <c r="T663" s="200"/>
      <c r="U663" s="152"/>
      <c r="V663" s="152"/>
      <c r="W663" s="157"/>
      <c r="X663" s="197"/>
      <c r="Y663" s="198"/>
    </row>
    <row r="664" ht="15.75" customHeight="1">
      <c r="B664" s="199"/>
      <c r="N664" s="152"/>
      <c r="Q664" s="195"/>
      <c r="S664" s="200"/>
      <c r="T664" s="200"/>
      <c r="U664" s="152"/>
      <c r="V664" s="152"/>
      <c r="W664" s="157"/>
      <c r="X664" s="197"/>
      <c r="Y664" s="198"/>
    </row>
    <row r="665" ht="15.75" customHeight="1">
      <c r="B665" s="199"/>
      <c r="N665" s="152"/>
      <c r="Q665" s="195"/>
      <c r="S665" s="200"/>
      <c r="T665" s="200"/>
      <c r="U665" s="152"/>
      <c r="V665" s="152"/>
      <c r="W665" s="157"/>
      <c r="X665" s="197"/>
      <c r="Y665" s="198"/>
    </row>
    <row r="666" ht="15.75" customHeight="1">
      <c r="B666" s="199"/>
      <c r="N666" s="152"/>
      <c r="Q666" s="195"/>
      <c r="S666" s="200"/>
      <c r="T666" s="200"/>
      <c r="U666" s="152"/>
      <c r="V666" s="152"/>
      <c r="W666" s="157"/>
      <c r="X666" s="197"/>
      <c r="Y666" s="198"/>
    </row>
    <row r="667" ht="15.75" customHeight="1">
      <c r="B667" s="199"/>
      <c r="N667" s="152"/>
      <c r="Q667" s="195"/>
      <c r="S667" s="200"/>
      <c r="T667" s="200"/>
      <c r="U667" s="152"/>
      <c r="V667" s="152"/>
      <c r="W667" s="157"/>
      <c r="X667" s="197"/>
      <c r="Y667" s="198"/>
    </row>
    <row r="668" ht="15.75" customHeight="1">
      <c r="B668" s="199"/>
      <c r="N668" s="152"/>
      <c r="Q668" s="195"/>
      <c r="S668" s="200"/>
      <c r="T668" s="200"/>
      <c r="U668" s="152"/>
      <c r="V668" s="152"/>
      <c r="W668" s="157"/>
      <c r="X668" s="197"/>
      <c r="Y668" s="198"/>
    </row>
    <row r="669" ht="15.75" customHeight="1">
      <c r="B669" s="199"/>
      <c r="N669" s="152"/>
      <c r="Q669" s="195"/>
      <c r="S669" s="200"/>
      <c r="T669" s="200"/>
      <c r="U669" s="152"/>
      <c r="V669" s="152"/>
      <c r="W669" s="157"/>
      <c r="X669" s="197"/>
      <c r="Y669" s="198"/>
    </row>
    <row r="670" ht="15.75" customHeight="1">
      <c r="B670" s="199"/>
      <c r="N670" s="152"/>
      <c r="Q670" s="195"/>
      <c r="S670" s="200"/>
      <c r="T670" s="200"/>
      <c r="U670" s="152"/>
      <c r="V670" s="152"/>
      <c r="W670" s="157"/>
      <c r="X670" s="197"/>
      <c r="Y670" s="198"/>
    </row>
    <row r="671" ht="15.75" customHeight="1">
      <c r="B671" s="199"/>
      <c r="N671" s="152"/>
      <c r="Q671" s="195"/>
      <c r="S671" s="200"/>
      <c r="T671" s="200"/>
      <c r="U671" s="152"/>
      <c r="V671" s="152"/>
      <c r="W671" s="157"/>
      <c r="X671" s="197"/>
      <c r="Y671" s="198"/>
    </row>
    <row r="672" ht="15.75" customHeight="1">
      <c r="B672" s="199"/>
      <c r="N672" s="152"/>
      <c r="Q672" s="195"/>
      <c r="S672" s="200"/>
      <c r="T672" s="200"/>
      <c r="U672" s="152"/>
      <c r="V672" s="152"/>
      <c r="W672" s="157"/>
      <c r="X672" s="197"/>
      <c r="Y672" s="198"/>
    </row>
    <row r="673" ht="15.75" customHeight="1">
      <c r="B673" s="199"/>
      <c r="N673" s="152"/>
      <c r="Q673" s="195"/>
      <c r="S673" s="200"/>
      <c r="T673" s="200"/>
      <c r="U673" s="152"/>
      <c r="V673" s="152"/>
      <c r="W673" s="157"/>
      <c r="X673" s="197"/>
      <c r="Y673" s="198"/>
    </row>
    <row r="674" ht="15.75" customHeight="1">
      <c r="B674" s="199"/>
      <c r="N674" s="152"/>
      <c r="Q674" s="195"/>
      <c r="S674" s="200"/>
      <c r="T674" s="200"/>
      <c r="U674" s="152"/>
      <c r="V674" s="152"/>
      <c r="W674" s="157"/>
      <c r="X674" s="197"/>
      <c r="Y674" s="198"/>
    </row>
    <row r="675" ht="15.75" customHeight="1">
      <c r="B675" s="199"/>
      <c r="N675" s="152"/>
      <c r="Q675" s="195"/>
      <c r="S675" s="200"/>
      <c r="T675" s="200"/>
      <c r="U675" s="152"/>
      <c r="V675" s="152"/>
      <c r="W675" s="157"/>
      <c r="X675" s="197"/>
      <c r="Y675" s="198"/>
    </row>
    <row r="676" ht="15.75" customHeight="1">
      <c r="B676" s="199"/>
      <c r="N676" s="152"/>
      <c r="Q676" s="195"/>
      <c r="S676" s="200"/>
      <c r="T676" s="200"/>
      <c r="U676" s="152"/>
      <c r="V676" s="152"/>
      <c r="W676" s="157"/>
      <c r="X676" s="197"/>
      <c r="Y676" s="198"/>
    </row>
    <row r="677" ht="15.75" customHeight="1">
      <c r="B677" s="199"/>
      <c r="N677" s="152"/>
      <c r="Q677" s="195"/>
      <c r="S677" s="200"/>
      <c r="T677" s="200"/>
      <c r="U677" s="152"/>
      <c r="V677" s="152"/>
      <c r="W677" s="157"/>
      <c r="X677" s="197"/>
      <c r="Y677" s="198"/>
    </row>
    <row r="678" ht="15.75" customHeight="1">
      <c r="B678" s="199"/>
      <c r="N678" s="152"/>
      <c r="Q678" s="195"/>
      <c r="S678" s="200"/>
      <c r="T678" s="200"/>
      <c r="U678" s="152"/>
      <c r="V678" s="152"/>
      <c r="W678" s="157"/>
      <c r="X678" s="197"/>
      <c r="Y678" s="198"/>
    </row>
    <row r="679" ht="15.75" customHeight="1">
      <c r="B679" s="199"/>
      <c r="N679" s="152"/>
      <c r="Q679" s="195"/>
      <c r="S679" s="200"/>
      <c r="T679" s="200"/>
      <c r="U679" s="152"/>
      <c r="V679" s="152"/>
      <c r="W679" s="157"/>
      <c r="X679" s="197"/>
      <c r="Y679" s="198"/>
    </row>
    <row r="680" ht="15.75" customHeight="1">
      <c r="B680" s="199"/>
      <c r="N680" s="152"/>
      <c r="Q680" s="195"/>
      <c r="S680" s="200"/>
      <c r="T680" s="200"/>
      <c r="U680" s="152"/>
      <c r="V680" s="152"/>
      <c r="W680" s="157"/>
      <c r="X680" s="197"/>
      <c r="Y680" s="198"/>
    </row>
    <row r="681" ht="15.75" customHeight="1">
      <c r="B681" s="199"/>
      <c r="N681" s="152"/>
      <c r="Q681" s="195"/>
      <c r="S681" s="200"/>
      <c r="T681" s="200"/>
      <c r="U681" s="152"/>
      <c r="V681" s="152"/>
      <c r="W681" s="157"/>
      <c r="X681" s="197"/>
      <c r="Y681" s="198"/>
    </row>
    <row r="682" ht="15.75" customHeight="1">
      <c r="B682" s="199"/>
      <c r="N682" s="152"/>
      <c r="Q682" s="195"/>
      <c r="S682" s="200"/>
      <c r="T682" s="200"/>
      <c r="U682" s="152"/>
      <c r="V682" s="152"/>
      <c r="W682" s="157"/>
      <c r="X682" s="197"/>
      <c r="Y682" s="198"/>
    </row>
    <row r="683" ht="15.75" customHeight="1">
      <c r="B683" s="199"/>
      <c r="N683" s="152"/>
      <c r="Q683" s="195"/>
      <c r="S683" s="200"/>
      <c r="T683" s="200"/>
      <c r="U683" s="152"/>
      <c r="V683" s="152"/>
      <c r="W683" s="157"/>
      <c r="X683" s="197"/>
      <c r="Y683" s="198"/>
    </row>
    <row r="684" ht="15.75" customHeight="1">
      <c r="B684" s="199"/>
      <c r="N684" s="152"/>
      <c r="Q684" s="195"/>
      <c r="S684" s="200"/>
      <c r="T684" s="200"/>
      <c r="U684" s="152"/>
      <c r="V684" s="152"/>
      <c r="W684" s="157"/>
      <c r="X684" s="197"/>
      <c r="Y684" s="198"/>
    </row>
    <row r="685" ht="15.75" customHeight="1">
      <c r="B685" s="199"/>
      <c r="N685" s="152"/>
      <c r="Q685" s="195"/>
      <c r="S685" s="200"/>
      <c r="T685" s="200"/>
      <c r="U685" s="152"/>
      <c r="V685" s="152"/>
      <c r="W685" s="157"/>
      <c r="X685" s="197"/>
      <c r="Y685" s="198"/>
    </row>
    <row r="686" ht="15.75" customHeight="1">
      <c r="B686" s="199"/>
      <c r="N686" s="152"/>
      <c r="Q686" s="195"/>
      <c r="S686" s="200"/>
      <c r="T686" s="200"/>
      <c r="U686" s="152"/>
      <c r="V686" s="152"/>
      <c r="W686" s="157"/>
      <c r="X686" s="197"/>
      <c r="Y686" s="198"/>
    </row>
    <row r="687" ht="15.75" customHeight="1">
      <c r="B687" s="199"/>
      <c r="N687" s="152"/>
      <c r="Q687" s="195"/>
      <c r="S687" s="200"/>
      <c r="T687" s="200"/>
      <c r="U687" s="152"/>
      <c r="V687" s="152"/>
      <c r="W687" s="157"/>
      <c r="X687" s="197"/>
      <c r="Y687" s="198"/>
    </row>
    <row r="688" ht="15.75" customHeight="1">
      <c r="B688" s="199"/>
      <c r="N688" s="152"/>
      <c r="Q688" s="195"/>
      <c r="S688" s="200"/>
      <c r="T688" s="200"/>
      <c r="U688" s="152"/>
      <c r="V688" s="152"/>
      <c r="W688" s="157"/>
      <c r="X688" s="197"/>
      <c r="Y688" s="198"/>
    </row>
    <row r="689" ht="15.75" customHeight="1">
      <c r="B689" s="199"/>
      <c r="N689" s="152"/>
      <c r="Q689" s="195"/>
      <c r="S689" s="200"/>
      <c r="T689" s="200"/>
      <c r="U689" s="152"/>
      <c r="V689" s="152"/>
      <c r="W689" s="157"/>
      <c r="X689" s="197"/>
      <c r="Y689" s="198"/>
    </row>
    <row r="690" ht="15.75" customHeight="1">
      <c r="B690" s="199"/>
      <c r="N690" s="152"/>
      <c r="Q690" s="195"/>
      <c r="S690" s="200"/>
      <c r="T690" s="200"/>
      <c r="U690" s="152"/>
      <c r="V690" s="152"/>
      <c r="W690" s="157"/>
      <c r="X690" s="197"/>
      <c r="Y690" s="198"/>
    </row>
    <row r="691" ht="15.75" customHeight="1">
      <c r="B691" s="199"/>
      <c r="N691" s="152"/>
      <c r="Q691" s="195"/>
      <c r="S691" s="200"/>
      <c r="T691" s="200"/>
      <c r="U691" s="152"/>
      <c r="V691" s="152"/>
      <c r="W691" s="157"/>
      <c r="X691" s="197"/>
      <c r="Y691" s="198"/>
    </row>
    <row r="692" ht="15.75" customHeight="1">
      <c r="B692" s="199"/>
      <c r="N692" s="152"/>
      <c r="Q692" s="195"/>
      <c r="S692" s="200"/>
      <c r="T692" s="200"/>
      <c r="U692" s="152"/>
      <c r="V692" s="152"/>
      <c r="W692" s="157"/>
      <c r="X692" s="197"/>
      <c r="Y692" s="198"/>
    </row>
    <row r="693" ht="15.75" customHeight="1">
      <c r="B693" s="199"/>
      <c r="N693" s="152"/>
      <c r="Q693" s="195"/>
      <c r="S693" s="200"/>
      <c r="T693" s="200"/>
      <c r="U693" s="152"/>
      <c r="V693" s="152"/>
      <c r="W693" s="157"/>
      <c r="X693" s="197"/>
      <c r="Y693" s="198"/>
    </row>
    <row r="694" ht="15.75" customHeight="1">
      <c r="B694" s="199"/>
      <c r="N694" s="152"/>
      <c r="Q694" s="195"/>
      <c r="S694" s="200"/>
      <c r="T694" s="200"/>
      <c r="U694" s="152"/>
      <c r="V694" s="152"/>
      <c r="W694" s="157"/>
      <c r="X694" s="197"/>
      <c r="Y694" s="198"/>
    </row>
    <row r="695" ht="15.75" customHeight="1">
      <c r="B695" s="199"/>
      <c r="N695" s="152"/>
      <c r="Q695" s="195"/>
      <c r="S695" s="200"/>
      <c r="T695" s="200"/>
      <c r="U695" s="152"/>
      <c r="V695" s="152"/>
      <c r="W695" s="157"/>
      <c r="X695" s="197"/>
      <c r="Y695" s="198"/>
    </row>
    <row r="696" ht="15.75" customHeight="1">
      <c r="B696" s="199"/>
      <c r="N696" s="152"/>
      <c r="Q696" s="195"/>
      <c r="S696" s="200"/>
      <c r="T696" s="200"/>
      <c r="U696" s="152"/>
      <c r="V696" s="152"/>
      <c r="W696" s="157"/>
      <c r="X696" s="197"/>
      <c r="Y696" s="198"/>
    </row>
    <row r="697" ht="15.75" customHeight="1">
      <c r="B697" s="199"/>
      <c r="N697" s="152"/>
      <c r="Q697" s="195"/>
      <c r="S697" s="200"/>
      <c r="T697" s="200"/>
      <c r="U697" s="152"/>
      <c r="V697" s="152"/>
      <c r="W697" s="157"/>
      <c r="X697" s="197"/>
      <c r="Y697" s="198"/>
    </row>
    <row r="698" ht="15.75" customHeight="1">
      <c r="B698" s="199"/>
      <c r="N698" s="152"/>
      <c r="Q698" s="195"/>
      <c r="S698" s="200"/>
      <c r="T698" s="200"/>
      <c r="U698" s="152"/>
      <c r="V698" s="152"/>
      <c r="W698" s="157"/>
      <c r="X698" s="197"/>
      <c r="Y698" s="198"/>
    </row>
    <row r="699" ht="15.75" customHeight="1">
      <c r="B699" s="199"/>
      <c r="N699" s="152"/>
      <c r="Q699" s="195"/>
      <c r="S699" s="200"/>
      <c r="T699" s="200"/>
      <c r="U699" s="152"/>
      <c r="V699" s="152"/>
      <c r="W699" s="157"/>
      <c r="X699" s="197"/>
      <c r="Y699" s="198"/>
    </row>
    <row r="700" ht="15.75" customHeight="1">
      <c r="B700" s="199"/>
      <c r="N700" s="152"/>
      <c r="Q700" s="195"/>
      <c r="S700" s="200"/>
      <c r="T700" s="200"/>
      <c r="U700" s="152"/>
      <c r="V700" s="152"/>
      <c r="W700" s="157"/>
      <c r="X700" s="197"/>
      <c r="Y700" s="198"/>
    </row>
    <row r="701" ht="15.75" customHeight="1">
      <c r="B701" s="199"/>
      <c r="N701" s="152"/>
      <c r="Q701" s="195"/>
      <c r="S701" s="200"/>
      <c r="T701" s="200"/>
      <c r="U701" s="152"/>
      <c r="V701" s="152"/>
      <c r="W701" s="157"/>
      <c r="X701" s="197"/>
      <c r="Y701" s="198"/>
    </row>
    <row r="702" ht="15.75" customHeight="1">
      <c r="B702" s="199"/>
      <c r="N702" s="152"/>
      <c r="Q702" s="195"/>
      <c r="S702" s="200"/>
      <c r="T702" s="200"/>
      <c r="U702" s="152"/>
      <c r="V702" s="152"/>
      <c r="W702" s="157"/>
      <c r="X702" s="197"/>
      <c r="Y702" s="198"/>
    </row>
    <row r="703" ht="15.75" customHeight="1">
      <c r="B703" s="199"/>
      <c r="N703" s="152"/>
      <c r="Q703" s="195"/>
      <c r="S703" s="200"/>
      <c r="T703" s="200"/>
      <c r="U703" s="152"/>
      <c r="V703" s="152"/>
      <c r="W703" s="157"/>
      <c r="X703" s="197"/>
      <c r="Y703" s="198"/>
    </row>
    <row r="704" ht="15.75" customHeight="1">
      <c r="B704" s="199"/>
      <c r="N704" s="152"/>
      <c r="Q704" s="195"/>
      <c r="S704" s="200"/>
      <c r="T704" s="200"/>
      <c r="U704" s="152"/>
      <c r="V704" s="152"/>
      <c r="W704" s="157"/>
      <c r="X704" s="197"/>
      <c r="Y704" s="198"/>
    </row>
    <row r="705" ht="15.75" customHeight="1">
      <c r="B705" s="199"/>
      <c r="N705" s="152"/>
      <c r="Q705" s="195"/>
      <c r="S705" s="200"/>
      <c r="T705" s="200"/>
      <c r="U705" s="152"/>
      <c r="V705" s="152"/>
      <c r="W705" s="157"/>
      <c r="X705" s="197"/>
      <c r="Y705" s="198"/>
    </row>
    <row r="706" ht="15.75" customHeight="1">
      <c r="B706" s="199"/>
      <c r="N706" s="152"/>
      <c r="Q706" s="195"/>
      <c r="S706" s="200"/>
      <c r="T706" s="200"/>
      <c r="U706" s="152"/>
      <c r="V706" s="152"/>
      <c r="W706" s="157"/>
      <c r="X706" s="197"/>
      <c r="Y706" s="198"/>
    </row>
    <row r="707" ht="15.75" customHeight="1">
      <c r="B707" s="199"/>
      <c r="N707" s="152"/>
      <c r="Q707" s="195"/>
      <c r="S707" s="200"/>
      <c r="T707" s="200"/>
      <c r="U707" s="152"/>
      <c r="V707" s="152"/>
      <c r="W707" s="157"/>
      <c r="X707" s="197"/>
      <c r="Y707" s="198"/>
    </row>
    <row r="708" ht="15.75" customHeight="1">
      <c r="B708" s="199"/>
      <c r="N708" s="152"/>
      <c r="Q708" s="195"/>
      <c r="S708" s="200"/>
      <c r="T708" s="200"/>
      <c r="U708" s="152"/>
      <c r="V708" s="152"/>
      <c r="W708" s="157"/>
      <c r="X708" s="197"/>
      <c r="Y708" s="198"/>
    </row>
    <row r="709" ht="15.75" customHeight="1">
      <c r="B709" s="199"/>
      <c r="N709" s="152"/>
      <c r="Q709" s="195"/>
      <c r="S709" s="200"/>
      <c r="T709" s="200"/>
      <c r="U709" s="152"/>
      <c r="V709" s="152"/>
      <c r="W709" s="157"/>
      <c r="X709" s="197"/>
      <c r="Y709" s="198"/>
    </row>
    <row r="710" ht="15.75" customHeight="1">
      <c r="B710" s="199"/>
      <c r="N710" s="152"/>
      <c r="Q710" s="195"/>
      <c r="S710" s="200"/>
      <c r="T710" s="200"/>
      <c r="U710" s="152"/>
      <c r="V710" s="152"/>
      <c r="W710" s="157"/>
      <c r="X710" s="197"/>
      <c r="Y710" s="198"/>
    </row>
    <row r="711" ht="15.75" customHeight="1">
      <c r="B711" s="199"/>
      <c r="N711" s="152"/>
      <c r="Q711" s="195"/>
      <c r="S711" s="200"/>
      <c r="T711" s="200"/>
      <c r="U711" s="152"/>
      <c r="V711" s="152"/>
      <c r="W711" s="157"/>
      <c r="X711" s="197"/>
      <c r="Y711" s="198"/>
    </row>
    <row r="712" ht="15.75" customHeight="1">
      <c r="B712" s="199"/>
      <c r="N712" s="152"/>
      <c r="Q712" s="195"/>
      <c r="S712" s="200"/>
      <c r="T712" s="200"/>
      <c r="U712" s="152"/>
      <c r="V712" s="152"/>
      <c r="W712" s="157"/>
      <c r="X712" s="197"/>
      <c r="Y712" s="198"/>
    </row>
    <row r="713" ht="15.75" customHeight="1">
      <c r="B713" s="199"/>
      <c r="N713" s="152"/>
      <c r="Q713" s="195"/>
      <c r="S713" s="200"/>
      <c r="T713" s="200"/>
      <c r="U713" s="152"/>
      <c r="V713" s="152"/>
      <c r="W713" s="157"/>
      <c r="X713" s="197"/>
      <c r="Y713" s="198"/>
    </row>
    <row r="714" ht="15.75" customHeight="1">
      <c r="B714" s="199"/>
      <c r="N714" s="152"/>
      <c r="Q714" s="195"/>
      <c r="S714" s="200"/>
      <c r="T714" s="200"/>
      <c r="U714" s="152"/>
      <c r="V714" s="152"/>
      <c r="W714" s="157"/>
      <c r="X714" s="197"/>
      <c r="Y714" s="198"/>
    </row>
    <row r="715" ht="15.75" customHeight="1">
      <c r="B715" s="199"/>
      <c r="N715" s="152"/>
      <c r="Q715" s="195"/>
      <c r="S715" s="200"/>
      <c r="T715" s="200"/>
      <c r="U715" s="152"/>
      <c r="V715" s="152"/>
      <c r="W715" s="157"/>
      <c r="X715" s="197"/>
      <c r="Y715" s="198"/>
    </row>
    <row r="716" ht="15.75" customHeight="1">
      <c r="B716" s="199"/>
      <c r="N716" s="152"/>
      <c r="Q716" s="195"/>
      <c r="S716" s="200"/>
      <c r="T716" s="200"/>
      <c r="U716" s="152"/>
      <c r="V716" s="152"/>
      <c r="W716" s="157"/>
      <c r="X716" s="197"/>
      <c r="Y716" s="198"/>
    </row>
    <row r="717" ht="15.75" customHeight="1">
      <c r="B717" s="199"/>
      <c r="N717" s="152"/>
      <c r="Q717" s="195"/>
      <c r="S717" s="200"/>
      <c r="T717" s="200"/>
      <c r="U717" s="152"/>
      <c r="V717" s="152"/>
      <c r="W717" s="157"/>
      <c r="X717" s="197"/>
      <c r="Y717" s="198"/>
    </row>
    <row r="718" ht="15.75" customHeight="1">
      <c r="B718" s="199"/>
      <c r="N718" s="152"/>
      <c r="Q718" s="195"/>
      <c r="S718" s="200"/>
      <c r="T718" s="200"/>
      <c r="U718" s="152"/>
      <c r="V718" s="152"/>
      <c r="W718" s="157"/>
      <c r="X718" s="197"/>
      <c r="Y718" s="198"/>
    </row>
    <row r="719" ht="15.75" customHeight="1">
      <c r="B719" s="199"/>
      <c r="N719" s="152"/>
      <c r="Q719" s="195"/>
      <c r="S719" s="200"/>
      <c r="T719" s="200"/>
      <c r="U719" s="152"/>
      <c r="V719" s="152"/>
      <c r="W719" s="157"/>
      <c r="X719" s="197"/>
      <c r="Y719" s="198"/>
    </row>
    <row r="720" ht="15.75" customHeight="1">
      <c r="B720" s="199"/>
      <c r="N720" s="152"/>
      <c r="Q720" s="195"/>
      <c r="S720" s="200"/>
      <c r="T720" s="200"/>
      <c r="U720" s="152"/>
      <c r="V720" s="152"/>
      <c r="W720" s="157"/>
      <c r="X720" s="197"/>
      <c r="Y720" s="198"/>
    </row>
    <row r="721" ht="15.75" customHeight="1">
      <c r="B721" s="199"/>
      <c r="N721" s="152"/>
      <c r="Q721" s="195"/>
      <c r="S721" s="200"/>
      <c r="T721" s="200"/>
      <c r="U721" s="152"/>
      <c r="V721" s="152"/>
      <c r="W721" s="157"/>
      <c r="X721" s="197"/>
      <c r="Y721" s="198"/>
    </row>
    <row r="722" ht="15.75" customHeight="1">
      <c r="B722" s="199"/>
      <c r="N722" s="152"/>
      <c r="Q722" s="195"/>
      <c r="S722" s="200"/>
      <c r="T722" s="200"/>
      <c r="U722" s="152"/>
      <c r="V722" s="152"/>
      <c r="W722" s="157"/>
      <c r="X722" s="197"/>
      <c r="Y722" s="198"/>
    </row>
    <row r="723" ht="15.75" customHeight="1">
      <c r="B723" s="199"/>
      <c r="N723" s="152"/>
      <c r="Q723" s="195"/>
      <c r="S723" s="200"/>
      <c r="T723" s="200"/>
      <c r="U723" s="152"/>
      <c r="V723" s="152"/>
      <c r="W723" s="157"/>
      <c r="X723" s="197"/>
      <c r="Y723" s="198"/>
    </row>
    <row r="724" ht="15.75" customHeight="1">
      <c r="B724" s="199"/>
      <c r="N724" s="152"/>
      <c r="Q724" s="195"/>
      <c r="S724" s="200"/>
      <c r="T724" s="200"/>
      <c r="U724" s="152"/>
      <c r="V724" s="152"/>
      <c r="W724" s="157"/>
      <c r="X724" s="197"/>
      <c r="Y724" s="198"/>
    </row>
    <row r="725" ht="15.75" customHeight="1">
      <c r="B725" s="199"/>
      <c r="N725" s="152"/>
      <c r="Q725" s="195"/>
      <c r="S725" s="200"/>
      <c r="T725" s="200"/>
      <c r="U725" s="152"/>
      <c r="V725" s="152"/>
      <c r="W725" s="157"/>
      <c r="X725" s="197"/>
      <c r="Y725" s="198"/>
    </row>
    <row r="726" ht="15.75" customHeight="1">
      <c r="B726" s="199"/>
      <c r="N726" s="152"/>
      <c r="Q726" s="195"/>
      <c r="S726" s="200"/>
      <c r="T726" s="200"/>
      <c r="U726" s="152"/>
      <c r="V726" s="152"/>
      <c r="W726" s="157"/>
      <c r="X726" s="197"/>
      <c r="Y726" s="198"/>
    </row>
    <row r="727" ht="15.75" customHeight="1">
      <c r="B727" s="199"/>
      <c r="N727" s="152"/>
      <c r="Q727" s="195"/>
      <c r="S727" s="200"/>
      <c r="T727" s="200"/>
      <c r="U727" s="152"/>
      <c r="V727" s="152"/>
      <c r="W727" s="157"/>
      <c r="X727" s="197"/>
      <c r="Y727" s="198"/>
    </row>
    <row r="728" ht="15.75" customHeight="1">
      <c r="B728" s="199"/>
      <c r="N728" s="152"/>
      <c r="Q728" s="195"/>
      <c r="S728" s="200"/>
      <c r="T728" s="200"/>
      <c r="U728" s="152"/>
      <c r="V728" s="152"/>
      <c r="W728" s="157"/>
      <c r="X728" s="197"/>
      <c r="Y728" s="198"/>
    </row>
    <row r="729" ht="15.75" customHeight="1">
      <c r="B729" s="199"/>
      <c r="N729" s="152"/>
      <c r="Q729" s="195"/>
      <c r="S729" s="200"/>
      <c r="T729" s="200"/>
      <c r="U729" s="152"/>
      <c r="V729" s="152"/>
      <c r="W729" s="157"/>
      <c r="X729" s="197"/>
      <c r="Y729" s="198"/>
    </row>
    <row r="730" ht="15.75" customHeight="1">
      <c r="B730" s="199"/>
      <c r="N730" s="152"/>
      <c r="Q730" s="195"/>
      <c r="S730" s="200"/>
      <c r="T730" s="200"/>
      <c r="U730" s="152"/>
      <c r="V730" s="152"/>
      <c r="W730" s="157"/>
      <c r="X730" s="197"/>
      <c r="Y730" s="198"/>
    </row>
    <row r="731" ht="15.75" customHeight="1">
      <c r="B731" s="199"/>
      <c r="N731" s="152"/>
      <c r="Q731" s="195"/>
      <c r="S731" s="200"/>
      <c r="T731" s="200"/>
      <c r="U731" s="152"/>
      <c r="V731" s="152"/>
      <c r="W731" s="157"/>
      <c r="X731" s="197"/>
      <c r="Y731" s="198"/>
    </row>
    <row r="732" ht="15.75" customHeight="1">
      <c r="B732" s="199"/>
      <c r="N732" s="152"/>
      <c r="Q732" s="195"/>
      <c r="S732" s="200"/>
      <c r="T732" s="200"/>
      <c r="U732" s="152"/>
      <c r="V732" s="152"/>
      <c r="W732" s="157"/>
      <c r="X732" s="197"/>
      <c r="Y732" s="198"/>
    </row>
    <row r="733" ht="15.75" customHeight="1">
      <c r="B733" s="199"/>
      <c r="N733" s="152"/>
      <c r="Q733" s="195"/>
      <c r="S733" s="200"/>
      <c r="T733" s="200"/>
      <c r="U733" s="152"/>
      <c r="V733" s="152"/>
      <c r="W733" s="157"/>
      <c r="X733" s="197"/>
      <c r="Y733" s="198"/>
    </row>
    <row r="734" ht="15.75" customHeight="1">
      <c r="B734" s="199"/>
      <c r="N734" s="152"/>
      <c r="Q734" s="195"/>
      <c r="S734" s="200"/>
      <c r="T734" s="200"/>
      <c r="U734" s="152"/>
      <c r="V734" s="152"/>
      <c r="W734" s="157"/>
      <c r="X734" s="197"/>
      <c r="Y734" s="198"/>
    </row>
    <row r="735" ht="15.75" customHeight="1">
      <c r="B735" s="199"/>
      <c r="N735" s="152"/>
      <c r="Q735" s="195"/>
      <c r="S735" s="200"/>
      <c r="T735" s="200"/>
      <c r="U735" s="152"/>
      <c r="V735" s="152"/>
      <c r="W735" s="157"/>
      <c r="X735" s="197"/>
      <c r="Y735" s="198"/>
    </row>
    <row r="736" ht="15.75" customHeight="1">
      <c r="B736" s="199"/>
      <c r="N736" s="152"/>
      <c r="Q736" s="195"/>
      <c r="S736" s="200"/>
      <c r="T736" s="200"/>
      <c r="U736" s="152"/>
      <c r="V736" s="152"/>
      <c r="W736" s="157"/>
      <c r="X736" s="197"/>
      <c r="Y736" s="198"/>
    </row>
    <row r="737" ht="15.75" customHeight="1">
      <c r="B737" s="199"/>
      <c r="N737" s="152"/>
      <c r="Q737" s="195"/>
      <c r="S737" s="200"/>
      <c r="T737" s="200"/>
      <c r="U737" s="152"/>
      <c r="V737" s="152"/>
      <c r="W737" s="157"/>
      <c r="X737" s="197"/>
      <c r="Y737" s="198"/>
    </row>
    <row r="738" ht="15.75" customHeight="1">
      <c r="B738" s="199"/>
      <c r="N738" s="152"/>
      <c r="Q738" s="195"/>
      <c r="S738" s="200"/>
      <c r="T738" s="200"/>
      <c r="U738" s="152"/>
      <c r="V738" s="152"/>
      <c r="W738" s="157"/>
      <c r="X738" s="197"/>
      <c r="Y738" s="198"/>
    </row>
    <row r="739" ht="15.75" customHeight="1">
      <c r="B739" s="199"/>
      <c r="N739" s="152"/>
      <c r="Q739" s="195"/>
      <c r="S739" s="200"/>
      <c r="T739" s="200"/>
      <c r="U739" s="152"/>
      <c r="V739" s="152"/>
      <c r="W739" s="157"/>
      <c r="X739" s="197"/>
      <c r="Y739" s="198"/>
    </row>
    <row r="740" ht="15.75" customHeight="1">
      <c r="B740" s="199"/>
      <c r="N740" s="152"/>
      <c r="Q740" s="195"/>
      <c r="S740" s="200"/>
      <c r="T740" s="200"/>
      <c r="U740" s="152"/>
      <c r="V740" s="152"/>
      <c r="W740" s="157"/>
      <c r="X740" s="197"/>
      <c r="Y740" s="198"/>
    </row>
    <row r="741" ht="15.75" customHeight="1">
      <c r="B741" s="199"/>
      <c r="N741" s="152"/>
      <c r="Q741" s="195"/>
      <c r="S741" s="200"/>
      <c r="T741" s="200"/>
      <c r="U741" s="152"/>
      <c r="V741" s="152"/>
      <c r="W741" s="157"/>
      <c r="X741" s="197"/>
      <c r="Y741" s="198"/>
    </row>
    <row r="742" ht="15.75" customHeight="1">
      <c r="B742" s="199"/>
      <c r="N742" s="152"/>
      <c r="Q742" s="195"/>
      <c r="S742" s="200"/>
      <c r="T742" s="200"/>
      <c r="U742" s="152"/>
      <c r="V742" s="152"/>
      <c r="W742" s="157"/>
      <c r="X742" s="197"/>
      <c r="Y742" s="198"/>
    </row>
    <row r="743" ht="15.75" customHeight="1">
      <c r="B743" s="199"/>
      <c r="N743" s="152"/>
      <c r="Q743" s="195"/>
      <c r="S743" s="200"/>
      <c r="T743" s="200"/>
      <c r="U743" s="152"/>
      <c r="V743" s="152"/>
      <c r="W743" s="157"/>
      <c r="X743" s="197"/>
      <c r="Y743" s="198"/>
    </row>
    <row r="744" ht="15.75" customHeight="1">
      <c r="B744" s="199"/>
      <c r="N744" s="152"/>
      <c r="Q744" s="195"/>
      <c r="S744" s="200"/>
      <c r="T744" s="200"/>
      <c r="U744" s="152"/>
      <c r="V744" s="152"/>
      <c r="W744" s="157"/>
      <c r="X744" s="197"/>
      <c r="Y744" s="198"/>
    </row>
    <row r="745" ht="15.75" customHeight="1">
      <c r="B745" s="199"/>
      <c r="N745" s="152"/>
      <c r="Q745" s="195"/>
      <c r="S745" s="200"/>
      <c r="T745" s="200"/>
      <c r="U745" s="152"/>
      <c r="V745" s="152"/>
      <c r="W745" s="157"/>
      <c r="X745" s="197"/>
      <c r="Y745" s="198"/>
    </row>
    <row r="746" ht="15.75" customHeight="1">
      <c r="B746" s="199"/>
      <c r="N746" s="152"/>
      <c r="Q746" s="195"/>
      <c r="S746" s="200"/>
      <c r="T746" s="200"/>
      <c r="U746" s="152"/>
      <c r="V746" s="152"/>
      <c r="W746" s="157"/>
      <c r="X746" s="197"/>
      <c r="Y746" s="198"/>
    </row>
    <row r="747" ht="15.75" customHeight="1">
      <c r="B747" s="199"/>
      <c r="N747" s="152"/>
      <c r="Q747" s="195"/>
      <c r="S747" s="200"/>
      <c r="T747" s="200"/>
      <c r="U747" s="152"/>
      <c r="V747" s="152"/>
      <c r="W747" s="157"/>
      <c r="X747" s="197"/>
      <c r="Y747" s="198"/>
    </row>
    <row r="748" ht="15.75" customHeight="1">
      <c r="B748" s="199"/>
      <c r="N748" s="152"/>
      <c r="Q748" s="195"/>
      <c r="S748" s="200"/>
      <c r="T748" s="200"/>
      <c r="U748" s="152"/>
      <c r="V748" s="152"/>
      <c r="W748" s="157"/>
      <c r="X748" s="197"/>
      <c r="Y748" s="198"/>
    </row>
    <row r="749" ht="15.75" customHeight="1">
      <c r="B749" s="199"/>
      <c r="N749" s="152"/>
      <c r="Q749" s="195"/>
      <c r="S749" s="200"/>
      <c r="T749" s="200"/>
      <c r="U749" s="152"/>
      <c r="V749" s="152"/>
      <c r="W749" s="157"/>
      <c r="X749" s="197"/>
      <c r="Y749" s="198"/>
    </row>
    <row r="750" ht="15.75" customHeight="1">
      <c r="B750" s="199"/>
      <c r="N750" s="152"/>
      <c r="Q750" s="195"/>
      <c r="S750" s="200"/>
      <c r="T750" s="200"/>
      <c r="U750" s="152"/>
      <c r="V750" s="152"/>
      <c r="W750" s="157"/>
      <c r="X750" s="197"/>
      <c r="Y750" s="198"/>
    </row>
    <row r="751" ht="15.75" customHeight="1">
      <c r="B751" s="199"/>
      <c r="N751" s="152"/>
      <c r="Q751" s="195"/>
      <c r="S751" s="200"/>
      <c r="T751" s="200"/>
      <c r="U751" s="152"/>
      <c r="V751" s="152"/>
      <c r="W751" s="157"/>
      <c r="X751" s="197"/>
      <c r="Y751" s="198"/>
    </row>
    <row r="752" ht="15.75" customHeight="1">
      <c r="B752" s="199"/>
      <c r="N752" s="152"/>
      <c r="Q752" s="195"/>
      <c r="S752" s="200"/>
      <c r="T752" s="200"/>
      <c r="U752" s="152"/>
      <c r="V752" s="152"/>
      <c r="W752" s="157"/>
      <c r="X752" s="197"/>
      <c r="Y752" s="198"/>
    </row>
    <row r="753" ht="15.75" customHeight="1">
      <c r="B753" s="199"/>
      <c r="N753" s="152"/>
      <c r="Q753" s="195"/>
      <c r="S753" s="200"/>
      <c r="T753" s="200"/>
      <c r="U753" s="152"/>
      <c r="V753" s="152"/>
      <c r="W753" s="157"/>
      <c r="X753" s="197"/>
      <c r="Y753" s="198"/>
    </row>
    <row r="754" ht="15.75" customHeight="1">
      <c r="B754" s="199"/>
      <c r="N754" s="152"/>
      <c r="Q754" s="195"/>
      <c r="S754" s="200"/>
      <c r="T754" s="200"/>
      <c r="U754" s="152"/>
      <c r="V754" s="152"/>
      <c r="W754" s="157"/>
      <c r="X754" s="197"/>
      <c r="Y754" s="198"/>
    </row>
    <row r="755" ht="15.75" customHeight="1">
      <c r="B755" s="199"/>
      <c r="N755" s="152"/>
      <c r="Q755" s="195"/>
      <c r="S755" s="200"/>
      <c r="T755" s="200"/>
      <c r="U755" s="152"/>
      <c r="V755" s="152"/>
      <c r="W755" s="157"/>
      <c r="X755" s="197"/>
      <c r="Y755" s="198"/>
    </row>
    <row r="756" ht="15.75" customHeight="1">
      <c r="B756" s="199"/>
      <c r="N756" s="152"/>
      <c r="Q756" s="195"/>
      <c r="S756" s="200"/>
      <c r="T756" s="200"/>
      <c r="U756" s="152"/>
      <c r="V756" s="152"/>
      <c r="W756" s="157"/>
      <c r="X756" s="197"/>
      <c r="Y756" s="198"/>
    </row>
    <row r="757" ht="15.75" customHeight="1">
      <c r="B757" s="199"/>
      <c r="N757" s="152"/>
      <c r="Q757" s="195"/>
      <c r="S757" s="200"/>
      <c r="T757" s="200"/>
      <c r="U757" s="152"/>
      <c r="V757" s="152"/>
      <c r="W757" s="157"/>
      <c r="X757" s="197"/>
      <c r="Y757" s="198"/>
    </row>
    <row r="758" ht="15.75" customHeight="1">
      <c r="B758" s="199"/>
      <c r="N758" s="152"/>
      <c r="Q758" s="195"/>
      <c r="S758" s="200"/>
      <c r="T758" s="200"/>
      <c r="U758" s="152"/>
      <c r="V758" s="152"/>
      <c r="W758" s="157"/>
      <c r="X758" s="197"/>
      <c r="Y758" s="198"/>
    </row>
    <row r="759" ht="15.75" customHeight="1">
      <c r="B759" s="199"/>
      <c r="N759" s="152"/>
      <c r="Q759" s="195"/>
      <c r="S759" s="200"/>
      <c r="T759" s="200"/>
      <c r="U759" s="152"/>
      <c r="V759" s="152"/>
      <c r="W759" s="157"/>
      <c r="X759" s="197"/>
      <c r="Y759" s="198"/>
    </row>
    <row r="760" ht="15.75" customHeight="1">
      <c r="B760" s="199"/>
      <c r="N760" s="152"/>
      <c r="Q760" s="195"/>
      <c r="S760" s="200"/>
      <c r="T760" s="200"/>
      <c r="U760" s="152"/>
      <c r="V760" s="152"/>
      <c r="W760" s="157"/>
      <c r="X760" s="197"/>
      <c r="Y760" s="198"/>
    </row>
    <row r="761" ht="15.75" customHeight="1">
      <c r="B761" s="199"/>
      <c r="N761" s="152"/>
      <c r="Q761" s="195"/>
      <c r="S761" s="200"/>
      <c r="T761" s="200"/>
      <c r="U761" s="152"/>
      <c r="V761" s="152"/>
      <c r="W761" s="157"/>
      <c r="X761" s="197"/>
      <c r="Y761" s="198"/>
    </row>
    <row r="762" ht="15.75" customHeight="1">
      <c r="B762" s="199"/>
      <c r="N762" s="152"/>
      <c r="Q762" s="195"/>
      <c r="S762" s="200"/>
      <c r="T762" s="200"/>
      <c r="U762" s="152"/>
      <c r="V762" s="152"/>
      <c r="W762" s="157"/>
      <c r="X762" s="197"/>
      <c r="Y762" s="198"/>
    </row>
    <row r="763" ht="15.75" customHeight="1">
      <c r="B763" s="199"/>
      <c r="N763" s="152"/>
      <c r="Q763" s="195"/>
      <c r="S763" s="200"/>
      <c r="T763" s="200"/>
      <c r="U763" s="152"/>
      <c r="V763" s="152"/>
      <c r="W763" s="157"/>
      <c r="X763" s="197"/>
      <c r="Y763" s="198"/>
    </row>
    <row r="764" ht="15.75" customHeight="1">
      <c r="B764" s="199"/>
      <c r="N764" s="152"/>
      <c r="Q764" s="195"/>
      <c r="S764" s="200"/>
      <c r="T764" s="200"/>
      <c r="U764" s="152"/>
      <c r="V764" s="152"/>
      <c r="W764" s="157"/>
      <c r="X764" s="197"/>
      <c r="Y764" s="198"/>
    </row>
    <row r="765" ht="15.75" customHeight="1">
      <c r="B765" s="199"/>
      <c r="N765" s="152"/>
      <c r="Q765" s="195"/>
      <c r="S765" s="200"/>
      <c r="T765" s="200"/>
      <c r="U765" s="152"/>
      <c r="V765" s="152"/>
      <c r="W765" s="157"/>
      <c r="X765" s="197"/>
      <c r="Y765" s="198"/>
    </row>
    <row r="766" ht="15.75" customHeight="1">
      <c r="B766" s="199"/>
      <c r="N766" s="152"/>
      <c r="Q766" s="195"/>
      <c r="S766" s="200"/>
      <c r="T766" s="200"/>
      <c r="U766" s="152"/>
      <c r="V766" s="152"/>
      <c r="W766" s="157"/>
      <c r="X766" s="197"/>
      <c r="Y766" s="198"/>
    </row>
    <row r="767" ht="15.75" customHeight="1">
      <c r="B767" s="199"/>
      <c r="N767" s="152"/>
      <c r="Q767" s="195"/>
      <c r="S767" s="200"/>
      <c r="T767" s="200"/>
      <c r="U767" s="152"/>
      <c r="V767" s="152"/>
      <c r="W767" s="157"/>
      <c r="X767" s="197"/>
      <c r="Y767" s="198"/>
    </row>
    <row r="768" ht="15.75" customHeight="1">
      <c r="B768" s="199"/>
      <c r="N768" s="152"/>
      <c r="Q768" s="195"/>
      <c r="S768" s="200"/>
      <c r="T768" s="200"/>
      <c r="U768" s="152"/>
      <c r="V768" s="152"/>
      <c r="W768" s="157"/>
      <c r="X768" s="197"/>
      <c r="Y768" s="198"/>
    </row>
    <row r="769" ht="15.75" customHeight="1">
      <c r="B769" s="199"/>
      <c r="N769" s="152"/>
      <c r="Q769" s="195"/>
      <c r="S769" s="200"/>
      <c r="T769" s="200"/>
      <c r="U769" s="152"/>
      <c r="V769" s="152"/>
      <c r="W769" s="157"/>
      <c r="X769" s="197"/>
      <c r="Y769" s="198"/>
    </row>
    <row r="770" ht="15.75" customHeight="1">
      <c r="B770" s="199"/>
      <c r="N770" s="152"/>
      <c r="Q770" s="195"/>
      <c r="S770" s="200"/>
      <c r="T770" s="200"/>
      <c r="U770" s="152"/>
      <c r="V770" s="152"/>
      <c r="W770" s="157"/>
      <c r="X770" s="197"/>
      <c r="Y770" s="198"/>
    </row>
    <row r="771" ht="15.75" customHeight="1">
      <c r="B771" s="199"/>
      <c r="N771" s="152"/>
      <c r="Q771" s="195"/>
      <c r="S771" s="200"/>
      <c r="T771" s="200"/>
      <c r="U771" s="152"/>
      <c r="V771" s="152"/>
      <c r="W771" s="157"/>
      <c r="X771" s="197"/>
      <c r="Y771" s="198"/>
    </row>
    <row r="772" ht="15.75" customHeight="1">
      <c r="B772" s="199"/>
      <c r="N772" s="152"/>
      <c r="Q772" s="195"/>
      <c r="S772" s="200"/>
      <c r="T772" s="200"/>
      <c r="U772" s="152"/>
      <c r="V772" s="152"/>
      <c r="W772" s="157"/>
      <c r="X772" s="197"/>
      <c r="Y772" s="198"/>
    </row>
    <row r="773" ht="15.75" customHeight="1">
      <c r="B773" s="199"/>
      <c r="N773" s="152"/>
      <c r="Q773" s="195"/>
      <c r="S773" s="200"/>
      <c r="T773" s="200"/>
      <c r="U773" s="152"/>
      <c r="V773" s="152"/>
      <c r="W773" s="157"/>
      <c r="X773" s="197"/>
      <c r="Y773" s="198"/>
    </row>
    <row r="774" ht="15.75" customHeight="1">
      <c r="B774" s="199"/>
      <c r="N774" s="152"/>
      <c r="Q774" s="195"/>
      <c r="S774" s="200"/>
      <c r="T774" s="200"/>
      <c r="U774" s="152"/>
      <c r="V774" s="152"/>
      <c r="W774" s="157"/>
      <c r="X774" s="197"/>
      <c r="Y774" s="198"/>
    </row>
    <row r="775" ht="15.75" customHeight="1">
      <c r="B775" s="199"/>
      <c r="N775" s="152"/>
      <c r="Q775" s="195"/>
      <c r="S775" s="200"/>
      <c r="T775" s="200"/>
      <c r="U775" s="152"/>
      <c r="V775" s="152"/>
      <c r="W775" s="157"/>
      <c r="X775" s="197"/>
      <c r="Y775" s="198"/>
    </row>
    <row r="776" ht="15.75" customHeight="1">
      <c r="B776" s="199"/>
      <c r="N776" s="152"/>
      <c r="Q776" s="195"/>
      <c r="S776" s="200"/>
      <c r="T776" s="200"/>
      <c r="U776" s="152"/>
      <c r="V776" s="152"/>
      <c r="W776" s="157"/>
      <c r="X776" s="197"/>
      <c r="Y776" s="198"/>
    </row>
    <row r="777" ht="15.75" customHeight="1">
      <c r="B777" s="199"/>
      <c r="N777" s="152"/>
      <c r="Q777" s="195"/>
      <c r="S777" s="200"/>
      <c r="T777" s="200"/>
      <c r="U777" s="152"/>
      <c r="V777" s="152"/>
      <c r="W777" s="157"/>
      <c r="X777" s="197"/>
      <c r="Y777" s="198"/>
    </row>
    <row r="778" ht="15.75" customHeight="1">
      <c r="B778" s="199"/>
      <c r="N778" s="152"/>
      <c r="Q778" s="195"/>
      <c r="S778" s="200"/>
      <c r="T778" s="200"/>
      <c r="U778" s="152"/>
      <c r="V778" s="152"/>
      <c r="W778" s="157"/>
      <c r="X778" s="197"/>
      <c r="Y778" s="198"/>
    </row>
    <row r="779" ht="15.75" customHeight="1">
      <c r="B779" s="199"/>
      <c r="N779" s="152"/>
      <c r="Q779" s="195"/>
      <c r="S779" s="200"/>
      <c r="T779" s="200"/>
      <c r="U779" s="152"/>
      <c r="V779" s="152"/>
      <c r="W779" s="157"/>
      <c r="X779" s="197"/>
      <c r="Y779" s="198"/>
    </row>
    <row r="780" ht="15.75" customHeight="1">
      <c r="B780" s="199"/>
      <c r="N780" s="152"/>
      <c r="Q780" s="195"/>
      <c r="S780" s="200"/>
      <c r="T780" s="200"/>
      <c r="U780" s="152"/>
      <c r="V780" s="152"/>
      <c r="W780" s="157"/>
      <c r="X780" s="197"/>
      <c r="Y780" s="198"/>
    </row>
    <row r="781" ht="15.75" customHeight="1">
      <c r="B781" s="199"/>
      <c r="N781" s="152"/>
      <c r="Q781" s="195"/>
      <c r="S781" s="200"/>
      <c r="T781" s="200"/>
      <c r="U781" s="152"/>
      <c r="V781" s="152"/>
      <c r="W781" s="157"/>
      <c r="X781" s="197"/>
      <c r="Y781" s="198"/>
    </row>
    <row r="782" ht="15.75" customHeight="1">
      <c r="B782" s="199"/>
      <c r="N782" s="152"/>
      <c r="Q782" s="195"/>
      <c r="S782" s="200"/>
      <c r="T782" s="200"/>
      <c r="U782" s="152"/>
      <c r="V782" s="152"/>
      <c r="W782" s="157"/>
      <c r="X782" s="197"/>
      <c r="Y782" s="198"/>
    </row>
    <row r="783" ht="15.75" customHeight="1">
      <c r="B783" s="199"/>
      <c r="N783" s="152"/>
      <c r="Q783" s="195"/>
      <c r="S783" s="200"/>
      <c r="T783" s="200"/>
      <c r="U783" s="152"/>
      <c r="V783" s="152"/>
      <c r="W783" s="157"/>
      <c r="X783" s="197"/>
      <c r="Y783" s="198"/>
    </row>
    <row r="784" ht="15.75" customHeight="1">
      <c r="B784" s="199"/>
      <c r="N784" s="152"/>
      <c r="Q784" s="195"/>
      <c r="S784" s="200"/>
      <c r="T784" s="200"/>
      <c r="U784" s="152"/>
      <c r="V784" s="152"/>
      <c r="W784" s="157"/>
      <c r="X784" s="197"/>
      <c r="Y784" s="198"/>
    </row>
    <row r="785" ht="15.75" customHeight="1">
      <c r="B785" s="199"/>
      <c r="N785" s="152"/>
      <c r="Q785" s="195"/>
      <c r="S785" s="200"/>
      <c r="T785" s="200"/>
      <c r="U785" s="152"/>
      <c r="V785" s="152"/>
      <c r="W785" s="157"/>
      <c r="X785" s="197"/>
      <c r="Y785" s="198"/>
    </row>
    <row r="786" ht="15.75" customHeight="1">
      <c r="B786" s="199"/>
      <c r="N786" s="152"/>
      <c r="Q786" s="195"/>
      <c r="S786" s="200"/>
      <c r="T786" s="200"/>
      <c r="U786" s="152"/>
      <c r="V786" s="152"/>
      <c r="W786" s="157"/>
      <c r="X786" s="197"/>
      <c r="Y786" s="198"/>
    </row>
    <row r="787" ht="15.75" customHeight="1">
      <c r="B787" s="199"/>
      <c r="N787" s="152"/>
      <c r="Q787" s="195"/>
      <c r="S787" s="200"/>
      <c r="T787" s="200"/>
      <c r="U787" s="152"/>
      <c r="V787" s="152"/>
      <c r="W787" s="157"/>
      <c r="X787" s="197"/>
      <c r="Y787" s="198"/>
    </row>
    <row r="788" ht="15.75" customHeight="1">
      <c r="B788" s="199"/>
      <c r="N788" s="152"/>
      <c r="Q788" s="195"/>
      <c r="S788" s="200"/>
      <c r="T788" s="200"/>
      <c r="U788" s="152"/>
      <c r="V788" s="152"/>
      <c r="W788" s="157"/>
      <c r="X788" s="197"/>
      <c r="Y788" s="198"/>
    </row>
    <row r="789" ht="15.75" customHeight="1">
      <c r="B789" s="199"/>
      <c r="N789" s="152"/>
      <c r="Q789" s="195"/>
      <c r="S789" s="200"/>
      <c r="T789" s="200"/>
      <c r="U789" s="152"/>
      <c r="V789" s="152"/>
      <c r="W789" s="157"/>
      <c r="X789" s="197"/>
      <c r="Y789" s="198"/>
    </row>
    <row r="790" ht="15.75" customHeight="1">
      <c r="B790" s="199"/>
      <c r="N790" s="152"/>
      <c r="Q790" s="195"/>
      <c r="S790" s="200"/>
      <c r="T790" s="200"/>
      <c r="U790" s="152"/>
      <c r="V790" s="152"/>
      <c r="W790" s="157"/>
      <c r="X790" s="197"/>
      <c r="Y790" s="198"/>
    </row>
    <row r="791" ht="15.75" customHeight="1">
      <c r="B791" s="199"/>
      <c r="N791" s="152"/>
      <c r="Q791" s="195"/>
      <c r="S791" s="200"/>
      <c r="T791" s="200"/>
      <c r="U791" s="152"/>
      <c r="V791" s="152"/>
      <c r="W791" s="157"/>
      <c r="X791" s="197"/>
      <c r="Y791" s="198"/>
    </row>
    <row r="792" ht="15.75" customHeight="1">
      <c r="B792" s="199"/>
      <c r="N792" s="152"/>
      <c r="Q792" s="195"/>
      <c r="S792" s="200"/>
      <c r="T792" s="200"/>
      <c r="U792" s="152"/>
      <c r="V792" s="152"/>
      <c r="W792" s="157"/>
      <c r="X792" s="197"/>
      <c r="Y792" s="198"/>
    </row>
    <row r="793" ht="15.75" customHeight="1">
      <c r="B793" s="199"/>
      <c r="N793" s="152"/>
      <c r="Q793" s="195"/>
      <c r="S793" s="200"/>
      <c r="T793" s="200"/>
      <c r="U793" s="152"/>
      <c r="V793" s="152"/>
      <c r="W793" s="157"/>
      <c r="X793" s="197"/>
      <c r="Y793" s="198"/>
    </row>
    <row r="794" ht="15.75" customHeight="1">
      <c r="B794" s="199"/>
      <c r="N794" s="152"/>
      <c r="Q794" s="195"/>
      <c r="S794" s="200"/>
      <c r="T794" s="200"/>
      <c r="U794" s="152"/>
      <c r="V794" s="152"/>
      <c r="W794" s="157"/>
      <c r="X794" s="197"/>
      <c r="Y794" s="198"/>
    </row>
    <row r="795" ht="15.75" customHeight="1">
      <c r="B795" s="199"/>
      <c r="N795" s="152"/>
      <c r="Q795" s="195"/>
      <c r="S795" s="200"/>
      <c r="T795" s="200"/>
      <c r="U795" s="152"/>
      <c r="V795" s="152"/>
      <c r="W795" s="157"/>
      <c r="X795" s="197"/>
      <c r="Y795" s="198"/>
    </row>
    <row r="796" ht="15.75" customHeight="1">
      <c r="B796" s="199"/>
      <c r="N796" s="152"/>
      <c r="Q796" s="195"/>
      <c r="S796" s="200"/>
      <c r="T796" s="200"/>
      <c r="U796" s="152"/>
      <c r="V796" s="152"/>
      <c r="W796" s="157"/>
      <c r="X796" s="197"/>
      <c r="Y796" s="198"/>
    </row>
    <row r="797" ht="15.75" customHeight="1">
      <c r="B797" s="199"/>
      <c r="N797" s="152"/>
      <c r="Q797" s="195"/>
      <c r="S797" s="200"/>
      <c r="T797" s="200"/>
      <c r="U797" s="152"/>
      <c r="V797" s="152"/>
      <c r="W797" s="157"/>
      <c r="X797" s="197"/>
      <c r="Y797" s="198"/>
    </row>
    <row r="798" ht="15.75" customHeight="1">
      <c r="B798" s="199"/>
      <c r="N798" s="152"/>
      <c r="Q798" s="195"/>
      <c r="S798" s="200"/>
      <c r="T798" s="200"/>
      <c r="U798" s="152"/>
      <c r="V798" s="152"/>
      <c r="W798" s="157"/>
      <c r="X798" s="197"/>
      <c r="Y798" s="198"/>
    </row>
    <row r="799" ht="15.75" customHeight="1">
      <c r="B799" s="199"/>
      <c r="N799" s="152"/>
      <c r="Q799" s="195"/>
      <c r="S799" s="200"/>
      <c r="T799" s="200"/>
      <c r="U799" s="152"/>
      <c r="V799" s="152"/>
      <c r="W799" s="157"/>
      <c r="X799" s="197"/>
      <c r="Y799" s="198"/>
    </row>
    <row r="800" ht="15.75" customHeight="1">
      <c r="B800" s="199"/>
      <c r="N800" s="152"/>
      <c r="Q800" s="195"/>
      <c r="S800" s="200"/>
      <c r="T800" s="200"/>
      <c r="U800" s="152"/>
      <c r="V800" s="152"/>
      <c r="W800" s="157"/>
      <c r="X800" s="197"/>
      <c r="Y800" s="198"/>
    </row>
    <row r="801" ht="15.75" customHeight="1">
      <c r="B801" s="199"/>
      <c r="N801" s="152"/>
      <c r="Q801" s="195"/>
      <c r="S801" s="200"/>
      <c r="T801" s="200"/>
      <c r="U801" s="152"/>
      <c r="V801" s="152"/>
      <c r="W801" s="157"/>
      <c r="X801" s="197"/>
      <c r="Y801" s="198"/>
    </row>
    <row r="802" ht="15.75" customHeight="1">
      <c r="B802" s="199"/>
      <c r="N802" s="152"/>
      <c r="Q802" s="195"/>
      <c r="S802" s="200"/>
      <c r="T802" s="200"/>
      <c r="U802" s="152"/>
      <c r="V802" s="152"/>
      <c r="W802" s="157"/>
      <c r="X802" s="197"/>
      <c r="Y802" s="198"/>
    </row>
    <row r="803" ht="15.75" customHeight="1">
      <c r="B803" s="199"/>
      <c r="N803" s="152"/>
      <c r="Q803" s="195"/>
      <c r="S803" s="200"/>
      <c r="T803" s="200"/>
      <c r="U803" s="152"/>
      <c r="V803" s="152"/>
      <c r="W803" s="157"/>
      <c r="X803" s="197"/>
      <c r="Y803" s="198"/>
    </row>
    <row r="804" ht="15.75" customHeight="1">
      <c r="B804" s="199"/>
      <c r="N804" s="152"/>
      <c r="Q804" s="195"/>
      <c r="S804" s="200"/>
      <c r="T804" s="200"/>
      <c r="U804" s="152"/>
      <c r="V804" s="152"/>
      <c r="W804" s="157"/>
      <c r="X804" s="197"/>
      <c r="Y804" s="198"/>
    </row>
    <row r="805" ht="15.75" customHeight="1">
      <c r="B805" s="199"/>
      <c r="N805" s="152"/>
      <c r="Q805" s="195"/>
      <c r="S805" s="200"/>
      <c r="T805" s="200"/>
      <c r="U805" s="152"/>
      <c r="V805" s="152"/>
      <c r="W805" s="157"/>
      <c r="X805" s="197"/>
      <c r="Y805" s="198"/>
    </row>
    <row r="806" ht="15.75" customHeight="1">
      <c r="B806" s="199"/>
      <c r="N806" s="152"/>
      <c r="Q806" s="195"/>
      <c r="S806" s="200"/>
      <c r="T806" s="200"/>
      <c r="U806" s="152"/>
      <c r="V806" s="152"/>
      <c r="W806" s="157"/>
      <c r="X806" s="197"/>
      <c r="Y806" s="198"/>
    </row>
    <row r="807" ht="15.75" customHeight="1">
      <c r="B807" s="199"/>
      <c r="N807" s="152"/>
      <c r="Q807" s="195"/>
      <c r="S807" s="200"/>
      <c r="T807" s="200"/>
      <c r="U807" s="152"/>
      <c r="V807" s="152"/>
      <c r="W807" s="157"/>
      <c r="X807" s="197"/>
      <c r="Y807" s="198"/>
    </row>
    <row r="808" ht="15.75" customHeight="1">
      <c r="B808" s="199"/>
      <c r="N808" s="152"/>
      <c r="Q808" s="195"/>
      <c r="S808" s="200"/>
      <c r="T808" s="200"/>
      <c r="U808" s="152"/>
      <c r="V808" s="152"/>
      <c r="W808" s="157"/>
      <c r="X808" s="197"/>
      <c r="Y808" s="198"/>
    </row>
    <row r="809" ht="15.75" customHeight="1">
      <c r="B809" s="199"/>
      <c r="N809" s="152"/>
      <c r="Q809" s="195"/>
      <c r="S809" s="200"/>
      <c r="T809" s="200"/>
      <c r="U809" s="152"/>
      <c r="V809" s="152"/>
      <c r="W809" s="157"/>
      <c r="X809" s="197"/>
      <c r="Y809" s="198"/>
    </row>
    <row r="810" ht="15.75" customHeight="1">
      <c r="B810" s="199"/>
      <c r="N810" s="152"/>
      <c r="Q810" s="195"/>
      <c r="S810" s="200"/>
      <c r="T810" s="200"/>
      <c r="U810" s="152"/>
      <c r="V810" s="152"/>
      <c r="W810" s="157"/>
      <c r="X810" s="197"/>
      <c r="Y810" s="198"/>
    </row>
    <row r="811" ht="15.75" customHeight="1">
      <c r="B811" s="199"/>
      <c r="N811" s="152"/>
      <c r="Q811" s="195"/>
      <c r="S811" s="200"/>
      <c r="T811" s="200"/>
      <c r="U811" s="152"/>
      <c r="V811" s="152"/>
      <c r="W811" s="157"/>
      <c r="X811" s="197"/>
      <c r="Y811" s="198"/>
    </row>
    <row r="812" ht="15.75" customHeight="1">
      <c r="B812" s="199"/>
      <c r="N812" s="152"/>
      <c r="Q812" s="195"/>
      <c r="S812" s="200"/>
      <c r="T812" s="200"/>
      <c r="U812" s="152"/>
      <c r="V812" s="152"/>
      <c r="W812" s="157"/>
      <c r="X812" s="197"/>
      <c r="Y812" s="198"/>
    </row>
    <row r="813" ht="15.75" customHeight="1">
      <c r="B813" s="199"/>
      <c r="N813" s="152"/>
      <c r="Q813" s="195"/>
      <c r="S813" s="200"/>
      <c r="T813" s="200"/>
      <c r="U813" s="152"/>
      <c r="V813" s="152"/>
      <c r="W813" s="157"/>
      <c r="X813" s="197"/>
      <c r="Y813" s="198"/>
    </row>
    <row r="814" ht="15.75" customHeight="1">
      <c r="B814" s="199"/>
      <c r="N814" s="152"/>
      <c r="Q814" s="195"/>
      <c r="S814" s="200"/>
      <c r="T814" s="200"/>
      <c r="U814" s="152"/>
      <c r="V814" s="152"/>
      <c r="W814" s="157"/>
      <c r="X814" s="197"/>
      <c r="Y814" s="198"/>
    </row>
    <row r="815" ht="15.75" customHeight="1">
      <c r="B815" s="199"/>
      <c r="N815" s="152"/>
      <c r="Q815" s="195"/>
      <c r="S815" s="200"/>
      <c r="T815" s="200"/>
      <c r="U815" s="152"/>
      <c r="V815" s="152"/>
      <c r="W815" s="157"/>
      <c r="X815" s="197"/>
      <c r="Y815" s="198"/>
    </row>
    <row r="816" ht="15.75" customHeight="1">
      <c r="B816" s="199"/>
      <c r="N816" s="152"/>
      <c r="Q816" s="195"/>
      <c r="S816" s="200"/>
      <c r="T816" s="200"/>
      <c r="U816" s="152"/>
      <c r="V816" s="152"/>
      <c r="W816" s="157"/>
      <c r="X816" s="197"/>
      <c r="Y816" s="198"/>
    </row>
    <row r="817" ht="15.75" customHeight="1">
      <c r="B817" s="199"/>
      <c r="N817" s="152"/>
      <c r="Q817" s="195"/>
      <c r="S817" s="200"/>
      <c r="T817" s="200"/>
      <c r="U817" s="152"/>
      <c r="V817" s="152"/>
      <c r="W817" s="157"/>
      <c r="X817" s="197"/>
      <c r="Y817" s="198"/>
    </row>
    <row r="818" ht="15.75" customHeight="1">
      <c r="B818" s="199"/>
      <c r="N818" s="152"/>
      <c r="Q818" s="195"/>
      <c r="S818" s="200"/>
      <c r="T818" s="200"/>
      <c r="U818" s="152"/>
      <c r="V818" s="152"/>
      <c r="W818" s="157"/>
      <c r="X818" s="197"/>
      <c r="Y818" s="198"/>
    </row>
    <row r="819" ht="15.75" customHeight="1">
      <c r="B819" s="199"/>
      <c r="N819" s="152"/>
      <c r="Q819" s="195"/>
      <c r="S819" s="200"/>
      <c r="T819" s="200"/>
      <c r="U819" s="152"/>
      <c r="V819" s="152"/>
      <c r="W819" s="157"/>
      <c r="X819" s="197"/>
      <c r="Y819" s="198"/>
    </row>
    <row r="820" ht="15.75" customHeight="1">
      <c r="B820" s="199"/>
      <c r="N820" s="152"/>
      <c r="Q820" s="195"/>
      <c r="S820" s="200"/>
      <c r="T820" s="200"/>
      <c r="U820" s="152"/>
      <c r="V820" s="152"/>
      <c r="W820" s="157"/>
      <c r="X820" s="197"/>
      <c r="Y820" s="198"/>
    </row>
    <row r="821" ht="15.75" customHeight="1">
      <c r="B821" s="199"/>
      <c r="N821" s="152"/>
      <c r="Q821" s="195"/>
      <c r="S821" s="200"/>
      <c r="T821" s="200"/>
      <c r="U821" s="152"/>
      <c r="V821" s="152"/>
      <c r="W821" s="157"/>
      <c r="X821" s="197"/>
      <c r="Y821" s="198"/>
    </row>
    <row r="822" ht="15.75" customHeight="1">
      <c r="B822" s="199"/>
      <c r="N822" s="152"/>
      <c r="Q822" s="195"/>
      <c r="S822" s="200"/>
      <c r="T822" s="200"/>
      <c r="U822" s="152"/>
      <c r="V822" s="152"/>
      <c r="W822" s="157"/>
      <c r="X822" s="197"/>
      <c r="Y822" s="198"/>
    </row>
    <row r="823" ht="15.75" customHeight="1">
      <c r="B823" s="199"/>
      <c r="N823" s="152"/>
      <c r="Q823" s="195"/>
      <c r="S823" s="200"/>
      <c r="T823" s="200"/>
      <c r="U823" s="152"/>
      <c r="V823" s="152"/>
      <c r="W823" s="157"/>
      <c r="X823" s="197"/>
      <c r="Y823" s="198"/>
    </row>
    <row r="824" ht="15.75" customHeight="1">
      <c r="B824" s="199"/>
      <c r="N824" s="152"/>
      <c r="Q824" s="195"/>
      <c r="S824" s="200"/>
      <c r="T824" s="200"/>
      <c r="U824" s="152"/>
      <c r="V824" s="152"/>
      <c r="W824" s="157"/>
      <c r="X824" s="197"/>
      <c r="Y824" s="198"/>
    </row>
    <row r="825" ht="15.75" customHeight="1">
      <c r="B825" s="199"/>
      <c r="N825" s="152"/>
      <c r="Q825" s="195"/>
      <c r="S825" s="200"/>
      <c r="T825" s="200"/>
      <c r="U825" s="152"/>
      <c r="V825" s="152"/>
      <c r="W825" s="157"/>
      <c r="X825" s="197"/>
      <c r="Y825" s="198"/>
    </row>
    <row r="826" ht="15.75" customHeight="1">
      <c r="B826" s="199"/>
      <c r="N826" s="152"/>
      <c r="Q826" s="195"/>
      <c r="S826" s="200"/>
      <c r="T826" s="200"/>
      <c r="U826" s="152"/>
      <c r="V826" s="152"/>
      <c r="W826" s="157"/>
      <c r="X826" s="197"/>
      <c r="Y826" s="198"/>
    </row>
    <row r="827" ht="15.75" customHeight="1">
      <c r="B827" s="199"/>
      <c r="N827" s="152"/>
      <c r="Q827" s="195"/>
      <c r="S827" s="200"/>
      <c r="T827" s="200"/>
      <c r="U827" s="152"/>
      <c r="V827" s="152"/>
      <c r="W827" s="157"/>
      <c r="X827" s="197"/>
      <c r="Y827" s="198"/>
    </row>
    <row r="828" ht="15.75" customHeight="1">
      <c r="B828" s="199"/>
      <c r="N828" s="152"/>
      <c r="Q828" s="195"/>
      <c r="S828" s="200"/>
      <c r="T828" s="200"/>
      <c r="U828" s="152"/>
      <c r="V828" s="152"/>
      <c r="W828" s="157"/>
      <c r="X828" s="197"/>
      <c r="Y828" s="198"/>
    </row>
    <row r="829" ht="15.75" customHeight="1">
      <c r="B829" s="199"/>
      <c r="N829" s="152"/>
      <c r="Q829" s="195"/>
      <c r="S829" s="200"/>
      <c r="T829" s="200"/>
      <c r="U829" s="152"/>
      <c r="V829" s="152"/>
      <c r="W829" s="157"/>
      <c r="X829" s="197"/>
      <c r="Y829" s="198"/>
    </row>
    <row r="830" ht="15.75" customHeight="1">
      <c r="B830" s="199"/>
      <c r="N830" s="152"/>
      <c r="Q830" s="195"/>
      <c r="S830" s="200"/>
      <c r="T830" s="200"/>
      <c r="U830" s="152"/>
      <c r="V830" s="152"/>
      <c r="W830" s="157"/>
      <c r="X830" s="197"/>
      <c r="Y830" s="198"/>
    </row>
    <row r="831" ht="15.75" customHeight="1">
      <c r="B831" s="199"/>
      <c r="N831" s="152"/>
      <c r="Q831" s="195"/>
      <c r="S831" s="200"/>
      <c r="T831" s="200"/>
      <c r="U831" s="152"/>
      <c r="V831" s="152"/>
      <c r="W831" s="157"/>
      <c r="X831" s="197"/>
      <c r="Y831" s="198"/>
    </row>
    <row r="832" ht="15.75" customHeight="1">
      <c r="B832" s="199"/>
      <c r="N832" s="152"/>
      <c r="Q832" s="195"/>
      <c r="S832" s="200"/>
      <c r="T832" s="200"/>
      <c r="U832" s="152"/>
      <c r="V832" s="152"/>
      <c r="W832" s="157"/>
      <c r="X832" s="197"/>
      <c r="Y832" s="198"/>
    </row>
    <row r="833" ht="15.75" customHeight="1">
      <c r="B833" s="199"/>
      <c r="N833" s="152"/>
      <c r="Q833" s="195"/>
      <c r="S833" s="200"/>
      <c r="T833" s="200"/>
      <c r="U833" s="152"/>
      <c r="V833" s="152"/>
      <c r="W833" s="157"/>
      <c r="X833" s="197"/>
      <c r="Y833" s="198"/>
    </row>
    <row r="834" ht="15.75" customHeight="1">
      <c r="B834" s="199"/>
      <c r="N834" s="152"/>
      <c r="Q834" s="195"/>
      <c r="S834" s="200"/>
      <c r="T834" s="200"/>
      <c r="U834" s="152"/>
      <c r="V834" s="152"/>
      <c r="W834" s="157"/>
      <c r="X834" s="197"/>
      <c r="Y834" s="198"/>
    </row>
    <row r="835" ht="15.75" customHeight="1">
      <c r="B835" s="199"/>
      <c r="N835" s="152"/>
      <c r="Q835" s="195"/>
      <c r="S835" s="200"/>
      <c r="T835" s="200"/>
      <c r="U835" s="152"/>
      <c r="V835" s="152"/>
      <c r="W835" s="157"/>
      <c r="X835" s="197"/>
      <c r="Y835" s="198"/>
    </row>
    <row r="836" ht="15.75" customHeight="1">
      <c r="B836" s="199"/>
      <c r="N836" s="152"/>
      <c r="Q836" s="195"/>
      <c r="S836" s="200"/>
      <c r="T836" s="200"/>
      <c r="U836" s="152"/>
      <c r="V836" s="152"/>
      <c r="W836" s="157"/>
      <c r="X836" s="197"/>
      <c r="Y836" s="198"/>
    </row>
    <row r="837" ht="15.75" customHeight="1">
      <c r="B837" s="199"/>
      <c r="N837" s="152"/>
      <c r="Q837" s="195"/>
      <c r="S837" s="200"/>
      <c r="T837" s="200"/>
      <c r="U837" s="152"/>
      <c r="V837" s="152"/>
      <c r="W837" s="157"/>
      <c r="X837" s="197"/>
      <c r="Y837" s="198"/>
    </row>
    <row r="838" ht="15.75" customHeight="1">
      <c r="B838" s="199"/>
      <c r="N838" s="152"/>
      <c r="Q838" s="195"/>
      <c r="S838" s="200"/>
      <c r="T838" s="200"/>
      <c r="U838" s="152"/>
      <c r="V838" s="152"/>
      <c r="W838" s="157"/>
      <c r="X838" s="197"/>
      <c r="Y838" s="198"/>
    </row>
    <row r="839" ht="15.75" customHeight="1">
      <c r="B839" s="199"/>
      <c r="N839" s="152"/>
      <c r="Q839" s="195"/>
      <c r="S839" s="200"/>
      <c r="T839" s="200"/>
      <c r="U839" s="152"/>
      <c r="V839" s="152"/>
      <c r="W839" s="157"/>
      <c r="X839" s="197"/>
      <c r="Y839" s="198"/>
    </row>
    <row r="840" ht="15.75" customHeight="1">
      <c r="B840" s="199"/>
      <c r="N840" s="152"/>
      <c r="Q840" s="195"/>
      <c r="S840" s="200"/>
      <c r="T840" s="200"/>
      <c r="U840" s="152"/>
      <c r="V840" s="152"/>
      <c r="W840" s="157"/>
      <c r="X840" s="197"/>
      <c r="Y840" s="198"/>
    </row>
    <row r="841" ht="15.75" customHeight="1">
      <c r="B841" s="199"/>
      <c r="N841" s="152"/>
      <c r="Q841" s="195"/>
      <c r="S841" s="200"/>
      <c r="T841" s="200"/>
      <c r="U841" s="152"/>
      <c r="V841" s="152"/>
      <c r="W841" s="157"/>
      <c r="X841" s="197"/>
      <c r="Y841" s="198"/>
    </row>
    <row r="842" ht="15.75" customHeight="1">
      <c r="B842" s="199"/>
      <c r="N842" s="152"/>
      <c r="Q842" s="195"/>
      <c r="S842" s="200"/>
      <c r="T842" s="200"/>
      <c r="U842" s="152"/>
      <c r="V842" s="152"/>
      <c r="W842" s="157"/>
      <c r="X842" s="197"/>
      <c r="Y842" s="198"/>
    </row>
    <row r="843" ht="15.75" customHeight="1">
      <c r="B843" s="199"/>
      <c r="N843" s="152"/>
      <c r="Q843" s="195"/>
      <c r="S843" s="200"/>
      <c r="T843" s="200"/>
      <c r="U843" s="152"/>
      <c r="V843" s="152"/>
      <c r="W843" s="157"/>
      <c r="X843" s="197"/>
      <c r="Y843" s="198"/>
    </row>
    <row r="844" ht="15.75" customHeight="1">
      <c r="B844" s="199"/>
      <c r="N844" s="152"/>
      <c r="Q844" s="195"/>
      <c r="S844" s="200"/>
      <c r="T844" s="200"/>
      <c r="U844" s="152"/>
      <c r="V844" s="152"/>
      <c r="W844" s="157"/>
      <c r="X844" s="197"/>
      <c r="Y844" s="198"/>
    </row>
    <row r="845" ht="15.75" customHeight="1">
      <c r="B845" s="199"/>
      <c r="N845" s="152"/>
      <c r="Q845" s="195"/>
      <c r="S845" s="200"/>
      <c r="T845" s="200"/>
      <c r="U845" s="152"/>
      <c r="V845" s="152"/>
      <c r="W845" s="157"/>
      <c r="X845" s="197"/>
      <c r="Y845" s="198"/>
    </row>
    <row r="846" ht="15.75" customHeight="1">
      <c r="B846" s="199"/>
      <c r="N846" s="152"/>
      <c r="Q846" s="195"/>
      <c r="S846" s="200"/>
      <c r="T846" s="200"/>
      <c r="U846" s="152"/>
      <c r="V846" s="152"/>
      <c r="W846" s="157"/>
      <c r="X846" s="197"/>
      <c r="Y846" s="198"/>
    </row>
    <row r="847" ht="15.75" customHeight="1">
      <c r="B847" s="199"/>
      <c r="N847" s="152"/>
      <c r="Q847" s="195"/>
      <c r="S847" s="200"/>
      <c r="T847" s="200"/>
      <c r="U847" s="152"/>
      <c r="V847" s="152"/>
      <c r="W847" s="157"/>
      <c r="X847" s="197"/>
      <c r="Y847" s="198"/>
    </row>
    <row r="848" ht="15.75" customHeight="1">
      <c r="B848" s="199"/>
      <c r="N848" s="152"/>
      <c r="Q848" s="195"/>
      <c r="S848" s="200"/>
      <c r="T848" s="200"/>
      <c r="U848" s="152"/>
      <c r="V848" s="152"/>
      <c r="W848" s="157"/>
      <c r="X848" s="197"/>
      <c r="Y848" s="198"/>
    </row>
    <row r="849" ht="15.75" customHeight="1">
      <c r="B849" s="199"/>
      <c r="N849" s="152"/>
      <c r="Q849" s="195"/>
      <c r="S849" s="200"/>
      <c r="T849" s="200"/>
      <c r="U849" s="152"/>
      <c r="V849" s="152"/>
      <c r="W849" s="157"/>
      <c r="X849" s="197"/>
      <c r="Y849" s="198"/>
    </row>
    <row r="850" ht="15.75" customHeight="1">
      <c r="B850" s="199"/>
      <c r="N850" s="152"/>
      <c r="Q850" s="195"/>
      <c r="S850" s="200"/>
      <c r="T850" s="200"/>
      <c r="U850" s="152"/>
      <c r="V850" s="152"/>
      <c r="W850" s="157"/>
      <c r="X850" s="197"/>
      <c r="Y850" s="198"/>
    </row>
    <row r="851" ht="15.75" customHeight="1">
      <c r="B851" s="199"/>
      <c r="N851" s="152"/>
      <c r="Q851" s="195"/>
      <c r="S851" s="200"/>
      <c r="T851" s="200"/>
      <c r="U851" s="152"/>
      <c r="V851" s="152"/>
      <c r="W851" s="157"/>
      <c r="X851" s="197"/>
      <c r="Y851" s="198"/>
    </row>
    <row r="852" ht="15.75" customHeight="1">
      <c r="B852" s="199"/>
      <c r="N852" s="152"/>
      <c r="Q852" s="195"/>
      <c r="S852" s="200"/>
      <c r="T852" s="200"/>
      <c r="U852" s="152"/>
      <c r="V852" s="152"/>
      <c r="W852" s="157"/>
      <c r="X852" s="197"/>
      <c r="Y852" s="198"/>
    </row>
    <row r="853" ht="15.75" customHeight="1">
      <c r="B853" s="199"/>
      <c r="N853" s="152"/>
      <c r="Q853" s="195"/>
      <c r="S853" s="200"/>
      <c r="T853" s="200"/>
      <c r="U853" s="152"/>
      <c r="V853" s="152"/>
      <c r="W853" s="157"/>
      <c r="X853" s="197"/>
      <c r="Y853" s="198"/>
    </row>
    <row r="854" ht="15.75" customHeight="1">
      <c r="B854" s="199"/>
      <c r="N854" s="152"/>
      <c r="Q854" s="195"/>
      <c r="S854" s="200"/>
      <c r="T854" s="200"/>
      <c r="U854" s="152"/>
      <c r="V854" s="152"/>
      <c r="W854" s="157"/>
      <c r="X854" s="197"/>
      <c r="Y854" s="198"/>
    </row>
    <row r="855" ht="15.75" customHeight="1">
      <c r="B855" s="199"/>
      <c r="N855" s="152"/>
      <c r="Q855" s="195"/>
      <c r="S855" s="200"/>
      <c r="T855" s="200"/>
      <c r="U855" s="152"/>
      <c r="V855" s="152"/>
      <c r="W855" s="157"/>
      <c r="X855" s="197"/>
      <c r="Y855" s="198"/>
    </row>
    <row r="856" ht="15.75" customHeight="1">
      <c r="B856" s="199"/>
      <c r="N856" s="152"/>
      <c r="Q856" s="195"/>
      <c r="S856" s="200"/>
      <c r="T856" s="200"/>
      <c r="U856" s="152"/>
      <c r="V856" s="152"/>
      <c r="W856" s="157"/>
      <c r="X856" s="197"/>
      <c r="Y856" s="198"/>
    </row>
    <row r="857" ht="15.75" customHeight="1">
      <c r="B857" s="199"/>
      <c r="N857" s="152"/>
      <c r="Q857" s="195"/>
      <c r="S857" s="200"/>
      <c r="T857" s="200"/>
      <c r="U857" s="152"/>
      <c r="V857" s="152"/>
      <c r="W857" s="157"/>
      <c r="X857" s="197"/>
      <c r="Y857" s="198"/>
    </row>
    <row r="858" ht="15.75" customHeight="1">
      <c r="B858" s="199"/>
      <c r="N858" s="152"/>
      <c r="Q858" s="195"/>
      <c r="S858" s="200"/>
      <c r="T858" s="200"/>
      <c r="U858" s="152"/>
      <c r="V858" s="152"/>
      <c r="W858" s="157"/>
      <c r="X858" s="197"/>
      <c r="Y858" s="198"/>
    </row>
    <row r="859" ht="15.75" customHeight="1">
      <c r="B859" s="199"/>
      <c r="N859" s="152"/>
      <c r="Q859" s="195"/>
      <c r="S859" s="200"/>
      <c r="T859" s="200"/>
      <c r="U859" s="152"/>
      <c r="V859" s="152"/>
      <c r="W859" s="157"/>
      <c r="X859" s="197"/>
      <c r="Y859" s="198"/>
    </row>
    <row r="860" ht="15.75" customHeight="1">
      <c r="B860" s="199"/>
      <c r="N860" s="152"/>
      <c r="Q860" s="195"/>
      <c r="S860" s="200"/>
      <c r="T860" s="200"/>
      <c r="U860" s="152"/>
      <c r="V860" s="152"/>
      <c r="W860" s="157"/>
      <c r="X860" s="197"/>
      <c r="Y860" s="198"/>
    </row>
    <row r="861" ht="15.75" customHeight="1">
      <c r="B861" s="199"/>
      <c r="N861" s="152"/>
      <c r="Q861" s="195"/>
      <c r="S861" s="200"/>
      <c r="T861" s="200"/>
      <c r="U861" s="152"/>
      <c r="V861" s="152"/>
      <c r="W861" s="157"/>
      <c r="X861" s="197"/>
      <c r="Y861" s="198"/>
    </row>
    <row r="862" ht="15.75" customHeight="1">
      <c r="B862" s="199"/>
      <c r="N862" s="152"/>
      <c r="Q862" s="195"/>
      <c r="S862" s="200"/>
      <c r="T862" s="200"/>
      <c r="U862" s="152"/>
      <c r="V862" s="152"/>
      <c r="W862" s="157"/>
      <c r="X862" s="197"/>
      <c r="Y862" s="198"/>
    </row>
    <row r="863" ht="15.75" customHeight="1">
      <c r="B863" s="199"/>
      <c r="N863" s="152"/>
      <c r="Q863" s="195"/>
      <c r="S863" s="200"/>
      <c r="T863" s="200"/>
      <c r="U863" s="152"/>
      <c r="V863" s="152"/>
      <c r="W863" s="157"/>
      <c r="X863" s="197"/>
      <c r="Y863" s="198"/>
    </row>
    <row r="864" ht="15.75" customHeight="1">
      <c r="B864" s="199"/>
      <c r="N864" s="152"/>
      <c r="Q864" s="195"/>
      <c r="S864" s="200"/>
      <c r="T864" s="200"/>
      <c r="U864" s="152"/>
      <c r="V864" s="152"/>
      <c r="W864" s="157"/>
      <c r="X864" s="197"/>
      <c r="Y864" s="198"/>
    </row>
    <row r="865" ht="15.75" customHeight="1">
      <c r="B865" s="199"/>
      <c r="N865" s="152"/>
      <c r="Q865" s="195"/>
      <c r="S865" s="200"/>
      <c r="T865" s="200"/>
      <c r="U865" s="152"/>
      <c r="V865" s="152"/>
      <c r="W865" s="157"/>
      <c r="X865" s="197"/>
      <c r="Y865" s="198"/>
    </row>
    <row r="866" ht="15.75" customHeight="1">
      <c r="B866" s="199"/>
      <c r="N866" s="152"/>
      <c r="Q866" s="195"/>
      <c r="S866" s="200"/>
      <c r="T866" s="200"/>
      <c r="U866" s="152"/>
      <c r="V866" s="152"/>
      <c r="W866" s="157"/>
      <c r="X866" s="197"/>
      <c r="Y866" s="198"/>
    </row>
    <row r="867" ht="15.75" customHeight="1">
      <c r="B867" s="199"/>
      <c r="N867" s="152"/>
      <c r="Q867" s="195"/>
      <c r="S867" s="200"/>
      <c r="T867" s="200"/>
      <c r="U867" s="152"/>
      <c r="V867" s="152"/>
      <c r="W867" s="157"/>
      <c r="X867" s="197"/>
      <c r="Y867" s="198"/>
    </row>
    <row r="868" ht="15.75" customHeight="1">
      <c r="B868" s="199"/>
      <c r="N868" s="152"/>
      <c r="Q868" s="195"/>
      <c r="S868" s="200"/>
      <c r="T868" s="200"/>
      <c r="U868" s="152"/>
      <c r="V868" s="152"/>
      <c r="W868" s="157"/>
      <c r="X868" s="197"/>
      <c r="Y868" s="198"/>
    </row>
    <row r="869" ht="15.75" customHeight="1">
      <c r="B869" s="199"/>
      <c r="N869" s="152"/>
      <c r="Q869" s="195"/>
      <c r="S869" s="200"/>
      <c r="T869" s="200"/>
      <c r="U869" s="152"/>
      <c r="V869" s="152"/>
      <c r="W869" s="157"/>
      <c r="X869" s="197"/>
      <c r="Y869" s="198"/>
    </row>
    <row r="870" ht="15.75" customHeight="1">
      <c r="B870" s="199"/>
      <c r="N870" s="152"/>
      <c r="Q870" s="195"/>
      <c r="S870" s="200"/>
      <c r="T870" s="200"/>
      <c r="U870" s="152"/>
      <c r="V870" s="152"/>
      <c r="W870" s="157"/>
      <c r="X870" s="197"/>
      <c r="Y870" s="198"/>
    </row>
    <row r="871" ht="15.75" customHeight="1">
      <c r="B871" s="199"/>
      <c r="N871" s="152"/>
      <c r="Q871" s="195"/>
      <c r="S871" s="200"/>
      <c r="T871" s="200"/>
      <c r="U871" s="152"/>
      <c r="V871" s="152"/>
      <c r="W871" s="157"/>
      <c r="X871" s="197"/>
      <c r="Y871" s="198"/>
    </row>
    <row r="872" ht="15.75" customHeight="1">
      <c r="B872" s="199"/>
      <c r="N872" s="152"/>
      <c r="Q872" s="195"/>
      <c r="S872" s="200"/>
      <c r="T872" s="200"/>
      <c r="U872" s="152"/>
      <c r="V872" s="152"/>
      <c r="W872" s="157"/>
      <c r="X872" s="197"/>
      <c r="Y872" s="198"/>
    </row>
    <row r="873" ht="15.75" customHeight="1">
      <c r="B873" s="199"/>
      <c r="N873" s="152"/>
      <c r="Q873" s="195"/>
      <c r="S873" s="200"/>
      <c r="T873" s="200"/>
      <c r="U873" s="152"/>
      <c r="V873" s="152"/>
      <c r="W873" s="157"/>
      <c r="X873" s="197"/>
      <c r="Y873" s="198"/>
    </row>
    <row r="874" ht="15.75" customHeight="1">
      <c r="B874" s="199"/>
      <c r="N874" s="152"/>
      <c r="Q874" s="195"/>
      <c r="S874" s="200"/>
      <c r="T874" s="200"/>
      <c r="U874" s="152"/>
      <c r="V874" s="152"/>
      <c r="W874" s="157"/>
      <c r="X874" s="197"/>
      <c r="Y874" s="198"/>
    </row>
    <row r="875" ht="15.75" customHeight="1">
      <c r="B875" s="199"/>
      <c r="N875" s="152"/>
      <c r="Q875" s="195"/>
      <c r="S875" s="200"/>
      <c r="T875" s="200"/>
      <c r="U875" s="152"/>
      <c r="V875" s="152"/>
      <c r="W875" s="157"/>
      <c r="X875" s="197"/>
      <c r="Y875" s="198"/>
    </row>
    <row r="876" ht="15.75" customHeight="1">
      <c r="B876" s="199"/>
      <c r="N876" s="152"/>
      <c r="Q876" s="195"/>
      <c r="S876" s="200"/>
      <c r="T876" s="200"/>
      <c r="U876" s="152"/>
      <c r="V876" s="152"/>
      <c r="W876" s="157"/>
      <c r="X876" s="197"/>
      <c r="Y876" s="198"/>
    </row>
    <row r="877" ht="15.75" customHeight="1">
      <c r="B877" s="199"/>
      <c r="N877" s="152"/>
      <c r="Q877" s="195"/>
      <c r="S877" s="200"/>
      <c r="T877" s="200"/>
      <c r="U877" s="152"/>
      <c r="V877" s="152"/>
      <c r="W877" s="157"/>
      <c r="X877" s="197"/>
      <c r="Y877" s="198"/>
    </row>
    <row r="878" ht="15.75" customHeight="1">
      <c r="B878" s="199"/>
      <c r="N878" s="152"/>
      <c r="Q878" s="195"/>
      <c r="S878" s="200"/>
      <c r="T878" s="200"/>
      <c r="U878" s="152"/>
      <c r="V878" s="152"/>
      <c r="W878" s="157"/>
      <c r="X878" s="197"/>
      <c r="Y878" s="198"/>
    </row>
    <row r="879" ht="15.75" customHeight="1">
      <c r="B879" s="199"/>
      <c r="N879" s="152"/>
      <c r="Q879" s="195"/>
      <c r="S879" s="200"/>
      <c r="T879" s="200"/>
      <c r="U879" s="152"/>
      <c r="V879" s="152"/>
      <c r="W879" s="157"/>
      <c r="X879" s="197"/>
      <c r="Y879" s="198"/>
    </row>
    <row r="880" ht="15.75" customHeight="1">
      <c r="B880" s="199"/>
      <c r="N880" s="152"/>
      <c r="Q880" s="195"/>
      <c r="S880" s="200"/>
      <c r="T880" s="200"/>
      <c r="U880" s="152"/>
      <c r="V880" s="152"/>
      <c r="W880" s="157"/>
      <c r="X880" s="197"/>
      <c r="Y880" s="198"/>
    </row>
    <row r="881" ht="15.75" customHeight="1">
      <c r="B881" s="199"/>
      <c r="N881" s="152"/>
      <c r="Q881" s="195"/>
      <c r="S881" s="200"/>
      <c r="T881" s="200"/>
      <c r="U881" s="152"/>
      <c r="V881" s="152"/>
      <c r="W881" s="157"/>
      <c r="X881" s="197"/>
      <c r="Y881" s="198"/>
    </row>
    <row r="882" ht="15.75" customHeight="1">
      <c r="B882" s="199"/>
      <c r="N882" s="152"/>
      <c r="Q882" s="195"/>
      <c r="S882" s="200"/>
      <c r="T882" s="200"/>
      <c r="U882" s="152"/>
      <c r="V882" s="152"/>
      <c r="W882" s="157"/>
      <c r="X882" s="197"/>
      <c r="Y882" s="198"/>
    </row>
    <row r="883" ht="15.75" customHeight="1">
      <c r="B883" s="199"/>
      <c r="N883" s="152"/>
      <c r="Q883" s="195"/>
      <c r="S883" s="200"/>
      <c r="T883" s="200"/>
      <c r="U883" s="152"/>
      <c r="V883" s="152"/>
      <c r="W883" s="157"/>
      <c r="X883" s="197"/>
      <c r="Y883" s="198"/>
    </row>
    <row r="884" ht="15.75" customHeight="1">
      <c r="B884" s="199"/>
      <c r="N884" s="152"/>
      <c r="Q884" s="195"/>
      <c r="S884" s="200"/>
      <c r="T884" s="200"/>
      <c r="U884" s="152"/>
      <c r="V884" s="152"/>
      <c r="W884" s="157"/>
      <c r="X884" s="197"/>
      <c r="Y884" s="198"/>
    </row>
    <row r="885" ht="15.75" customHeight="1">
      <c r="B885" s="199"/>
      <c r="N885" s="152"/>
      <c r="Q885" s="195"/>
      <c r="S885" s="200"/>
      <c r="T885" s="200"/>
      <c r="U885" s="152"/>
      <c r="V885" s="152"/>
      <c r="W885" s="157"/>
      <c r="X885" s="197"/>
      <c r="Y885" s="198"/>
    </row>
    <row r="886" ht="15.75" customHeight="1">
      <c r="B886" s="199"/>
      <c r="N886" s="152"/>
      <c r="Q886" s="195"/>
      <c r="S886" s="200"/>
      <c r="T886" s="200"/>
      <c r="U886" s="152"/>
      <c r="V886" s="152"/>
      <c r="W886" s="157"/>
      <c r="X886" s="197"/>
      <c r="Y886" s="198"/>
    </row>
    <row r="887" ht="15.75" customHeight="1">
      <c r="B887" s="199"/>
      <c r="N887" s="152"/>
      <c r="Q887" s="195"/>
      <c r="S887" s="200"/>
      <c r="T887" s="200"/>
      <c r="U887" s="152"/>
      <c r="V887" s="152"/>
      <c r="W887" s="157"/>
      <c r="X887" s="197"/>
      <c r="Y887" s="198"/>
    </row>
    <row r="888" ht="15.75" customHeight="1">
      <c r="B888" s="199"/>
      <c r="N888" s="152"/>
      <c r="Q888" s="195"/>
      <c r="S888" s="200"/>
      <c r="T888" s="200"/>
      <c r="U888" s="152"/>
      <c r="V888" s="152"/>
      <c r="W888" s="157"/>
      <c r="X888" s="197"/>
      <c r="Y888" s="198"/>
    </row>
    <row r="889" ht="15.75" customHeight="1">
      <c r="B889" s="199"/>
      <c r="N889" s="152"/>
      <c r="Q889" s="195"/>
      <c r="S889" s="200"/>
      <c r="T889" s="200"/>
      <c r="U889" s="152"/>
      <c r="V889" s="152"/>
      <c r="W889" s="157"/>
      <c r="X889" s="197"/>
      <c r="Y889" s="198"/>
    </row>
    <row r="890" ht="15.75" customHeight="1">
      <c r="B890" s="199"/>
      <c r="N890" s="152"/>
      <c r="Q890" s="195"/>
      <c r="S890" s="200"/>
      <c r="T890" s="200"/>
      <c r="U890" s="152"/>
      <c r="V890" s="152"/>
      <c r="W890" s="157"/>
      <c r="X890" s="197"/>
      <c r="Y890" s="198"/>
    </row>
    <row r="891" ht="15.75" customHeight="1">
      <c r="B891" s="199"/>
      <c r="N891" s="152"/>
      <c r="Q891" s="195"/>
      <c r="S891" s="200"/>
      <c r="T891" s="200"/>
      <c r="U891" s="152"/>
      <c r="V891" s="152"/>
      <c r="W891" s="157"/>
      <c r="X891" s="197"/>
      <c r="Y891" s="198"/>
    </row>
    <row r="892" ht="15.75" customHeight="1">
      <c r="B892" s="199"/>
      <c r="N892" s="152"/>
      <c r="Q892" s="195"/>
      <c r="S892" s="200"/>
      <c r="T892" s="200"/>
      <c r="U892" s="152"/>
      <c r="V892" s="152"/>
      <c r="W892" s="157"/>
      <c r="X892" s="197"/>
      <c r="Y892" s="198"/>
    </row>
    <row r="893" ht="15.75" customHeight="1">
      <c r="B893" s="199"/>
      <c r="N893" s="152"/>
      <c r="Q893" s="195"/>
      <c r="S893" s="200"/>
      <c r="T893" s="200"/>
      <c r="U893" s="152"/>
      <c r="V893" s="152"/>
      <c r="W893" s="157"/>
      <c r="X893" s="197"/>
      <c r="Y893" s="198"/>
    </row>
    <row r="894" ht="15.75" customHeight="1">
      <c r="B894" s="199"/>
      <c r="N894" s="152"/>
      <c r="Q894" s="195"/>
      <c r="S894" s="200"/>
      <c r="T894" s="200"/>
      <c r="U894" s="152"/>
      <c r="V894" s="152"/>
      <c r="W894" s="157"/>
      <c r="X894" s="197"/>
      <c r="Y894" s="198"/>
    </row>
    <row r="895" ht="15.75" customHeight="1">
      <c r="B895" s="199"/>
      <c r="N895" s="152"/>
      <c r="Q895" s="195"/>
      <c r="S895" s="200"/>
      <c r="T895" s="200"/>
      <c r="U895" s="152"/>
      <c r="V895" s="152"/>
      <c r="W895" s="157"/>
      <c r="X895" s="197"/>
      <c r="Y895" s="198"/>
    </row>
    <row r="896" ht="15.75" customHeight="1">
      <c r="B896" s="199"/>
      <c r="N896" s="152"/>
      <c r="Q896" s="195"/>
      <c r="S896" s="200"/>
      <c r="T896" s="200"/>
      <c r="U896" s="152"/>
      <c r="V896" s="152"/>
      <c r="W896" s="157"/>
      <c r="X896" s="197"/>
      <c r="Y896" s="198"/>
    </row>
    <row r="897" ht="15.75" customHeight="1">
      <c r="B897" s="199"/>
      <c r="N897" s="152"/>
      <c r="Q897" s="195"/>
      <c r="S897" s="200"/>
      <c r="T897" s="200"/>
      <c r="U897" s="152"/>
      <c r="V897" s="152"/>
      <c r="W897" s="157"/>
      <c r="X897" s="197"/>
      <c r="Y897" s="198"/>
    </row>
    <row r="898" ht="15.75" customHeight="1">
      <c r="B898" s="199"/>
      <c r="N898" s="152"/>
      <c r="Q898" s="195"/>
      <c r="S898" s="200"/>
      <c r="T898" s="200"/>
      <c r="U898" s="152"/>
      <c r="V898" s="152"/>
      <c r="W898" s="157"/>
      <c r="X898" s="197"/>
      <c r="Y898" s="198"/>
    </row>
    <row r="899" ht="15.75" customHeight="1">
      <c r="B899" s="199"/>
      <c r="N899" s="152"/>
      <c r="Q899" s="195"/>
      <c r="S899" s="200"/>
      <c r="T899" s="200"/>
      <c r="U899" s="152"/>
      <c r="V899" s="152"/>
      <c r="W899" s="157"/>
      <c r="X899" s="197"/>
      <c r="Y899" s="198"/>
    </row>
    <row r="900" ht="15.75" customHeight="1">
      <c r="B900" s="199"/>
      <c r="N900" s="152"/>
      <c r="Q900" s="195"/>
      <c r="S900" s="200"/>
      <c r="T900" s="200"/>
      <c r="U900" s="152"/>
      <c r="V900" s="152"/>
      <c r="W900" s="157"/>
      <c r="X900" s="197"/>
      <c r="Y900" s="198"/>
    </row>
    <row r="901" ht="15.75" customHeight="1">
      <c r="B901" s="199"/>
      <c r="N901" s="152"/>
      <c r="Q901" s="195"/>
      <c r="S901" s="200"/>
      <c r="T901" s="200"/>
      <c r="U901" s="152"/>
      <c r="V901" s="152"/>
      <c r="W901" s="157"/>
      <c r="X901" s="197"/>
      <c r="Y901" s="198"/>
    </row>
    <row r="902" ht="15.75" customHeight="1">
      <c r="B902" s="199"/>
      <c r="N902" s="152"/>
      <c r="Q902" s="195"/>
      <c r="S902" s="200"/>
      <c r="T902" s="200"/>
      <c r="U902" s="152"/>
      <c r="V902" s="152"/>
      <c r="W902" s="157"/>
      <c r="X902" s="197"/>
      <c r="Y902" s="198"/>
    </row>
    <row r="903" ht="15.75" customHeight="1">
      <c r="B903" s="199"/>
      <c r="N903" s="152"/>
      <c r="Q903" s="195"/>
      <c r="S903" s="200"/>
      <c r="T903" s="200"/>
      <c r="U903" s="152"/>
      <c r="V903" s="152"/>
      <c r="W903" s="157"/>
      <c r="X903" s="197"/>
      <c r="Y903" s="198"/>
    </row>
    <row r="904" ht="15.75" customHeight="1">
      <c r="B904" s="199"/>
      <c r="N904" s="152"/>
      <c r="Q904" s="195"/>
      <c r="S904" s="200"/>
      <c r="T904" s="200"/>
      <c r="U904" s="152"/>
      <c r="V904" s="152"/>
      <c r="W904" s="157"/>
      <c r="X904" s="197"/>
      <c r="Y904" s="198"/>
    </row>
    <row r="905" ht="15.75" customHeight="1">
      <c r="B905" s="199"/>
      <c r="N905" s="152"/>
      <c r="Q905" s="195"/>
      <c r="S905" s="200"/>
      <c r="T905" s="200"/>
      <c r="U905" s="152"/>
      <c r="V905" s="152"/>
      <c r="W905" s="157"/>
      <c r="X905" s="197"/>
      <c r="Y905" s="198"/>
    </row>
    <row r="906" ht="15.75" customHeight="1">
      <c r="B906" s="199"/>
      <c r="N906" s="152"/>
      <c r="Q906" s="195"/>
      <c r="S906" s="200"/>
      <c r="T906" s="200"/>
      <c r="U906" s="152"/>
      <c r="V906" s="152"/>
      <c r="W906" s="157"/>
      <c r="X906" s="197"/>
      <c r="Y906" s="198"/>
    </row>
    <row r="907" ht="15.75" customHeight="1">
      <c r="B907" s="199"/>
      <c r="N907" s="152"/>
      <c r="Q907" s="195"/>
      <c r="S907" s="200"/>
      <c r="T907" s="200"/>
      <c r="U907" s="152"/>
      <c r="V907" s="152"/>
      <c r="W907" s="157"/>
      <c r="X907" s="197"/>
      <c r="Y907" s="198"/>
    </row>
    <row r="908" ht="15.75" customHeight="1">
      <c r="B908" s="199"/>
      <c r="N908" s="152"/>
      <c r="Q908" s="195"/>
      <c r="S908" s="200"/>
      <c r="T908" s="200"/>
      <c r="U908" s="152"/>
      <c r="V908" s="152"/>
      <c r="W908" s="157"/>
      <c r="X908" s="197"/>
      <c r="Y908" s="198"/>
    </row>
    <row r="909" ht="15.75" customHeight="1">
      <c r="B909" s="199"/>
      <c r="N909" s="152"/>
      <c r="Q909" s="195"/>
      <c r="S909" s="200"/>
      <c r="T909" s="200"/>
      <c r="U909" s="152"/>
      <c r="V909" s="152"/>
      <c r="W909" s="157"/>
      <c r="X909" s="197"/>
      <c r="Y909" s="198"/>
    </row>
    <row r="910" ht="15.75" customHeight="1">
      <c r="B910" s="199"/>
      <c r="N910" s="152"/>
      <c r="Q910" s="195"/>
      <c r="S910" s="200"/>
      <c r="T910" s="200"/>
      <c r="U910" s="152"/>
      <c r="V910" s="152"/>
      <c r="W910" s="157"/>
      <c r="X910" s="197"/>
      <c r="Y910" s="198"/>
    </row>
    <row r="911" ht="15.75" customHeight="1">
      <c r="B911" s="199"/>
      <c r="N911" s="152"/>
      <c r="Q911" s="195"/>
      <c r="S911" s="200"/>
      <c r="T911" s="200"/>
      <c r="U911" s="152"/>
      <c r="V911" s="152"/>
      <c r="W911" s="157"/>
      <c r="X911" s="197"/>
      <c r="Y911" s="198"/>
    </row>
    <row r="912" ht="15.75" customHeight="1">
      <c r="B912" s="199"/>
      <c r="N912" s="152"/>
      <c r="Q912" s="195"/>
      <c r="S912" s="200"/>
      <c r="T912" s="200"/>
      <c r="U912" s="152"/>
      <c r="V912" s="152"/>
      <c r="W912" s="157"/>
      <c r="X912" s="197"/>
      <c r="Y912" s="198"/>
    </row>
    <row r="913" ht="15.75" customHeight="1">
      <c r="B913" s="199"/>
      <c r="N913" s="152"/>
      <c r="Q913" s="195"/>
      <c r="S913" s="200"/>
      <c r="T913" s="200"/>
      <c r="U913" s="152"/>
      <c r="V913" s="152"/>
      <c r="W913" s="157"/>
      <c r="X913" s="197"/>
      <c r="Y913" s="198"/>
    </row>
    <row r="914" ht="15.75" customHeight="1">
      <c r="B914" s="199"/>
      <c r="N914" s="152"/>
      <c r="Q914" s="195"/>
      <c r="S914" s="200"/>
      <c r="T914" s="200"/>
      <c r="U914" s="152"/>
      <c r="V914" s="152"/>
      <c r="W914" s="157"/>
      <c r="X914" s="197"/>
      <c r="Y914" s="198"/>
    </row>
    <row r="915" ht="15.75" customHeight="1">
      <c r="B915" s="199"/>
      <c r="N915" s="152"/>
      <c r="Q915" s="195"/>
      <c r="S915" s="200"/>
      <c r="T915" s="200"/>
      <c r="U915" s="152"/>
      <c r="V915" s="152"/>
      <c r="W915" s="157"/>
      <c r="X915" s="197"/>
      <c r="Y915" s="198"/>
    </row>
    <row r="916" ht="15.75" customHeight="1">
      <c r="B916" s="199"/>
      <c r="N916" s="152"/>
      <c r="Q916" s="195"/>
      <c r="S916" s="200"/>
      <c r="T916" s="200"/>
      <c r="U916" s="152"/>
      <c r="V916" s="152"/>
      <c r="W916" s="157"/>
      <c r="X916" s="197"/>
      <c r="Y916" s="198"/>
    </row>
    <row r="917" ht="15.75" customHeight="1">
      <c r="B917" s="199"/>
      <c r="N917" s="152"/>
      <c r="Q917" s="195"/>
      <c r="S917" s="200"/>
      <c r="T917" s="200"/>
      <c r="U917" s="152"/>
      <c r="V917" s="152"/>
      <c r="W917" s="157"/>
      <c r="X917" s="197"/>
      <c r="Y917" s="198"/>
    </row>
    <row r="918" ht="15.75" customHeight="1">
      <c r="B918" s="199"/>
      <c r="N918" s="152"/>
      <c r="Q918" s="195"/>
      <c r="S918" s="200"/>
      <c r="T918" s="200"/>
      <c r="U918" s="152"/>
      <c r="V918" s="152"/>
      <c r="W918" s="157"/>
      <c r="X918" s="197"/>
      <c r="Y918" s="198"/>
    </row>
    <row r="919" ht="15.75" customHeight="1">
      <c r="B919" s="199"/>
      <c r="N919" s="152"/>
      <c r="Q919" s="195"/>
      <c r="S919" s="200"/>
      <c r="T919" s="200"/>
      <c r="U919" s="152"/>
      <c r="V919" s="152"/>
      <c r="W919" s="157"/>
      <c r="X919" s="197"/>
      <c r="Y919" s="198"/>
    </row>
    <row r="920" ht="15.75" customHeight="1">
      <c r="B920" s="199"/>
      <c r="N920" s="152"/>
      <c r="Q920" s="195"/>
      <c r="S920" s="200"/>
      <c r="T920" s="200"/>
      <c r="U920" s="152"/>
      <c r="V920" s="152"/>
      <c r="W920" s="157"/>
      <c r="X920" s="197"/>
      <c r="Y920" s="198"/>
    </row>
    <row r="921" ht="15.75" customHeight="1">
      <c r="B921" s="199"/>
      <c r="N921" s="152"/>
      <c r="Q921" s="195"/>
      <c r="S921" s="200"/>
      <c r="T921" s="200"/>
      <c r="U921" s="152"/>
      <c r="V921" s="152"/>
      <c r="W921" s="157"/>
      <c r="X921" s="197"/>
      <c r="Y921" s="198"/>
    </row>
    <row r="922" ht="15.75" customHeight="1">
      <c r="B922" s="199"/>
      <c r="N922" s="152"/>
      <c r="Q922" s="195"/>
      <c r="S922" s="200"/>
      <c r="T922" s="200"/>
      <c r="U922" s="152"/>
      <c r="V922" s="152"/>
      <c r="W922" s="157"/>
      <c r="X922" s="197"/>
      <c r="Y922" s="198"/>
    </row>
    <row r="923" ht="15.75" customHeight="1">
      <c r="B923" s="199"/>
      <c r="N923" s="152"/>
      <c r="Q923" s="195"/>
      <c r="S923" s="200"/>
      <c r="T923" s="200"/>
      <c r="U923" s="152"/>
      <c r="V923" s="152"/>
      <c r="W923" s="157"/>
      <c r="X923" s="197"/>
      <c r="Y923" s="198"/>
    </row>
    <row r="924" ht="15.75" customHeight="1">
      <c r="B924" s="199"/>
      <c r="N924" s="152"/>
      <c r="Q924" s="195"/>
      <c r="S924" s="200"/>
      <c r="T924" s="200"/>
      <c r="U924" s="152"/>
      <c r="V924" s="152"/>
      <c r="W924" s="157"/>
      <c r="X924" s="197"/>
      <c r="Y924" s="198"/>
    </row>
    <row r="925" ht="15.75" customHeight="1">
      <c r="B925" s="199"/>
      <c r="N925" s="152"/>
      <c r="Q925" s="195"/>
      <c r="S925" s="200"/>
      <c r="T925" s="200"/>
      <c r="U925" s="152"/>
      <c r="V925" s="152"/>
      <c r="W925" s="157"/>
      <c r="X925" s="197"/>
      <c r="Y925" s="198"/>
    </row>
    <row r="926" ht="15.75" customHeight="1">
      <c r="B926" s="199"/>
      <c r="N926" s="152"/>
      <c r="Q926" s="195"/>
      <c r="S926" s="200"/>
      <c r="T926" s="200"/>
      <c r="U926" s="152"/>
      <c r="V926" s="152"/>
      <c r="W926" s="157"/>
      <c r="X926" s="197"/>
      <c r="Y926" s="198"/>
    </row>
    <row r="927" ht="15.75" customHeight="1">
      <c r="B927" s="199"/>
      <c r="N927" s="152"/>
      <c r="Q927" s="195"/>
      <c r="S927" s="200"/>
      <c r="T927" s="200"/>
      <c r="U927" s="152"/>
      <c r="V927" s="152"/>
      <c r="W927" s="157"/>
      <c r="X927" s="197"/>
      <c r="Y927" s="198"/>
    </row>
    <row r="928" ht="15.75" customHeight="1">
      <c r="B928" s="199"/>
      <c r="N928" s="152"/>
      <c r="Q928" s="195"/>
      <c r="S928" s="200"/>
      <c r="T928" s="200"/>
      <c r="U928" s="152"/>
      <c r="V928" s="152"/>
      <c r="W928" s="157"/>
      <c r="X928" s="197"/>
      <c r="Y928" s="198"/>
    </row>
    <row r="929" ht="15.75" customHeight="1">
      <c r="B929" s="199"/>
      <c r="N929" s="152"/>
      <c r="Q929" s="195"/>
      <c r="S929" s="200"/>
      <c r="T929" s="200"/>
      <c r="U929" s="152"/>
      <c r="V929" s="152"/>
      <c r="W929" s="157"/>
      <c r="X929" s="197"/>
      <c r="Y929" s="198"/>
    </row>
    <row r="930" ht="15.75" customHeight="1">
      <c r="B930" s="199"/>
      <c r="N930" s="152"/>
      <c r="Q930" s="195"/>
      <c r="S930" s="200"/>
      <c r="T930" s="200"/>
      <c r="U930" s="152"/>
      <c r="V930" s="152"/>
      <c r="W930" s="157"/>
      <c r="X930" s="197"/>
      <c r="Y930" s="198"/>
    </row>
    <row r="931" ht="15.75" customHeight="1">
      <c r="B931" s="199"/>
      <c r="N931" s="152"/>
      <c r="Q931" s="195"/>
      <c r="S931" s="200"/>
      <c r="T931" s="200"/>
      <c r="U931" s="152"/>
      <c r="V931" s="152"/>
      <c r="W931" s="157"/>
      <c r="X931" s="197"/>
      <c r="Y931" s="198"/>
    </row>
    <row r="932" ht="15.75" customHeight="1">
      <c r="B932" s="199"/>
      <c r="N932" s="152"/>
      <c r="Q932" s="195"/>
      <c r="S932" s="200"/>
      <c r="T932" s="200"/>
      <c r="U932" s="152"/>
      <c r="V932" s="152"/>
      <c r="W932" s="157"/>
      <c r="X932" s="197"/>
      <c r="Y932" s="198"/>
    </row>
    <row r="933" ht="15.75" customHeight="1">
      <c r="B933" s="199"/>
      <c r="N933" s="152"/>
      <c r="Q933" s="195"/>
      <c r="S933" s="200"/>
      <c r="T933" s="200"/>
      <c r="U933" s="152"/>
      <c r="V933" s="152"/>
      <c r="W933" s="157"/>
      <c r="X933" s="197"/>
      <c r="Y933" s="198"/>
    </row>
    <row r="934" ht="15.75" customHeight="1">
      <c r="B934" s="199"/>
      <c r="N934" s="152"/>
      <c r="Q934" s="195"/>
      <c r="S934" s="200"/>
      <c r="T934" s="200"/>
      <c r="U934" s="152"/>
      <c r="V934" s="152"/>
      <c r="W934" s="157"/>
      <c r="X934" s="197"/>
      <c r="Y934" s="198"/>
    </row>
    <row r="935" ht="15.75" customHeight="1">
      <c r="B935" s="199"/>
      <c r="N935" s="152"/>
      <c r="Q935" s="195"/>
      <c r="S935" s="200"/>
      <c r="T935" s="200"/>
      <c r="U935" s="152"/>
      <c r="V935" s="152"/>
      <c r="W935" s="157"/>
      <c r="X935" s="197"/>
      <c r="Y935" s="198"/>
    </row>
    <row r="936" ht="15.75" customHeight="1">
      <c r="B936" s="199"/>
      <c r="N936" s="152"/>
      <c r="Q936" s="195"/>
      <c r="S936" s="200"/>
      <c r="T936" s="200"/>
      <c r="U936" s="152"/>
      <c r="V936" s="152"/>
      <c r="W936" s="157"/>
      <c r="X936" s="197"/>
      <c r="Y936" s="198"/>
    </row>
    <row r="937" ht="15.75" customHeight="1">
      <c r="B937" s="199"/>
      <c r="N937" s="152"/>
      <c r="Q937" s="195"/>
      <c r="S937" s="200"/>
      <c r="T937" s="200"/>
      <c r="U937" s="152"/>
      <c r="V937" s="152"/>
      <c r="W937" s="157"/>
      <c r="X937" s="197"/>
      <c r="Y937" s="198"/>
    </row>
    <row r="938" ht="15.75" customHeight="1">
      <c r="B938" s="199"/>
      <c r="N938" s="152"/>
      <c r="Q938" s="195"/>
      <c r="S938" s="200"/>
      <c r="T938" s="200"/>
      <c r="U938" s="152"/>
      <c r="V938" s="152"/>
      <c r="W938" s="157"/>
      <c r="X938" s="197"/>
      <c r="Y938" s="198"/>
    </row>
    <row r="939" ht="15.75" customHeight="1">
      <c r="B939" s="199"/>
      <c r="N939" s="152"/>
      <c r="Q939" s="195"/>
      <c r="S939" s="200"/>
      <c r="T939" s="200"/>
      <c r="U939" s="152"/>
      <c r="V939" s="152"/>
      <c r="W939" s="157"/>
      <c r="X939" s="197"/>
      <c r="Y939" s="198"/>
    </row>
    <row r="940" ht="15.75" customHeight="1">
      <c r="B940" s="199"/>
      <c r="N940" s="152"/>
      <c r="Q940" s="195"/>
      <c r="S940" s="200"/>
      <c r="T940" s="200"/>
      <c r="U940" s="152"/>
      <c r="V940" s="152"/>
      <c r="W940" s="157"/>
      <c r="X940" s="197"/>
      <c r="Y940" s="198"/>
    </row>
    <row r="941" ht="15.75" customHeight="1">
      <c r="B941" s="199"/>
      <c r="N941" s="152"/>
      <c r="Q941" s="195"/>
      <c r="S941" s="200"/>
      <c r="T941" s="200"/>
      <c r="U941" s="152"/>
      <c r="V941" s="152"/>
      <c r="W941" s="157"/>
      <c r="X941" s="197"/>
      <c r="Y941" s="198"/>
    </row>
    <row r="942" ht="15.75" customHeight="1">
      <c r="B942" s="199"/>
      <c r="N942" s="152"/>
      <c r="Q942" s="195"/>
      <c r="S942" s="200"/>
      <c r="T942" s="200"/>
      <c r="U942" s="152"/>
      <c r="V942" s="152"/>
      <c r="W942" s="157"/>
      <c r="X942" s="197"/>
      <c r="Y942" s="198"/>
    </row>
    <row r="943" ht="15.75" customHeight="1">
      <c r="B943" s="199"/>
      <c r="N943" s="152"/>
      <c r="Q943" s="195"/>
      <c r="S943" s="200"/>
      <c r="T943" s="200"/>
      <c r="U943" s="152"/>
      <c r="V943" s="152"/>
      <c r="W943" s="157"/>
      <c r="X943" s="197"/>
      <c r="Y943" s="198"/>
    </row>
    <row r="944" ht="15.75" customHeight="1">
      <c r="B944" s="199"/>
      <c r="N944" s="152"/>
      <c r="Q944" s="195"/>
      <c r="S944" s="200"/>
      <c r="T944" s="200"/>
      <c r="U944" s="152"/>
      <c r="V944" s="152"/>
      <c r="W944" s="157"/>
      <c r="X944" s="197"/>
      <c r="Y944" s="198"/>
    </row>
    <row r="945" ht="15.75" customHeight="1">
      <c r="B945" s="199"/>
      <c r="N945" s="152"/>
      <c r="Q945" s="195"/>
      <c r="S945" s="200"/>
      <c r="T945" s="200"/>
      <c r="U945" s="152"/>
      <c r="V945" s="152"/>
      <c r="W945" s="157"/>
      <c r="X945" s="197"/>
      <c r="Y945" s="198"/>
    </row>
    <row r="946" ht="15.75" customHeight="1">
      <c r="B946" s="199"/>
      <c r="N946" s="152"/>
      <c r="Q946" s="195"/>
      <c r="S946" s="200"/>
      <c r="T946" s="200"/>
      <c r="U946" s="152"/>
      <c r="V946" s="152"/>
      <c r="W946" s="157"/>
      <c r="X946" s="197"/>
      <c r="Y946" s="198"/>
    </row>
    <row r="947" ht="15.75" customHeight="1">
      <c r="B947" s="199"/>
      <c r="N947" s="152"/>
      <c r="Q947" s="195"/>
      <c r="S947" s="200"/>
      <c r="T947" s="200"/>
      <c r="U947" s="152"/>
      <c r="V947" s="152"/>
      <c r="W947" s="157"/>
      <c r="X947" s="197"/>
      <c r="Y947" s="198"/>
    </row>
    <row r="948" ht="15.75" customHeight="1">
      <c r="B948" s="199"/>
      <c r="N948" s="152"/>
      <c r="Q948" s="195"/>
      <c r="S948" s="200"/>
      <c r="T948" s="200"/>
      <c r="U948" s="152"/>
      <c r="V948" s="152"/>
      <c r="W948" s="157"/>
      <c r="X948" s="197"/>
      <c r="Y948" s="198"/>
    </row>
    <row r="949" ht="15.75" customHeight="1">
      <c r="B949" s="199"/>
      <c r="N949" s="152"/>
      <c r="Q949" s="195"/>
      <c r="S949" s="200"/>
      <c r="T949" s="200"/>
      <c r="U949" s="152"/>
      <c r="V949" s="152"/>
      <c r="W949" s="157"/>
      <c r="X949" s="197"/>
      <c r="Y949" s="198"/>
    </row>
    <row r="950" ht="15.75" customHeight="1">
      <c r="B950" s="199"/>
      <c r="N950" s="152"/>
      <c r="Q950" s="195"/>
      <c r="S950" s="200"/>
      <c r="T950" s="200"/>
      <c r="U950" s="152"/>
      <c r="V950" s="152"/>
      <c r="W950" s="157"/>
      <c r="X950" s="197"/>
      <c r="Y950" s="198"/>
    </row>
    <row r="951" ht="15.75" customHeight="1">
      <c r="B951" s="199"/>
      <c r="N951" s="152"/>
      <c r="Q951" s="195"/>
      <c r="S951" s="200"/>
      <c r="T951" s="200"/>
      <c r="U951" s="152"/>
      <c r="V951" s="152"/>
      <c r="W951" s="157"/>
      <c r="X951" s="197"/>
      <c r="Y951" s="198"/>
    </row>
    <row r="952" ht="15.75" customHeight="1">
      <c r="B952" s="199"/>
      <c r="N952" s="152"/>
      <c r="Q952" s="195"/>
      <c r="S952" s="200"/>
      <c r="T952" s="200"/>
      <c r="U952" s="152"/>
      <c r="V952" s="152"/>
      <c r="W952" s="157"/>
      <c r="X952" s="197"/>
      <c r="Y952" s="198"/>
    </row>
    <row r="953" ht="15.75" customHeight="1">
      <c r="B953" s="199"/>
      <c r="N953" s="152"/>
      <c r="Q953" s="195"/>
      <c r="S953" s="200"/>
      <c r="T953" s="200"/>
      <c r="U953" s="152"/>
      <c r="V953" s="152"/>
      <c r="W953" s="157"/>
      <c r="X953" s="197"/>
      <c r="Y953" s="198"/>
    </row>
    <row r="954" ht="15.75" customHeight="1">
      <c r="B954" s="199"/>
      <c r="N954" s="152"/>
      <c r="Q954" s="195"/>
      <c r="S954" s="200"/>
      <c r="T954" s="200"/>
      <c r="U954" s="152"/>
      <c r="V954" s="152"/>
      <c r="W954" s="157"/>
      <c r="X954" s="197"/>
      <c r="Y954" s="198"/>
    </row>
    <row r="955" ht="15.75" customHeight="1">
      <c r="B955" s="199"/>
      <c r="N955" s="152"/>
      <c r="Q955" s="195"/>
      <c r="S955" s="200"/>
      <c r="T955" s="200"/>
      <c r="U955" s="152"/>
      <c r="V955" s="152"/>
      <c r="W955" s="157"/>
      <c r="X955" s="197"/>
      <c r="Y955" s="198"/>
    </row>
    <row r="956" ht="15.75" customHeight="1">
      <c r="B956" s="199"/>
      <c r="N956" s="152"/>
      <c r="Q956" s="195"/>
      <c r="S956" s="200"/>
      <c r="T956" s="200"/>
      <c r="U956" s="152"/>
      <c r="V956" s="152"/>
      <c r="W956" s="157"/>
      <c r="X956" s="197"/>
      <c r="Y956" s="198"/>
    </row>
    <row r="957" ht="15.75" customHeight="1">
      <c r="B957" s="199"/>
      <c r="N957" s="152"/>
      <c r="Q957" s="195"/>
      <c r="S957" s="200"/>
      <c r="T957" s="200"/>
      <c r="U957" s="152"/>
      <c r="V957" s="152"/>
      <c r="W957" s="157"/>
      <c r="X957" s="197"/>
      <c r="Y957" s="198"/>
    </row>
    <row r="958" ht="15.75" customHeight="1">
      <c r="B958" s="199"/>
      <c r="N958" s="152"/>
      <c r="Q958" s="195"/>
      <c r="S958" s="200"/>
      <c r="T958" s="200"/>
      <c r="U958" s="152"/>
      <c r="V958" s="152"/>
      <c r="W958" s="157"/>
      <c r="X958" s="197"/>
      <c r="Y958" s="198"/>
    </row>
    <row r="959" ht="15.75" customHeight="1">
      <c r="B959" s="199"/>
      <c r="N959" s="152"/>
      <c r="Q959" s="195"/>
      <c r="S959" s="200"/>
      <c r="T959" s="200"/>
      <c r="U959" s="152"/>
      <c r="V959" s="152"/>
      <c r="W959" s="157"/>
      <c r="X959" s="197"/>
      <c r="Y959" s="198"/>
    </row>
    <row r="960" ht="15.75" customHeight="1">
      <c r="B960" s="199"/>
      <c r="N960" s="152"/>
      <c r="Q960" s="195"/>
      <c r="S960" s="200"/>
      <c r="T960" s="200"/>
      <c r="U960" s="152"/>
      <c r="V960" s="152"/>
      <c r="W960" s="157"/>
      <c r="X960" s="197"/>
      <c r="Y960" s="198"/>
    </row>
    <row r="961" ht="15.75" customHeight="1">
      <c r="B961" s="199"/>
      <c r="N961" s="152"/>
      <c r="Q961" s="195"/>
      <c r="S961" s="200"/>
      <c r="T961" s="200"/>
      <c r="U961" s="152"/>
      <c r="V961" s="152"/>
      <c r="W961" s="157"/>
      <c r="X961" s="197"/>
      <c r="Y961" s="198"/>
    </row>
    <row r="962" ht="15.75" customHeight="1">
      <c r="B962" s="199"/>
      <c r="N962" s="152"/>
      <c r="Q962" s="195"/>
      <c r="S962" s="200"/>
      <c r="T962" s="200"/>
      <c r="U962" s="152"/>
      <c r="V962" s="152"/>
      <c r="W962" s="157"/>
      <c r="X962" s="197"/>
      <c r="Y962" s="198"/>
    </row>
    <row r="963" ht="15.75" customHeight="1">
      <c r="B963" s="199"/>
      <c r="N963" s="152"/>
      <c r="Q963" s="195"/>
      <c r="S963" s="200"/>
      <c r="T963" s="200"/>
      <c r="U963" s="152"/>
      <c r="V963" s="152"/>
      <c r="W963" s="157"/>
      <c r="X963" s="197"/>
      <c r="Y963" s="198"/>
    </row>
    <row r="964" ht="15.75" customHeight="1">
      <c r="B964" s="199"/>
      <c r="N964" s="152"/>
      <c r="Q964" s="195"/>
      <c r="S964" s="200"/>
      <c r="T964" s="200"/>
      <c r="U964" s="152"/>
      <c r="V964" s="152"/>
      <c r="W964" s="157"/>
      <c r="X964" s="197"/>
      <c r="Y964" s="198"/>
    </row>
    <row r="965" ht="15.75" customHeight="1">
      <c r="B965" s="199"/>
      <c r="N965" s="152"/>
      <c r="Q965" s="195"/>
      <c r="S965" s="200"/>
      <c r="T965" s="200"/>
      <c r="U965" s="152"/>
      <c r="V965" s="152"/>
      <c r="W965" s="157"/>
      <c r="X965" s="197"/>
      <c r="Y965" s="198"/>
    </row>
    <row r="966" ht="15.75" customHeight="1">
      <c r="B966" s="199"/>
      <c r="N966" s="152"/>
      <c r="Q966" s="195"/>
      <c r="S966" s="200"/>
      <c r="T966" s="200"/>
      <c r="U966" s="152"/>
      <c r="V966" s="152"/>
      <c r="W966" s="157"/>
      <c r="X966" s="197"/>
      <c r="Y966" s="198"/>
    </row>
    <row r="967" ht="15.75" customHeight="1">
      <c r="B967" s="199"/>
      <c r="N967" s="152"/>
      <c r="Q967" s="195"/>
      <c r="S967" s="200"/>
      <c r="T967" s="200"/>
      <c r="U967" s="152"/>
      <c r="V967" s="152"/>
      <c r="W967" s="157"/>
      <c r="X967" s="197"/>
      <c r="Y967" s="198"/>
    </row>
    <row r="968" ht="15.75" customHeight="1">
      <c r="B968" s="199"/>
      <c r="N968" s="152"/>
      <c r="Q968" s="195"/>
      <c r="S968" s="200"/>
      <c r="T968" s="200"/>
      <c r="U968" s="152"/>
      <c r="V968" s="152"/>
      <c r="W968" s="157"/>
      <c r="X968" s="197"/>
      <c r="Y968" s="198"/>
    </row>
    <row r="969" ht="15.75" customHeight="1">
      <c r="B969" s="199"/>
      <c r="N969" s="152"/>
      <c r="Q969" s="195"/>
      <c r="S969" s="200"/>
      <c r="T969" s="200"/>
      <c r="U969" s="152"/>
      <c r="V969" s="152"/>
      <c r="W969" s="157"/>
      <c r="X969" s="197"/>
      <c r="Y969" s="198"/>
    </row>
    <row r="970" ht="15.75" customHeight="1">
      <c r="B970" s="199"/>
      <c r="N970" s="152"/>
      <c r="Q970" s="195"/>
      <c r="S970" s="200"/>
      <c r="T970" s="200"/>
      <c r="U970" s="152"/>
      <c r="V970" s="152"/>
      <c r="W970" s="157"/>
      <c r="X970" s="197"/>
      <c r="Y970" s="198"/>
    </row>
    <row r="971" ht="15.75" customHeight="1">
      <c r="B971" s="199"/>
      <c r="N971" s="152"/>
      <c r="Q971" s="195"/>
      <c r="S971" s="200"/>
      <c r="T971" s="200"/>
      <c r="U971" s="152"/>
      <c r="V971" s="152"/>
      <c r="W971" s="157"/>
      <c r="X971" s="197"/>
      <c r="Y971" s="198"/>
    </row>
    <row r="972" ht="15.75" customHeight="1">
      <c r="B972" s="199"/>
      <c r="N972" s="152"/>
      <c r="Q972" s="195"/>
      <c r="S972" s="200"/>
      <c r="T972" s="200"/>
      <c r="U972" s="152"/>
      <c r="V972" s="152"/>
      <c r="W972" s="157"/>
      <c r="X972" s="197"/>
      <c r="Y972" s="198"/>
    </row>
    <row r="973" ht="15.75" customHeight="1">
      <c r="B973" s="199"/>
      <c r="N973" s="152"/>
      <c r="Q973" s="195"/>
      <c r="S973" s="200"/>
      <c r="T973" s="200"/>
      <c r="U973" s="152"/>
      <c r="V973" s="152"/>
      <c r="W973" s="157"/>
      <c r="X973" s="197"/>
      <c r="Y973" s="198"/>
    </row>
    <row r="974" ht="15.75" customHeight="1">
      <c r="B974" s="199"/>
      <c r="N974" s="152"/>
      <c r="Q974" s="195"/>
      <c r="S974" s="200"/>
      <c r="T974" s="200"/>
      <c r="U974" s="152"/>
      <c r="V974" s="152"/>
      <c r="W974" s="157"/>
      <c r="X974" s="197"/>
      <c r="Y974" s="198"/>
    </row>
    <row r="975" ht="15.75" customHeight="1">
      <c r="B975" s="199"/>
      <c r="N975" s="152"/>
      <c r="Q975" s="195"/>
      <c r="S975" s="200"/>
      <c r="T975" s="200"/>
      <c r="U975" s="152"/>
      <c r="V975" s="152"/>
      <c r="W975" s="157"/>
      <c r="X975" s="197"/>
      <c r="Y975" s="198"/>
    </row>
    <row r="976" ht="15.75" customHeight="1">
      <c r="B976" s="199"/>
      <c r="N976" s="152"/>
      <c r="Q976" s="195"/>
      <c r="S976" s="200"/>
      <c r="T976" s="200"/>
      <c r="U976" s="152"/>
      <c r="V976" s="152"/>
      <c r="W976" s="157"/>
      <c r="X976" s="197"/>
      <c r="Y976" s="198"/>
    </row>
    <row r="977" ht="15.75" customHeight="1">
      <c r="B977" s="199"/>
      <c r="N977" s="152"/>
      <c r="Q977" s="195"/>
      <c r="S977" s="200"/>
      <c r="T977" s="200"/>
      <c r="U977" s="152"/>
      <c r="V977" s="152"/>
      <c r="W977" s="157"/>
      <c r="X977" s="197"/>
      <c r="Y977" s="198"/>
    </row>
    <row r="978" ht="15.75" customHeight="1">
      <c r="B978" s="199"/>
      <c r="N978" s="152"/>
      <c r="Q978" s="195"/>
      <c r="S978" s="200"/>
      <c r="T978" s="200"/>
      <c r="U978" s="152"/>
      <c r="V978" s="152"/>
      <c r="W978" s="157"/>
      <c r="X978" s="197"/>
      <c r="Y978" s="198"/>
    </row>
    <row r="979" ht="15.75" customHeight="1">
      <c r="B979" s="199"/>
      <c r="N979" s="152"/>
      <c r="Q979" s="195"/>
      <c r="S979" s="200"/>
      <c r="T979" s="200"/>
      <c r="U979" s="152"/>
      <c r="V979" s="152"/>
      <c r="W979" s="157"/>
      <c r="X979" s="197"/>
      <c r="Y979" s="198"/>
    </row>
    <row r="980" ht="15.75" customHeight="1">
      <c r="B980" s="199"/>
      <c r="N980" s="152"/>
      <c r="Q980" s="195"/>
      <c r="S980" s="200"/>
      <c r="T980" s="200"/>
      <c r="U980" s="152"/>
      <c r="V980" s="152"/>
      <c r="W980" s="157"/>
      <c r="X980" s="197"/>
      <c r="Y980" s="198"/>
    </row>
    <row r="981" ht="15.75" customHeight="1">
      <c r="B981" s="199"/>
      <c r="N981" s="152"/>
      <c r="Q981" s="195"/>
      <c r="S981" s="200"/>
      <c r="T981" s="200"/>
      <c r="U981" s="152"/>
      <c r="V981" s="152"/>
      <c r="W981" s="157"/>
      <c r="X981" s="197"/>
      <c r="Y981" s="198"/>
    </row>
    <row r="982" ht="15.75" customHeight="1">
      <c r="B982" s="199"/>
      <c r="N982" s="152"/>
      <c r="Q982" s="195"/>
      <c r="S982" s="200"/>
      <c r="T982" s="200"/>
      <c r="U982" s="152"/>
      <c r="V982" s="152"/>
      <c r="W982" s="157"/>
      <c r="X982" s="197"/>
      <c r="Y982" s="198"/>
    </row>
    <row r="983" ht="15.75" customHeight="1">
      <c r="B983" s="199"/>
      <c r="N983" s="152"/>
      <c r="Q983" s="195"/>
      <c r="S983" s="200"/>
      <c r="T983" s="200"/>
      <c r="U983" s="152"/>
      <c r="V983" s="152"/>
      <c r="W983" s="157"/>
      <c r="X983" s="197"/>
      <c r="Y983" s="198"/>
    </row>
    <row r="984" ht="15.75" customHeight="1">
      <c r="B984" s="199"/>
      <c r="N984" s="152"/>
      <c r="Q984" s="195"/>
      <c r="S984" s="200"/>
      <c r="T984" s="200"/>
      <c r="U984" s="152"/>
      <c r="V984" s="152"/>
      <c r="W984" s="157"/>
      <c r="X984" s="197"/>
      <c r="Y984" s="198"/>
    </row>
    <row r="985" ht="15.75" customHeight="1">
      <c r="B985" s="199"/>
      <c r="N985" s="152"/>
      <c r="Q985" s="195"/>
      <c r="S985" s="200"/>
      <c r="T985" s="200"/>
      <c r="U985" s="152"/>
      <c r="V985" s="152"/>
      <c r="W985" s="157"/>
      <c r="X985" s="197"/>
      <c r="Y985" s="198"/>
    </row>
    <row r="986" ht="15.75" customHeight="1">
      <c r="B986" s="199"/>
      <c r="N986" s="152"/>
      <c r="Q986" s="195"/>
      <c r="S986" s="200"/>
      <c r="T986" s="200"/>
      <c r="U986" s="152"/>
      <c r="V986" s="152"/>
      <c r="W986" s="157"/>
      <c r="X986" s="197"/>
      <c r="Y986" s="198"/>
    </row>
    <row r="987" ht="15.75" customHeight="1">
      <c r="B987" s="199"/>
      <c r="N987" s="152"/>
      <c r="Q987" s="195"/>
      <c r="S987" s="200"/>
      <c r="T987" s="200"/>
      <c r="U987" s="152"/>
      <c r="V987" s="152"/>
      <c r="W987" s="157"/>
      <c r="X987" s="197"/>
      <c r="Y987" s="198"/>
    </row>
    <row r="988" ht="15.75" customHeight="1">
      <c r="B988" s="199"/>
      <c r="N988" s="152"/>
      <c r="Q988" s="195"/>
      <c r="S988" s="200"/>
      <c r="T988" s="200"/>
      <c r="U988" s="152"/>
      <c r="V988" s="152"/>
      <c r="W988" s="157"/>
      <c r="X988" s="197"/>
      <c r="Y988" s="198"/>
    </row>
    <row r="989" ht="15.75" customHeight="1">
      <c r="B989" s="199"/>
      <c r="N989" s="152"/>
      <c r="Q989" s="195"/>
      <c r="S989" s="200"/>
      <c r="T989" s="200"/>
      <c r="U989" s="152"/>
      <c r="V989" s="152"/>
      <c r="W989" s="157"/>
      <c r="X989" s="197"/>
      <c r="Y989" s="198"/>
    </row>
    <row r="990" ht="15.75" customHeight="1">
      <c r="B990" s="199"/>
      <c r="N990" s="152"/>
      <c r="Q990" s="195"/>
      <c r="S990" s="200"/>
      <c r="T990" s="200"/>
      <c r="U990" s="152"/>
      <c r="V990" s="152"/>
      <c r="W990" s="157"/>
      <c r="X990" s="197"/>
      <c r="Y990" s="198"/>
    </row>
    <row r="991" ht="15.75" customHeight="1">
      <c r="B991" s="199"/>
      <c r="N991" s="152"/>
      <c r="Q991" s="195"/>
      <c r="S991" s="200"/>
      <c r="T991" s="200"/>
      <c r="U991" s="152"/>
      <c r="V991" s="152"/>
      <c r="W991" s="157"/>
      <c r="X991" s="197"/>
      <c r="Y991" s="198"/>
    </row>
    <row r="992" ht="15.75" customHeight="1">
      <c r="B992" s="199"/>
      <c r="N992" s="152"/>
      <c r="Q992" s="195"/>
      <c r="S992" s="200"/>
      <c r="T992" s="200"/>
      <c r="U992" s="152"/>
      <c r="V992" s="152"/>
      <c r="W992" s="157"/>
      <c r="X992" s="197"/>
      <c r="Y992" s="198"/>
    </row>
    <row r="993" ht="15.75" customHeight="1">
      <c r="B993" s="199"/>
      <c r="N993" s="152"/>
      <c r="Q993" s="195"/>
      <c r="S993" s="200"/>
      <c r="T993" s="200"/>
      <c r="U993" s="152"/>
      <c r="V993" s="152"/>
      <c r="W993" s="157"/>
      <c r="X993" s="197"/>
      <c r="Y993" s="198"/>
    </row>
    <row r="994" ht="15.75" customHeight="1">
      <c r="B994" s="199"/>
      <c r="N994" s="152"/>
      <c r="Q994" s="195"/>
      <c r="S994" s="200"/>
      <c r="T994" s="200"/>
      <c r="U994" s="152"/>
      <c r="V994" s="152"/>
      <c r="W994" s="157"/>
      <c r="X994" s="197"/>
      <c r="Y994" s="198"/>
    </row>
    <row r="995" ht="15.75" customHeight="1">
      <c r="B995" s="199"/>
      <c r="N995" s="152"/>
      <c r="Q995" s="195"/>
      <c r="S995" s="200"/>
      <c r="T995" s="200"/>
      <c r="U995" s="152"/>
      <c r="V995" s="152"/>
      <c r="W995" s="157"/>
      <c r="X995" s="197"/>
      <c r="Y995" s="198"/>
    </row>
    <row r="996" ht="15.75" customHeight="1">
      <c r="B996" s="199"/>
      <c r="N996" s="152"/>
      <c r="Q996" s="195"/>
      <c r="S996" s="200"/>
      <c r="T996" s="200"/>
      <c r="U996" s="152"/>
      <c r="V996" s="152"/>
      <c r="W996" s="157"/>
      <c r="X996" s="197"/>
      <c r="Y996" s="198"/>
    </row>
    <row r="997" ht="15.75" customHeight="1">
      <c r="B997" s="199"/>
      <c r="N997" s="152"/>
      <c r="Q997" s="195"/>
      <c r="S997" s="200"/>
      <c r="T997" s="200"/>
      <c r="U997" s="152"/>
      <c r="V997" s="152"/>
      <c r="W997" s="157"/>
      <c r="X997" s="197"/>
      <c r="Y997" s="198"/>
    </row>
    <row r="998" ht="15.75" customHeight="1">
      <c r="B998" s="199"/>
      <c r="N998" s="152"/>
      <c r="Q998" s="195"/>
      <c r="S998" s="200"/>
      <c r="T998" s="200"/>
      <c r="U998" s="152"/>
      <c r="V998" s="152"/>
      <c r="W998" s="157"/>
      <c r="X998" s="197"/>
      <c r="Y998" s="198"/>
    </row>
    <row r="999" ht="15.75" customHeight="1">
      <c r="B999" s="199"/>
      <c r="N999" s="152"/>
      <c r="Q999" s="195"/>
      <c r="S999" s="200"/>
      <c r="T999" s="200"/>
      <c r="U999" s="152"/>
      <c r="V999" s="152"/>
      <c r="W999" s="157"/>
      <c r="X999" s="197"/>
      <c r="Y999" s="198"/>
    </row>
    <row r="1000" ht="15.75" customHeight="1">
      <c r="B1000" s="199"/>
      <c r="N1000" s="152"/>
      <c r="Q1000" s="195"/>
      <c r="S1000" s="200"/>
      <c r="T1000" s="200"/>
      <c r="U1000" s="152"/>
      <c r="V1000" s="152"/>
      <c r="W1000" s="157"/>
      <c r="X1000" s="197"/>
      <c r="Y1000" s="198"/>
    </row>
  </sheetData>
  <autoFilter ref="$A$1:$AG$1000">
    <sortState ref="A1:AG1000">
      <sortCondition descending="1" ref="A1:A1000"/>
    </sortState>
  </autoFil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6" width="13.75"/>
    <col customWidth="1" min="8" max="8" width="17.88"/>
    <col customWidth="1" min="9" max="9" width="14.38"/>
    <col customWidth="1" min="12" max="12" width="20.88"/>
    <col customWidth="1" min="13" max="13" width="13.0"/>
    <col customWidth="1" min="15" max="15" width="13.63"/>
    <col customWidth="1" min="16" max="16" width="19.13"/>
    <col customWidth="1" min="20" max="20" width="19.13"/>
    <col customWidth="1" min="24" max="24" width="19.13"/>
  </cols>
  <sheetData>
    <row r="1" ht="15.75" customHeight="1">
      <c r="A1" s="168" t="str">
        <f>'Imac-RdlF'!A1</f>
        <v>   Fecha </v>
      </c>
      <c r="B1" s="172" t="str">
        <f>'Imac-RdlF'!B1</f>
        <v>NIS</v>
      </c>
      <c r="C1" s="168" t="str">
        <f>'Imac-RdlF'!C1</f>
        <v>Cliente</v>
      </c>
      <c r="D1" s="168" t="str">
        <f>'Imac-RdlF'!D1</f>
        <v>IVA</v>
      </c>
      <c r="E1" s="168" t="str">
        <f>'Imac-RdlF'!E1</f>
        <v>Consumo [kWh]</v>
      </c>
      <c r="F1" s="168" t="str">
        <f>'Imac-RdlF'!F1</f>
        <v>Consumo hs punta [kWh]</v>
      </c>
      <c r="G1" s="168" t="str">
        <f>'Imac-RdlF'!G1</f>
        <v>Consumo hs valle [kWh]</v>
      </c>
      <c r="H1" s="168" t="str">
        <f>'Imac-RdlF'!H1</f>
        <v>Consumo hs resto[kWh]</v>
      </c>
      <c r="I1" s="168" t="str">
        <f>'Imac-RdlF'!I1</f>
        <v>Catergoria</v>
      </c>
      <c r="J1" s="168" t="str">
        <f>'Imac-RdlF'!J1</f>
        <v>Tarifa punta</v>
      </c>
      <c r="K1" s="168" t="str">
        <f>'Imac-RdlF'!K1</f>
        <v>Tarifa valle</v>
      </c>
      <c r="L1" s="168" t="str">
        <f>'Imac-RdlF'!L1</f>
        <v>Tarifa resto</v>
      </c>
      <c r="M1" s="168" t="str">
        <f>'Imac-RdlF'!M1</f>
        <v>Generacion FV [kWh]</v>
      </c>
      <c r="N1" s="173" t="str">
        <f>'Imac-RdlF'!N1</f>
        <v>CONSUMO TOTAL</v>
      </c>
      <c r="O1" s="168" t="str">
        <f>'Imac-RdlF'!O1</f>
        <v>Total a pagar S / IVA</v>
      </c>
      <c r="P1" s="168" t="str">
        <f>'Imac-RdlF'!P1</f>
        <v>Valor USD</v>
      </c>
      <c r="Q1" s="182" t="str">
        <f>'Imac-RdlF'!Q1</f>
        <v>Ahorro (USD)</v>
      </c>
      <c r="R1" s="168" t="str">
        <f>'Imac-RdlF'!R1</f>
        <v>Ahorro ($)</v>
      </c>
      <c r="S1" s="183" t="str">
        <f>'Imac-RdlF'!S1</f>
        <v>Valor dolar Actual ($)</v>
      </c>
      <c r="T1" s="183" t="str">
        <f>'Imac-RdlF'!T1</f>
        <v>Ahorro ($)-A precio actual</v>
      </c>
      <c r="U1" s="173" t="str">
        <f>'Imac-RdlF'!U1</f>
        <v>kg CO2e evitados</v>
      </c>
      <c r="V1" s="173" t="str">
        <f>'Imac-RdlF'!V1</f>
        <v>Equivalente en árboles</v>
      </c>
      <c r="W1" s="184" t="str">
        <f>'Imac-RdlF'!W1</f>
        <v>% de ahorro sobre los consumos</v>
      </c>
      <c r="X1" s="168" t="str">
        <f>'Imac-RdlF'!X1</f>
        <v>SIN PANELES S/IVA</v>
      </c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  <c r="AK1" s="180"/>
      <c r="AL1" s="180"/>
      <c r="AM1" s="180"/>
      <c r="AN1" s="180"/>
      <c r="AO1" s="180"/>
      <c r="AP1" s="180"/>
      <c r="AQ1" s="180"/>
      <c r="AR1" s="180"/>
      <c r="AS1" s="180"/>
      <c r="AT1" s="180"/>
      <c r="AU1" s="180"/>
      <c r="AV1" s="180"/>
    </row>
    <row r="2" ht="15.75" customHeight="1">
      <c r="A2" s="26">
        <f>'Imac-RdlF'!A2</f>
        <v>45978</v>
      </c>
      <c r="B2" s="28">
        <f>'Imac-RdlF'!B2</f>
        <v>5352763</v>
      </c>
      <c r="C2" s="28" t="str">
        <f>'Imac-RdlF'!C2</f>
        <v>Imac-RdelaF</v>
      </c>
      <c r="D2" s="29">
        <f>'Imac-RdlF'!D2</f>
        <v>0.27</v>
      </c>
      <c r="E2" s="17">
        <f>'Imac-RdlF'!E2</f>
        <v>2245</v>
      </c>
      <c r="F2" s="17">
        <f>'Imac-RdlF'!F2</f>
        <v>637</v>
      </c>
      <c r="G2" s="17">
        <f>'Imac-RdlF'!G2</f>
        <v>378</v>
      </c>
      <c r="H2" s="17">
        <f>'Imac-RdlF'!H2</f>
        <v>1230</v>
      </c>
      <c r="I2" s="17" t="str">
        <f>'Imac-RdlF'!I2</f>
        <v>T2-Ba</v>
      </c>
      <c r="J2" s="30">
        <f>'Imac-RdlF'!J2</f>
        <v>145.8675</v>
      </c>
      <c r="K2" s="30">
        <f>'Imac-RdlF'!K2</f>
        <v>145.8675</v>
      </c>
      <c r="L2" s="30">
        <f>'Imac-RdlF'!L2</f>
        <v>145.8675</v>
      </c>
      <c r="M2" s="15">
        <f>'Imac-RdlF'!M2</f>
        <v>649.2</v>
      </c>
      <c r="N2" s="17">
        <f>'Imac-RdlF'!N2</f>
        <v>2894.2</v>
      </c>
      <c r="O2" s="31">
        <f>'Imac-RdlF'!O2</f>
        <v>327472.5375</v>
      </c>
      <c r="P2" s="20">
        <f>'Imac-RdlF'!P2</f>
        <v>1470</v>
      </c>
      <c r="Q2" s="181">
        <f>'Imac-RdlF'!Q2</f>
        <v>64.41985102</v>
      </c>
      <c r="R2" s="32">
        <f>'Imac-RdlF'!R2</f>
        <v>94697.181</v>
      </c>
      <c r="S2" s="84">
        <f>'Imac-RdlF'!S2</f>
        <v>1465</v>
      </c>
      <c r="T2" s="34">
        <f>'Imac-RdlF'!T2</f>
        <v>119856.3538</v>
      </c>
      <c r="U2" s="35">
        <f>'Imac-RdlF'!U2</f>
        <v>129.84</v>
      </c>
      <c r="V2" s="36">
        <f>'Imac-RdlF'!V2</f>
        <v>5.901818182</v>
      </c>
      <c r="W2" s="37">
        <f>'Imac-RdlF'!W2</f>
        <v>0.2243106903</v>
      </c>
      <c r="X2" s="31">
        <f>'Imac-RdlF'!X2</f>
        <v>422169.7185</v>
      </c>
      <c r="Y2" s="201"/>
      <c r="Z2" s="187"/>
      <c r="AA2" s="188"/>
      <c r="AB2" s="188"/>
      <c r="AC2" s="202"/>
      <c r="AD2" s="189"/>
      <c r="AE2" s="189"/>
      <c r="AF2" s="189"/>
      <c r="AG2" s="189"/>
      <c r="AH2" s="189"/>
      <c r="AI2" s="189"/>
      <c r="AJ2" s="189"/>
      <c r="AK2" s="189"/>
      <c r="AL2" s="189"/>
      <c r="AM2" s="189"/>
      <c r="AN2" s="189"/>
      <c r="AO2" s="189"/>
      <c r="AP2" s="189"/>
      <c r="AQ2" s="189"/>
      <c r="AR2" s="189"/>
      <c r="AS2" s="189"/>
      <c r="AT2" s="189"/>
      <c r="AU2" s="189"/>
      <c r="AV2" s="189"/>
    </row>
    <row r="3" ht="15.75" customHeight="1">
      <c r="A3" s="26">
        <f>'Imac-RdlF'!A3</f>
        <v>45917</v>
      </c>
      <c r="B3" s="28">
        <f>'Imac-RdlF'!B3</f>
        <v>5352763</v>
      </c>
      <c r="C3" s="28" t="str">
        <f>'Imac-RdlF'!C3</f>
        <v>Imac-RdelaF</v>
      </c>
      <c r="D3" s="29">
        <f>'Imac-RdlF'!D3</f>
        <v>0.27</v>
      </c>
      <c r="E3" s="17">
        <f>'Imac-RdlF'!E3</f>
        <v>1737</v>
      </c>
      <c r="F3" s="17">
        <f>'Imac-RdlF'!F3</f>
        <v>521</v>
      </c>
      <c r="G3" s="17">
        <f>'Imac-RdlF'!G3</f>
        <v>381</v>
      </c>
      <c r="H3" s="17">
        <f>'Imac-RdlF'!H3</f>
        <v>835</v>
      </c>
      <c r="I3" s="28" t="str">
        <f>'Imac-RdlF'!I3</f>
        <v>T2-Ba</v>
      </c>
      <c r="J3" s="30">
        <f>'Imac-RdlF'!J3</f>
        <v>156.8264</v>
      </c>
      <c r="K3" s="30">
        <f>'Imac-RdlF'!K3</f>
        <v>156.8264</v>
      </c>
      <c r="L3" s="30">
        <f>'Imac-RdlF'!L3</f>
        <v>156.8264</v>
      </c>
      <c r="M3" s="15">
        <f>'Imac-RdlF'!M3</f>
        <v>374.3</v>
      </c>
      <c r="N3" s="17">
        <f>'Imac-RdlF'!N3</f>
        <v>2111.3</v>
      </c>
      <c r="O3" s="31">
        <f>'Imac-RdlF'!O3</f>
        <v>272407.4568</v>
      </c>
      <c r="P3" s="20">
        <f>'Imac-RdlF'!P3</f>
        <v>1425</v>
      </c>
      <c r="Q3" s="181">
        <f>'Imac-RdlF'!Q3</f>
        <v>41.19306773</v>
      </c>
      <c r="R3" s="32">
        <f>'Imac-RdlF'!R3</f>
        <v>58700.12152</v>
      </c>
      <c r="S3" s="84">
        <f>'Imac-RdlF'!S3</f>
        <v>1465</v>
      </c>
      <c r="T3" s="34">
        <f>'Imac-RdlF'!T3</f>
        <v>76641.76217</v>
      </c>
      <c r="U3" s="35">
        <f>'Imac-RdlF'!U3</f>
        <v>74.86</v>
      </c>
      <c r="V3" s="36">
        <f>'Imac-RdlF'!V3</f>
        <v>3.402727273</v>
      </c>
      <c r="W3" s="37">
        <f>'Imac-RdlF'!W3</f>
        <v>0.1772841377</v>
      </c>
      <c r="X3" s="31">
        <f>'Imac-RdlF'!X3</f>
        <v>331107.5783</v>
      </c>
      <c r="Y3" s="201"/>
      <c r="Z3" s="187"/>
      <c r="AA3" s="188"/>
      <c r="AB3" s="188"/>
      <c r="AC3" s="202"/>
      <c r="AD3" s="189"/>
      <c r="AE3" s="189"/>
      <c r="AF3" s="189"/>
      <c r="AG3" s="189"/>
      <c r="AH3" s="189"/>
      <c r="AI3" s="189"/>
      <c r="AJ3" s="189"/>
      <c r="AK3" s="189"/>
      <c r="AL3" s="189"/>
      <c r="AM3" s="189"/>
      <c r="AN3" s="189"/>
      <c r="AO3" s="189"/>
      <c r="AP3" s="189"/>
      <c r="AQ3" s="189"/>
      <c r="AR3" s="189"/>
      <c r="AS3" s="189"/>
      <c r="AT3" s="189"/>
      <c r="AU3" s="189"/>
      <c r="AV3" s="189"/>
    </row>
    <row r="4" ht="15.75" customHeight="1">
      <c r="A4" s="26">
        <f>'Imac-RdlF'!A4</f>
        <v>45885</v>
      </c>
      <c r="B4" s="28">
        <f>'Imac-RdlF'!B4</f>
        <v>5352763</v>
      </c>
      <c r="C4" s="28" t="str">
        <f>'Imac-RdlF'!C4</f>
        <v>Imac-RdelaF</v>
      </c>
      <c r="D4" s="29">
        <f>'Imac-RdlF'!D4</f>
        <v>0.27</v>
      </c>
      <c r="E4" s="17">
        <f>'Imac-RdlF'!E4</f>
        <v>1405</v>
      </c>
      <c r="F4" s="17">
        <f>'Imac-RdlF'!F4</f>
        <v>377</v>
      </c>
      <c r="G4" s="17">
        <f>'Imac-RdlF'!G4</f>
        <v>332</v>
      </c>
      <c r="H4" s="17">
        <f>'Imac-RdlF'!H4</f>
        <v>696</v>
      </c>
      <c r="I4" s="28" t="str">
        <f>'Imac-RdlF'!I4</f>
        <v>T2-Ba</v>
      </c>
      <c r="J4" s="30">
        <f>'Imac-RdlF'!J4</f>
        <v>156.5178</v>
      </c>
      <c r="K4" s="30">
        <f>'Imac-RdlF'!K4</f>
        <v>156.5178</v>
      </c>
      <c r="L4" s="30">
        <f>'Imac-RdlF'!L4</f>
        <v>156.5178</v>
      </c>
      <c r="M4" s="15">
        <f>'Imac-RdlF'!M4</f>
        <v>584.9</v>
      </c>
      <c r="N4" s="17">
        <f>'Imac-RdlF'!N4</f>
        <v>1989.9</v>
      </c>
      <c r="O4" s="31">
        <f>'Imac-RdlF'!O4</f>
        <v>219907.509</v>
      </c>
      <c r="P4" s="20">
        <f>'Imac-RdlF'!P4</f>
        <v>1340</v>
      </c>
      <c r="Q4" s="181">
        <f>'Imac-RdlF'!Q4</f>
        <v>68.31885166</v>
      </c>
      <c r="R4" s="32">
        <f>'Imac-RdlF'!R4</f>
        <v>91547.26122</v>
      </c>
      <c r="S4" s="84">
        <f>'Imac-RdlF'!S4</f>
        <v>1465</v>
      </c>
      <c r="T4" s="34">
        <f>'Imac-RdlF'!T4</f>
        <v>127110.6394</v>
      </c>
      <c r="U4" s="35">
        <f>'Imac-RdlF'!U4</f>
        <v>116.98</v>
      </c>
      <c r="V4" s="36">
        <f>'Imac-RdlF'!V4</f>
        <v>5.317272727</v>
      </c>
      <c r="W4" s="37">
        <f>'Imac-RdlF'!W4</f>
        <v>0.2939343686</v>
      </c>
      <c r="X4" s="31">
        <f>'Imac-RdlF'!X4</f>
        <v>311454.7702</v>
      </c>
      <c r="Y4" s="201"/>
      <c r="Z4" s="187"/>
      <c r="AA4" s="188"/>
      <c r="AB4" s="188"/>
      <c r="AC4" s="202"/>
      <c r="AD4" s="189"/>
      <c r="AE4" s="189"/>
      <c r="AF4" s="189"/>
      <c r="AG4" s="189"/>
      <c r="AH4" s="189"/>
      <c r="AI4" s="189"/>
      <c r="AJ4" s="189"/>
      <c r="AK4" s="189"/>
      <c r="AL4" s="189"/>
      <c r="AM4" s="189"/>
      <c r="AN4" s="189"/>
      <c r="AO4" s="189"/>
      <c r="AP4" s="189"/>
      <c r="AQ4" s="189"/>
      <c r="AR4" s="189"/>
      <c r="AS4" s="189"/>
      <c r="AT4" s="189"/>
      <c r="AU4" s="189"/>
      <c r="AV4" s="189"/>
    </row>
    <row r="5" ht="15.75" customHeight="1">
      <c r="A5" s="192"/>
      <c r="B5" s="193"/>
      <c r="C5" s="194"/>
      <c r="D5" s="152"/>
      <c r="E5" s="153"/>
      <c r="F5" s="153"/>
      <c r="G5" s="153"/>
      <c r="H5" s="153"/>
      <c r="J5" s="154"/>
      <c r="K5" s="154"/>
      <c r="L5" s="154"/>
      <c r="M5" s="152"/>
      <c r="N5" s="152"/>
      <c r="O5" s="154"/>
      <c r="P5" s="154"/>
      <c r="Q5" s="195"/>
      <c r="R5" s="154"/>
      <c r="S5" s="196"/>
      <c r="T5" s="196"/>
      <c r="U5" s="152"/>
      <c r="V5" s="152"/>
      <c r="W5" s="157"/>
      <c r="X5" s="154"/>
    </row>
    <row r="6" ht="15.75" customHeight="1">
      <c r="A6" s="192"/>
      <c r="B6" s="193"/>
      <c r="C6" s="194"/>
      <c r="D6" s="152"/>
      <c r="E6" s="153"/>
      <c r="F6" s="153"/>
      <c r="G6" s="153"/>
      <c r="H6" s="153"/>
      <c r="J6" s="154"/>
      <c r="K6" s="154"/>
      <c r="L6" s="154"/>
      <c r="M6" s="152"/>
      <c r="N6" s="152"/>
      <c r="O6" s="154"/>
      <c r="P6" s="154"/>
      <c r="Q6" s="195"/>
      <c r="R6" s="154"/>
      <c r="S6" s="196"/>
      <c r="T6" s="196"/>
      <c r="U6" s="152"/>
      <c r="V6" s="152"/>
      <c r="W6" s="157"/>
      <c r="X6" s="154"/>
    </row>
    <row r="7" ht="15.75" customHeight="1">
      <c r="A7" s="192"/>
      <c r="B7" s="193"/>
      <c r="C7" s="194"/>
      <c r="D7" s="152"/>
      <c r="E7" s="153"/>
      <c r="F7" s="153"/>
      <c r="G7" s="153"/>
      <c r="H7" s="153"/>
      <c r="J7" s="154"/>
      <c r="K7" s="154"/>
      <c r="L7" s="154"/>
      <c r="M7" s="152"/>
      <c r="N7" s="152"/>
      <c r="O7" s="154"/>
      <c r="P7" s="154"/>
      <c r="Q7" s="195"/>
      <c r="R7" s="154"/>
      <c r="S7" s="196"/>
      <c r="T7" s="196"/>
      <c r="U7" s="152"/>
      <c r="V7" s="152"/>
      <c r="W7" s="157"/>
      <c r="X7" s="154"/>
    </row>
    <row r="8" ht="15.75" customHeight="1">
      <c r="A8" s="192"/>
      <c r="B8" s="193"/>
      <c r="C8" s="194"/>
      <c r="D8" s="152"/>
      <c r="E8" s="153"/>
      <c r="F8" s="153"/>
      <c r="G8" s="153"/>
      <c r="H8" s="153"/>
      <c r="J8" s="154"/>
      <c r="K8" s="154"/>
      <c r="L8" s="154"/>
      <c r="M8" s="152"/>
      <c r="N8" s="152"/>
      <c r="O8" s="154"/>
      <c r="P8" s="154"/>
      <c r="Q8" s="195"/>
      <c r="R8" s="154"/>
      <c r="S8" s="196"/>
      <c r="T8" s="196"/>
      <c r="U8" s="152"/>
      <c r="V8" s="152"/>
      <c r="W8" s="157"/>
      <c r="X8" s="154"/>
    </row>
    <row r="9" ht="15.75" customHeight="1">
      <c r="A9" s="192"/>
      <c r="B9" s="193"/>
      <c r="C9" s="194"/>
      <c r="D9" s="152"/>
      <c r="E9" s="153"/>
      <c r="F9" s="153"/>
      <c r="G9" s="153"/>
      <c r="H9" s="153"/>
      <c r="J9" s="154"/>
      <c r="K9" s="154"/>
      <c r="L9" s="154"/>
      <c r="M9" s="152"/>
      <c r="N9" s="152"/>
      <c r="O9" s="154"/>
      <c r="P9" s="154"/>
      <c r="Q9" s="195"/>
      <c r="R9" s="154"/>
      <c r="S9" s="196"/>
      <c r="T9" s="196"/>
      <c r="U9" s="152"/>
      <c r="V9" s="152"/>
      <c r="W9" s="157"/>
      <c r="X9" s="154"/>
    </row>
    <row r="10" ht="15.75" customHeight="1">
      <c r="A10" s="192"/>
      <c r="B10" s="193"/>
      <c r="C10" s="194"/>
      <c r="D10" s="152"/>
      <c r="E10" s="153"/>
      <c r="F10" s="153"/>
      <c r="G10" s="153"/>
      <c r="H10" s="153"/>
      <c r="J10" s="154"/>
      <c r="K10" s="154"/>
      <c r="L10" s="154"/>
      <c r="M10" s="152"/>
      <c r="N10" s="152"/>
      <c r="O10" s="154"/>
      <c r="P10" s="154"/>
      <c r="Q10" s="195"/>
      <c r="R10" s="154"/>
      <c r="S10" s="196"/>
      <c r="T10" s="196"/>
      <c r="U10" s="152"/>
      <c r="V10" s="152"/>
      <c r="W10" s="157"/>
      <c r="X10" s="154"/>
    </row>
    <row r="11" ht="15.75" customHeight="1">
      <c r="A11" s="192"/>
      <c r="B11" s="193"/>
      <c r="C11" s="194"/>
      <c r="D11" s="152"/>
      <c r="E11" s="153"/>
      <c r="F11" s="153"/>
      <c r="G11" s="153"/>
      <c r="H11" s="153"/>
      <c r="J11" s="154"/>
      <c r="K11" s="154"/>
      <c r="L11" s="154"/>
      <c r="M11" s="152"/>
      <c r="N11" s="152"/>
      <c r="O11" s="154"/>
      <c r="P11" s="154"/>
      <c r="Q11" s="195"/>
      <c r="R11" s="154"/>
      <c r="S11" s="196"/>
      <c r="T11" s="196"/>
      <c r="U11" s="152"/>
      <c r="V11" s="152"/>
      <c r="W11" s="157"/>
      <c r="X11" s="154"/>
    </row>
    <row r="12" ht="15.75" customHeight="1">
      <c r="A12" s="192"/>
      <c r="B12" s="193"/>
      <c r="C12" s="194"/>
      <c r="D12" s="152"/>
      <c r="E12" s="153"/>
      <c r="F12" s="153"/>
      <c r="G12" s="153"/>
      <c r="H12" s="153"/>
      <c r="J12" s="154"/>
      <c r="K12" s="154"/>
      <c r="L12" s="154"/>
      <c r="M12" s="152"/>
      <c r="N12" s="152"/>
      <c r="O12" s="154"/>
      <c r="P12" s="154"/>
      <c r="Q12" s="195"/>
      <c r="R12" s="154"/>
      <c r="S12" s="196"/>
      <c r="T12" s="196"/>
      <c r="U12" s="152"/>
      <c r="V12" s="152"/>
      <c r="W12" s="157"/>
      <c r="X12" s="154"/>
    </row>
    <row r="13" ht="15.75" customHeight="1">
      <c r="A13" s="192"/>
      <c r="B13" s="193"/>
      <c r="C13" s="194"/>
      <c r="D13" s="152"/>
      <c r="E13" s="153"/>
      <c r="F13" s="153"/>
      <c r="G13" s="153"/>
      <c r="H13" s="153"/>
      <c r="J13" s="154"/>
      <c r="K13" s="154"/>
      <c r="L13" s="154"/>
      <c r="M13" s="152"/>
      <c r="N13" s="152"/>
      <c r="O13" s="154"/>
      <c r="P13" s="154"/>
      <c r="Q13" s="195"/>
      <c r="R13" s="154"/>
      <c r="S13" s="196"/>
      <c r="T13" s="196"/>
      <c r="U13" s="152"/>
      <c r="V13" s="152"/>
      <c r="W13" s="157"/>
      <c r="X13" s="154"/>
    </row>
    <row r="14" ht="15.75" customHeight="1">
      <c r="A14" s="192"/>
      <c r="B14" s="193"/>
      <c r="C14" s="194"/>
      <c r="D14" s="152"/>
      <c r="E14" s="153"/>
      <c r="F14" s="153"/>
      <c r="G14" s="153"/>
      <c r="H14" s="153"/>
      <c r="J14" s="154"/>
      <c r="K14" s="154"/>
      <c r="L14" s="154"/>
      <c r="M14" s="152"/>
      <c r="N14" s="152"/>
      <c r="O14" s="154"/>
      <c r="P14" s="154"/>
      <c r="Q14" s="195"/>
      <c r="R14" s="154"/>
      <c r="S14" s="196"/>
      <c r="T14" s="196"/>
      <c r="U14" s="152"/>
      <c r="V14" s="152"/>
      <c r="W14" s="157"/>
      <c r="X14" s="154"/>
    </row>
    <row r="15" ht="15.75" customHeight="1">
      <c r="A15" s="192"/>
      <c r="B15" s="193"/>
      <c r="C15" s="194"/>
      <c r="D15" s="152"/>
      <c r="E15" s="153"/>
      <c r="F15" s="153"/>
      <c r="G15" s="153"/>
      <c r="H15" s="153"/>
      <c r="J15" s="154"/>
      <c r="K15" s="154"/>
      <c r="L15" s="154"/>
      <c r="M15" s="152"/>
      <c r="N15" s="152"/>
      <c r="O15" s="154"/>
      <c r="P15" s="154"/>
      <c r="Q15" s="195"/>
      <c r="R15" s="154"/>
      <c r="S15" s="196"/>
      <c r="T15" s="196"/>
      <c r="U15" s="152"/>
      <c r="V15" s="152"/>
      <c r="W15" s="157"/>
      <c r="X15" s="154"/>
    </row>
    <row r="16" ht="15.75" customHeight="1">
      <c r="A16" s="189"/>
      <c r="B16" s="193"/>
      <c r="C16" s="194"/>
      <c r="N16" s="152"/>
      <c r="Q16" s="195"/>
      <c r="S16" s="196"/>
      <c r="T16" s="196"/>
      <c r="U16" s="152"/>
      <c r="V16" s="152"/>
      <c r="W16" s="157"/>
    </row>
    <row r="17" ht="15.75" customHeight="1">
      <c r="A17" s="189"/>
      <c r="B17" s="193"/>
      <c r="C17" s="194"/>
      <c r="N17" s="152"/>
      <c r="Q17" s="195"/>
      <c r="S17" s="196"/>
      <c r="T17" s="196"/>
      <c r="U17" s="152"/>
      <c r="V17" s="152"/>
      <c r="W17" s="157"/>
    </row>
    <row r="18" ht="15.75" customHeight="1">
      <c r="A18" s="189"/>
      <c r="B18" s="193"/>
      <c r="C18" s="194"/>
      <c r="N18" s="152"/>
      <c r="Q18" s="195"/>
      <c r="S18" s="196"/>
      <c r="T18" s="196"/>
      <c r="U18" s="152"/>
      <c r="V18" s="152"/>
      <c r="W18" s="157"/>
    </row>
    <row r="19" ht="15.75" customHeight="1">
      <c r="A19" s="189"/>
      <c r="B19" s="193"/>
      <c r="C19" s="194"/>
      <c r="N19" s="152"/>
      <c r="Q19" s="195"/>
      <c r="S19" s="196"/>
      <c r="T19" s="196"/>
      <c r="U19" s="152"/>
      <c r="V19" s="152"/>
      <c r="W19" s="157"/>
    </row>
    <row r="20" ht="15.75" customHeight="1">
      <c r="A20" s="189"/>
      <c r="B20" s="193"/>
      <c r="C20" s="194"/>
      <c r="N20" s="152"/>
      <c r="Q20" s="195"/>
      <c r="S20" s="196"/>
      <c r="T20" s="196"/>
      <c r="U20" s="152"/>
      <c r="V20" s="152"/>
      <c r="W20" s="157"/>
    </row>
    <row r="21" ht="15.75" customHeight="1">
      <c r="A21" s="189"/>
      <c r="B21" s="193"/>
      <c r="C21" s="194"/>
      <c r="N21" s="152"/>
      <c r="Q21" s="195"/>
      <c r="S21" s="196"/>
      <c r="T21" s="196"/>
      <c r="U21" s="152"/>
      <c r="V21" s="152"/>
      <c r="W21" s="157"/>
    </row>
    <row r="22" ht="15.75" customHeight="1">
      <c r="A22" s="189"/>
      <c r="B22" s="193"/>
      <c r="C22" s="194"/>
      <c r="N22" s="152"/>
      <c r="Q22" s="195"/>
      <c r="S22" s="196"/>
      <c r="T22" s="196"/>
      <c r="U22" s="152"/>
      <c r="V22" s="152"/>
      <c r="W22" s="157"/>
    </row>
    <row r="23" ht="15.75" customHeight="1">
      <c r="A23" s="189"/>
      <c r="B23" s="193"/>
      <c r="C23" s="194"/>
      <c r="N23" s="152"/>
      <c r="Q23" s="195"/>
      <c r="S23" s="196"/>
      <c r="T23" s="196"/>
      <c r="U23" s="152"/>
      <c r="V23" s="152"/>
      <c r="W23" s="157"/>
    </row>
    <row r="24" ht="15.75" customHeight="1">
      <c r="A24" s="189"/>
      <c r="B24" s="193"/>
      <c r="C24" s="194"/>
      <c r="N24" s="152"/>
      <c r="Q24" s="195"/>
      <c r="S24" s="196"/>
      <c r="T24" s="196"/>
      <c r="U24" s="152"/>
      <c r="V24" s="152"/>
      <c r="W24" s="157"/>
    </row>
    <row r="25" ht="15.75" customHeight="1">
      <c r="A25" s="189"/>
      <c r="B25" s="193"/>
      <c r="C25" s="194"/>
      <c r="N25" s="152"/>
      <c r="Q25" s="195"/>
      <c r="S25" s="196"/>
      <c r="T25" s="196"/>
      <c r="U25" s="152"/>
      <c r="V25" s="152"/>
      <c r="W25" s="157"/>
    </row>
    <row r="26" ht="15.75" customHeight="1">
      <c r="A26" s="189"/>
      <c r="B26" s="193"/>
      <c r="C26" s="194"/>
      <c r="N26" s="152"/>
      <c r="Q26" s="195"/>
      <c r="S26" s="196"/>
      <c r="T26" s="196"/>
      <c r="U26" s="152"/>
      <c r="V26" s="152"/>
      <c r="W26" s="157"/>
    </row>
    <row r="27" ht="15.75" customHeight="1">
      <c r="A27" s="189"/>
      <c r="B27" s="193"/>
      <c r="C27" s="194"/>
      <c r="N27" s="152"/>
      <c r="Q27" s="195"/>
      <c r="S27" s="196"/>
      <c r="T27" s="196"/>
      <c r="U27" s="152"/>
      <c r="V27" s="152"/>
      <c r="W27" s="157"/>
    </row>
    <row r="28" ht="15.75" customHeight="1">
      <c r="A28" s="189"/>
      <c r="B28" s="193"/>
      <c r="C28" s="194"/>
      <c r="N28" s="152"/>
      <c r="Q28" s="195"/>
      <c r="S28" s="196"/>
      <c r="T28" s="196"/>
      <c r="U28" s="152"/>
      <c r="V28" s="152"/>
      <c r="W28" s="157"/>
    </row>
    <row r="29" ht="15.75" customHeight="1">
      <c r="A29" s="189"/>
      <c r="B29" s="193"/>
      <c r="C29" s="194"/>
      <c r="N29" s="152"/>
      <c r="Q29" s="195"/>
      <c r="S29" s="196"/>
      <c r="T29" s="196"/>
      <c r="U29" s="152"/>
      <c r="V29" s="152"/>
      <c r="W29" s="157"/>
    </row>
    <row r="30" ht="15.75" customHeight="1">
      <c r="A30" s="189"/>
      <c r="B30" s="193"/>
      <c r="C30" s="194"/>
      <c r="N30" s="152"/>
      <c r="Q30" s="195"/>
      <c r="S30" s="196"/>
      <c r="T30" s="196"/>
      <c r="U30" s="152"/>
      <c r="V30" s="152"/>
      <c r="W30" s="157"/>
    </row>
    <row r="31" ht="15.75" customHeight="1">
      <c r="A31" s="189"/>
      <c r="B31" s="193"/>
      <c r="C31" s="194"/>
      <c r="N31" s="152"/>
      <c r="Q31" s="195"/>
      <c r="S31" s="196"/>
      <c r="T31" s="196"/>
      <c r="U31" s="152"/>
      <c r="V31" s="152"/>
      <c r="W31" s="157"/>
    </row>
    <row r="32" ht="15.75" customHeight="1">
      <c r="A32" s="189"/>
      <c r="B32" s="193"/>
      <c r="C32" s="194"/>
      <c r="N32" s="152"/>
      <c r="Q32" s="195"/>
      <c r="S32" s="196"/>
      <c r="T32" s="196"/>
      <c r="U32" s="152"/>
      <c r="V32" s="152"/>
      <c r="W32" s="157"/>
    </row>
    <row r="33" ht="15.75" customHeight="1">
      <c r="A33" s="189"/>
      <c r="B33" s="193"/>
      <c r="C33" s="194"/>
      <c r="N33" s="152"/>
      <c r="Q33" s="195"/>
      <c r="S33" s="196"/>
      <c r="T33" s="196"/>
      <c r="U33" s="152"/>
      <c r="V33" s="152"/>
      <c r="W33" s="157"/>
    </row>
    <row r="34" ht="15.75" customHeight="1">
      <c r="A34" s="189"/>
      <c r="B34" s="193"/>
      <c r="C34" s="194"/>
      <c r="N34" s="152"/>
      <c r="Q34" s="195"/>
      <c r="S34" s="196"/>
      <c r="T34" s="196"/>
      <c r="U34" s="152"/>
      <c r="V34" s="152"/>
      <c r="W34" s="157"/>
    </row>
    <row r="35" ht="15.75" customHeight="1">
      <c r="A35" s="189"/>
      <c r="B35" s="193"/>
      <c r="C35" s="194"/>
      <c r="N35" s="152"/>
      <c r="Q35" s="195"/>
      <c r="S35" s="196"/>
      <c r="T35" s="196"/>
      <c r="U35" s="152"/>
      <c r="V35" s="152"/>
      <c r="W35" s="157"/>
    </row>
    <row r="36" ht="15.75" customHeight="1">
      <c r="A36" s="189"/>
      <c r="B36" s="193"/>
      <c r="C36" s="194"/>
      <c r="N36" s="152"/>
      <c r="Q36" s="195"/>
      <c r="S36" s="196"/>
      <c r="T36" s="196"/>
      <c r="U36" s="152"/>
      <c r="V36" s="152"/>
      <c r="W36" s="157"/>
    </row>
    <row r="37" ht="15.75" customHeight="1">
      <c r="A37" s="189"/>
      <c r="B37" s="193"/>
      <c r="C37" s="194"/>
      <c r="N37" s="152"/>
      <c r="Q37" s="195"/>
      <c r="S37" s="196"/>
      <c r="T37" s="196"/>
      <c r="U37" s="152"/>
      <c r="V37" s="152"/>
      <c r="W37" s="157"/>
    </row>
    <row r="38" ht="15.75" customHeight="1">
      <c r="A38" s="189"/>
      <c r="B38" s="193"/>
      <c r="C38" s="194"/>
      <c r="N38" s="152"/>
      <c r="Q38" s="195"/>
      <c r="S38" s="196"/>
      <c r="T38" s="196"/>
      <c r="U38" s="152"/>
      <c r="V38" s="152"/>
      <c r="W38" s="157"/>
    </row>
    <row r="39" ht="15.75" customHeight="1">
      <c r="A39" s="189"/>
      <c r="B39" s="193"/>
      <c r="C39" s="194"/>
      <c r="N39" s="152"/>
      <c r="Q39" s="195"/>
      <c r="S39" s="196"/>
      <c r="T39" s="196"/>
      <c r="U39" s="152"/>
      <c r="V39" s="152"/>
      <c r="W39" s="157"/>
    </row>
    <row r="40" ht="15.75" customHeight="1">
      <c r="A40" s="189"/>
      <c r="B40" s="193"/>
      <c r="C40" s="194"/>
      <c r="N40" s="152"/>
      <c r="Q40" s="195"/>
      <c r="S40" s="196"/>
      <c r="T40" s="196"/>
      <c r="U40" s="152"/>
      <c r="V40" s="152"/>
      <c r="W40" s="157"/>
    </row>
    <row r="41" ht="15.75" customHeight="1">
      <c r="A41" s="189"/>
      <c r="B41" s="193"/>
      <c r="C41" s="194"/>
      <c r="N41" s="152"/>
      <c r="Q41" s="195"/>
      <c r="S41" s="196"/>
      <c r="T41" s="196"/>
      <c r="U41" s="152"/>
      <c r="V41" s="152"/>
      <c r="W41" s="157"/>
    </row>
    <row r="42" ht="15.75" customHeight="1">
      <c r="A42" s="189"/>
      <c r="B42" s="193"/>
      <c r="C42" s="194"/>
      <c r="N42" s="152"/>
      <c r="Q42" s="195"/>
      <c r="S42" s="196"/>
      <c r="T42" s="196"/>
      <c r="U42" s="152"/>
      <c r="V42" s="152"/>
      <c r="W42" s="157"/>
    </row>
    <row r="43" ht="15.75" customHeight="1">
      <c r="A43" s="189"/>
      <c r="B43" s="193"/>
      <c r="C43" s="194"/>
      <c r="N43" s="152"/>
      <c r="Q43" s="195"/>
      <c r="S43" s="196"/>
      <c r="T43" s="196"/>
      <c r="U43" s="152"/>
      <c r="V43" s="152"/>
      <c r="W43" s="157"/>
    </row>
    <row r="44" ht="15.75" customHeight="1">
      <c r="A44" s="189"/>
      <c r="B44" s="193"/>
      <c r="C44" s="194"/>
      <c r="N44" s="152"/>
      <c r="Q44" s="195"/>
      <c r="S44" s="196"/>
      <c r="T44" s="196"/>
      <c r="U44" s="152"/>
      <c r="V44" s="152"/>
      <c r="W44" s="157"/>
    </row>
    <row r="45" ht="15.75" customHeight="1">
      <c r="A45" s="189"/>
      <c r="B45" s="193"/>
      <c r="C45" s="194"/>
      <c r="N45" s="152"/>
      <c r="Q45" s="195"/>
      <c r="S45" s="196"/>
      <c r="T45" s="196"/>
      <c r="U45" s="152"/>
      <c r="V45" s="152"/>
      <c r="W45" s="157"/>
    </row>
    <row r="46" ht="15.75" customHeight="1">
      <c r="A46" s="189"/>
      <c r="B46" s="193"/>
      <c r="C46" s="194"/>
      <c r="N46" s="152"/>
      <c r="Q46" s="195"/>
      <c r="S46" s="196"/>
      <c r="T46" s="196"/>
      <c r="U46" s="152"/>
      <c r="V46" s="152"/>
      <c r="W46" s="157"/>
    </row>
    <row r="47" ht="15.75" customHeight="1">
      <c r="A47" s="189"/>
      <c r="B47" s="193"/>
      <c r="C47" s="194"/>
      <c r="N47" s="152"/>
      <c r="Q47" s="195"/>
      <c r="S47" s="196"/>
      <c r="T47" s="196"/>
      <c r="U47" s="152"/>
      <c r="V47" s="152"/>
      <c r="W47" s="157"/>
    </row>
    <row r="48" ht="15.75" customHeight="1">
      <c r="A48" s="189"/>
      <c r="B48" s="193"/>
      <c r="C48" s="194"/>
      <c r="N48" s="152"/>
      <c r="Q48" s="195"/>
      <c r="S48" s="196"/>
      <c r="T48" s="196"/>
      <c r="U48" s="152"/>
      <c r="V48" s="152"/>
      <c r="W48" s="157"/>
    </row>
    <row r="49" ht="15.75" customHeight="1">
      <c r="A49" s="189"/>
      <c r="B49" s="193"/>
      <c r="C49" s="194"/>
      <c r="N49" s="152"/>
      <c r="Q49" s="195"/>
      <c r="S49" s="196"/>
      <c r="T49" s="196"/>
      <c r="U49" s="152"/>
      <c r="V49" s="152"/>
      <c r="W49" s="157"/>
    </row>
    <row r="50" ht="15.75" customHeight="1">
      <c r="A50" s="189"/>
      <c r="B50" s="193"/>
      <c r="C50" s="194"/>
      <c r="N50" s="152"/>
      <c r="Q50" s="195"/>
      <c r="S50" s="196"/>
      <c r="T50" s="196"/>
      <c r="U50" s="152"/>
      <c r="V50" s="152"/>
      <c r="W50" s="157"/>
    </row>
    <row r="51" ht="15.75" customHeight="1">
      <c r="A51" s="189"/>
      <c r="B51" s="193"/>
      <c r="C51" s="194"/>
      <c r="N51" s="152"/>
      <c r="Q51" s="195"/>
      <c r="S51" s="196"/>
      <c r="T51" s="196"/>
      <c r="U51" s="152"/>
      <c r="V51" s="152"/>
      <c r="W51" s="157"/>
    </row>
    <row r="52" ht="15.75" customHeight="1">
      <c r="A52" s="189"/>
      <c r="B52" s="193"/>
      <c r="C52" s="194"/>
      <c r="N52" s="152"/>
      <c r="Q52" s="195"/>
      <c r="S52" s="196"/>
      <c r="T52" s="196"/>
      <c r="U52" s="152"/>
      <c r="V52" s="152"/>
      <c r="W52" s="157"/>
    </row>
    <row r="53" ht="15.75" customHeight="1">
      <c r="A53" s="189"/>
      <c r="B53" s="193"/>
      <c r="C53" s="194"/>
      <c r="N53" s="152"/>
      <c r="Q53" s="195"/>
      <c r="S53" s="196"/>
      <c r="T53" s="196"/>
      <c r="U53" s="152"/>
      <c r="V53" s="152"/>
      <c r="W53" s="157"/>
    </row>
    <row r="54" ht="15.75" customHeight="1">
      <c r="A54" s="189"/>
      <c r="B54" s="193"/>
      <c r="C54" s="194"/>
      <c r="N54" s="152"/>
      <c r="Q54" s="195"/>
      <c r="S54" s="196"/>
      <c r="T54" s="196"/>
      <c r="U54" s="152"/>
      <c r="V54" s="152"/>
      <c r="W54" s="157"/>
    </row>
    <row r="55" ht="15.75" customHeight="1">
      <c r="A55" s="189"/>
      <c r="B55" s="193"/>
      <c r="C55" s="194"/>
      <c r="N55" s="152"/>
      <c r="Q55" s="195"/>
      <c r="S55" s="196"/>
      <c r="T55" s="196"/>
      <c r="U55" s="152"/>
      <c r="V55" s="152"/>
      <c r="W55" s="157"/>
    </row>
    <row r="56" ht="15.75" customHeight="1">
      <c r="A56" s="189"/>
      <c r="B56" s="193"/>
      <c r="C56" s="194"/>
      <c r="N56" s="152"/>
      <c r="Q56" s="195"/>
      <c r="S56" s="196"/>
      <c r="T56" s="196"/>
      <c r="U56" s="152"/>
      <c r="V56" s="152"/>
      <c r="W56" s="157"/>
    </row>
    <row r="57" ht="15.75" customHeight="1">
      <c r="A57" s="189"/>
      <c r="B57" s="193"/>
      <c r="C57" s="194"/>
      <c r="N57" s="152"/>
      <c r="Q57" s="195"/>
      <c r="S57" s="196"/>
      <c r="T57" s="196"/>
      <c r="U57" s="152"/>
      <c r="V57" s="152"/>
      <c r="W57" s="157"/>
    </row>
    <row r="58" ht="15.75" customHeight="1">
      <c r="A58" s="189"/>
      <c r="B58" s="193"/>
      <c r="C58" s="194"/>
      <c r="N58" s="152"/>
      <c r="Q58" s="195"/>
      <c r="S58" s="196"/>
      <c r="T58" s="196"/>
      <c r="U58" s="152"/>
      <c r="V58" s="152"/>
      <c r="W58" s="157"/>
    </row>
    <row r="59" ht="15.75" customHeight="1">
      <c r="A59" s="189"/>
      <c r="B59" s="193"/>
      <c r="C59" s="194"/>
      <c r="N59" s="152"/>
      <c r="Q59" s="195"/>
      <c r="S59" s="196"/>
      <c r="T59" s="196"/>
      <c r="U59" s="152"/>
      <c r="V59" s="152"/>
      <c r="W59" s="157"/>
    </row>
    <row r="60" ht="15.75" customHeight="1">
      <c r="A60" s="189"/>
      <c r="B60" s="193"/>
      <c r="C60" s="194"/>
      <c r="N60" s="152"/>
      <c r="Q60" s="195"/>
      <c r="S60" s="196"/>
      <c r="T60" s="196"/>
      <c r="U60" s="152"/>
      <c r="V60" s="152"/>
      <c r="W60" s="157"/>
    </row>
    <row r="61" ht="15.75" customHeight="1">
      <c r="A61" s="189"/>
      <c r="B61" s="193"/>
      <c r="C61" s="194"/>
      <c r="N61" s="152"/>
      <c r="Q61" s="195"/>
      <c r="S61" s="196"/>
      <c r="T61" s="196"/>
      <c r="U61" s="152"/>
      <c r="V61" s="152"/>
      <c r="W61" s="157"/>
    </row>
    <row r="62" ht="15.75" customHeight="1">
      <c r="A62" s="189"/>
      <c r="B62" s="193"/>
      <c r="C62" s="194"/>
      <c r="N62" s="152"/>
      <c r="Q62" s="195"/>
      <c r="S62" s="196"/>
      <c r="T62" s="196"/>
      <c r="U62" s="152"/>
      <c r="V62" s="152"/>
      <c r="W62" s="157"/>
    </row>
    <row r="63" ht="15.75" customHeight="1">
      <c r="A63" s="189"/>
      <c r="B63" s="193"/>
      <c r="C63" s="194"/>
      <c r="N63" s="152"/>
      <c r="Q63" s="195"/>
      <c r="S63" s="196"/>
      <c r="T63" s="196"/>
      <c r="U63" s="152"/>
      <c r="V63" s="152"/>
      <c r="W63" s="157"/>
    </row>
    <row r="64" ht="15.75" customHeight="1">
      <c r="A64" s="189"/>
      <c r="B64" s="193"/>
      <c r="C64" s="194"/>
      <c r="N64" s="152"/>
      <c r="Q64" s="195"/>
      <c r="S64" s="196"/>
      <c r="T64" s="196"/>
      <c r="U64" s="152"/>
      <c r="V64" s="152"/>
      <c r="W64" s="157"/>
    </row>
    <row r="65" ht="15.75" customHeight="1">
      <c r="A65" s="189"/>
      <c r="B65" s="193"/>
      <c r="C65" s="194"/>
      <c r="N65" s="152"/>
      <c r="Q65" s="195"/>
      <c r="S65" s="196"/>
      <c r="T65" s="196"/>
      <c r="U65" s="152"/>
      <c r="V65" s="152"/>
      <c r="W65" s="157"/>
    </row>
    <row r="66" ht="15.75" customHeight="1">
      <c r="A66" s="189"/>
      <c r="B66" s="193"/>
      <c r="C66" s="194"/>
      <c r="N66" s="152"/>
      <c r="Q66" s="195"/>
      <c r="S66" s="196"/>
      <c r="T66" s="196"/>
      <c r="U66" s="152"/>
      <c r="V66" s="152"/>
      <c r="W66" s="157"/>
    </row>
    <row r="67" ht="15.75" customHeight="1">
      <c r="A67" s="189"/>
      <c r="B67" s="193"/>
      <c r="C67" s="194"/>
      <c r="N67" s="152"/>
      <c r="Q67" s="195"/>
      <c r="S67" s="196"/>
      <c r="T67" s="196"/>
      <c r="U67" s="152"/>
      <c r="V67" s="152"/>
      <c r="W67" s="157"/>
    </row>
    <row r="68" ht="15.75" customHeight="1">
      <c r="A68" s="189"/>
      <c r="B68" s="193"/>
      <c r="C68" s="194"/>
      <c r="N68" s="152"/>
      <c r="Q68" s="195"/>
      <c r="S68" s="196"/>
      <c r="T68" s="196"/>
      <c r="U68" s="152"/>
      <c r="V68" s="152"/>
      <c r="W68" s="157"/>
    </row>
    <row r="69" ht="15.75" customHeight="1">
      <c r="A69" s="189"/>
      <c r="B69" s="193"/>
      <c r="C69" s="194"/>
      <c r="N69" s="152"/>
      <c r="Q69" s="195"/>
      <c r="S69" s="196"/>
      <c r="T69" s="196"/>
      <c r="U69" s="152"/>
      <c r="V69" s="152"/>
      <c r="W69" s="157"/>
    </row>
    <row r="70" ht="15.75" customHeight="1">
      <c r="A70" s="189"/>
      <c r="B70" s="193"/>
      <c r="C70" s="194"/>
      <c r="N70" s="152"/>
      <c r="Q70" s="195"/>
      <c r="S70" s="196"/>
      <c r="T70" s="196"/>
      <c r="U70" s="152"/>
      <c r="V70" s="152"/>
      <c r="W70" s="157"/>
    </row>
    <row r="71" ht="15.75" customHeight="1">
      <c r="A71" s="189"/>
      <c r="B71" s="193"/>
      <c r="C71" s="194"/>
      <c r="N71" s="152"/>
      <c r="Q71" s="195"/>
      <c r="S71" s="196"/>
      <c r="T71" s="196"/>
      <c r="U71" s="152"/>
      <c r="V71" s="152"/>
      <c r="W71" s="157"/>
    </row>
    <row r="72" ht="15.75" customHeight="1">
      <c r="A72" s="189"/>
      <c r="B72" s="193"/>
      <c r="C72" s="194"/>
      <c r="N72" s="152"/>
      <c r="Q72" s="195"/>
      <c r="S72" s="196"/>
      <c r="T72" s="196"/>
      <c r="U72" s="152"/>
      <c r="V72" s="152"/>
      <c r="W72" s="157"/>
    </row>
    <row r="73" ht="15.75" customHeight="1">
      <c r="A73" s="189"/>
      <c r="B73" s="193"/>
      <c r="C73" s="194"/>
      <c r="N73" s="152"/>
      <c r="Q73" s="195"/>
      <c r="S73" s="196"/>
      <c r="T73" s="196"/>
      <c r="U73" s="152"/>
      <c r="V73" s="152"/>
      <c r="W73" s="157"/>
    </row>
    <row r="74" ht="15.75" customHeight="1">
      <c r="A74" s="189"/>
      <c r="B74" s="193"/>
      <c r="C74" s="194"/>
      <c r="N74" s="152"/>
      <c r="Q74" s="195"/>
      <c r="S74" s="196"/>
      <c r="T74" s="196"/>
      <c r="U74" s="152"/>
      <c r="V74" s="152"/>
      <c r="W74" s="157"/>
    </row>
    <row r="75" ht="15.75" customHeight="1">
      <c r="A75" s="189"/>
      <c r="B75" s="193"/>
      <c r="C75" s="194"/>
      <c r="N75" s="152"/>
      <c r="Q75" s="195"/>
      <c r="S75" s="196"/>
      <c r="T75" s="196"/>
      <c r="U75" s="152"/>
      <c r="V75" s="152"/>
      <c r="W75" s="157"/>
    </row>
    <row r="76" ht="15.75" customHeight="1">
      <c r="A76" s="189"/>
      <c r="B76" s="193"/>
      <c r="C76" s="194"/>
      <c r="N76" s="152"/>
      <c r="Q76" s="195"/>
      <c r="S76" s="196"/>
      <c r="T76" s="196"/>
      <c r="U76" s="152"/>
      <c r="V76" s="152"/>
      <c r="W76" s="157"/>
    </row>
    <row r="77" ht="15.75" customHeight="1">
      <c r="A77" s="189"/>
      <c r="B77" s="193"/>
      <c r="C77" s="194"/>
      <c r="N77" s="152"/>
      <c r="Q77" s="195"/>
      <c r="S77" s="196"/>
      <c r="T77" s="196"/>
      <c r="U77" s="152"/>
      <c r="V77" s="152"/>
      <c r="W77" s="157"/>
    </row>
    <row r="78" ht="15.75" customHeight="1">
      <c r="A78" s="189"/>
      <c r="B78" s="193"/>
      <c r="C78" s="194"/>
      <c r="N78" s="152"/>
      <c r="Q78" s="195"/>
      <c r="S78" s="196"/>
      <c r="T78" s="196"/>
      <c r="U78" s="152"/>
      <c r="V78" s="152"/>
      <c r="W78" s="157"/>
    </row>
    <row r="79" ht="15.75" customHeight="1">
      <c r="A79" s="189"/>
      <c r="B79" s="193"/>
      <c r="C79" s="194"/>
      <c r="N79" s="152"/>
      <c r="Q79" s="195"/>
      <c r="S79" s="196"/>
      <c r="T79" s="196"/>
      <c r="U79" s="152"/>
      <c r="V79" s="152"/>
      <c r="W79" s="157"/>
    </row>
    <row r="80" ht="15.75" customHeight="1">
      <c r="A80" s="189"/>
      <c r="B80" s="193"/>
      <c r="C80" s="194"/>
      <c r="N80" s="152"/>
      <c r="Q80" s="195"/>
      <c r="S80" s="196"/>
      <c r="T80" s="196"/>
      <c r="U80" s="152"/>
      <c r="V80" s="152"/>
      <c r="W80" s="157"/>
    </row>
    <row r="81" ht="15.75" customHeight="1">
      <c r="A81" s="189"/>
      <c r="B81" s="193"/>
      <c r="C81" s="194"/>
      <c r="N81" s="152"/>
      <c r="Q81" s="195"/>
      <c r="S81" s="196"/>
      <c r="T81" s="196"/>
      <c r="U81" s="152"/>
      <c r="V81" s="152"/>
      <c r="W81" s="157"/>
    </row>
    <row r="82" ht="15.75" customHeight="1">
      <c r="A82" s="189"/>
      <c r="B82" s="193"/>
      <c r="C82" s="194"/>
      <c r="N82" s="152"/>
      <c r="Q82" s="195"/>
      <c r="S82" s="196"/>
      <c r="T82" s="196"/>
      <c r="U82" s="152"/>
      <c r="V82" s="152"/>
      <c r="W82" s="157"/>
    </row>
    <row r="83" ht="15.75" customHeight="1">
      <c r="A83" s="189"/>
      <c r="B83" s="193"/>
      <c r="C83" s="194"/>
      <c r="N83" s="152"/>
      <c r="Q83" s="195"/>
      <c r="S83" s="196"/>
      <c r="T83" s="196"/>
      <c r="U83" s="152"/>
      <c r="V83" s="152"/>
      <c r="W83" s="157"/>
    </row>
    <row r="84" ht="15.75" customHeight="1">
      <c r="A84" s="189"/>
      <c r="B84" s="193"/>
      <c r="C84" s="194"/>
      <c r="N84" s="152"/>
      <c r="Q84" s="195"/>
      <c r="S84" s="196"/>
      <c r="T84" s="196"/>
      <c r="U84" s="152"/>
      <c r="V84" s="152"/>
      <c r="W84" s="157"/>
    </row>
    <row r="85" ht="15.75" customHeight="1">
      <c r="A85" s="189"/>
      <c r="B85" s="193"/>
      <c r="C85" s="194"/>
      <c r="N85" s="152"/>
      <c r="Q85" s="195"/>
      <c r="S85" s="196"/>
      <c r="T85" s="196"/>
      <c r="U85" s="152"/>
      <c r="V85" s="152"/>
      <c r="W85" s="157"/>
    </row>
    <row r="86" ht="15.75" customHeight="1">
      <c r="A86" s="189"/>
      <c r="B86" s="193"/>
      <c r="C86" s="194"/>
      <c r="N86" s="152"/>
      <c r="Q86" s="195"/>
      <c r="S86" s="196"/>
      <c r="T86" s="196"/>
      <c r="U86" s="152"/>
      <c r="V86" s="152"/>
      <c r="W86" s="157"/>
    </row>
    <row r="87" ht="15.75" customHeight="1">
      <c r="A87" s="189"/>
      <c r="B87" s="193"/>
      <c r="C87" s="194"/>
      <c r="N87" s="152"/>
      <c r="Q87" s="195"/>
      <c r="S87" s="196"/>
      <c r="T87" s="196"/>
      <c r="U87" s="152"/>
      <c r="V87" s="152"/>
      <c r="W87" s="157"/>
    </row>
    <row r="88" ht="15.75" customHeight="1">
      <c r="A88" s="189"/>
      <c r="B88" s="193"/>
      <c r="C88" s="194"/>
      <c r="N88" s="152"/>
      <c r="Q88" s="195"/>
      <c r="S88" s="196"/>
      <c r="T88" s="196"/>
      <c r="U88" s="152"/>
      <c r="V88" s="152"/>
      <c r="W88" s="157"/>
    </row>
    <row r="89" ht="15.75" customHeight="1">
      <c r="A89" s="189"/>
      <c r="B89" s="193"/>
      <c r="C89" s="194"/>
      <c r="N89" s="152"/>
      <c r="Q89" s="195"/>
      <c r="S89" s="196"/>
      <c r="T89" s="196"/>
      <c r="U89" s="152"/>
      <c r="V89" s="152"/>
      <c r="W89" s="157"/>
    </row>
    <row r="90" ht="15.75" customHeight="1">
      <c r="A90" s="189"/>
      <c r="B90" s="193"/>
      <c r="C90" s="194"/>
      <c r="N90" s="152"/>
      <c r="Q90" s="195"/>
      <c r="S90" s="196"/>
      <c r="T90" s="196"/>
      <c r="U90" s="152"/>
      <c r="V90" s="152"/>
      <c r="W90" s="157"/>
    </row>
    <row r="91" ht="15.75" customHeight="1">
      <c r="A91" s="189"/>
      <c r="B91" s="193"/>
      <c r="C91" s="194"/>
      <c r="N91" s="152"/>
      <c r="Q91" s="195"/>
      <c r="S91" s="196"/>
      <c r="T91" s="196"/>
      <c r="U91" s="152"/>
      <c r="V91" s="152"/>
      <c r="W91" s="157"/>
    </row>
    <row r="92" ht="15.75" customHeight="1">
      <c r="A92" s="189"/>
      <c r="B92" s="193"/>
      <c r="C92" s="194"/>
      <c r="N92" s="152"/>
      <c r="Q92" s="195"/>
      <c r="S92" s="196"/>
      <c r="T92" s="196"/>
      <c r="U92" s="152"/>
      <c r="V92" s="152"/>
      <c r="W92" s="157"/>
    </row>
    <row r="93" ht="15.75" customHeight="1">
      <c r="A93" s="189"/>
      <c r="B93" s="193"/>
      <c r="C93" s="194"/>
      <c r="N93" s="152"/>
      <c r="Q93" s="195"/>
      <c r="S93" s="196"/>
      <c r="T93" s="196"/>
      <c r="U93" s="152"/>
      <c r="V93" s="152"/>
      <c r="W93" s="157"/>
    </row>
    <row r="94" ht="15.75" customHeight="1">
      <c r="A94" s="189"/>
      <c r="B94" s="193"/>
      <c r="C94" s="194"/>
      <c r="N94" s="152"/>
      <c r="Q94" s="195"/>
      <c r="S94" s="196"/>
      <c r="T94" s="196"/>
      <c r="U94" s="152"/>
      <c r="V94" s="152"/>
      <c r="W94" s="157"/>
    </row>
    <row r="95" ht="15.75" customHeight="1">
      <c r="A95" s="189"/>
      <c r="B95" s="193"/>
      <c r="C95" s="194"/>
      <c r="N95" s="152"/>
      <c r="Q95" s="195"/>
      <c r="S95" s="196"/>
      <c r="T95" s="196"/>
      <c r="U95" s="152"/>
      <c r="V95" s="152"/>
      <c r="W95" s="157"/>
    </row>
    <row r="96" ht="15.75" customHeight="1">
      <c r="A96" s="189"/>
      <c r="B96" s="193"/>
      <c r="C96" s="194"/>
      <c r="N96" s="152"/>
      <c r="Q96" s="195"/>
      <c r="S96" s="196"/>
      <c r="T96" s="196"/>
      <c r="U96" s="152"/>
      <c r="V96" s="152"/>
      <c r="W96" s="157"/>
    </row>
    <row r="97" ht="15.75" customHeight="1">
      <c r="A97" s="189"/>
      <c r="B97" s="193"/>
      <c r="C97" s="194"/>
      <c r="N97" s="152"/>
      <c r="Q97" s="195"/>
      <c r="S97" s="196"/>
      <c r="T97" s="196"/>
      <c r="U97" s="152"/>
      <c r="V97" s="152"/>
      <c r="W97" s="157"/>
    </row>
    <row r="98" ht="15.75" customHeight="1">
      <c r="A98" s="189"/>
      <c r="B98" s="193"/>
      <c r="C98" s="194"/>
      <c r="N98" s="152"/>
      <c r="Q98" s="195"/>
      <c r="S98" s="196"/>
      <c r="T98" s="196"/>
      <c r="U98" s="152"/>
      <c r="V98" s="152"/>
      <c r="W98" s="157"/>
    </row>
    <row r="99" ht="15.75" customHeight="1">
      <c r="A99" s="189"/>
      <c r="B99" s="193"/>
      <c r="C99" s="194"/>
      <c r="N99" s="152"/>
      <c r="Q99" s="195"/>
      <c r="S99" s="196"/>
      <c r="T99" s="196"/>
      <c r="U99" s="152"/>
      <c r="V99" s="152"/>
      <c r="W99" s="157"/>
    </row>
    <row r="100" ht="15.75" customHeight="1">
      <c r="A100" s="189"/>
      <c r="B100" s="193"/>
      <c r="C100" s="194"/>
      <c r="N100" s="152"/>
      <c r="Q100" s="195"/>
      <c r="S100" s="196"/>
      <c r="T100" s="196"/>
      <c r="U100" s="152"/>
      <c r="V100" s="152"/>
      <c r="W100" s="157"/>
    </row>
    <row r="101" ht="15.75" customHeight="1">
      <c r="A101" s="189"/>
      <c r="B101" s="193"/>
      <c r="C101" s="194"/>
      <c r="N101" s="152"/>
      <c r="Q101" s="195"/>
      <c r="S101" s="196"/>
      <c r="T101" s="196"/>
      <c r="U101" s="152"/>
      <c r="V101" s="152"/>
      <c r="W101" s="157"/>
    </row>
    <row r="102" ht="15.75" customHeight="1">
      <c r="A102" s="189"/>
      <c r="B102" s="193"/>
      <c r="C102" s="194"/>
      <c r="N102" s="152"/>
      <c r="Q102" s="195"/>
      <c r="S102" s="196"/>
      <c r="T102" s="196"/>
      <c r="U102" s="152"/>
      <c r="V102" s="152"/>
      <c r="W102" s="157"/>
    </row>
    <row r="103" ht="15.75" customHeight="1">
      <c r="A103" s="189"/>
      <c r="B103" s="193"/>
      <c r="C103" s="194"/>
      <c r="N103" s="152"/>
      <c r="Q103" s="195"/>
      <c r="S103" s="196"/>
      <c r="T103" s="196"/>
      <c r="U103" s="152"/>
      <c r="V103" s="152"/>
      <c r="W103" s="157"/>
    </row>
    <row r="104" ht="15.75" customHeight="1">
      <c r="A104" s="189"/>
      <c r="B104" s="193"/>
      <c r="C104" s="194"/>
      <c r="N104" s="152"/>
      <c r="Q104" s="195"/>
      <c r="S104" s="196"/>
      <c r="T104" s="196"/>
      <c r="U104" s="152"/>
      <c r="V104" s="152"/>
      <c r="W104" s="157"/>
    </row>
    <row r="105" ht="15.75" customHeight="1">
      <c r="A105" s="189"/>
      <c r="B105" s="193"/>
      <c r="C105" s="194"/>
      <c r="N105" s="152"/>
      <c r="Q105" s="195"/>
      <c r="S105" s="196"/>
      <c r="T105" s="196"/>
      <c r="U105" s="152"/>
      <c r="V105" s="152"/>
      <c r="W105" s="157"/>
    </row>
    <row r="106" ht="15.75" customHeight="1">
      <c r="A106" s="189"/>
      <c r="B106" s="193"/>
      <c r="C106" s="194"/>
      <c r="N106" s="152"/>
      <c r="Q106" s="195"/>
      <c r="S106" s="196"/>
      <c r="T106" s="196"/>
      <c r="U106" s="152"/>
      <c r="V106" s="152"/>
      <c r="W106" s="157"/>
    </row>
    <row r="107" ht="15.75" customHeight="1">
      <c r="A107" s="189"/>
      <c r="B107" s="193"/>
      <c r="C107" s="194"/>
      <c r="N107" s="152"/>
      <c r="Q107" s="195"/>
      <c r="S107" s="196"/>
      <c r="T107" s="196"/>
      <c r="U107" s="152"/>
      <c r="V107" s="152"/>
      <c r="W107" s="157"/>
    </row>
    <row r="108" ht="15.75" customHeight="1">
      <c r="A108" s="189"/>
      <c r="B108" s="193"/>
      <c r="C108" s="194"/>
      <c r="N108" s="152"/>
      <c r="Q108" s="195"/>
      <c r="S108" s="196"/>
      <c r="T108" s="196"/>
      <c r="U108" s="152"/>
      <c r="V108" s="152"/>
      <c r="W108" s="157"/>
    </row>
    <row r="109" ht="15.75" customHeight="1">
      <c r="A109" s="189"/>
      <c r="B109" s="193"/>
      <c r="C109" s="194"/>
      <c r="N109" s="152"/>
      <c r="Q109" s="195"/>
      <c r="S109" s="196"/>
      <c r="T109" s="196"/>
      <c r="U109" s="152"/>
      <c r="V109" s="152"/>
      <c r="W109" s="157"/>
    </row>
    <row r="110" ht="15.75" customHeight="1">
      <c r="A110" s="189"/>
      <c r="B110" s="193"/>
      <c r="C110" s="194"/>
      <c r="N110" s="152"/>
      <c r="Q110" s="195"/>
      <c r="S110" s="196"/>
      <c r="T110" s="196"/>
      <c r="U110" s="152"/>
      <c r="V110" s="152"/>
      <c r="W110" s="157"/>
    </row>
    <row r="111" ht="15.75" customHeight="1">
      <c r="A111" s="189"/>
      <c r="B111" s="193"/>
      <c r="C111" s="194"/>
      <c r="N111" s="152"/>
      <c r="Q111" s="195"/>
      <c r="S111" s="196"/>
      <c r="T111" s="196"/>
      <c r="U111" s="152"/>
      <c r="V111" s="152"/>
      <c r="W111" s="157"/>
    </row>
    <row r="112" ht="15.75" customHeight="1">
      <c r="A112" s="189"/>
      <c r="B112" s="193"/>
      <c r="C112" s="194"/>
      <c r="N112" s="152"/>
      <c r="Q112" s="195"/>
      <c r="S112" s="196"/>
      <c r="T112" s="196"/>
      <c r="U112" s="152"/>
      <c r="V112" s="152"/>
      <c r="W112" s="157"/>
    </row>
    <row r="113" ht="15.75" customHeight="1">
      <c r="A113" s="189"/>
      <c r="B113" s="193"/>
      <c r="C113" s="194"/>
      <c r="N113" s="152"/>
      <c r="Q113" s="195"/>
      <c r="S113" s="196"/>
      <c r="T113" s="196"/>
      <c r="U113" s="152"/>
      <c r="V113" s="152"/>
      <c r="W113" s="157"/>
    </row>
    <row r="114" ht="15.75" customHeight="1">
      <c r="A114" s="189"/>
      <c r="B114" s="193"/>
      <c r="C114" s="194"/>
      <c r="N114" s="152"/>
      <c r="Q114" s="195"/>
      <c r="S114" s="196"/>
      <c r="T114" s="196"/>
      <c r="U114" s="152"/>
      <c r="V114" s="152"/>
      <c r="W114" s="157"/>
    </row>
    <row r="115" ht="15.75" customHeight="1">
      <c r="A115" s="189"/>
      <c r="B115" s="193"/>
      <c r="C115" s="194"/>
      <c r="N115" s="152"/>
      <c r="Q115" s="195"/>
      <c r="S115" s="196"/>
      <c r="T115" s="196"/>
      <c r="U115" s="152"/>
      <c r="V115" s="152"/>
      <c r="W115" s="157"/>
    </row>
    <row r="116" ht="15.75" customHeight="1">
      <c r="A116" s="189"/>
      <c r="B116" s="193"/>
      <c r="C116" s="194"/>
      <c r="N116" s="152"/>
      <c r="Q116" s="195"/>
      <c r="S116" s="196"/>
      <c r="T116" s="196"/>
      <c r="U116" s="152"/>
      <c r="V116" s="152"/>
      <c r="W116" s="157"/>
    </row>
    <row r="117" ht="15.75" customHeight="1">
      <c r="A117" s="189"/>
      <c r="B117" s="193"/>
      <c r="C117" s="194"/>
      <c r="N117" s="152"/>
      <c r="Q117" s="195"/>
      <c r="S117" s="196"/>
      <c r="T117" s="196"/>
      <c r="U117" s="152"/>
      <c r="V117" s="152"/>
      <c r="W117" s="157"/>
    </row>
    <row r="118" ht="15.75" customHeight="1">
      <c r="A118" s="189"/>
      <c r="B118" s="193"/>
      <c r="C118" s="194"/>
      <c r="N118" s="152"/>
      <c r="Q118" s="195"/>
      <c r="S118" s="196"/>
      <c r="T118" s="196"/>
      <c r="U118" s="152"/>
      <c r="V118" s="152"/>
      <c r="W118" s="157"/>
    </row>
    <row r="119" ht="15.75" customHeight="1">
      <c r="A119" s="189"/>
      <c r="B119" s="193"/>
      <c r="C119" s="194"/>
      <c r="N119" s="152"/>
      <c r="Q119" s="195"/>
      <c r="S119" s="196"/>
      <c r="T119" s="196"/>
      <c r="U119" s="152"/>
      <c r="V119" s="152"/>
      <c r="W119" s="157"/>
    </row>
    <row r="120" ht="15.75" customHeight="1">
      <c r="A120" s="189"/>
      <c r="B120" s="193"/>
      <c r="C120" s="194"/>
      <c r="N120" s="152"/>
      <c r="Q120" s="195"/>
      <c r="S120" s="196"/>
      <c r="T120" s="196"/>
      <c r="U120" s="152"/>
      <c r="V120" s="152"/>
      <c r="W120" s="157"/>
    </row>
    <row r="121" ht="15.75" customHeight="1">
      <c r="A121" s="189"/>
      <c r="B121" s="193"/>
      <c r="C121" s="194"/>
      <c r="N121" s="152"/>
      <c r="Q121" s="195"/>
      <c r="S121" s="196"/>
      <c r="T121" s="196"/>
      <c r="U121" s="152"/>
      <c r="V121" s="152"/>
      <c r="W121" s="157"/>
    </row>
    <row r="122" ht="15.75" customHeight="1">
      <c r="A122" s="189"/>
      <c r="B122" s="193"/>
      <c r="C122" s="194"/>
      <c r="N122" s="152"/>
      <c r="Q122" s="195"/>
      <c r="S122" s="196"/>
      <c r="T122" s="196"/>
      <c r="U122" s="152"/>
      <c r="V122" s="152"/>
      <c r="W122" s="157"/>
    </row>
    <row r="123" ht="15.75" customHeight="1">
      <c r="A123" s="189"/>
      <c r="B123" s="193"/>
      <c r="C123" s="194"/>
      <c r="N123" s="152"/>
      <c r="Q123" s="195"/>
      <c r="S123" s="196"/>
      <c r="T123" s="196"/>
      <c r="U123" s="152"/>
      <c r="V123" s="152"/>
      <c r="W123" s="157"/>
    </row>
    <row r="124" ht="15.75" customHeight="1">
      <c r="A124" s="189"/>
      <c r="B124" s="193"/>
      <c r="C124" s="194"/>
      <c r="N124" s="152"/>
      <c r="Q124" s="195"/>
      <c r="S124" s="196"/>
      <c r="T124" s="196"/>
      <c r="U124" s="152"/>
      <c r="V124" s="152"/>
      <c r="W124" s="157"/>
    </row>
    <row r="125" ht="15.75" customHeight="1">
      <c r="A125" s="189"/>
      <c r="B125" s="193"/>
      <c r="C125" s="194"/>
      <c r="N125" s="152"/>
      <c r="Q125" s="195"/>
      <c r="S125" s="196"/>
      <c r="T125" s="196"/>
      <c r="U125" s="152"/>
      <c r="V125" s="152"/>
      <c r="W125" s="157"/>
    </row>
    <row r="126" ht="15.75" customHeight="1">
      <c r="A126" s="189"/>
      <c r="B126" s="193"/>
      <c r="C126" s="194"/>
      <c r="N126" s="152"/>
      <c r="Q126" s="195"/>
      <c r="S126" s="196"/>
      <c r="T126" s="196"/>
      <c r="U126" s="152"/>
      <c r="V126" s="152"/>
      <c r="W126" s="157"/>
    </row>
    <row r="127" ht="15.75" customHeight="1">
      <c r="A127" s="189"/>
      <c r="B127" s="193"/>
      <c r="C127" s="194"/>
      <c r="N127" s="152"/>
      <c r="Q127" s="195"/>
      <c r="S127" s="196"/>
      <c r="T127" s="196"/>
      <c r="U127" s="152"/>
      <c r="V127" s="152"/>
      <c r="W127" s="157"/>
    </row>
    <row r="128" ht="15.75" customHeight="1">
      <c r="A128" s="189"/>
      <c r="B128" s="193"/>
      <c r="C128" s="194"/>
      <c r="N128" s="152"/>
      <c r="Q128" s="195"/>
      <c r="S128" s="196"/>
      <c r="T128" s="196"/>
      <c r="U128" s="152"/>
      <c r="V128" s="152"/>
      <c r="W128" s="157"/>
    </row>
    <row r="129" ht="15.75" customHeight="1">
      <c r="A129" s="189"/>
      <c r="B129" s="193"/>
      <c r="C129" s="194"/>
      <c r="N129" s="152"/>
      <c r="Q129" s="195"/>
      <c r="S129" s="196"/>
      <c r="T129" s="196"/>
      <c r="U129" s="152"/>
      <c r="V129" s="152"/>
      <c r="W129" s="157"/>
    </row>
    <row r="130" ht="15.75" customHeight="1">
      <c r="A130" s="189"/>
      <c r="B130" s="193"/>
      <c r="C130" s="194"/>
      <c r="N130" s="152"/>
      <c r="Q130" s="195"/>
      <c r="S130" s="196"/>
      <c r="T130" s="196"/>
      <c r="U130" s="152"/>
      <c r="V130" s="152"/>
      <c r="W130" s="157"/>
    </row>
    <row r="131" ht="15.75" customHeight="1">
      <c r="A131" s="189"/>
      <c r="B131" s="193"/>
      <c r="C131" s="194"/>
      <c r="N131" s="152"/>
      <c r="Q131" s="195"/>
      <c r="S131" s="196"/>
      <c r="T131" s="196"/>
      <c r="U131" s="152"/>
      <c r="V131" s="152"/>
      <c r="W131" s="157"/>
    </row>
    <row r="132" ht="15.75" customHeight="1">
      <c r="A132" s="189"/>
      <c r="B132" s="193"/>
      <c r="C132" s="194"/>
      <c r="N132" s="152"/>
      <c r="Q132" s="195"/>
      <c r="S132" s="196"/>
      <c r="T132" s="196"/>
      <c r="U132" s="152"/>
      <c r="V132" s="152"/>
      <c r="W132" s="157"/>
    </row>
    <row r="133" ht="15.75" customHeight="1">
      <c r="A133" s="189"/>
      <c r="B133" s="193"/>
      <c r="C133" s="194"/>
      <c r="N133" s="152"/>
      <c r="Q133" s="195"/>
      <c r="S133" s="196"/>
      <c r="T133" s="196"/>
      <c r="U133" s="152"/>
      <c r="V133" s="152"/>
      <c r="W133" s="157"/>
    </row>
    <row r="134" ht="15.75" customHeight="1">
      <c r="A134" s="189"/>
      <c r="B134" s="193"/>
      <c r="C134" s="194"/>
      <c r="N134" s="152"/>
      <c r="Q134" s="195"/>
      <c r="S134" s="196"/>
      <c r="T134" s="196"/>
      <c r="U134" s="152"/>
      <c r="V134" s="152"/>
      <c r="W134" s="157"/>
    </row>
    <row r="135" ht="15.75" customHeight="1">
      <c r="A135" s="189"/>
      <c r="B135" s="193"/>
      <c r="C135" s="194"/>
      <c r="N135" s="152"/>
      <c r="Q135" s="195"/>
      <c r="S135" s="196"/>
      <c r="T135" s="196"/>
      <c r="U135" s="152"/>
      <c r="V135" s="152"/>
      <c r="W135" s="157"/>
    </row>
    <row r="136" ht="15.75" customHeight="1">
      <c r="A136" s="189"/>
      <c r="B136" s="193"/>
      <c r="C136" s="194"/>
      <c r="N136" s="152"/>
      <c r="Q136" s="195"/>
      <c r="S136" s="196"/>
      <c r="T136" s="196"/>
      <c r="U136" s="152"/>
      <c r="V136" s="152"/>
      <c r="W136" s="157"/>
    </row>
    <row r="137" ht="15.75" customHeight="1">
      <c r="A137" s="189"/>
      <c r="B137" s="193"/>
      <c r="C137" s="194"/>
      <c r="N137" s="152"/>
      <c r="Q137" s="195"/>
      <c r="S137" s="196"/>
      <c r="T137" s="196"/>
      <c r="U137" s="152"/>
      <c r="V137" s="152"/>
      <c r="W137" s="157"/>
    </row>
    <row r="138" ht="15.75" customHeight="1">
      <c r="A138" s="189"/>
      <c r="B138" s="193"/>
      <c r="C138" s="194"/>
      <c r="N138" s="152"/>
      <c r="Q138" s="195"/>
      <c r="S138" s="196"/>
      <c r="T138" s="196"/>
      <c r="U138" s="152"/>
      <c r="V138" s="152"/>
      <c r="W138" s="157"/>
    </row>
    <row r="139" ht="15.75" customHeight="1">
      <c r="A139" s="189"/>
      <c r="B139" s="193"/>
      <c r="C139" s="194"/>
      <c r="N139" s="152"/>
      <c r="Q139" s="195"/>
      <c r="S139" s="196"/>
      <c r="T139" s="196"/>
      <c r="U139" s="152"/>
      <c r="V139" s="152"/>
      <c r="W139" s="157"/>
    </row>
    <row r="140" ht="15.75" customHeight="1">
      <c r="A140" s="189"/>
      <c r="B140" s="193"/>
      <c r="C140" s="194"/>
      <c r="N140" s="152"/>
      <c r="Q140" s="195"/>
      <c r="S140" s="196"/>
      <c r="T140" s="196"/>
      <c r="U140" s="152"/>
      <c r="V140" s="152"/>
      <c r="W140" s="157"/>
    </row>
    <row r="141" ht="15.75" customHeight="1">
      <c r="A141" s="189"/>
      <c r="B141" s="193"/>
      <c r="C141" s="194"/>
      <c r="N141" s="152"/>
      <c r="Q141" s="195"/>
      <c r="S141" s="196"/>
      <c r="T141" s="196"/>
      <c r="U141" s="152"/>
      <c r="V141" s="152"/>
      <c r="W141" s="157"/>
    </row>
    <row r="142" ht="15.75" customHeight="1">
      <c r="A142" s="189"/>
      <c r="B142" s="193"/>
      <c r="C142" s="194"/>
      <c r="N142" s="152"/>
      <c r="Q142" s="195"/>
      <c r="S142" s="196"/>
      <c r="T142" s="196"/>
      <c r="U142" s="152"/>
      <c r="V142" s="152"/>
      <c r="W142" s="157"/>
    </row>
    <row r="143" ht="15.75" customHeight="1">
      <c r="A143" s="189"/>
      <c r="B143" s="193"/>
      <c r="C143" s="194"/>
      <c r="N143" s="152"/>
      <c r="Q143" s="195"/>
      <c r="S143" s="196"/>
      <c r="T143" s="196"/>
      <c r="U143" s="152"/>
      <c r="V143" s="152"/>
      <c r="W143" s="157"/>
    </row>
    <row r="144" ht="15.75" customHeight="1">
      <c r="A144" s="189"/>
      <c r="B144" s="193"/>
      <c r="C144" s="194"/>
      <c r="N144" s="152"/>
      <c r="Q144" s="195"/>
      <c r="S144" s="196"/>
      <c r="T144" s="196"/>
      <c r="U144" s="152"/>
      <c r="V144" s="152"/>
      <c r="W144" s="157"/>
    </row>
    <row r="145" ht="15.75" customHeight="1">
      <c r="A145" s="189"/>
      <c r="B145" s="193"/>
      <c r="C145" s="194"/>
      <c r="N145" s="152"/>
      <c r="Q145" s="195"/>
      <c r="S145" s="196"/>
      <c r="T145" s="196"/>
      <c r="U145" s="152"/>
      <c r="V145" s="152"/>
      <c r="W145" s="157"/>
    </row>
    <row r="146" ht="15.75" customHeight="1">
      <c r="A146" s="189"/>
      <c r="B146" s="193"/>
      <c r="C146" s="194"/>
      <c r="N146" s="152"/>
      <c r="Q146" s="195"/>
      <c r="S146" s="196"/>
      <c r="T146" s="196"/>
      <c r="U146" s="152"/>
      <c r="V146" s="152"/>
      <c r="W146" s="157"/>
    </row>
    <row r="147" ht="15.75" customHeight="1">
      <c r="A147" s="189"/>
      <c r="B147" s="193"/>
      <c r="C147" s="194"/>
      <c r="N147" s="152"/>
      <c r="Q147" s="195"/>
      <c r="S147" s="196"/>
      <c r="T147" s="196"/>
      <c r="U147" s="152"/>
      <c r="V147" s="152"/>
      <c r="W147" s="157"/>
    </row>
    <row r="148" ht="15.75" customHeight="1">
      <c r="A148" s="189"/>
      <c r="B148" s="193"/>
      <c r="C148" s="194"/>
      <c r="N148" s="152"/>
      <c r="Q148" s="195"/>
      <c r="S148" s="196"/>
      <c r="T148" s="196"/>
      <c r="U148" s="152"/>
      <c r="V148" s="152"/>
      <c r="W148" s="157"/>
    </row>
    <row r="149" ht="15.75" customHeight="1">
      <c r="A149" s="189"/>
      <c r="B149" s="193"/>
      <c r="C149" s="194"/>
      <c r="N149" s="152"/>
      <c r="Q149" s="195"/>
      <c r="S149" s="196"/>
      <c r="T149" s="196"/>
      <c r="U149" s="152"/>
      <c r="V149" s="152"/>
      <c r="W149" s="157"/>
    </row>
    <row r="150" ht="15.75" customHeight="1">
      <c r="A150" s="189"/>
      <c r="B150" s="193"/>
      <c r="C150" s="194"/>
      <c r="N150" s="152"/>
      <c r="Q150" s="195"/>
      <c r="S150" s="196"/>
      <c r="T150" s="196"/>
      <c r="U150" s="152"/>
      <c r="V150" s="152"/>
      <c r="W150" s="157"/>
    </row>
    <row r="151" ht="15.75" customHeight="1">
      <c r="A151" s="189"/>
      <c r="B151" s="193"/>
      <c r="C151" s="194"/>
      <c r="N151" s="152"/>
      <c r="Q151" s="195"/>
      <c r="S151" s="196"/>
      <c r="T151" s="196"/>
      <c r="U151" s="152"/>
      <c r="V151" s="152"/>
      <c r="W151" s="157"/>
    </row>
    <row r="152" ht="15.75" customHeight="1">
      <c r="A152" s="189"/>
      <c r="B152" s="193"/>
      <c r="C152" s="194"/>
      <c r="N152" s="152"/>
      <c r="Q152" s="195"/>
      <c r="S152" s="196"/>
      <c r="T152" s="196"/>
      <c r="U152" s="152"/>
      <c r="V152" s="152"/>
      <c r="W152" s="157"/>
    </row>
    <row r="153" ht="15.75" customHeight="1">
      <c r="A153" s="189"/>
      <c r="B153" s="193"/>
      <c r="C153" s="194"/>
      <c r="N153" s="152"/>
      <c r="Q153" s="195"/>
      <c r="S153" s="196"/>
      <c r="T153" s="196"/>
      <c r="U153" s="152"/>
      <c r="V153" s="152"/>
      <c r="W153" s="157"/>
    </row>
    <row r="154" ht="15.75" customHeight="1">
      <c r="A154" s="189"/>
      <c r="B154" s="193"/>
      <c r="C154" s="194"/>
      <c r="N154" s="152"/>
      <c r="Q154" s="195"/>
      <c r="S154" s="196"/>
      <c r="T154" s="196"/>
      <c r="U154" s="152"/>
      <c r="V154" s="152"/>
      <c r="W154" s="157"/>
    </row>
    <row r="155" ht="15.75" customHeight="1">
      <c r="A155" s="189"/>
      <c r="B155" s="193"/>
      <c r="C155" s="194"/>
      <c r="N155" s="152"/>
      <c r="Q155" s="195"/>
      <c r="S155" s="196"/>
      <c r="T155" s="196"/>
      <c r="U155" s="152"/>
      <c r="V155" s="152"/>
      <c r="W155" s="157"/>
    </row>
    <row r="156" ht="15.75" customHeight="1">
      <c r="A156" s="189"/>
      <c r="B156" s="193"/>
      <c r="C156" s="194"/>
      <c r="N156" s="152"/>
      <c r="Q156" s="195"/>
      <c r="S156" s="196"/>
      <c r="T156" s="196"/>
      <c r="U156" s="152"/>
      <c r="V156" s="152"/>
      <c r="W156" s="157"/>
    </row>
    <row r="157" ht="15.75" customHeight="1">
      <c r="A157" s="189"/>
      <c r="B157" s="193"/>
      <c r="C157" s="194"/>
      <c r="N157" s="152"/>
      <c r="Q157" s="195"/>
      <c r="S157" s="196"/>
      <c r="T157" s="196"/>
      <c r="U157" s="152"/>
      <c r="V157" s="152"/>
      <c r="W157" s="157"/>
    </row>
    <row r="158" ht="15.75" customHeight="1">
      <c r="A158" s="189"/>
      <c r="B158" s="193"/>
      <c r="C158" s="194"/>
      <c r="N158" s="152"/>
      <c r="Q158" s="195"/>
      <c r="S158" s="196"/>
      <c r="T158" s="196"/>
      <c r="U158" s="152"/>
      <c r="V158" s="152"/>
      <c r="W158" s="157"/>
    </row>
    <row r="159" ht="15.75" customHeight="1">
      <c r="A159" s="189"/>
      <c r="B159" s="193"/>
      <c r="C159" s="194"/>
      <c r="N159" s="152"/>
      <c r="Q159" s="195"/>
      <c r="S159" s="196"/>
      <c r="T159" s="196"/>
      <c r="U159" s="152"/>
      <c r="V159" s="152"/>
      <c r="W159" s="157"/>
    </row>
    <row r="160" ht="15.75" customHeight="1">
      <c r="A160" s="189"/>
      <c r="B160" s="193"/>
      <c r="C160" s="194"/>
      <c r="N160" s="152"/>
      <c r="Q160" s="195"/>
      <c r="S160" s="196"/>
      <c r="T160" s="196"/>
      <c r="U160" s="152"/>
      <c r="V160" s="152"/>
      <c r="W160" s="157"/>
    </row>
    <row r="161" ht="15.75" customHeight="1">
      <c r="A161" s="189"/>
      <c r="B161" s="193"/>
      <c r="C161" s="194"/>
      <c r="N161" s="152"/>
      <c r="Q161" s="195"/>
      <c r="S161" s="196"/>
      <c r="T161" s="196"/>
      <c r="U161" s="152"/>
      <c r="V161" s="152"/>
      <c r="W161" s="157"/>
    </row>
    <row r="162" ht="15.75" customHeight="1">
      <c r="A162" s="189"/>
      <c r="B162" s="193"/>
      <c r="C162" s="194"/>
      <c r="N162" s="152"/>
      <c r="Q162" s="195"/>
      <c r="S162" s="196"/>
      <c r="T162" s="196"/>
      <c r="U162" s="152"/>
      <c r="V162" s="152"/>
      <c r="W162" s="157"/>
    </row>
    <row r="163" ht="15.75" customHeight="1">
      <c r="A163" s="189"/>
      <c r="B163" s="193"/>
      <c r="C163" s="194"/>
      <c r="N163" s="152"/>
      <c r="Q163" s="195"/>
      <c r="S163" s="196"/>
      <c r="T163" s="196"/>
      <c r="U163" s="152"/>
      <c r="V163" s="152"/>
      <c r="W163" s="157"/>
    </row>
    <row r="164" ht="15.75" customHeight="1">
      <c r="A164" s="189"/>
      <c r="B164" s="193"/>
      <c r="C164" s="194"/>
      <c r="N164" s="152"/>
      <c r="Q164" s="195"/>
      <c r="S164" s="196"/>
      <c r="T164" s="196"/>
      <c r="U164" s="152"/>
      <c r="V164" s="152"/>
      <c r="W164" s="157"/>
    </row>
    <row r="165" ht="15.75" customHeight="1">
      <c r="A165" s="189"/>
      <c r="B165" s="193"/>
      <c r="C165" s="194"/>
      <c r="N165" s="152"/>
      <c r="Q165" s="195"/>
      <c r="S165" s="196"/>
      <c r="T165" s="196"/>
      <c r="U165" s="152"/>
      <c r="V165" s="152"/>
      <c r="W165" s="157"/>
    </row>
    <row r="166" ht="15.75" customHeight="1">
      <c r="A166" s="189"/>
      <c r="B166" s="193"/>
      <c r="C166" s="194"/>
      <c r="N166" s="152"/>
      <c r="Q166" s="195"/>
      <c r="S166" s="196"/>
      <c r="T166" s="196"/>
      <c r="U166" s="152"/>
      <c r="V166" s="152"/>
      <c r="W166" s="157"/>
    </row>
    <row r="167" ht="15.75" customHeight="1">
      <c r="A167" s="189"/>
      <c r="B167" s="193"/>
      <c r="C167" s="194"/>
      <c r="N167" s="152"/>
      <c r="Q167" s="195"/>
      <c r="S167" s="196"/>
      <c r="T167" s="196"/>
      <c r="U167" s="152"/>
      <c r="V167" s="152"/>
      <c r="W167" s="157"/>
    </row>
    <row r="168" ht="15.75" customHeight="1">
      <c r="A168" s="189"/>
      <c r="B168" s="193"/>
      <c r="C168" s="194"/>
      <c r="N168" s="152"/>
      <c r="Q168" s="195"/>
      <c r="S168" s="196"/>
      <c r="T168" s="196"/>
      <c r="U168" s="152"/>
      <c r="V168" s="152"/>
      <c r="W168" s="157"/>
    </row>
    <row r="169" ht="15.75" customHeight="1">
      <c r="A169" s="189"/>
      <c r="B169" s="193"/>
      <c r="C169" s="194"/>
      <c r="N169" s="152"/>
      <c r="Q169" s="195"/>
      <c r="S169" s="196"/>
      <c r="T169" s="196"/>
      <c r="U169" s="152"/>
      <c r="V169" s="152"/>
      <c r="W169" s="157"/>
    </row>
    <row r="170" ht="15.75" customHeight="1">
      <c r="A170" s="189"/>
      <c r="B170" s="193"/>
      <c r="C170" s="194"/>
      <c r="N170" s="152"/>
      <c r="Q170" s="195"/>
      <c r="S170" s="196"/>
      <c r="T170" s="196"/>
      <c r="U170" s="152"/>
      <c r="V170" s="152"/>
      <c r="W170" s="157"/>
    </row>
    <row r="171" ht="15.75" customHeight="1">
      <c r="A171" s="189"/>
      <c r="B171" s="193"/>
      <c r="C171" s="194"/>
      <c r="N171" s="152"/>
      <c r="Q171" s="195"/>
      <c r="S171" s="196"/>
      <c r="T171" s="196"/>
      <c r="U171" s="152"/>
      <c r="V171" s="152"/>
      <c r="W171" s="157"/>
    </row>
    <row r="172" ht="15.75" customHeight="1">
      <c r="A172" s="189"/>
      <c r="B172" s="193"/>
      <c r="C172" s="194"/>
      <c r="N172" s="152"/>
      <c r="Q172" s="195"/>
      <c r="S172" s="196"/>
      <c r="T172" s="196"/>
      <c r="U172" s="152"/>
      <c r="V172" s="152"/>
      <c r="W172" s="157"/>
    </row>
    <row r="173" ht="15.75" customHeight="1">
      <c r="A173" s="189"/>
      <c r="B173" s="193"/>
      <c r="C173" s="194"/>
      <c r="N173" s="152"/>
      <c r="Q173" s="195"/>
      <c r="S173" s="196"/>
      <c r="T173" s="196"/>
      <c r="U173" s="152"/>
      <c r="V173" s="152"/>
      <c r="W173" s="157"/>
    </row>
    <row r="174" ht="15.75" customHeight="1">
      <c r="A174" s="189"/>
      <c r="B174" s="193"/>
      <c r="C174" s="194"/>
      <c r="N174" s="152"/>
      <c r="Q174" s="195"/>
      <c r="S174" s="196"/>
      <c r="T174" s="196"/>
      <c r="U174" s="152"/>
      <c r="V174" s="152"/>
      <c r="W174" s="157"/>
    </row>
    <row r="175" ht="15.75" customHeight="1">
      <c r="A175" s="189"/>
      <c r="B175" s="193"/>
      <c r="C175" s="194"/>
      <c r="N175" s="152"/>
      <c r="Q175" s="195"/>
      <c r="S175" s="196"/>
      <c r="T175" s="196"/>
      <c r="U175" s="152"/>
      <c r="V175" s="152"/>
      <c r="W175" s="157"/>
    </row>
    <row r="176" ht="15.75" customHeight="1">
      <c r="A176" s="189"/>
      <c r="B176" s="193"/>
      <c r="C176" s="194"/>
      <c r="N176" s="152"/>
      <c r="Q176" s="195"/>
      <c r="S176" s="196"/>
      <c r="T176" s="196"/>
      <c r="U176" s="152"/>
      <c r="V176" s="152"/>
      <c r="W176" s="157"/>
    </row>
    <row r="177" ht="15.75" customHeight="1">
      <c r="A177" s="189"/>
      <c r="B177" s="193"/>
      <c r="C177" s="194"/>
      <c r="N177" s="152"/>
      <c r="Q177" s="195"/>
      <c r="S177" s="196"/>
      <c r="T177" s="196"/>
      <c r="U177" s="152"/>
      <c r="V177" s="152"/>
      <c r="W177" s="157"/>
    </row>
    <row r="178" ht="15.75" customHeight="1">
      <c r="A178" s="189"/>
      <c r="B178" s="193"/>
      <c r="C178" s="194"/>
      <c r="N178" s="152"/>
      <c r="Q178" s="195"/>
      <c r="S178" s="196"/>
      <c r="T178" s="196"/>
      <c r="U178" s="152"/>
      <c r="V178" s="152"/>
      <c r="W178" s="157"/>
    </row>
    <row r="179" ht="15.75" customHeight="1">
      <c r="A179" s="189"/>
      <c r="B179" s="193"/>
      <c r="C179" s="194"/>
      <c r="N179" s="152"/>
      <c r="Q179" s="195"/>
      <c r="S179" s="196"/>
      <c r="T179" s="196"/>
      <c r="U179" s="152"/>
      <c r="V179" s="152"/>
      <c r="W179" s="157"/>
    </row>
    <row r="180" ht="15.75" customHeight="1">
      <c r="A180" s="189"/>
      <c r="B180" s="193"/>
      <c r="C180" s="194"/>
      <c r="N180" s="152"/>
      <c r="Q180" s="195"/>
      <c r="S180" s="196"/>
      <c r="T180" s="196"/>
      <c r="U180" s="152"/>
      <c r="V180" s="152"/>
      <c r="W180" s="157"/>
    </row>
    <row r="181" ht="15.75" customHeight="1">
      <c r="A181" s="189"/>
      <c r="B181" s="193"/>
      <c r="C181" s="194"/>
      <c r="N181" s="152"/>
      <c r="Q181" s="195"/>
      <c r="S181" s="196"/>
      <c r="T181" s="196"/>
      <c r="U181" s="152"/>
      <c r="V181" s="152"/>
      <c r="W181" s="157"/>
    </row>
    <row r="182" ht="15.75" customHeight="1">
      <c r="A182" s="189"/>
      <c r="B182" s="193"/>
      <c r="C182" s="194"/>
      <c r="N182" s="152"/>
      <c r="Q182" s="195"/>
      <c r="S182" s="196"/>
      <c r="T182" s="196"/>
      <c r="U182" s="152"/>
      <c r="V182" s="152"/>
      <c r="W182" s="157"/>
    </row>
    <row r="183" ht="15.75" customHeight="1">
      <c r="A183" s="189"/>
      <c r="B183" s="193"/>
      <c r="C183" s="194"/>
      <c r="N183" s="152"/>
      <c r="Q183" s="195"/>
      <c r="S183" s="196"/>
      <c r="T183" s="196"/>
      <c r="U183" s="152"/>
      <c r="V183" s="152"/>
      <c r="W183" s="157"/>
    </row>
    <row r="184" ht="15.75" customHeight="1">
      <c r="A184" s="189"/>
      <c r="B184" s="193"/>
      <c r="C184" s="194"/>
      <c r="N184" s="152"/>
      <c r="Q184" s="195"/>
      <c r="S184" s="196"/>
      <c r="T184" s="196"/>
      <c r="U184" s="152"/>
      <c r="V184" s="152"/>
      <c r="W184" s="157"/>
    </row>
    <row r="185" ht="15.75" customHeight="1">
      <c r="A185" s="189"/>
      <c r="B185" s="193"/>
      <c r="C185" s="194"/>
      <c r="N185" s="152"/>
      <c r="Q185" s="195"/>
      <c r="S185" s="196"/>
      <c r="T185" s="196"/>
      <c r="U185" s="152"/>
      <c r="V185" s="152"/>
      <c r="W185" s="157"/>
    </row>
    <row r="186" ht="15.75" customHeight="1">
      <c r="A186" s="189"/>
      <c r="B186" s="193"/>
      <c r="C186" s="194"/>
      <c r="N186" s="152"/>
      <c r="Q186" s="195"/>
      <c r="S186" s="196"/>
      <c r="T186" s="196"/>
      <c r="U186" s="152"/>
      <c r="V186" s="152"/>
      <c r="W186" s="157"/>
    </row>
    <row r="187" ht="15.75" customHeight="1">
      <c r="A187" s="189"/>
      <c r="B187" s="193"/>
      <c r="C187" s="194"/>
      <c r="N187" s="152"/>
      <c r="Q187" s="195"/>
      <c r="S187" s="196"/>
      <c r="T187" s="196"/>
      <c r="U187" s="152"/>
      <c r="V187" s="152"/>
      <c r="W187" s="157"/>
    </row>
    <row r="188" ht="15.75" customHeight="1">
      <c r="A188" s="189"/>
      <c r="B188" s="193"/>
      <c r="C188" s="194"/>
      <c r="N188" s="152"/>
      <c r="Q188" s="195"/>
      <c r="S188" s="196"/>
      <c r="T188" s="196"/>
      <c r="U188" s="152"/>
      <c r="V188" s="152"/>
      <c r="W188" s="157"/>
    </row>
    <row r="189" ht="15.75" customHeight="1">
      <c r="A189" s="189"/>
      <c r="B189" s="193"/>
      <c r="C189" s="194"/>
      <c r="N189" s="152"/>
      <c r="Q189" s="195"/>
      <c r="S189" s="196"/>
      <c r="T189" s="196"/>
      <c r="U189" s="152"/>
      <c r="V189" s="152"/>
      <c r="W189" s="157"/>
    </row>
    <row r="190" ht="15.75" customHeight="1">
      <c r="A190" s="189"/>
      <c r="B190" s="193"/>
      <c r="C190" s="194"/>
      <c r="N190" s="152"/>
      <c r="Q190" s="195"/>
      <c r="S190" s="196"/>
      <c r="T190" s="196"/>
      <c r="U190" s="152"/>
      <c r="V190" s="152"/>
      <c r="W190" s="157"/>
    </row>
    <row r="191" ht="15.75" customHeight="1">
      <c r="A191" s="189"/>
      <c r="B191" s="193"/>
      <c r="C191" s="194"/>
      <c r="N191" s="152"/>
      <c r="Q191" s="195"/>
      <c r="S191" s="196"/>
      <c r="T191" s="196"/>
      <c r="U191" s="152"/>
      <c r="V191" s="152"/>
      <c r="W191" s="157"/>
    </row>
    <row r="192" ht="15.75" customHeight="1">
      <c r="A192" s="189"/>
      <c r="B192" s="193"/>
      <c r="C192" s="194"/>
      <c r="N192" s="152"/>
      <c r="Q192" s="195"/>
      <c r="S192" s="196"/>
      <c r="T192" s="196"/>
      <c r="U192" s="152"/>
      <c r="V192" s="152"/>
      <c r="W192" s="157"/>
    </row>
    <row r="193" ht="15.75" customHeight="1">
      <c r="A193" s="189"/>
      <c r="B193" s="193"/>
      <c r="C193" s="194"/>
      <c r="N193" s="152"/>
      <c r="Q193" s="195"/>
      <c r="S193" s="196"/>
      <c r="T193" s="196"/>
      <c r="U193" s="152"/>
      <c r="V193" s="152"/>
      <c r="W193" s="157"/>
    </row>
    <row r="194" ht="15.75" customHeight="1">
      <c r="A194" s="189"/>
      <c r="B194" s="193"/>
      <c r="C194" s="194"/>
      <c r="N194" s="152"/>
      <c r="Q194" s="195"/>
      <c r="S194" s="196"/>
      <c r="T194" s="196"/>
      <c r="U194" s="152"/>
      <c r="V194" s="152"/>
      <c r="W194" s="157"/>
    </row>
    <row r="195" ht="15.75" customHeight="1">
      <c r="A195" s="189"/>
      <c r="B195" s="193"/>
      <c r="C195" s="194"/>
      <c r="N195" s="152"/>
      <c r="Q195" s="195"/>
      <c r="S195" s="196"/>
      <c r="T195" s="196"/>
      <c r="U195" s="152"/>
      <c r="V195" s="152"/>
      <c r="W195" s="157"/>
    </row>
    <row r="196" ht="15.75" customHeight="1">
      <c r="A196" s="189"/>
      <c r="B196" s="193"/>
      <c r="C196" s="194"/>
      <c r="N196" s="152"/>
      <c r="Q196" s="195"/>
      <c r="S196" s="196"/>
      <c r="T196" s="196"/>
      <c r="U196" s="152"/>
      <c r="V196" s="152"/>
      <c r="W196" s="157"/>
    </row>
    <row r="197" ht="15.75" customHeight="1">
      <c r="A197" s="189"/>
      <c r="B197" s="193"/>
      <c r="C197" s="194"/>
      <c r="N197" s="152"/>
      <c r="Q197" s="195"/>
      <c r="S197" s="196"/>
      <c r="T197" s="196"/>
      <c r="U197" s="152"/>
      <c r="V197" s="152"/>
      <c r="W197" s="157"/>
    </row>
    <row r="198" ht="15.75" customHeight="1">
      <c r="A198" s="189"/>
      <c r="B198" s="193"/>
      <c r="C198" s="194"/>
      <c r="N198" s="152"/>
      <c r="Q198" s="195"/>
      <c r="S198" s="196"/>
      <c r="T198" s="196"/>
      <c r="U198" s="152"/>
      <c r="V198" s="152"/>
      <c r="W198" s="157"/>
    </row>
    <row r="199" ht="15.75" customHeight="1">
      <c r="A199" s="189"/>
      <c r="B199" s="193"/>
      <c r="C199" s="194"/>
      <c r="N199" s="152"/>
      <c r="Q199" s="195"/>
      <c r="S199" s="196"/>
      <c r="T199" s="196"/>
      <c r="U199" s="152"/>
      <c r="V199" s="152"/>
      <c r="W199" s="157"/>
    </row>
    <row r="200" ht="15.75" customHeight="1">
      <c r="A200" s="189"/>
      <c r="B200" s="193"/>
      <c r="C200" s="194"/>
      <c r="N200" s="152"/>
      <c r="Q200" s="195"/>
      <c r="S200" s="196"/>
      <c r="T200" s="196"/>
      <c r="U200" s="152"/>
      <c r="V200" s="152"/>
      <c r="W200" s="157"/>
    </row>
    <row r="201" ht="15.75" customHeight="1">
      <c r="A201" s="189"/>
      <c r="B201" s="193"/>
      <c r="C201" s="194"/>
      <c r="N201" s="152"/>
      <c r="Q201" s="195"/>
      <c r="S201" s="196"/>
      <c r="T201" s="196"/>
      <c r="U201" s="152"/>
      <c r="V201" s="152"/>
      <c r="W201" s="157"/>
    </row>
    <row r="202" ht="15.75" customHeight="1">
      <c r="A202" s="189"/>
      <c r="B202" s="193"/>
      <c r="C202" s="194"/>
      <c r="N202" s="152"/>
      <c r="Q202" s="195"/>
      <c r="S202" s="196"/>
      <c r="T202" s="196"/>
      <c r="U202" s="152"/>
      <c r="V202" s="152"/>
      <c r="W202" s="157"/>
    </row>
    <row r="203" ht="15.75" customHeight="1">
      <c r="A203" s="189"/>
      <c r="B203" s="193"/>
      <c r="C203" s="194"/>
      <c r="N203" s="152"/>
      <c r="Q203" s="195"/>
      <c r="S203" s="196"/>
      <c r="T203" s="196"/>
      <c r="U203" s="152"/>
      <c r="V203" s="152"/>
      <c r="W203" s="157"/>
    </row>
    <row r="204" ht="15.75" customHeight="1">
      <c r="A204" s="189"/>
      <c r="B204" s="193"/>
      <c r="C204" s="194"/>
      <c r="N204" s="152"/>
      <c r="Q204" s="195"/>
      <c r="S204" s="196"/>
      <c r="T204" s="196"/>
      <c r="U204" s="152"/>
      <c r="V204" s="152"/>
      <c r="W204" s="157"/>
    </row>
    <row r="205" ht="15.75" customHeight="1">
      <c r="A205" s="189"/>
      <c r="B205" s="193"/>
      <c r="C205" s="194"/>
      <c r="N205" s="152"/>
      <c r="Q205" s="195"/>
      <c r="S205" s="196"/>
      <c r="T205" s="196"/>
      <c r="U205" s="152"/>
      <c r="V205" s="152"/>
      <c r="W205" s="157"/>
    </row>
    <row r="206" ht="15.75" customHeight="1">
      <c r="A206" s="189"/>
      <c r="B206" s="193"/>
      <c r="C206" s="194"/>
      <c r="N206" s="152"/>
      <c r="Q206" s="195"/>
      <c r="S206" s="196"/>
      <c r="T206" s="196"/>
      <c r="U206" s="152"/>
      <c r="V206" s="152"/>
      <c r="W206" s="157"/>
    </row>
    <row r="207" ht="15.75" customHeight="1">
      <c r="A207" s="189"/>
      <c r="B207" s="193"/>
      <c r="C207" s="194"/>
      <c r="N207" s="152"/>
      <c r="Q207" s="195"/>
      <c r="S207" s="196"/>
      <c r="T207" s="196"/>
      <c r="U207" s="152"/>
      <c r="V207" s="152"/>
      <c r="W207" s="157"/>
    </row>
    <row r="208" ht="15.75" customHeight="1">
      <c r="A208" s="189"/>
      <c r="B208" s="193"/>
      <c r="C208" s="194"/>
      <c r="N208" s="152"/>
      <c r="Q208" s="195"/>
      <c r="S208" s="196"/>
      <c r="T208" s="196"/>
      <c r="U208" s="152"/>
      <c r="V208" s="152"/>
      <c r="W208" s="157"/>
    </row>
    <row r="209" ht="15.75" customHeight="1">
      <c r="A209" s="189"/>
      <c r="B209" s="193"/>
      <c r="C209" s="194"/>
      <c r="N209" s="152"/>
      <c r="Q209" s="195"/>
      <c r="S209" s="196"/>
      <c r="T209" s="196"/>
      <c r="U209" s="152"/>
      <c r="V209" s="152"/>
      <c r="W209" s="157"/>
    </row>
    <row r="210" ht="15.75" customHeight="1">
      <c r="A210" s="189"/>
      <c r="B210" s="193"/>
      <c r="C210" s="194"/>
      <c r="N210" s="152"/>
      <c r="Q210" s="195"/>
      <c r="S210" s="196"/>
      <c r="T210" s="196"/>
      <c r="U210" s="152"/>
      <c r="V210" s="152"/>
      <c r="W210" s="157"/>
    </row>
    <row r="211" ht="15.75" customHeight="1">
      <c r="A211" s="189"/>
      <c r="B211" s="193"/>
      <c r="C211" s="194"/>
      <c r="N211" s="152"/>
      <c r="Q211" s="195"/>
      <c r="S211" s="196"/>
      <c r="T211" s="196"/>
      <c r="U211" s="152"/>
      <c r="V211" s="152"/>
      <c r="W211" s="157"/>
    </row>
    <row r="212" ht="15.75" customHeight="1">
      <c r="A212" s="189"/>
      <c r="B212" s="193"/>
      <c r="C212" s="194"/>
      <c r="N212" s="152"/>
      <c r="Q212" s="195"/>
      <c r="S212" s="196"/>
      <c r="T212" s="196"/>
      <c r="U212" s="152"/>
      <c r="V212" s="152"/>
      <c r="W212" s="157"/>
    </row>
    <row r="213" ht="15.75" customHeight="1">
      <c r="A213" s="189"/>
      <c r="B213" s="193"/>
      <c r="C213" s="194"/>
      <c r="N213" s="152"/>
      <c r="Q213" s="195"/>
      <c r="S213" s="196"/>
      <c r="T213" s="196"/>
      <c r="U213" s="152"/>
      <c r="V213" s="152"/>
      <c r="W213" s="157"/>
    </row>
    <row r="214" ht="15.75" customHeight="1">
      <c r="A214" s="189"/>
      <c r="B214" s="193"/>
      <c r="C214" s="194"/>
      <c r="N214" s="152"/>
      <c r="Q214" s="195"/>
      <c r="S214" s="196"/>
      <c r="T214" s="196"/>
      <c r="U214" s="152"/>
      <c r="V214" s="152"/>
      <c r="W214" s="157"/>
    </row>
    <row r="215" ht="15.75" customHeight="1">
      <c r="A215" s="189"/>
      <c r="B215" s="193"/>
      <c r="C215" s="194"/>
      <c r="N215" s="152"/>
      <c r="Q215" s="195"/>
      <c r="S215" s="196"/>
      <c r="T215" s="196"/>
      <c r="U215" s="152"/>
      <c r="V215" s="152"/>
      <c r="W215" s="157"/>
    </row>
    <row r="216" ht="15.75" customHeight="1">
      <c r="A216" s="189"/>
      <c r="B216" s="193"/>
      <c r="C216" s="194"/>
      <c r="N216" s="152"/>
      <c r="Q216" s="195"/>
      <c r="S216" s="196"/>
      <c r="T216" s="196"/>
      <c r="U216" s="152"/>
      <c r="V216" s="152"/>
      <c r="W216" s="157"/>
    </row>
    <row r="217" ht="15.75" customHeight="1">
      <c r="A217" s="189"/>
      <c r="B217" s="193"/>
      <c r="C217" s="194"/>
      <c r="N217" s="152"/>
      <c r="Q217" s="195"/>
      <c r="S217" s="196"/>
      <c r="T217" s="196"/>
      <c r="U217" s="152"/>
      <c r="V217" s="152"/>
      <c r="W217" s="157"/>
    </row>
    <row r="218" ht="15.75" customHeight="1">
      <c r="A218" s="189"/>
      <c r="B218" s="193"/>
      <c r="C218" s="194"/>
      <c r="N218" s="152"/>
      <c r="Q218" s="195"/>
      <c r="S218" s="196"/>
      <c r="T218" s="196"/>
      <c r="U218" s="152"/>
      <c r="V218" s="152"/>
      <c r="W218" s="157"/>
    </row>
    <row r="219" ht="15.75" customHeight="1">
      <c r="A219" s="189"/>
      <c r="B219" s="193"/>
      <c r="C219" s="194"/>
      <c r="N219" s="152"/>
      <c r="Q219" s="195"/>
      <c r="S219" s="196"/>
      <c r="T219" s="196"/>
      <c r="U219" s="152"/>
      <c r="V219" s="152"/>
      <c r="W219" s="157"/>
    </row>
    <row r="220" ht="15.75" customHeight="1">
      <c r="A220" s="189"/>
      <c r="B220" s="193"/>
      <c r="C220" s="194"/>
      <c r="N220" s="152"/>
      <c r="Q220" s="195"/>
      <c r="S220" s="196"/>
      <c r="T220" s="196"/>
      <c r="U220" s="152"/>
      <c r="V220" s="152"/>
      <c r="W220" s="157"/>
    </row>
    <row r="221" ht="15.75" customHeight="1">
      <c r="B221" s="199"/>
      <c r="N221" s="152"/>
      <c r="Q221" s="195"/>
      <c r="S221" s="200"/>
      <c r="T221" s="200"/>
      <c r="U221" s="152"/>
      <c r="V221" s="152"/>
      <c r="W221" s="157"/>
    </row>
    <row r="222" ht="15.75" customHeight="1">
      <c r="B222" s="199"/>
      <c r="N222" s="152"/>
      <c r="Q222" s="195"/>
      <c r="S222" s="200"/>
      <c r="T222" s="200"/>
      <c r="U222" s="152"/>
      <c r="V222" s="152"/>
      <c r="W222" s="157"/>
    </row>
    <row r="223" ht="15.75" customHeight="1">
      <c r="B223" s="199"/>
      <c r="N223" s="152"/>
      <c r="Q223" s="195"/>
      <c r="S223" s="200"/>
      <c r="T223" s="200"/>
      <c r="U223" s="152"/>
      <c r="V223" s="152"/>
      <c r="W223" s="157"/>
    </row>
    <row r="224" ht="15.75" customHeight="1">
      <c r="B224" s="199"/>
      <c r="N224" s="152"/>
      <c r="Q224" s="195"/>
      <c r="S224" s="200"/>
      <c r="T224" s="200"/>
      <c r="U224" s="152"/>
      <c r="V224" s="152"/>
      <c r="W224" s="157"/>
    </row>
    <row r="225" ht="15.75" customHeight="1">
      <c r="B225" s="199"/>
      <c r="N225" s="152"/>
      <c r="Q225" s="195"/>
      <c r="S225" s="200"/>
      <c r="T225" s="200"/>
      <c r="U225" s="152"/>
      <c r="V225" s="152"/>
      <c r="W225" s="157"/>
    </row>
    <row r="226" ht="15.75" customHeight="1">
      <c r="B226" s="199"/>
      <c r="N226" s="152"/>
      <c r="Q226" s="195"/>
      <c r="S226" s="200"/>
      <c r="T226" s="200"/>
      <c r="U226" s="152"/>
      <c r="V226" s="152"/>
      <c r="W226" s="157"/>
    </row>
    <row r="227" ht="15.75" customHeight="1">
      <c r="B227" s="199"/>
      <c r="N227" s="152"/>
      <c r="Q227" s="195"/>
      <c r="S227" s="200"/>
      <c r="T227" s="200"/>
      <c r="U227" s="152"/>
      <c r="V227" s="152"/>
      <c r="W227" s="157"/>
    </row>
    <row r="228" ht="15.75" customHeight="1">
      <c r="B228" s="199"/>
      <c r="N228" s="152"/>
      <c r="Q228" s="195"/>
      <c r="S228" s="200"/>
      <c r="T228" s="200"/>
      <c r="U228" s="152"/>
      <c r="V228" s="152"/>
      <c r="W228" s="157"/>
    </row>
    <row r="229" ht="15.75" customHeight="1">
      <c r="B229" s="199"/>
      <c r="N229" s="152"/>
      <c r="Q229" s="195"/>
      <c r="S229" s="200"/>
      <c r="T229" s="200"/>
      <c r="U229" s="152"/>
      <c r="V229" s="152"/>
      <c r="W229" s="157"/>
    </row>
    <row r="230" ht="15.75" customHeight="1">
      <c r="B230" s="199"/>
      <c r="N230" s="152"/>
      <c r="Q230" s="195"/>
      <c r="S230" s="200"/>
      <c r="T230" s="200"/>
      <c r="U230" s="152"/>
      <c r="V230" s="152"/>
      <c r="W230" s="157"/>
    </row>
    <row r="231" ht="15.75" customHeight="1">
      <c r="B231" s="199"/>
      <c r="N231" s="152"/>
      <c r="Q231" s="195"/>
      <c r="S231" s="200"/>
      <c r="T231" s="200"/>
      <c r="U231" s="152"/>
      <c r="V231" s="152"/>
      <c r="W231" s="157"/>
    </row>
    <row r="232" ht="15.75" customHeight="1">
      <c r="B232" s="199"/>
      <c r="N232" s="152"/>
      <c r="Q232" s="195"/>
      <c r="S232" s="200"/>
      <c r="T232" s="200"/>
      <c r="U232" s="152"/>
      <c r="V232" s="152"/>
      <c r="W232" s="157"/>
    </row>
    <row r="233" ht="15.75" customHeight="1">
      <c r="B233" s="199"/>
      <c r="N233" s="152"/>
      <c r="Q233" s="195"/>
      <c r="S233" s="200"/>
      <c r="T233" s="200"/>
      <c r="U233" s="152"/>
      <c r="V233" s="152"/>
      <c r="W233" s="157"/>
    </row>
    <row r="234" ht="15.75" customHeight="1">
      <c r="B234" s="199"/>
      <c r="N234" s="152"/>
      <c r="Q234" s="195"/>
      <c r="S234" s="200"/>
      <c r="T234" s="200"/>
      <c r="U234" s="152"/>
      <c r="V234" s="152"/>
      <c r="W234" s="157"/>
    </row>
    <row r="235" ht="15.75" customHeight="1">
      <c r="B235" s="199"/>
      <c r="N235" s="152"/>
      <c r="Q235" s="195"/>
      <c r="S235" s="200"/>
      <c r="T235" s="200"/>
      <c r="U235" s="152"/>
      <c r="V235" s="152"/>
      <c r="W235" s="157"/>
    </row>
    <row r="236" ht="15.75" customHeight="1">
      <c r="B236" s="199"/>
      <c r="N236" s="152"/>
      <c r="Q236" s="195"/>
      <c r="S236" s="200"/>
      <c r="T236" s="200"/>
      <c r="U236" s="152"/>
      <c r="V236" s="152"/>
      <c r="W236" s="157"/>
    </row>
    <row r="237" ht="15.75" customHeight="1">
      <c r="B237" s="199"/>
      <c r="N237" s="152"/>
      <c r="Q237" s="195"/>
      <c r="S237" s="200"/>
      <c r="T237" s="200"/>
      <c r="U237" s="152"/>
      <c r="V237" s="152"/>
      <c r="W237" s="157"/>
    </row>
    <row r="238" ht="15.75" customHeight="1">
      <c r="B238" s="199"/>
      <c r="N238" s="152"/>
      <c r="Q238" s="195"/>
      <c r="S238" s="200"/>
      <c r="T238" s="200"/>
      <c r="U238" s="152"/>
      <c r="V238" s="152"/>
      <c r="W238" s="157"/>
    </row>
    <row r="239" ht="15.75" customHeight="1">
      <c r="B239" s="199"/>
      <c r="N239" s="152"/>
      <c r="Q239" s="195"/>
      <c r="S239" s="200"/>
      <c r="T239" s="200"/>
      <c r="U239" s="152"/>
      <c r="V239" s="152"/>
      <c r="W239" s="157"/>
    </row>
    <row r="240" ht="15.75" customHeight="1">
      <c r="B240" s="199"/>
      <c r="N240" s="152"/>
      <c r="Q240" s="195"/>
      <c r="S240" s="200"/>
      <c r="T240" s="200"/>
      <c r="U240" s="152"/>
      <c r="V240" s="152"/>
      <c r="W240" s="157"/>
    </row>
    <row r="241" ht="15.75" customHeight="1">
      <c r="B241" s="199"/>
      <c r="N241" s="152"/>
      <c r="Q241" s="195"/>
      <c r="S241" s="200"/>
      <c r="T241" s="200"/>
      <c r="U241" s="152"/>
      <c r="V241" s="152"/>
      <c r="W241" s="157"/>
    </row>
    <row r="242" ht="15.75" customHeight="1">
      <c r="B242" s="199"/>
      <c r="N242" s="152"/>
      <c r="Q242" s="195"/>
      <c r="S242" s="200"/>
      <c r="T242" s="200"/>
      <c r="U242" s="152"/>
      <c r="V242" s="152"/>
      <c r="W242" s="157"/>
    </row>
    <row r="243" ht="15.75" customHeight="1">
      <c r="B243" s="199"/>
      <c r="N243" s="152"/>
      <c r="Q243" s="195"/>
      <c r="S243" s="200"/>
      <c r="T243" s="200"/>
      <c r="U243" s="152"/>
      <c r="V243" s="152"/>
      <c r="W243" s="157"/>
    </row>
    <row r="244" ht="15.75" customHeight="1">
      <c r="B244" s="199"/>
      <c r="N244" s="152"/>
      <c r="Q244" s="195"/>
      <c r="S244" s="200"/>
      <c r="T244" s="200"/>
      <c r="U244" s="152"/>
      <c r="V244" s="152"/>
      <c r="W244" s="157"/>
    </row>
    <row r="245" ht="15.75" customHeight="1">
      <c r="B245" s="199"/>
      <c r="N245" s="152"/>
      <c r="Q245" s="195"/>
      <c r="S245" s="200"/>
      <c r="T245" s="200"/>
      <c r="U245" s="152"/>
      <c r="V245" s="152"/>
      <c r="W245" s="157"/>
    </row>
    <row r="246" ht="15.75" customHeight="1">
      <c r="B246" s="199"/>
      <c r="N246" s="152"/>
      <c r="Q246" s="195"/>
      <c r="S246" s="200"/>
      <c r="T246" s="200"/>
      <c r="U246" s="152"/>
      <c r="V246" s="152"/>
      <c r="W246" s="157"/>
    </row>
    <row r="247" ht="15.75" customHeight="1">
      <c r="B247" s="199"/>
      <c r="N247" s="152"/>
      <c r="Q247" s="195"/>
      <c r="S247" s="200"/>
      <c r="T247" s="200"/>
      <c r="U247" s="152"/>
      <c r="V247" s="152"/>
      <c r="W247" s="157"/>
    </row>
    <row r="248" ht="15.75" customHeight="1">
      <c r="B248" s="199"/>
      <c r="N248" s="152"/>
      <c r="Q248" s="195"/>
      <c r="S248" s="200"/>
      <c r="T248" s="200"/>
      <c r="U248" s="152"/>
      <c r="V248" s="152"/>
      <c r="W248" s="157"/>
    </row>
    <row r="249" ht="15.75" customHeight="1">
      <c r="B249" s="199"/>
      <c r="N249" s="152"/>
      <c r="Q249" s="195"/>
      <c r="S249" s="200"/>
      <c r="T249" s="200"/>
      <c r="U249" s="152"/>
      <c r="V249" s="152"/>
      <c r="W249" s="157"/>
    </row>
    <row r="250" ht="15.75" customHeight="1">
      <c r="B250" s="199"/>
      <c r="N250" s="152"/>
      <c r="Q250" s="195"/>
      <c r="S250" s="200"/>
      <c r="T250" s="200"/>
      <c r="U250" s="152"/>
      <c r="V250" s="152"/>
      <c r="W250" s="157"/>
    </row>
    <row r="251" ht="15.75" customHeight="1">
      <c r="B251" s="199"/>
      <c r="N251" s="152"/>
      <c r="Q251" s="195"/>
      <c r="S251" s="200"/>
      <c r="T251" s="200"/>
      <c r="U251" s="152"/>
      <c r="V251" s="152"/>
      <c r="W251" s="157"/>
    </row>
    <row r="252" ht="15.75" customHeight="1">
      <c r="B252" s="199"/>
      <c r="N252" s="152"/>
      <c r="Q252" s="195"/>
      <c r="S252" s="200"/>
      <c r="T252" s="200"/>
      <c r="U252" s="152"/>
      <c r="V252" s="152"/>
      <c r="W252" s="157"/>
    </row>
    <row r="253" ht="15.75" customHeight="1">
      <c r="B253" s="199"/>
      <c r="N253" s="152"/>
      <c r="Q253" s="195"/>
      <c r="S253" s="200"/>
      <c r="T253" s="200"/>
      <c r="U253" s="152"/>
      <c r="V253" s="152"/>
      <c r="W253" s="157"/>
    </row>
    <row r="254" ht="15.75" customHeight="1">
      <c r="B254" s="199"/>
      <c r="N254" s="152"/>
      <c r="Q254" s="195"/>
      <c r="S254" s="200"/>
      <c r="T254" s="200"/>
      <c r="U254" s="152"/>
      <c r="V254" s="152"/>
      <c r="W254" s="157"/>
    </row>
    <row r="255" ht="15.75" customHeight="1">
      <c r="B255" s="199"/>
      <c r="N255" s="152"/>
      <c r="Q255" s="195"/>
      <c r="S255" s="200"/>
      <c r="T255" s="200"/>
      <c r="U255" s="152"/>
      <c r="V255" s="152"/>
      <c r="W255" s="157"/>
    </row>
    <row r="256" ht="15.75" customHeight="1">
      <c r="B256" s="199"/>
      <c r="N256" s="152"/>
      <c r="Q256" s="195"/>
      <c r="S256" s="200"/>
      <c r="T256" s="200"/>
      <c r="U256" s="152"/>
      <c r="V256" s="152"/>
      <c r="W256" s="157"/>
    </row>
    <row r="257" ht="15.75" customHeight="1">
      <c r="B257" s="199"/>
      <c r="N257" s="152"/>
      <c r="Q257" s="195"/>
      <c r="S257" s="200"/>
      <c r="T257" s="200"/>
      <c r="U257" s="152"/>
      <c r="V257" s="152"/>
      <c r="W257" s="157"/>
    </row>
    <row r="258" ht="15.75" customHeight="1">
      <c r="B258" s="199"/>
      <c r="N258" s="152"/>
      <c r="Q258" s="195"/>
      <c r="S258" s="200"/>
      <c r="T258" s="200"/>
      <c r="U258" s="152"/>
      <c r="V258" s="152"/>
      <c r="W258" s="157"/>
    </row>
    <row r="259" ht="15.75" customHeight="1">
      <c r="B259" s="199"/>
      <c r="N259" s="152"/>
      <c r="Q259" s="195"/>
      <c r="S259" s="200"/>
      <c r="T259" s="200"/>
      <c r="U259" s="152"/>
      <c r="V259" s="152"/>
      <c r="W259" s="157"/>
    </row>
    <row r="260" ht="15.75" customHeight="1">
      <c r="B260" s="199"/>
      <c r="N260" s="152"/>
      <c r="Q260" s="195"/>
      <c r="S260" s="200"/>
      <c r="T260" s="200"/>
      <c r="U260" s="152"/>
      <c r="V260" s="152"/>
      <c r="W260" s="157"/>
    </row>
    <row r="261" ht="15.75" customHeight="1">
      <c r="B261" s="199"/>
      <c r="N261" s="152"/>
      <c r="Q261" s="195"/>
      <c r="S261" s="200"/>
      <c r="T261" s="200"/>
      <c r="U261" s="152"/>
      <c r="V261" s="152"/>
      <c r="W261" s="157"/>
    </row>
    <row r="262" ht="15.75" customHeight="1">
      <c r="B262" s="199"/>
      <c r="N262" s="152"/>
      <c r="Q262" s="195"/>
      <c r="S262" s="200"/>
      <c r="T262" s="200"/>
      <c r="U262" s="152"/>
      <c r="V262" s="152"/>
      <c r="W262" s="157"/>
    </row>
    <row r="263" ht="15.75" customHeight="1">
      <c r="B263" s="199"/>
      <c r="N263" s="152"/>
      <c r="Q263" s="195"/>
      <c r="S263" s="200"/>
      <c r="T263" s="200"/>
      <c r="U263" s="152"/>
      <c r="V263" s="152"/>
      <c r="W263" s="157"/>
    </row>
    <row r="264" ht="15.75" customHeight="1">
      <c r="B264" s="199"/>
      <c r="N264" s="152"/>
      <c r="Q264" s="195"/>
      <c r="S264" s="200"/>
      <c r="T264" s="200"/>
      <c r="U264" s="152"/>
      <c r="V264" s="152"/>
      <c r="W264" s="157"/>
    </row>
    <row r="265" ht="15.75" customHeight="1">
      <c r="B265" s="199"/>
      <c r="N265" s="152"/>
      <c r="Q265" s="195"/>
      <c r="S265" s="200"/>
      <c r="T265" s="200"/>
      <c r="U265" s="152"/>
      <c r="V265" s="152"/>
      <c r="W265" s="157"/>
    </row>
    <row r="266" ht="15.75" customHeight="1">
      <c r="B266" s="199"/>
      <c r="N266" s="152"/>
      <c r="Q266" s="195"/>
      <c r="S266" s="200"/>
      <c r="T266" s="200"/>
      <c r="U266" s="152"/>
      <c r="V266" s="152"/>
      <c r="W266" s="157"/>
    </row>
    <row r="267" ht="15.75" customHeight="1">
      <c r="B267" s="199"/>
      <c r="N267" s="152"/>
      <c r="Q267" s="195"/>
      <c r="S267" s="200"/>
      <c r="T267" s="200"/>
      <c r="U267" s="152"/>
      <c r="V267" s="152"/>
      <c r="W267" s="157"/>
    </row>
    <row r="268" ht="15.75" customHeight="1">
      <c r="B268" s="199"/>
      <c r="N268" s="152"/>
      <c r="Q268" s="195"/>
      <c r="S268" s="200"/>
      <c r="T268" s="200"/>
      <c r="U268" s="152"/>
      <c r="V268" s="152"/>
      <c r="W268" s="157"/>
    </row>
    <row r="269" ht="15.75" customHeight="1">
      <c r="B269" s="199"/>
      <c r="N269" s="152"/>
      <c r="Q269" s="195"/>
      <c r="S269" s="200"/>
      <c r="T269" s="200"/>
      <c r="U269" s="152"/>
      <c r="V269" s="152"/>
      <c r="W269" s="157"/>
    </row>
    <row r="270" ht="15.75" customHeight="1">
      <c r="B270" s="199"/>
      <c r="N270" s="152"/>
      <c r="Q270" s="195"/>
      <c r="S270" s="200"/>
      <c r="T270" s="200"/>
      <c r="U270" s="152"/>
      <c r="V270" s="152"/>
      <c r="W270" s="157"/>
    </row>
    <row r="271" ht="15.75" customHeight="1">
      <c r="B271" s="199"/>
      <c r="N271" s="152"/>
      <c r="Q271" s="195"/>
      <c r="S271" s="200"/>
      <c r="T271" s="200"/>
      <c r="U271" s="152"/>
      <c r="V271" s="152"/>
      <c r="W271" s="157"/>
    </row>
    <row r="272" ht="15.75" customHeight="1">
      <c r="B272" s="199"/>
      <c r="N272" s="152"/>
      <c r="Q272" s="195"/>
      <c r="S272" s="200"/>
      <c r="T272" s="200"/>
      <c r="U272" s="152"/>
      <c r="V272" s="152"/>
      <c r="W272" s="157"/>
    </row>
    <row r="273" ht="15.75" customHeight="1">
      <c r="B273" s="199"/>
      <c r="N273" s="152"/>
      <c r="Q273" s="195"/>
      <c r="S273" s="200"/>
      <c r="T273" s="200"/>
      <c r="U273" s="152"/>
      <c r="V273" s="152"/>
      <c r="W273" s="157"/>
    </row>
    <row r="274" ht="15.75" customHeight="1">
      <c r="B274" s="199"/>
      <c r="N274" s="152"/>
      <c r="Q274" s="195"/>
      <c r="S274" s="200"/>
      <c r="T274" s="200"/>
      <c r="U274" s="152"/>
      <c r="V274" s="152"/>
      <c r="W274" s="157"/>
    </row>
    <row r="275" ht="15.75" customHeight="1">
      <c r="B275" s="199"/>
      <c r="N275" s="152"/>
      <c r="Q275" s="195"/>
      <c r="S275" s="200"/>
      <c r="T275" s="200"/>
      <c r="U275" s="152"/>
      <c r="V275" s="152"/>
      <c r="W275" s="157"/>
    </row>
    <row r="276" ht="15.75" customHeight="1">
      <c r="B276" s="199"/>
      <c r="N276" s="152"/>
      <c r="Q276" s="195"/>
      <c r="S276" s="200"/>
      <c r="T276" s="200"/>
      <c r="U276" s="152"/>
      <c r="V276" s="152"/>
      <c r="W276" s="157"/>
    </row>
    <row r="277" ht="15.75" customHeight="1">
      <c r="B277" s="199"/>
      <c r="N277" s="152"/>
      <c r="Q277" s="195"/>
      <c r="S277" s="200"/>
      <c r="T277" s="200"/>
      <c r="U277" s="152"/>
      <c r="V277" s="152"/>
      <c r="W277" s="157"/>
    </row>
    <row r="278" ht="15.75" customHeight="1">
      <c r="B278" s="199"/>
      <c r="N278" s="152"/>
      <c r="Q278" s="195"/>
      <c r="S278" s="200"/>
      <c r="T278" s="200"/>
      <c r="U278" s="152"/>
      <c r="V278" s="152"/>
      <c r="W278" s="157"/>
    </row>
    <row r="279" ht="15.75" customHeight="1">
      <c r="B279" s="199"/>
      <c r="N279" s="152"/>
      <c r="Q279" s="195"/>
      <c r="S279" s="200"/>
      <c r="T279" s="200"/>
      <c r="U279" s="152"/>
      <c r="V279" s="152"/>
      <c r="W279" s="157"/>
    </row>
    <row r="280" ht="15.75" customHeight="1">
      <c r="B280" s="199"/>
      <c r="N280" s="152"/>
      <c r="Q280" s="195"/>
      <c r="S280" s="200"/>
      <c r="T280" s="200"/>
      <c r="U280" s="152"/>
      <c r="V280" s="152"/>
      <c r="W280" s="157"/>
    </row>
    <row r="281" ht="15.75" customHeight="1">
      <c r="B281" s="199"/>
      <c r="N281" s="152"/>
      <c r="Q281" s="195"/>
      <c r="S281" s="200"/>
      <c r="T281" s="200"/>
      <c r="U281" s="152"/>
      <c r="V281" s="152"/>
      <c r="W281" s="157"/>
    </row>
    <row r="282" ht="15.75" customHeight="1">
      <c r="B282" s="199"/>
      <c r="N282" s="152"/>
      <c r="Q282" s="195"/>
      <c r="S282" s="200"/>
      <c r="T282" s="200"/>
      <c r="U282" s="152"/>
      <c r="V282" s="152"/>
      <c r="W282" s="157"/>
    </row>
    <row r="283" ht="15.75" customHeight="1">
      <c r="B283" s="199"/>
      <c r="N283" s="152"/>
      <c r="Q283" s="195"/>
      <c r="S283" s="200"/>
      <c r="T283" s="200"/>
      <c r="U283" s="152"/>
      <c r="V283" s="152"/>
      <c r="W283" s="157"/>
    </row>
    <row r="284" ht="15.75" customHeight="1">
      <c r="B284" s="199"/>
      <c r="N284" s="152"/>
      <c r="Q284" s="195"/>
      <c r="S284" s="200"/>
      <c r="T284" s="200"/>
      <c r="U284" s="152"/>
      <c r="V284" s="152"/>
      <c r="W284" s="157"/>
    </row>
    <row r="285" ht="15.75" customHeight="1">
      <c r="B285" s="199"/>
      <c r="N285" s="152"/>
      <c r="Q285" s="195"/>
      <c r="S285" s="200"/>
      <c r="T285" s="200"/>
      <c r="U285" s="152"/>
      <c r="V285" s="152"/>
      <c r="W285" s="157"/>
    </row>
    <row r="286" ht="15.75" customHeight="1">
      <c r="B286" s="199"/>
      <c r="N286" s="152"/>
      <c r="Q286" s="195"/>
      <c r="S286" s="200"/>
      <c r="T286" s="200"/>
      <c r="U286" s="152"/>
      <c r="V286" s="152"/>
      <c r="W286" s="157"/>
    </row>
    <row r="287" ht="15.75" customHeight="1">
      <c r="B287" s="199"/>
      <c r="N287" s="152"/>
      <c r="Q287" s="195"/>
      <c r="S287" s="200"/>
      <c r="T287" s="200"/>
      <c r="U287" s="152"/>
      <c r="V287" s="152"/>
      <c r="W287" s="157"/>
    </row>
    <row r="288" ht="15.75" customHeight="1">
      <c r="B288" s="199"/>
      <c r="N288" s="152"/>
      <c r="Q288" s="195"/>
      <c r="S288" s="200"/>
      <c r="T288" s="200"/>
      <c r="U288" s="152"/>
      <c r="V288" s="152"/>
      <c r="W288" s="157"/>
    </row>
    <row r="289" ht="15.75" customHeight="1">
      <c r="B289" s="199"/>
      <c r="N289" s="152"/>
      <c r="Q289" s="195"/>
      <c r="S289" s="200"/>
      <c r="T289" s="200"/>
      <c r="U289" s="152"/>
      <c r="V289" s="152"/>
      <c r="W289" s="157"/>
    </row>
    <row r="290" ht="15.75" customHeight="1">
      <c r="B290" s="199"/>
      <c r="N290" s="152"/>
      <c r="Q290" s="195"/>
      <c r="S290" s="200"/>
      <c r="T290" s="200"/>
      <c r="U290" s="152"/>
      <c r="V290" s="152"/>
      <c r="W290" s="157"/>
    </row>
    <row r="291" ht="15.75" customHeight="1">
      <c r="B291" s="199"/>
      <c r="N291" s="152"/>
      <c r="Q291" s="195"/>
      <c r="S291" s="200"/>
      <c r="T291" s="200"/>
      <c r="U291" s="152"/>
      <c r="V291" s="152"/>
      <c r="W291" s="157"/>
    </row>
    <row r="292" ht="15.75" customHeight="1">
      <c r="B292" s="199"/>
      <c r="N292" s="152"/>
      <c r="Q292" s="195"/>
      <c r="S292" s="200"/>
      <c r="T292" s="200"/>
      <c r="U292" s="152"/>
      <c r="V292" s="152"/>
      <c r="W292" s="157"/>
    </row>
    <row r="293" ht="15.75" customHeight="1">
      <c r="B293" s="199"/>
      <c r="N293" s="152"/>
      <c r="Q293" s="195"/>
      <c r="S293" s="200"/>
      <c r="T293" s="200"/>
      <c r="U293" s="152"/>
      <c r="V293" s="152"/>
      <c r="W293" s="157"/>
    </row>
    <row r="294" ht="15.75" customHeight="1">
      <c r="B294" s="199"/>
      <c r="N294" s="152"/>
      <c r="Q294" s="195"/>
      <c r="S294" s="200"/>
      <c r="T294" s="200"/>
      <c r="U294" s="152"/>
      <c r="V294" s="152"/>
      <c r="W294" s="157"/>
    </row>
    <row r="295" ht="15.75" customHeight="1">
      <c r="B295" s="199"/>
      <c r="N295" s="152"/>
      <c r="Q295" s="195"/>
      <c r="S295" s="200"/>
      <c r="T295" s="200"/>
      <c r="U295" s="152"/>
      <c r="V295" s="152"/>
      <c r="W295" s="157"/>
    </row>
    <row r="296" ht="15.75" customHeight="1">
      <c r="B296" s="199"/>
      <c r="N296" s="152"/>
      <c r="Q296" s="195"/>
      <c r="S296" s="200"/>
      <c r="T296" s="200"/>
      <c r="U296" s="152"/>
      <c r="V296" s="152"/>
      <c r="W296" s="157"/>
    </row>
    <row r="297" ht="15.75" customHeight="1">
      <c r="B297" s="199"/>
      <c r="N297" s="152"/>
      <c r="Q297" s="195"/>
      <c r="S297" s="200"/>
      <c r="T297" s="200"/>
      <c r="U297" s="152"/>
      <c r="V297" s="152"/>
      <c r="W297" s="157"/>
    </row>
    <row r="298" ht="15.75" customHeight="1">
      <c r="B298" s="199"/>
      <c r="N298" s="152"/>
      <c r="Q298" s="195"/>
      <c r="S298" s="200"/>
      <c r="T298" s="200"/>
      <c r="U298" s="152"/>
      <c r="V298" s="152"/>
      <c r="W298" s="157"/>
    </row>
    <row r="299" ht="15.75" customHeight="1">
      <c r="B299" s="199"/>
      <c r="N299" s="152"/>
      <c r="Q299" s="195"/>
      <c r="S299" s="200"/>
      <c r="T299" s="200"/>
      <c r="U299" s="152"/>
      <c r="V299" s="152"/>
      <c r="W299" s="157"/>
    </row>
    <row r="300" ht="15.75" customHeight="1">
      <c r="B300" s="199"/>
      <c r="N300" s="152"/>
      <c r="Q300" s="195"/>
      <c r="S300" s="200"/>
      <c r="T300" s="200"/>
      <c r="U300" s="152"/>
      <c r="V300" s="152"/>
      <c r="W300" s="157"/>
    </row>
    <row r="301" ht="15.75" customHeight="1">
      <c r="B301" s="199"/>
      <c r="N301" s="152"/>
      <c r="Q301" s="195"/>
      <c r="S301" s="200"/>
      <c r="T301" s="200"/>
      <c r="U301" s="152"/>
      <c r="V301" s="152"/>
      <c r="W301" s="157"/>
    </row>
    <row r="302" ht="15.75" customHeight="1">
      <c r="B302" s="199"/>
      <c r="N302" s="152"/>
      <c r="Q302" s="195"/>
      <c r="S302" s="200"/>
      <c r="T302" s="200"/>
      <c r="U302" s="152"/>
      <c r="V302" s="152"/>
      <c r="W302" s="157"/>
    </row>
    <row r="303" ht="15.75" customHeight="1">
      <c r="B303" s="199"/>
      <c r="N303" s="152"/>
      <c r="Q303" s="195"/>
      <c r="S303" s="200"/>
      <c r="T303" s="200"/>
      <c r="U303" s="152"/>
      <c r="V303" s="152"/>
      <c r="W303" s="157"/>
    </row>
    <row r="304" ht="15.75" customHeight="1">
      <c r="B304" s="199"/>
      <c r="N304" s="152"/>
      <c r="Q304" s="195"/>
      <c r="S304" s="200"/>
      <c r="T304" s="200"/>
      <c r="U304" s="152"/>
      <c r="V304" s="152"/>
      <c r="W304" s="157"/>
    </row>
    <row r="305" ht="15.75" customHeight="1">
      <c r="B305" s="199"/>
      <c r="N305" s="152"/>
      <c r="Q305" s="195"/>
      <c r="S305" s="200"/>
      <c r="T305" s="200"/>
      <c r="U305" s="152"/>
      <c r="V305" s="152"/>
      <c r="W305" s="157"/>
    </row>
    <row r="306" ht="15.75" customHeight="1">
      <c r="B306" s="199"/>
      <c r="N306" s="152"/>
      <c r="Q306" s="195"/>
      <c r="S306" s="200"/>
      <c r="T306" s="200"/>
      <c r="U306" s="152"/>
      <c r="V306" s="152"/>
      <c r="W306" s="157"/>
    </row>
    <row r="307" ht="15.75" customHeight="1">
      <c r="B307" s="199"/>
      <c r="N307" s="152"/>
      <c r="Q307" s="195"/>
      <c r="S307" s="200"/>
      <c r="T307" s="200"/>
      <c r="U307" s="152"/>
      <c r="V307" s="152"/>
      <c r="W307" s="157"/>
    </row>
    <row r="308" ht="15.75" customHeight="1">
      <c r="B308" s="199"/>
      <c r="N308" s="152"/>
      <c r="Q308" s="195"/>
      <c r="S308" s="200"/>
      <c r="T308" s="200"/>
      <c r="U308" s="152"/>
      <c r="V308" s="152"/>
      <c r="W308" s="157"/>
    </row>
    <row r="309" ht="15.75" customHeight="1">
      <c r="B309" s="199"/>
      <c r="N309" s="152"/>
      <c r="Q309" s="195"/>
      <c r="S309" s="200"/>
      <c r="T309" s="200"/>
      <c r="U309" s="152"/>
      <c r="V309" s="152"/>
      <c r="W309" s="157"/>
    </row>
    <row r="310" ht="15.75" customHeight="1">
      <c r="B310" s="199"/>
      <c r="N310" s="152"/>
      <c r="Q310" s="195"/>
      <c r="S310" s="200"/>
      <c r="T310" s="200"/>
      <c r="U310" s="152"/>
      <c r="V310" s="152"/>
      <c r="W310" s="157"/>
    </row>
    <row r="311" ht="15.75" customHeight="1">
      <c r="B311" s="199"/>
      <c r="N311" s="152"/>
      <c r="Q311" s="195"/>
      <c r="S311" s="200"/>
      <c r="T311" s="200"/>
      <c r="U311" s="152"/>
      <c r="V311" s="152"/>
      <c r="W311" s="157"/>
    </row>
    <row r="312" ht="15.75" customHeight="1">
      <c r="B312" s="199"/>
      <c r="N312" s="152"/>
      <c r="Q312" s="195"/>
      <c r="S312" s="200"/>
      <c r="T312" s="200"/>
      <c r="U312" s="152"/>
      <c r="V312" s="152"/>
      <c r="W312" s="157"/>
    </row>
    <row r="313" ht="15.75" customHeight="1">
      <c r="B313" s="199"/>
      <c r="N313" s="152"/>
      <c r="Q313" s="195"/>
      <c r="S313" s="200"/>
      <c r="T313" s="200"/>
      <c r="U313" s="152"/>
      <c r="V313" s="152"/>
      <c r="W313" s="157"/>
    </row>
    <row r="314" ht="15.75" customHeight="1">
      <c r="B314" s="199"/>
      <c r="N314" s="152"/>
      <c r="Q314" s="195"/>
      <c r="S314" s="200"/>
      <c r="T314" s="200"/>
      <c r="U314" s="152"/>
      <c r="V314" s="152"/>
      <c r="W314" s="157"/>
    </row>
    <row r="315" ht="15.75" customHeight="1">
      <c r="B315" s="199"/>
      <c r="N315" s="152"/>
      <c r="Q315" s="195"/>
      <c r="S315" s="200"/>
      <c r="T315" s="200"/>
      <c r="U315" s="152"/>
      <c r="V315" s="152"/>
      <c r="W315" s="157"/>
    </row>
    <row r="316" ht="15.75" customHeight="1">
      <c r="B316" s="199"/>
      <c r="N316" s="152"/>
      <c r="Q316" s="195"/>
      <c r="S316" s="200"/>
      <c r="T316" s="200"/>
      <c r="U316" s="152"/>
      <c r="V316" s="152"/>
      <c r="W316" s="157"/>
    </row>
    <row r="317" ht="15.75" customHeight="1">
      <c r="B317" s="199"/>
      <c r="N317" s="152"/>
      <c r="Q317" s="195"/>
      <c r="S317" s="200"/>
      <c r="T317" s="200"/>
      <c r="U317" s="152"/>
      <c r="V317" s="152"/>
      <c r="W317" s="157"/>
    </row>
    <row r="318" ht="15.75" customHeight="1">
      <c r="B318" s="199"/>
      <c r="N318" s="152"/>
      <c r="Q318" s="195"/>
      <c r="S318" s="200"/>
      <c r="T318" s="200"/>
      <c r="U318" s="152"/>
      <c r="V318" s="152"/>
      <c r="W318" s="157"/>
    </row>
    <row r="319" ht="15.75" customHeight="1">
      <c r="B319" s="199"/>
      <c r="N319" s="152"/>
      <c r="Q319" s="195"/>
      <c r="S319" s="200"/>
      <c r="T319" s="200"/>
      <c r="U319" s="152"/>
      <c r="V319" s="152"/>
      <c r="W319" s="157"/>
    </row>
    <row r="320" ht="15.75" customHeight="1">
      <c r="B320" s="199"/>
      <c r="N320" s="152"/>
      <c r="Q320" s="195"/>
      <c r="S320" s="200"/>
      <c r="T320" s="200"/>
      <c r="U320" s="152"/>
      <c r="V320" s="152"/>
      <c r="W320" s="157"/>
    </row>
    <row r="321" ht="15.75" customHeight="1">
      <c r="B321" s="199"/>
      <c r="N321" s="152"/>
      <c r="Q321" s="195"/>
      <c r="S321" s="200"/>
      <c r="T321" s="200"/>
      <c r="U321" s="152"/>
      <c r="V321" s="152"/>
      <c r="W321" s="157"/>
    </row>
    <row r="322" ht="15.75" customHeight="1">
      <c r="B322" s="199"/>
      <c r="N322" s="152"/>
      <c r="Q322" s="195"/>
      <c r="S322" s="200"/>
      <c r="T322" s="200"/>
      <c r="U322" s="152"/>
      <c r="V322" s="152"/>
      <c r="W322" s="157"/>
    </row>
    <row r="323" ht="15.75" customHeight="1">
      <c r="B323" s="199"/>
      <c r="N323" s="152"/>
      <c r="Q323" s="195"/>
      <c r="S323" s="200"/>
      <c r="T323" s="200"/>
      <c r="U323" s="152"/>
      <c r="V323" s="152"/>
      <c r="W323" s="157"/>
    </row>
    <row r="324" ht="15.75" customHeight="1">
      <c r="B324" s="199"/>
      <c r="N324" s="152"/>
      <c r="Q324" s="195"/>
      <c r="S324" s="200"/>
      <c r="T324" s="200"/>
      <c r="U324" s="152"/>
      <c r="V324" s="152"/>
      <c r="W324" s="157"/>
    </row>
    <row r="325" ht="15.75" customHeight="1">
      <c r="B325" s="199"/>
      <c r="N325" s="152"/>
      <c r="Q325" s="195"/>
      <c r="S325" s="200"/>
      <c r="T325" s="200"/>
      <c r="U325" s="152"/>
      <c r="V325" s="152"/>
      <c r="W325" s="157"/>
    </row>
    <row r="326" ht="15.75" customHeight="1">
      <c r="B326" s="199"/>
      <c r="N326" s="152"/>
      <c r="Q326" s="195"/>
      <c r="S326" s="200"/>
      <c r="T326" s="200"/>
      <c r="U326" s="152"/>
      <c r="V326" s="152"/>
      <c r="W326" s="157"/>
    </row>
    <row r="327" ht="15.75" customHeight="1">
      <c r="B327" s="199"/>
      <c r="N327" s="152"/>
      <c r="Q327" s="195"/>
      <c r="S327" s="200"/>
      <c r="T327" s="200"/>
      <c r="U327" s="152"/>
      <c r="V327" s="152"/>
      <c r="W327" s="157"/>
    </row>
    <row r="328" ht="15.75" customHeight="1">
      <c r="B328" s="199"/>
      <c r="N328" s="152"/>
      <c r="Q328" s="195"/>
      <c r="S328" s="200"/>
      <c r="T328" s="200"/>
      <c r="U328" s="152"/>
      <c r="V328" s="152"/>
      <c r="W328" s="157"/>
    </row>
    <row r="329" ht="15.75" customHeight="1">
      <c r="B329" s="199"/>
      <c r="N329" s="152"/>
      <c r="Q329" s="195"/>
      <c r="S329" s="200"/>
      <c r="T329" s="200"/>
      <c r="U329" s="152"/>
      <c r="V329" s="152"/>
      <c r="W329" s="157"/>
    </row>
    <row r="330" ht="15.75" customHeight="1">
      <c r="B330" s="199"/>
      <c r="N330" s="152"/>
      <c r="Q330" s="195"/>
      <c r="S330" s="200"/>
      <c r="T330" s="200"/>
      <c r="U330" s="152"/>
      <c r="V330" s="152"/>
      <c r="W330" s="157"/>
    </row>
    <row r="331" ht="15.75" customHeight="1">
      <c r="B331" s="199"/>
      <c r="N331" s="152"/>
      <c r="Q331" s="195"/>
      <c r="S331" s="200"/>
      <c r="T331" s="200"/>
      <c r="U331" s="152"/>
      <c r="V331" s="152"/>
      <c r="W331" s="157"/>
    </row>
    <row r="332" ht="15.75" customHeight="1">
      <c r="B332" s="199"/>
      <c r="N332" s="152"/>
      <c r="Q332" s="195"/>
      <c r="S332" s="200"/>
      <c r="T332" s="200"/>
      <c r="U332" s="152"/>
      <c r="V332" s="152"/>
      <c r="W332" s="157"/>
    </row>
    <row r="333" ht="15.75" customHeight="1">
      <c r="B333" s="199"/>
      <c r="N333" s="152"/>
      <c r="Q333" s="195"/>
      <c r="S333" s="200"/>
      <c r="T333" s="200"/>
      <c r="U333" s="152"/>
      <c r="V333" s="152"/>
      <c r="W333" s="157"/>
    </row>
    <row r="334" ht="15.75" customHeight="1">
      <c r="B334" s="199"/>
      <c r="N334" s="152"/>
      <c r="Q334" s="195"/>
      <c r="S334" s="200"/>
      <c r="T334" s="200"/>
      <c r="U334" s="152"/>
      <c r="V334" s="152"/>
      <c r="W334" s="157"/>
    </row>
    <row r="335" ht="15.75" customHeight="1">
      <c r="B335" s="199"/>
      <c r="N335" s="152"/>
      <c r="Q335" s="195"/>
      <c r="S335" s="200"/>
      <c r="T335" s="200"/>
      <c r="U335" s="152"/>
      <c r="V335" s="152"/>
      <c r="W335" s="157"/>
    </row>
    <row r="336" ht="15.75" customHeight="1">
      <c r="B336" s="199"/>
      <c r="N336" s="152"/>
      <c r="Q336" s="195"/>
      <c r="S336" s="200"/>
      <c r="T336" s="200"/>
      <c r="U336" s="152"/>
      <c r="V336" s="152"/>
      <c r="W336" s="157"/>
    </row>
    <row r="337" ht="15.75" customHeight="1">
      <c r="B337" s="199"/>
      <c r="N337" s="152"/>
      <c r="Q337" s="195"/>
      <c r="S337" s="200"/>
      <c r="T337" s="200"/>
      <c r="U337" s="152"/>
      <c r="V337" s="152"/>
      <c r="W337" s="157"/>
    </row>
    <row r="338" ht="15.75" customHeight="1">
      <c r="B338" s="199"/>
      <c r="N338" s="152"/>
      <c r="Q338" s="195"/>
      <c r="S338" s="200"/>
      <c r="T338" s="200"/>
      <c r="U338" s="152"/>
      <c r="V338" s="152"/>
      <c r="W338" s="157"/>
    </row>
    <row r="339" ht="15.75" customHeight="1">
      <c r="B339" s="199"/>
      <c r="N339" s="152"/>
      <c r="Q339" s="195"/>
      <c r="S339" s="200"/>
      <c r="T339" s="200"/>
      <c r="U339" s="152"/>
      <c r="V339" s="152"/>
      <c r="W339" s="157"/>
    </row>
    <row r="340" ht="15.75" customHeight="1">
      <c r="B340" s="199"/>
      <c r="N340" s="152"/>
      <c r="Q340" s="195"/>
      <c r="S340" s="200"/>
      <c r="T340" s="200"/>
      <c r="U340" s="152"/>
      <c r="V340" s="152"/>
      <c r="W340" s="157"/>
    </row>
    <row r="341" ht="15.75" customHeight="1">
      <c r="B341" s="199"/>
      <c r="N341" s="152"/>
      <c r="Q341" s="195"/>
      <c r="S341" s="200"/>
      <c r="T341" s="200"/>
      <c r="U341" s="152"/>
      <c r="V341" s="152"/>
      <c r="W341" s="157"/>
    </row>
    <row r="342" ht="15.75" customHeight="1">
      <c r="B342" s="199"/>
      <c r="N342" s="152"/>
      <c r="Q342" s="195"/>
      <c r="S342" s="200"/>
      <c r="T342" s="200"/>
      <c r="U342" s="152"/>
      <c r="V342" s="152"/>
      <c r="W342" s="157"/>
    </row>
    <row r="343" ht="15.75" customHeight="1">
      <c r="B343" s="199"/>
      <c r="N343" s="152"/>
      <c r="Q343" s="195"/>
      <c r="S343" s="200"/>
      <c r="T343" s="200"/>
      <c r="U343" s="152"/>
      <c r="V343" s="152"/>
      <c r="W343" s="157"/>
    </row>
    <row r="344" ht="15.75" customHeight="1">
      <c r="B344" s="199"/>
      <c r="N344" s="152"/>
      <c r="Q344" s="195"/>
      <c r="S344" s="200"/>
      <c r="T344" s="200"/>
      <c r="U344" s="152"/>
      <c r="V344" s="152"/>
      <c r="W344" s="157"/>
    </row>
    <row r="345" ht="15.75" customHeight="1">
      <c r="B345" s="199"/>
      <c r="N345" s="152"/>
      <c r="Q345" s="195"/>
      <c r="S345" s="200"/>
      <c r="T345" s="200"/>
      <c r="U345" s="152"/>
      <c r="V345" s="152"/>
      <c r="W345" s="157"/>
    </row>
    <row r="346" ht="15.75" customHeight="1">
      <c r="B346" s="199"/>
      <c r="N346" s="152"/>
      <c r="Q346" s="195"/>
      <c r="S346" s="200"/>
      <c r="T346" s="200"/>
      <c r="U346" s="152"/>
      <c r="V346" s="152"/>
      <c r="W346" s="157"/>
    </row>
    <row r="347" ht="15.75" customHeight="1">
      <c r="B347" s="199"/>
      <c r="N347" s="152"/>
      <c r="Q347" s="195"/>
      <c r="S347" s="200"/>
      <c r="T347" s="200"/>
      <c r="U347" s="152"/>
      <c r="V347" s="152"/>
      <c r="W347" s="157"/>
    </row>
    <row r="348" ht="15.75" customHeight="1">
      <c r="B348" s="199"/>
      <c r="N348" s="152"/>
      <c r="Q348" s="195"/>
      <c r="S348" s="200"/>
      <c r="T348" s="200"/>
      <c r="U348" s="152"/>
      <c r="V348" s="152"/>
      <c r="W348" s="157"/>
    </row>
    <row r="349" ht="15.75" customHeight="1">
      <c r="B349" s="199"/>
      <c r="N349" s="152"/>
      <c r="Q349" s="195"/>
      <c r="S349" s="200"/>
      <c r="T349" s="200"/>
      <c r="U349" s="152"/>
      <c r="V349" s="152"/>
      <c r="W349" s="157"/>
    </row>
    <row r="350" ht="15.75" customHeight="1">
      <c r="B350" s="199"/>
      <c r="N350" s="152"/>
      <c r="Q350" s="195"/>
      <c r="S350" s="200"/>
      <c r="T350" s="200"/>
      <c r="U350" s="152"/>
      <c r="V350" s="152"/>
      <c r="W350" s="157"/>
    </row>
    <row r="351" ht="15.75" customHeight="1">
      <c r="B351" s="199"/>
      <c r="N351" s="152"/>
      <c r="Q351" s="195"/>
      <c r="S351" s="200"/>
      <c r="T351" s="200"/>
      <c r="U351" s="152"/>
      <c r="V351" s="152"/>
      <c r="W351" s="157"/>
    </row>
    <row r="352" ht="15.75" customHeight="1">
      <c r="B352" s="199"/>
      <c r="N352" s="152"/>
      <c r="Q352" s="195"/>
      <c r="S352" s="200"/>
      <c r="T352" s="200"/>
      <c r="U352" s="152"/>
      <c r="V352" s="152"/>
      <c r="W352" s="157"/>
    </row>
    <row r="353" ht="15.75" customHeight="1">
      <c r="B353" s="199"/>
      <c r="N353" s="152"/>
      <c r="Q353" s="195"/>
      <c r="S353" s="200"/>
      <c r="T353" s="200"/>
      <c r="U353" s="152"/>
      <c r="V353" s="152"/>
      <c r="W353" s="157"/>
    </row>
    <row r="354" ht="15.75" customHeight="1">
      <c r="B354" s="199"/>
      <c r="N354" s="152"/>
      <c r="Q354" s="195"/>
      <c r="S354" s="200"/>
      <c r="T354" s="200"/>
      <c r="U354" s="152"/>
      <c r="V354" s="152"/>
      <c r="W354" s="157"/>
    </row>
    <row r="355" ht="15.75" customHeight="1">
      <c r="B355" s="199"/>
      <c r="N355" s="152"/>
      <c r="Q355" s="195"/>
      <c r="S355" s="200"/>
      <c r="T355" s="200"/>
      <c r="U355" s="152"/>
      <c r="V355" s="152"/>
      <c r="W355" s="157"/>
    </row>
    <row r="356" ht="15.75" customHeight="1">
      <c r="B356" s="199"/>
      <c r="N356" s="152"/>
      <c r="Q356" s="195"/>
      <c r="S356" s="200"/>
      <c r="T356" s="200"/>
      <c r="U356" s="152"/>
      <c r="V356" s="152"/>
      <c r="W356" s="157"/>
    </row>
    <row r="357" ht="15.75" customHeight="1">
      <c r="B357" s="199"/>
      <c r="N357" s="152"/>
      <c r="Q357" s="195"/>
      <c r="S357" s="200"/>
      <c r="T357" s="200"/>
      <c r="U357" s="152"/>
      <c r="V357" s="152"/>
      <c r="W357" s="157"/>
    </row>
    <row r="358" ht="15.75" customHeight="1">
      <c r="B358" s="199"/>
      <c r="N358" s="152"/>
      <c r="Q358" s="195"/>
      <c r="S358" s="200"/>
      <c r="T358" s="200"/>
      <c r="U358" s="152"/>
      <c r="V358" s="152"/>
      <c r="W358" s="157"/>
    </row>
    <row r="359" ht="15.75" customHeight="1">
      <c r="B359" s="199"/>
      <c r="N359" s="152"/>
      <c r="Q359" s="195"/>
      <c r="S359" s="200"/>
      <c r="T359" s="200"/>
      <c r="U359" s="152"/>
      <c r="V359" s="152"/>
      <c r="W359" s="157"/>
    </row>
    <row r="360" ht="15.75" customHeight="1">
      <c r="B360" s="199"/>
      <c r="N360" s="152"/>
      <c r="Q360" s="195"/>
      <c r="S360" s="200"/>
      <c r="T360" s="200"/>
      <c r="U360" s="152"/>
      <c r="V360" s="152"/>
      <c r="W360" s="157"/>
    </row>
    <row r="361" ht="15.75" customHeight="1">
      <c r="B361" s="199"/>
      <c r="N361" s="152"/>
      <c r="Q361" s="195"/>
      <c r="S361" s="200"/>
      <c r="T361" s="200"/>
      <c r="U361" s="152"/>
      <c r="V361" s="152"/>
      <c r="W361" s="157"/>
    </row>
    <row r="362" ht="15.75" customHeight="1">
      <c r="B362" s="199"/>
      <c r="N362" s="152"/>
      <c r="Q362" s="195"/>
      <c r="S362" s="200"/>
      <c r="T362" s="200"/>
      <c r="U362" s="152"/>
      <c r="V362" s="152"/>
      <c r="W362" s="157"/>
    </row>
    <row r="363" ht="15.75" customHeight="1">
      <c r="B363" s="199"/>
      <c r="N363" s="152"/>
      <c r="Q363" s="195"/>
      <c r="S363" s="200"/>
      <c r="T363" s="200"/>
      <c r="U363" s="152"/>
      <c r="V363" s="152"/>
      <c r="W363" s="157"/>
    </row>
    <row r="364" ht="15.75" customHeight="1">
      <c r="B364" s="199"/>
      <c r="N364" s="152"/>
      <c r="Q364" s="195"/>
      <c r="S364" s="200"/>
      <c r="T364" s="200"/>
      <c r="U364" s="152"/>
      <c r="V364" s="152"/>
      <c r="W364" s="157"/>
    </row>
    <row r="365" ht="15.75" customHeight="1">
      <c r="B365" s="199"/>
      <c r="N365" s="152"/>
      <c r="Q365" s="195"/>
      <c r="S365" s="200"/>
      <c r="T365" s="200"/>
      <c r="U365" s="152"/>
      <c r="V365" s="152"/>
      <c r="W365" s="157"/>
    </row>
    <row r="366" ht="15.75" customHeight="1">
      <c r="B366" s="199"/>
      <c r="N366" s="152"/>
      <c r="Q366" s="195"/>
      <c r="S366" s="200"/>
      <c r="T366" s="200"/>
      <c r="U366" s="152"/>
      <c r="V366" s="152"/>
      <c r="W366" s="157"/>
    </row>
    <row r="367" ht="15.75" customHeight="1">
      <c r="B367" s="199"/>
      <c r="N367" s="152"/>
      <c r="Q367" s="195"/>
      <c r="S367" s="200"/>
      <c r="T367" s="200"/>
      <c r="U367" s="152"/>
      <c r="V367" s="152"/>
      <c r="W367" s="157"/>
    </row>
    <row r="368" ht="15.75" customHeight="1">
      <c r="B368" s="199"/>
      <c r="N368" s="152"/>
      <c r="Q368" s="195"/>
      <c r="S368" s="200"/>
      <c r="T368" s="200"/>
      <c r="U368" s="152"/>
      <c r="V368" s="152"/>
      <c r="W368" s="157"/>
    </row>
    <row r="369" ht="15.75" customHeight="1">
      <c r="B369" s="199"/>
      <c r="N369" s="152"/>
      <c r="Q369" s="195"/>
      <c r="S369" s="200"/>
      <c r="T369" s="200"/>
      <c r="U369" s="152"/>
      <c r="V369" s="152"/>
      <c r="W369" s="157"/>
    </row>
    <row r="370" ht="15.75" customHeight="1">
      <c r="B370" s="199"/>
      <c r="N370" s="152"/>
      <c r="Q370" s="195"/>
      <c r="S370" s="200"/>
      <c r="T370" s="200"/>
      <c r="U370" s="152"/>
      <c r="V370" s="152"/>
      <c r="W370" s="157"/>
    </row>
    <row r="371" ht="15.75" customHeight="1">
      <c r="B371" s="199"/>
      <c r="N371" s="152"/>
      <c r="Q371" s="195"/>
      <c r="S371" s="200"/>
      <c r="T371" s="200"/>
      <c r="U371" s="152"/>
      <c r="V371" s="152"/>
      <c r="W371" s="157"/>
    </row>
    <row r="372" ht="15.75" customHeight="1">
      <c r="B372" s="199"/>
      <c r="N372" s="152"/>
      <c r="Q372" s="195"/>
      <c r="S372" s="200"/>
      <c r="T372" s="200"/>
      <c r="U372" s="152"/>
      <c r="V372" s="152"/>
      <c r="W372" s="157"/>
    </row>
    <row r="373" ht="15.75" customHeight="1">
      <c r="B373" s="199"/>
      <c r="N373" s="152"/>
      <c r="Q373" s="195"/>
      <c r="S373" s="200"/>
      <c r="T373" s="200"/>
      <c r="U373" s="152"/>
      <c r="V373" s="152"/>
      <c r="W373" s="157"/>
    </row>
    <row r="374" ht="15.75" customHeight="1">
      <c r="B374" s="199"/>
      <c r="N374" s="152"/>
      <c r="Q374" s="195"/>
      <c r="S374" s="200"/>
      <c r="T374" s="200"/>
      <c r="U374" s="152"/>
      <c r="V374" s="152"/>
      <c r="W374" s="157"/>
    </row>
    <row r="375" ht="15.75" customHeight="1">
      <c r="B375" s="199"/>
      <c r="N375" s="152"/>
      <c r="Q375" s="195"/>
      <c r="S375" s="200"/>
      <c r="T375" s="200"/>
      <c r="U375" s="152"/>
      <c r="V375" s="152"/>
      <c r="W375" s="157"/>
    </row>
    <row r="376" ht="15.75" customHeight="1">
      <c r="B376" s="199"/>
      <c r="N376" s="152"/>
      <c r="Q376" s="195"/>
      <c r="S376" s="200"/>
      <c r="T376" s="200"/>
      <c r="U376" s="152"/>
      <c r="V376" s="152"/>
      <c r="W376" s="157"/>
    </row>
    <row r="377" ht="15.75" customHeight="1">
      <c r="B377" s="199"/>
      <c r="N377" s="152"/>
      <c r="Q377" s="195"/>
      <c r="S377" s="200"/>
      <c r="T377" s="200"/>
      <c r="U377" s="152"/>
      <c r="V377" s="152"/>
      <c r="W377" s="157"/>
    </row>
    <row r="378" ht="15.75" customHeight="1">
      <c r="B378" s="199"/>
      <c r="N378" s="152"/>
      <c r="Q378" s="195"/>
      <c r="S378" s="200"/>
      <c r="T378" s="200"/>
      <c r="U378" s="152"/>
      <c r="V378" s="152"/>
      <c r="W378" s="157"/>
    </row>
    <row r="379" ht="15.75" customHeight="1">
      <c r="B379" s="199"/>
      <c r="N379" s="152"/>
      <c r="Q379" s="195"/>
      <c r="S379" s="200"/>
      <c r="T379" s="200"/>
      <c r="U379" s="152"/>
      <c r="V379" s="152"/>
      <c r="W379" s="157"/>
    </row>
    <row r="380" ht="15.75" customHeight="1">
      <c r="B380" s="199"/>
      <c r="N380" s="152"/>
      <c r="Q380" s="195"/>
      <c r="S380" s="200"/>
      <c r="T380" s="200"/>
      <c r="U380" s="152"/>
      <c r="V380" s="152"/>
      <c r="W380" s="157"/>
    </row>
    <row r="381" ht="15.75" customHeight="1">
      <c r="B381" s="199"/>
      <c r="N381" s="152"/>
      <c r="Q381" s="195"/>
      <c r="S381" s="200"/>
      <c r="T381" s="200"/>
      <c r="U381" s="152"/>
      <c r="V381" s="152"/>
      <c r="W381" s="157"/>
    </row>
    <row r="382" ht="15.75" customHeight="1">
      <c r="B382" s="199"/>
      <c r="N382" s="152"/>
      <c r="Q382" s="195"/>
      <c r="S382" s="200"/>
      <c r="T382" s="200"/>
      <c r="U382" s="152"/>
      <c r="V382" s="152"/>
      <c r="W382" s="157"/>
    </row>
    <row r="383" ht="15.75" customHeight="1">
      <c r="B383" s="199"/>
      <c r="N383" s="152"/>
      <c r="Q383" s="195"/>
      <c r="S383" s="200"/>
      <c r="T383" s="200"/>
      <c r="U383" s="152"/>
      <c r="V383" s="152"/>
      <c r="W383" s="157"/>
    </row>
    <row r="384" ht="15.75" customHeight="1">
      <c r="B384" s="199"/>
      <c r="N384" s="152"/>
      <c r="Q384" s="195"/>
      <c r="S384" s="200"/>
      <c r="T384" s="200"/>
      <c r="U384" s="152"/>
      <c r="V384" s="152"/>
      <c r="W384" s="157"/>
    </row>
    <row r="385" ht="15.75" customHeight="1">
      <c r="B385" s="199"/>
      <c r="N385" s="152"/>
      <c r="Q385" s="195"/>
      <c r="S385" s="200"/>
      <c r="T385" s="200"/>
      <c r="U385" s="152"/>
      <c r="V385" s="152"/>
      <c r="W385" s="157"/>
    </row>
    <row r="386" ht="15.75" customHeight="1">
      <c r="B386" s="199"/>
      <c r="N386" s="152"/>
      <c r="Q386" s="195"/>
      <c r="S386" s="200"/>
      <c r="T386" s="200"/>
      <c r="U386" s="152"/>
      <c r="V386" s="152"/>
      <c r="W386" s="157"/>
    </row>
    <row r="387" ht="15.75" customHeight="1">
      <c r="B387" s="199"/>
      <c r="N387" s="152"/>
      <c r="Q387" s="195"/>
      <c r="S387" s="200"/>
      <c r="T387" s="200"/>
      <c r="U387" s="152"/>
      <c r="V387" s="152"/>
      <c r="W387" s="157"/>
    </row>
    <row r="388" ht="15.75" customHeight="1">
      <c r="B388" s="199"/>
      <c r="N388" s="152"/>
      <c r="Q388" s="195"/>
      <c r="S388" s="200"/>
      <c r="T388" s="200"/>
      <c r="U388" s="152"/>
      <c r="V388" s="152"/>
      <c r="W388" s="157"/>
    </row>
    <row r="389" ht="15.75" customHeight="1">
      <c r="B389" s="199"/>
      <c r="N389" s="152"/>
      <c r="Q389" s="195"/>
      <c r="S389" s="200"/>
      <c r="T389" s="200"/>
      <c r="U389" s="152"/>
      <c r="V389" s="152"/>
      <c r="W389" s="157"/>
    </row>
    <row r="390" ht="15.75" customHeight="1">
      <c r="B390" s="199"/>
      <c r="N390" s="152"/>
      <c r="Q390" s="195"/>
      <c r="S390" s="200"/>
      <c r="T390" s="200"/>
      <c r="U390" s="152"/>
      <c r="V390" s="152"/>
      <c r="W390" s="157"/>
    </row>
    <row r="391" ht="15.75" customHeight="1">
      <c r="B391" s="199"/>
      <c r="N391" s="152"/>
      <c r="Q391" s="195"/>
      <c r="S391" s="200"/>
      <c r="T391" s="200"/>
      <c r="U391" s="152"/>
      <c r="V391" s="152"/>
      <c r="W391" s="157"/>
    </row>
    <row r="392" ht="15.75" customHeight="1">
      <c r="B392" s="199"/>
      <c r="N392" s="152"/>
      <c r="Q392" s="195"/>
      <c r="S392" s="200"/>
      <c r="T392" s="200"/>
      <c r="U392" s="152"/>
      <c r="V392" s="152"/>
      <c r="W392" s="157"/>
    </row>
    <row r="393" ht="15.75" customHeight="1">
      <c r="B393" s="199"/>
      <c r="N393" s="152"/>
      <c r="Q393" s="195"/>
      <c r="S393" s="200"/>
      <c r="T393" s="200"/>
      <c r="U393" s="152"/>
      <c r="V393" s="152"/>
      <c r="W393" s="157"/>
    </row>
    <row r="394" ht="15.75" customHeight="1">
      <c r="B394" s="199"/>
      <c r="N394" s="152"/>
      <c r="Q394" s="195"/>
      <c r="S394" s="200"/>
      <c r="T394" s="200"/>
      <c r="U394" s="152"/>
      <c r="V394" s="152"/>
      <c r="W394" s="157"/>
    </row>
    <row r="395" ht="15.75" customHeight="1">
      <c r="B395" s="199"/>
      <c r="N395" s="152"/>
      <c r="Q395" s="195"/>
      <c r="S395" s="200"/>
      <c r="T395" s="200"/>
      <c r="U395" s="152"/>
      <c r="V395" s="152"/>
      <c r="W395" s="157"/>
    </row>
    <row r="396" ht="15.75" customHeight="1">
      <c r="B396" s="199"/>
      <c r="N396" s="152"/>
      <c r="Q396" s="195"/>
      <c r="S396" s="200"/>
      <c r="T396" s="200"/>
      <c r="U396" s="152"/>
      <c r="V396" s="152"/>
      <c r="W396" s="157"/>
    </row>
    <row r="397" ht="15.75" customHeight="1">
      <c r="B397" s="199"/>
      <c r="N397" s="152"/>
      <c r="Q397" s="195"/>
      <c r="S397" s="200"/>
      <c r="T397" s="200"/>
      <c r="U397" s="152"/>
      <c r="V397" s="152"/>
      <c r="W397" s="157"/>
    </row>
    <row r="398" ht="15.75" customHeight="1">
      <c r="B398" s="199"/>
      <c r="N398" s="152"/>
      <c r="Q398" s="195"/>
      <c r="S398" s="200"/>
      <c r="T398" s="200"/>
      <c r="U398" s="152"/>
      <c r="V398" s="152"/>
      <c r="W398" s="157"/>
    </row>
    <row r="399" ht="15.75" customHeight="1">
      <c r="B399" s="199"/>
      <c r="N399" s="152"/>
      <c r="Q399" s="195"/>
      <c r="S399" s="200"/>
      <c r="T399" s="200"/>
      <c r="U399" s="152"/>
      <c r="V399" s="152"/>
      <c r="W399" s="157"/>
    </row>
    <row r="400" ht="15.75" customHeight="1">
      <c r="B400" s="199"/>
      <c r="N400" s="152"/>
      <c r="Q400" s="195"/>
      <c r="S400" s="200"/>
      <c r="T400" s="200"/>
      <c r="U400" s="152"/>
      <c r="V400" s="152"/>
      <c r="W400" s="157"/>
    </row>
    <row r="401" ht="15.75" customHeight="1">
      <c r="B401" s="199"/>
      <c r="N401" s="152"/>
      <c r="Q401" s="195"/>
      <c r="S401" s="200"/>
      <c r="T401" s="200"/>
      <c r="U401" s="152"/>
      <c r="V401" s="152"/>
      <c r="W401" s="157"/>
    </row>
    <row r="402" ht="15.75" customHeight="1">
      <c r="B402" s="199"/>
      <c r="N402" s="152"/>
      <c r="Q402" s="195"/>
      <c r="S402" s="200"/>
      <c r="T402" s="200"/>
      <c r="U402" s="152"/>
      <c r="V402" s="152"/>
      <c r="W402" s="157"/>
    </row>
    <row r="403" ht="15.75" customHeight="1">
      <c r="B403" s="199"/>
      <c r="N403" s="152"/>
      <c r="Q403" s="195"/>
      <c r="S403" s="200"/>
      <c r="T403" s="200"/>
      <c r="U403" s="152"/>
      <c r="V403" s="152"/>
      <c r="W403" s="157"/>
    </row>
    <row r="404" ht="15.75" customHeight="1">
      <c r="B404" s="199"/>
      <c r="N404" s="152"/>
      <c r="Q404" s="195"/>
      <c r="S404" s="200"/>
      <c r="T404" s="200"/>
      <c r="U404" s="152"/>
      <c r="V404" s="152"/>
      <c r="W404" s="157"/>
    </row>
    <row r="405" ht="15.75" customHeight="1">
      <c r="B405" s="199"/>
      <c r="N405" s="152"/>
      <c r="Q405" s="195"/>
      <c r="S405" s="200"/>
      <c r="T405" s="200"/>
      <c r="U405" s="152"/>
      <c r="V405" s="152"/>
      <c r="W405" s="157"/>
    </row>
    <row r="406" ht="15.75" customHeight="1">
      <c r="B406" s="199"/>
      <c r="N406" s="152"/>
      <c r="Q406" s="195"/>
      <c r="S406" s="200"/>
      <c r="T406" s="200"/>
      <c r="U406" s="152"/>
      <c r="V406" s="152"/>
      <c r="W406" s="157"/>
    </row>
    <row r="407" ht="15.75" customHeight="1">
      <c r="B407" s="199"/>
      <c r="N407" s="152"/>
      <c r="Q407" s="195"/>
      <c r="S407" s="200"/>
      <c r="T407" s="200"/>
      <c r="U407" s="152"/>
      <c r="V407" s="152"/>
      <c r="W407" s="157"/>
    </row>
    <row r="408" ht="15.75" customHeight="1">
      <c r="B408" s="199"/>
      <c r="N408" s="152"/>
      <c r="Q408" s="195"/>
      <c r="S408" s="200"/>
      <c r="T408" s="200"/>
      <c r="U408" s="152"/>
      <c r="V408" s="152"/>
      <c r="W408" s="157"/>
    </row>
    <row r="409" ht="15.75" customHeight="1">
      <c r="B409" s="199"/>
      <c r="N409" s="152"/>
      <c r="Q409" s="195"/>
      <c r="S409" s="200"/>
      <c r="T409" s="200"/>
      <c r="U409" s="152"/>
      <c r="V409" s="152"/>
      <c r="W409" s="157"/>
    </row>
    <row r="410" ht="15.75" customHeight="1">
      <c r="B410" s="199"/>
      <c r="N410" s="152"/>
      <c r="Q410" s="195"/>
      <c r="S410" s="200"/>
      <c r="T410" s="200"/>
      <c r="U410" s="152"/>
      <c r="V410" s="152"/>
      <c r="W410" s="157"/>
    </row>
    <row r="411" ht="15.75" customHeight="1">
      <c r="B411" s="199"/>
      <c r="N411" s="152"/>
      <c r="Q411" s="195"/>
      <c r="S411" s="200"/>
      <c r="T411" s="200"/>
      <c r="U411" s="152"/>
      <c r="V411" s="152"/>
      <c r="W411" s="157"/>
    </row>
    <row r="412" ht="15.75" customHeight="1">
      <c r="B412" s="199"/>
      <c r="N412" s="152"/>
      <c r="Q412" s="195"/>
      <c r="S412" s="200"/>
      <c r="T412" s="200"/>
      <c r="U412" s="152"/>
      <c r="V412" s="152"/>
      <c r="W412" s="157"/>
    </row>
    <row r="413" ht="15.75" customHeight="1">
      <c r="B413" s="199"/>
      <c r="N413" s="152"/>
      <c r="Q413" s="195"/>
      <c r="S413" s="200"/>
      <c r="T413" s="200"/>
      <c r="U413" s="152"/>
      <c r="V413" s="152"/>
      <c r="W413" s="157"/>
    </row>
    <row r="414" ht="15.75" customHeight="1">
      <c r="B414" s="199"/>
      <c r="N414" s="152"/>
      <c r="Q414" s="195"/>
      <c r="S414" s="200"/>
      <c r="T414" s="200"/>
      <c r="U414" s="152"/>
      <c r="V414" s="152"/>
      <c r="W414" s="157"/>
    </row>
    <row r="415" ht="15.75" customHeight="1">
      <c r="B415" s="199"/>
      <c r="N415" s="152"/>
      <c r="Q415" s="195"/>
      <c r="S415" s="200"/>
      <c r="T415" s="200"/>
      <c r="U415" s="152"/>
      <c r="V415" s="152"/>
      <c r="W415" s="157"/>
    </row>
    <row r="416" ht="15.75" customHeight="1">
      <c r="B416" s="199"/>
      <c r="N416" s="152"/>
      <c r="Q416" s="195"/>
      <c r="S416" s="200"/>
      <c r="T416" s="200"/>
      <c r="U416" s="152"/>
      <c r="V416" s="152"/>
      <c r="W416" s="157"/>
    </row>
    <row r="417" ht="15.75" customHeight="1">
      <c r="B417" s="199"/>
      <c r="N417" s="152"/>
      <c r="Q417" s="195"/>
      <c r="S417" s="200"/>
      <c r="T417" s="200"/>
      <c r="U417" s="152"/>
      <c r="V417" s="152"/>
      <c r="W417" s="157"/>
    </row>
    <row r="418" ht="15.75" customHeight="1">
      <c r="B418" s="199"/>
      <c r="N418" s="152"/>
      <c r="Q418" s="195"/>
      <c r="S418" s="200"/>
      <c r="T418" s="200"/>
      <c r="U418" s="152"/>
      <c r="V418" s="152"/>
      <c r="W418" s="157"/>
    </row>
    <row r="419" ht="15.75" customHeight="1">
      <c r="B419" s="199"/>
      <c r="N419" s="152"/>
      <c r="Q419" s="195"/>
      <c r="S419" s="200"/>
      <c r="T419" s="200"/>
      <c r="U419" s="152"/>
      <c r="V419" s="152"/>
      <c r="W419" s="157"/>
    </row>
    <row r="420" ht="15.75" customHeight="1">
      <c r="B420" s="199"/>
      <c r="N420" s="152"/>
      <c r="Q420" s="195"/>
      <c r="S420" s="200"/>
      <c r="T420" s="200"/>
      <c r="U420" s="152"/>
      <c r="V420" s="152"/>
      <c r="W420" s="157"/>
    </row>
    <row r="421" ht="15.75" customHeight="1">
      <c r="B421" s="199"/>
      <c r="N421" s="152"/>
      <c r="Q421" s="195"/>
      <c r="S421" s="200"/>
      <c r="T421" s="200"/>
      <c r="U421" s="152"/>
      <c r="V421" s="152"/>
      <c r="W421" s="157"/>
    </row>
    <row r="422" ht="15.75" customHeight="1">
      <c r="B422" s="199"/>
      <c r="N422" s="152"/>
      <c r="Q422" s="195"/>
      <c r="S422" s="200"/>
      <c r="T422" s="200"/>
      <c r="U422" s="152"/>
      <c r="V422" s="152"/>
      <c r="W422" s="157"/>
    </row>
    <row r="423" ht="15.75" customHeight="1">
      <c r="B423" s="199"/>
      <c r="N423" s="152"/>
      <c r="Q423" s="195"/>
      <c r="S423" s="200"/>
      <c r="T423" s="200"/>
      <c r="U423" s="152"/>
      <c r="V423" s="152"/>
      <c r="W423" s="157"/>
    </row>
    <row r="424" ht="15.75" customHeight="1">
      <c r="B424" s="199"/>
      <c r="N424" s="152"/>
      <c r="Q424" s="195"/>
      <c r="S424" s="200"/>
      <c r="T424" s="200"/>
      <c r="U424" s="152"/>
      <c r="V424" s="152"/>
      <c r="W424" s="157"/>
    </row>
    <row r="425" ht="15.75" customHeight="1">
      <c r="B425" s="199"/>
      <c r="N425" s="152"/>
      <c r="Q425" s="195"/>
      <c r="S425" s="200"/>
      <c r="T425" s="200"/>
      <c r="U425" s="152"/>
      <c r="V425" s="152"/>
      <c r="W425" s="157"/>
    </row>
    <row r="426" ht="15.75" customHeight="1">
      <c r="B426" s="199"/>
      <c r="N426" s="152"/>
      <c r="Q426" s="195"/>
      <c r="S426" s="200"/>
      <c r="T426" s="200"/>
      <c r="U426" s="152"/>
      <c r="V426" s="152"/>
      <c r="W426" s="157"/>
    </row>
    <row r="427" ht="15.75" customHeight="1">
      <c r="B427" s="199"/>
      <c r="N427" s="152"/>
      <c r="Q427" s="195"/>
      <c r="S427" s="200"/>
      <c r="T427" s="200"/>
      <c r="U427" s="152"/>
      <c r="V427" s="152"/>
      <c r="W427" s="157"/>
    </row>
    <row r="428" ht="15.75" customHeight="1">
      <c r="B428" s="199"/>
      <c r="N428" s="152"/>
      <c r="Q428" s="195"/>
      <c r="S428" s="200"/>
      <c r="T428" s="200"/>
      <c r="U428" s="152"/>
      <c r="V428" s="152"/>
      <c r="W428" s="157"/>
    </row>
    <row r="429" ht="15.75" customHeight="1">
      <c r="B429" s="199"/>
      <c r="N429" s="152"/>
      <c r="Q429" s="195"/>
      <c r="S429" s="200"/>
      <c r="T429" s="200"/>
      <c r="U429" s="152"/>
      <c r="V429" s="152"/>
      <c r="W429" s="157"/>
    </row>
    <row r="430" ht="15.75" customHeight="1">
      <c r="B430" s="199"/>
      <c r="N430" s="152"/>
      <c r="Q430" s="195"/>
      <c r="S430" s="200"/>
      <c r="T430" s="200"/>
      <c r="U430" s="152"/>
      <c r="V430" s="152"/>
      <c r="W430" s="157"/>
    </row>
    <row r="431" ht="15.75" customHeight="1">
      <c r="B431" s="199"/>
      <c r="N431" s="152"/>
      <c r="Q431" s="195"/>
      <c r="S431" s="200"/>
      <c r="T431" s="200"/>
      <c r="U431" s="152"/>
      <c r="V431" s="152"/>
      <c r="W431" s="157"/>
    </row>
    <row r="432" ht="15.75" customHeight="1">
      <c r="B432" s="199"/>
      <c r="N432" s="152"/>
      <c r="Q432" s="195"/>
      <c r="S432" s="200"/>
      <c r="T432" s="200"/>
      <c r="U432" s="152"/>
      <c r="V432" s="152"/>
      <c r="W432" s="157"/>
    </row>
    <row r="433" ht="15.75" customHeight="1">
      <c r="B433" s="199"/>
      <c r="N433" s="152"/>
      <c r="Q433" s="195"/>
      <c r="S433" s="200"/>
      <c r="T433" s="200"/>
      <c r="U433" s="152"/>
      <c r="V433" s="152"/>
      <c r="W433" s="157"/>
    </row>
    <row r="434" ht="15.75" customHeight="1">
      <c r="B434" s="199"/>
      <c r="N434" s="152"/>
      <c r="Q434" s="195"/>
      <c r="S434" s="200"/>
      <c r="T434" s="200"/>
      <c r="U434" s="152"/>
      <c r="V434" s="152"/>
      <c r="W434" s="157"/>
    </row>
    <row r="435" ht="15.75" customHeight="1">
      <c r="B435" s="199"/>
      <c r="N435" s="152"/>
      <c r="Q435" s="195"/>
      <c r="S435" s="200"/>
      <c r="T435" s="200"/>
      <c r="U435" s="152"/>
      <c r="V435" s="152"/>
      <c r="W435" s="157"/>
    </row>
    <row r="436" ht="15.75" customHeight="1">
      <c r="B436" s="199"/>
      <c r="N436" s="152"/>
      <c r="Q436" s="195"/>
      <c r="S436" s="200"/>
      <c r="T436" s="200"/>
      <c r="U436" s="152"/>
      <c r="V436" s="152"/>
      <c r="W436" s="157"/>
    </row>
    <row r="437" ht="15.75" customHeight="1">
      <c r="B437" s="199"/>
      <c r="N437" s="152"/>
      <c r="Q437" s="195"/>
      <c r="S437" s="200"/>
      <c r="T437" s="200"/>
      <c r="U437" s="152"/>
      <c r="V437" s="152"/>
      <c r="W437" s="157"/>
    </row>
    <row r="438" ht="15.75" customHeight="1">
      <c r="B438" s="199"/>
      <c r="N438" s="152"/>
      <c r="Q438" s="195"/>
      <c r="S438" s="200"/>
      <c r="T438" s="200"/>
      <c r="U438" s="152"/>
      <c r="V438" s="152"/>
      <c r="W438" s="157"/>
    </row>
    <row r="439" ht="15.75" customHeight="1">
      <c r="B439" s="199"/>
      <c r="N439" s="152"/>
      <c r="Q439" s="195"/>
      <c r="S439" s="200"/>
      <c r="T439" s="200"/>
      <c r="U439" s="152"/>
      <c r="V439" s="152"/>
      <c r="W439" s="157"/>
    </row>
    <row r="440" ht="15.75" customHeight="1">
      <c r="B440" s="199"/>
      <c r="N440" s="152"/>
      <c r="Q440" s="195"/>
      <c r="S440" s="200"/>
      <c r="T440" s="200"/>
      <c r="U440" s="152"/>
      <c r="V440" s="152"/>
      <c r="W440" s="157"/>
    </row>
    <row r="441" ht="15.75" customHeight="1">
      <c r="B441" s="199"/>
      <c r="N441" s="152"/>
      <c r="Q441" s="195"/>
      <c r="S441" s="200"/>
      <c r="T441" s="200"/>
      <c r="U441" s="152"/>
      <c r="V441" s="152"/>
      <c r="W441" s="157"/>
    </row>
    <row r="442" ht="15.75" customHeight="1">
      <c r="B442" s="199"/>
      <c r="N442" s="152"/>
      <c r="Q442" s="195"/>
      <c r="S442" s="200"/>
      <c r="T442" s="200"/>
      <c r="U442" s="152"/>
      <c r="V442" s="152"/>
      <c r="W442" s="157"/>
    </row>
    <row r="443" ht="15.75" customHeight="1">
      <c r="B443" s="199"/>
      <c r="N443" s="152"/>
      <c r="Q443" s="195"/>
      <c r="S443" s="200"/>
      <c r="T443" s="200"/>
      <c r="U443" s="152"/>
      <c r="V443" s="152"/>
      <c r="W443" s="157"/>
    </row>
    <row r="444" ht="15.75" customHeight="1">
      <c r="B444" s="199"/>
      <c r="N444" s="152"/>
      <c r="Q444" s="195"/>
      <c r="S444" s="200"/>
      <c r="T444" s="200"/>
      <c r="U444" s="152"/>
      <c r="V444" s="152"/>
      <c r="W444" s="157"/>
    </row>
    <row r="445" ht="15.75" customHeight="1">
      <c r="B445" s="199"/>
      <c r="N445" s="152"/>
      <c r="Q445" s="195"/>
      <c r="S445" s="200"/>
      <c r="T445" s="200"/>
      <c r="U445" s="152"/>
      <c r="V445" s="152"/>
      <c r="W445" s="157"/>
    </row>
    <row r="446" ht="15.75" customHeight="1">
      <c r="B446" s="199"/>
      <c r="N446" s="152"/>
      <c r="Q446" s="195"/>
      <c r="S446" s="200"/>
      <c r="T446" s="200"/>
      <c r="U446" s="152"/>
      <c r="V446" s="152"/>
      <c r="W446" s="157"/>
    </row>
    <row r="447" ht="15.75" customHeight="1">
      <c r="B447" s="199"/>
      <c r="N447" s="152"/>
      <c r="Q447" s="195"/>
      <c r="S447" s="200"/>
      <c r="T447" s="200"/>
      <c r="U447" s="152"/>
      <c r="V447" s="152"/>
      <c r="W447" s="157"/>
    </row>
    <row r="448" ht="15.75" customHeight="1">
      <c r="B448" s="199"/>
      <c r="N448" s="152"/>
      <c r="Q448" s="195"/>
      <c r="S448" s="200"/>
      <c r="T448" s="200"/>
      <c r="U448" s="152"/>
      <c r="V448" s="152"/>
      <c r="W448" s="157"/>
    </row>
    <row r="449" ht="15.75" customHeight="1">
      <c r="B449" s="199"/>
      <c r="N449" s="152"/>
      <c r="Q449" s="195"/>
      <c r="S449" s="200"/>
      <c r="T449" s="200"/>
      <c r="U449" s="152"/>
      <c r="V449" s="152"/>
      <c r="W449" s="157"/>
    </row>
    <row r="450" ht="15.75" customHeight="1">
      <c r="B450" s="199"/>
      <c r="N450" s="152"/>
      <c r="Q450" s="195"/>
      <c r="S450" s="200"/>
      <c r="T450" s="200"/>
      <c r="U450" s="152"/>
      <c r="V450" s="152"/>
      <c r="W450" s="157"/>
    </row>
    <row r="451" ht="15.75" customHeight="1">
      <c r="B451" s="199"/>
      <c r="N451" s="152"/>
      <c r="Q451" s="195"/>
      <c r="S451" s="200"/>
      <c r="T451" s="200"/>
      <c r="U451" s="152"/>
      <c r="V451" s="152"/>
      <c r="W451" s="157"/>
    </row>
    <row r="452" ht="15.75" customHeight="1">
      <c r="B452" s="199"/>
      <c r="N452" s="152"/>
      <c r="Q452" s="195"/>
      <c r="S452" s="200"/>
      <c r="T452" s="200"/>
      <c r="U452" s="152"/>
      <c r="V452" s="152"/>
      <c r="W452" s="157"/>
    </row>
    <row r="453" ht="15.75" customHeight="1">
      <c r="B453" s="199"/>
      <c r="N453" s="152"/>
      <c r="Q453" s="195"/>
      <c r="S453" s="200"/>
      <c r="T453" s="200"/>
      <c r="U453" s="152"/>
      <c r="V453" s="152"/>
      <c r="W453" s="157"/>
    </row>
    <row r="454" ht="15.75" customHeight="1">
      <c r="B454" s="199"/>
      <c r="N454" s="152"/>
      <c r="Q454" s="195"/>
      <c r="S454" s="200"/>
      <c r="T454" s="200"/>
      <c r="U454" s="152"/>
      <c r="V454" s="152"/>
      <c r="W454" s="157"/>
    </row>
    <row r="455" ht="15.75" customHeight="1">
      <c r="B455" s="199"/>
      <c r="N455" s="152"/>
      <c r="Q455" s="195"/>
      <c r="S455" s="200"/>
      <c r="T455" s="200"/>
      <c r="U455" s="152"/>
      <c r="V455" s="152"/>
      <c r="W455" s="157"/>
    </row>
    <row r="456" ht="15.75" customHeight="1">
      <c r="B456" s="199"/>
      <c r="N456" s="152"/>
      <c r="Q456" s="195"/>
      <c r="S456" s="200"/>
      <c r="T456" s="200"/>
      <c r="U456" s="152"/>
      <c r="V456" s="152"/>
      <c r="W456" s="157"/>
    </row>
    <row r="457" ht="15.75" customHeight="1">
      <c r="B457" s="199"/>
      <c r="N457" s="152"/>
      <c r="Q457" s="195"/>
      <c r="S457" s="200"/>
      <c r="T457" s="200"/>
      <c r="U457" s="152"/>
      <c r="V457" s="152"/>
      <c r="W457" s="157"/>
    </row>
    <row r="458" ht="15.75" customHeight="1">
      <c r="B458" s="199"/>
      <c r="N458" s="152"/>
      <c r="Q458" s="195"/>
      <c r="S458" s="200"/>
      <c r="T458" s="200"/>
      <c r="U458" s="152"/>
      <c r="V458" s="152"/>
      <c r="W458" s="157"/>
    </row>
    <row r="459" ht="15.75" customHeight="1">
      <c r="B459" s="199"/>
      <c r="N459" s="152"/>
      <c r="Q459" s="195"/>
      <c r="S459" s="200"/>
      <c r="T459" s="200"/>
      <c r="U459" s="152"/>
      <c r="V459" s="152"/>
      <c r="W459" s="157"/>
    </row>
    <row r="460" ht="15.75" customHeight="1">
      <c r="B460" s="199"/>
      <c r="N460" s="152"/>
      <c r="Q460" s="195"/>
      <c r="S460" s="200"/>
      <c r="T460" s="200"/>
      <c r="U460" s="152"/>
      <c r="V460" s="152"/>
      <c r="W460" s="157"/>
    </row>
    <row r="461" ht="15.75" customHeight="1">
      <c r="B461" s="199"/>
      <c r="N461" s="152"/>
      <c r="Q461" s="195"/>
      <c r="S461" s="200"/>
      <c r="T461" s="200"/>
      <c r="U461" s="152"/>
      <c r="V461" s="152"/>
      <c r="W461" s="157"/>
    </row>
    <row r="462" ht="15.75" customHeight="1">
      <c r="B462" s="199"/>
      <c r="N462" s="152"/>
      <c r="Q462" s="195"/>
      <c r="S462" s="200"/>
      <c r="T462" s="200"/>
      <c r="U462" s="152"/>
      <c r="V462" s="152"/>
      <c r="W462" s="157"/>
    </row>
    <row r="463" ht="15.75" customHeight="1">
      <c r="B463" s="199"/>
      <c r="N463" s="152"/>
      <c r="Q463" s="195"/>
      <c r="S463" s="200"/>
      <c r="T463" s="200"/>
      <c r="U463" s="152"/>
      <c r="V463" s="152"/>
      <c r="W463" s="157"/>
    </row>
    <row r="464" ht="15.75" customHeight="1">
      <c r="B464" s="199"/>
      <c r="N464" s="152"/>
      <c r="Q464" s="195"/>
      <c r="S464" s="200"/>
      <c r="T464" s="200"/>
      <c r="U464" s="152"/>
      <c r="V464" s="152"/>
      <c r="W464" s="157"/>
    </row>
    <row r="465" ht="15.75" customHeight="1">
      <c r="B465" s="199"/>
      <c r="N465" s="152"/>
      <c r="Q465" s="195"/>
      <c r="S465" s="200"/>
      <c r="T465" s="200"/>
      <c r="U465" s="152"/>
      <c r="V465" s="152"/>
      <c r="W465" s="157"/>
    </row>
    <row r="466" ht="15.75" customHeight="1">
      <c r="B466" s="199"/>
      <c r="N466" s="152"/>
      <c r="Q466" s="195"/>
      <c r="S466" s="200"/>
      <c r="T466" s="200"/>
      <c r="U466" s="152"/>
      <c r="V466" s="152"/>
      <c r="W466" s="157"/>
    </row>
    <row r="467" ht="15.75" customHeight="1">
      <c r="B467" s="199"/>
      <c r="N467" s="152"/>
      <c r="Q467" s="195"/>
      <c r="S467" s="200"/>
      <c r="T467" s="200"/>
      <c r="U467" s="152"/>
      <c r="V467" s="152"/>
      <c r="W467" s="157"/>
    </row>
    <row r="468" ht="15.75" customHeight="1">
      <c r="B468" s="199"/>
      <c r="N468" s="152"/>
      <c r="Q468" s="195"/>
      <c r="S468" s="200"/>
      <c r="T468" s="200"/>
      <c r="U468" s="152"/>
      <c r="V468" s="152"/>
      <c r="W468" s="157"/>
    </row>
    <row r="469" ht="15.75" customHeight="1">
      <c r="B469" s="199"/>
      <c r="N469" s="152"/>
      <c r="Q469" s="195"/>
      <c r="S469" s="200"/>
      <c r="T469" s="200"/>
      <c r="U469" s="152"/>
      <c r="V469" s="152"/>
      <c r="W469" s="157"/>
    </row>
    <row r="470" ht="15.75" customHeight="1">
      <c r="B470" s="199"/>
      <c r="N470" s="152"/>
      <c r="Q470" s="195"/>
      <c r="S470" s="200"/>
      <c r="T470" s="200"/>
      <c r="U470" s="152"/>
      <c r="V470" s="152"/>
      <c r="W470" s="157"/>
    </row>
    <row r="471" ht="15.75" customHeight="1">
      <c r="B471" s="199"/>
      <c r="N471" s="152"/>
      <c r="Q471" s="195"/>
      <c r="S471" s="200"/>
      <c r="T471" s="200"/>
      <c r="U471" s="152"/>
      <c r="V471" s="152"/>
      <c r="W471" s="157"/>
    </row>
    <row r="472" ht="15.75" customHeight="1">
      <c r="B472" s="199"/>
      <c r="N472" s="152"/>
      <c r="Q472" s="195"/>
      <c r="S472" s="200"/>
      <c r="T472" s="200"/>
      <c r="U472" s="152"/>
      <c r="V472" s="152"/>
      <c r="W472" s="157"/>
    </row>
    <row r="473" ht="15.75" customHeight="1">
      <c r="B473" s="199"/>
      <c r="N473" s="152"/>
      <c r="Q473" s="195"/>
      <c r="S473" s="200"/>
      <c r="T473" s="200"/>
      <c r="U473" s="152"/>
      <c r="V473" s="152"/>
      <c r="W473" s="157"/>
    </row>
    <row r="474" ht="15.75" customHeight="1">
      <c r="B474" s="199"/>
      <c r="N474" s="152"/>
      <c r="Q474" s="195"/>
      <c r="S474" s="200"/>
      <c r="T474" s="200"/>
      <c r="U474" s="152"/>
      <c r="V474" s="152"/>
      <c r="W474" s="157"/>
    </row>
    <row r="475" ht="15.75" customHeight="1">
      <c r="B475" s="199"/>
      <c r="N475" s="152"/>
      <c r="Q475" s="195"/>
      <c r="S475" s="200"/>
      <c r="T475" s="200"/>
      <c r="U475" s="152"/>
      <c r="V475" s="152"/>
      <c r="W475" s="157"/>
    </row>
    <row r="476" ht="15.75" customHeight="1">
      <c r="B476" s="199"/>
      <c r="N476" s="152"/>
      <c r="Q476" s="195"/>
      <c r="S476" s="200"/>
      <c r="T476" s="200"/>
      <c r="U476" s="152"/>
      <c r="V476" s="152"/>
      <c r="W476" s="157"/>
    </row>
    <row r="477" ht="15.75" customHeight="1">
      <c r="B477" s="199"/>
      <c r="N477" s="152"/>
      <c r="Q477" s="195"/>
      <c r="S477" s="200"/>
      <c r="T477" s="200"/>
      <c r="U477" s="152"/>
      <c r="V477" s="152"/>
      <c r="W477" s="157"/>
    </row>
    <row r="478" ht="15.75" customHeight="1">
      <c r="B478" s="199"/>
      <c r="N478" s="152"/>
      <c r="Q478" s="195"/>
      <c r="S478" s="200"/>
      <c r="T478" s="200"/>
      <c r="U478" s="152"/>
      <c r="V478" s="152"/>
      <c r="W478" s="157"/>
    </row>
    <row r="479" ht="15.75" customHeight="1">
      <c r="B479" s="199"/>
      <c r="N479" s="152"/>
      <c r="Q479" s="195"/>
      <c r="S479" s="200"/>
      <c r="T479" s="200"/>
      <c r="U479" s="152"/>
      <c r="V479" s="152"/>
      <c r="W479" s="157"/>
    </row>
    <row r="480" ht="15.75" customHeight="1">
      <c r="B480" s="199"/>
      <c r="N480" s="152"/>
      <c r="Q480" s="195"/>
      <c r="S480" s="200"/>
      <c r="T480" s="200"/>
      <c r="U480" s="152"/>
      <c r="V480" s="152"/>
      <c r="W480" s="157"/>
    </row>
    <row r="481" ht="15.75" customHeight="1">
      <c r="B481" s="199"/>
      <c r="N481" s="152"/>
      <c r="Q481" s="195"/>
      <c r="S481" s="200"/>
      <c r="T481" s="200"/>
      <c r="U481" s="152"/>
      <c r="V481" s="152"/>
      <c r="W481" s="157"/>
    </row>
    <row r="482" ht="15.75" customHeight="1">
      <c r="B482" s="199"/>
      <c r="N482" s="152"/>
      <c r="Q482" s="195"/>
      <c r="S482" s="200"/>
      <c r="T482" s="200"/>
      <c r="U482" s="152"/>
      <c r="V482" s="152"/>
      <c r="W482" s="157"/>
    </row>
    <row r="483" ht="15.75" customHeight="1">
      <c r="B483" s="199"/>
      <c r="N483" s="152"/>
      <c r="Q483" s="195"/>
      <c r="S483" s="200"/>
      <c r="T483" s="200"/>
      <c r="U483" s="152"/>
      <c r="V483" s="152"/>
      <c r="W483" s="157"/>
    </row>
    <row r="484" ht="15.75" customHeight="1">
      <c r="B484" s="199"/>
      <c r="N484" s="152"/>
      <c r="Q484" s="195"/>
      <c r="S484" s="200"/>
      <c r="T484" s="200"/>
      <c r="U484" s="152"/>
      <c r="V484" s="152"/>
      <c r="W484" s="157"/>
    </row>
    <row r="485" ht="15.75" customHeight="1">
      <c r="B485" s="199"/>
      <c r="N485" s="152"/>
      <c r="Q485" s="195"/>
      <c r="S485" s="200"/>
      <c r="T485" s="200"/>
      <c r="U485" s="152"/>
      <c r="V485" s="152"/>
      <c r="W485" s="157"/>
    </row>
    <row r="486" ht="15.75" customHeight="1">
      <c r="B486" s="199"/>
      <c r="N486" s="152"/>
      <c r="Q486" s="195"/>
      <c r="S486" s="200"/>
      <c r="T486" s="200"/>
      <c r="U486" s="152"/>
      <c r="V486" s="152"/>
      <c r="W486" s="157"/>
    </row>
    <row r="487" ht="15.75" customHeight="1">
      <c r="B487" s="199"/>
      <c r="N487" s="152"/>
      <c r="Q487" s="195"/>
      <c r="S487" s="200"/>
      <c r="T487" s="200"/>
      <c r="U487" s="152"/>
      <c r="V487" s="152"/>
      <c r="W487" s="157"/>
    </row>
    <row r="488" ht="15.75" customHeight="1">
      <c r="B488" s="199"/>
      <c r="N488" s="152"/>
      <c r="Q488" s="195"/>
      <c r="S488" s="200"/>
      <c r="T488" s="200"/>
      <c r="U488" s="152"/>
      <c r="V488" s="152"/>
      <c r="W488" s="157"/>
    </row>
    <row r="489" ht="15.75" customHeight="1">
      <c r="B489" s="199"/>
      <c r="N489" s="152"/>
      <c r="Q489" s="195"/>
      <c r="S489" s="200"/>
      <c r="T489" s="200"/>
      <c r="U489" s="152"/>
      <c r="V489" s="152"/>
      <c r="W489" s="157"/>
    </row>
    <row r="490" ht="15.75" customHeight="1">
      <c r="B490" s="199"/>
      <c r="N490" s="152"/>
      <c r="Q490" s="195"/>
      <c r="S490" s="200"/>
      <c r="T490" s="200"/>
      <c r="U490" s="152"/>
      <c r="V490" s="152"/>
      <c r="W490" s="157"/>
    </row>
    <row r="491" ht="15.75" customHeight="1">
      <c r="B491" s="199"/>
      <c r="N491" s="152"/>
      <c r="Q491" s="195"/>
      <c r="S491" s="200"/>
      <c r="T491" s="200"/>
      <c r="U491" s="152"/>
      <c r="V491" s="152"/>
      <c r="W491" s="157"/>
    </row>
    <row r="492" ht="15.75" customHeight="1">
      <c r="B492" s="199"/>
      <c r="N492" s="152"/>
      <c r="Q492" s="195"/>
      <c r="S492" s="200"/>
      <c r="T492" s="200"/>
      <c r="U492" s="152"/>
      <c r="V492" s="152"/>
      <c r="W492" s="157"/>
    </row>
    <row r="493" ht="15.75" customHeight="1">
      <c r="B493" s="199"/>
      <c r="N493" s="152"/>
      <c r="Q493" s="195"/>
      <c r="S493" s="200"/>
      <c r="T493" s="200"/>
      <c r="U493" s="152"/>
      <c r="V493" s="152"/>
      <c r="W493" s="157"/>
    </row>
    <row r="494" ht="15.75" customHeight="1">
      <c r="B494" s="199"/>
      <c r="N494" s="152"/>
      <c r="Q494" s="195"/>
      <c r="S494" s="200"/>
      <c r="T494" s="200"/>
      <c r="U494" s="152"/>
      <c r="V494" s="152"/>
      <c r="W494" s="157"/>
    </row>
    <row r="495" ht="15.75" customHeight="1">
      <c r="B495" s="199"/>
      <c r="N495" s="152"/>
      <c r="Q495" s="195"/>
      <c r="S495" s="200"/>
      <c r="T495" s="200"/>
      <c r="U495" s="152"/>
      <c r="V495" s="152"/>
      <c r="W495" s="157"/>
    </row>
    <row r="496" ht="15.75" customHeight="1">
      <c r="B496" s="199"/>
      <c r="N496" s="152"/>
      <c r="Q496" s="195"/>
      <c r="S496" s="200"/>
      <c r="T496" s="200"/>
      <c r="U496" s="152"/>
      <c r="V496" s="152"/>
      <c r="W496" s="157"/>
    </row>
    <row r="497" ht="15.75" customHeight="1">
      <c r="B497" s="199"/>
      <c r="N497" s="152"/>
      <c r="Q497" s="195"/>
      <c r="S497" s="200"/>
      <c r="T497" s="200"/>
      <c r="U497" s="152"/>
      <c r="V497" s="152"/>
      <c r="W497" s="157"/>
    </row>
    <row r="498" ht="15.75" customHeight="1">
      <c r="B498" s="199"/>
      <c r="N498" s="152"/>
      <c r="Q498" s="195"/>
      <c r="S498" s="200"/>
      <c r="T498" s="200"/>
      <c r="U498" s="152"/>
      <c r="V498" s="152"/>
      <c r="W498" s="157"/>
    </row>
    <row r="499" ht="15.75" customHeight="1">
      <c r="B499" s="199"/>
      <c r="N499" s="152"/>
      <c r="Q499" s="195"/>
      <c r="S499" s="200"/>
      <c r="T499" s="200"/>
      <c r="U499" s="152"/>
      <c r="V499" s="152"/>
      <c r="W499" s="157"/>
    </row>
    <row r="500" ht="15.75" customHeight="1">
      <c r="B500" s="199"/>
      <c r="N500" s="152"/>
      <c r="Q500" s="195"/>
      <c r="S500" s="200"/>
      <c r="T500" s="200"/>
      <c r="U500" s="152"/>
      <c r="V500" s="152"/>
      <c r="W500" s="157"/>
    </row>
    <row r="501" ht="15.75" customHeight="1">
      <c r="B501" s="199"/>
      <c r="N501" s="152"/>
      <c r="Q501" s="195"/>
      <c r="S501" s="200"/>
      <c r="T501" s="200"/>
      <c r="U501" s="152"/>
      <c r="V501" s="152"/>
      <c r="W501" s="157"/>
    </row>
    <row r="502" ht="15.75" customHeight="1">
      <c r="B502" s="199"/>
      <c r="N502" s="152"/>
      <c r="Q502" s="195"/>
      <c r="S502" s="200"/>
      <c r="T502" s="200"/>
      <c r="U502" s="152"/>
      <c r="V502" s="152"/>
      <c r="W502" s="157"/>
    </row>
    <row r="503" ht="15.75" customHeight="1">
      <c r="B503" s="199"/>
      <c r="N503" s="152"/>
      <c r="Q503" s="195"/>
      <c r="S503" s="200"/>
      <c r="T503" s="200"/>
      <c r="U503" s="152"/>
      <c r="V503" s="152"/>
      <c r="W503" s="157"/>
    </row>
    <row r="504" ht="15.75" customHeight="1">
      <c r="B504" s="199"/>
      <c r="N504" s="152"/>
      <c r="Q504" s="195"/>
      <c r="S504" s="200"/>
      <c r="T504" s="200"/>
      <c r="U504" s="152"/>
      <c r="V504" s="152"/>
      <c r="W504" s="157"/>
    </row>
    <row r="505" ht="15.75" customHeight="1">
      <c r="B505" s="199"/>
      <c r="N505" s="152"/>
      <c r="Q505" s="195"/>
      <c r="S505" s="200"/>
      <c r="T505" s="200"/>
      <c r="U505" s="152"/>
      <c r="V505" s="152"/>
      <c r="W505" s="157"/>
    </row>
    <row r="506" ht="15.75" customHeight="1">
      <c r="B506" s="199"/>
      <c r="N506" s="152"/>
      <c r="Q506" s="195"/>
      <c r="S506" s="200"/>
      <c r="T506" s="200"/>
      <c r="U506" s="152"/>
      <c r="V506" s="152"/>
      <c r="W506" s="157"/>
    </row>
    <row r="507" ht="15.75" customHeight="1">
      <c r="B507" s="199"/>
      <c r="N507" s="152"/>
      <c r="Q507" s="195"/>
      <c r="S507" s="200"/>
      <c r="T507" s="200"/>
      <c r="U507" s="152"/>
      <c r="V507" s="152"/>
      <c r="W507" s="157"/>
    </row>
    <row r="508" ht="15.75" customHeight="1">
      <c r="B508" s="199"/>
      <c r="N508" s="152"/>
      <c r="Q508" s="195"/>
      <c r="S508" s="200"/>
      <c r="T508" s="200"/>
      <c r="U508" s="152"/>
      <c r="V508" s="152"/>
      <c r="W508" s="157"/>
    </row>
    <row r="509" ht="15.75" customHeight="1">
      <c r="B509" s="199"/>
      <c r="N509" s="152"/>
      <c r="Q509" s="195"/>
      <c r="S509" s="200"/>
      <c r="T509" s="200"/>
      <c r="U509" s="152"/>
      <c r="V509" s="152"/>
      <c r="W509" s="157"/>
    </row>
    <row r="510" ht="15.75" customHeight="1">
      <c r="B510" s="199"/>
      <c r="N510" s="152"/>
      <c r="Q510" s="195"/>
      <c r="S510" s="200"/>
      <c r="T510" s="200"/>
      <c r="U510" s="152"/>
      <c r="V510" s="152"/>
      <c r="W510" s="157"/>
    </row>
    <row r="511" ht="15.75" customHeight="1">
      <c r="B511" s="199"/>
      <c r="N511" s="152"/>
      <c r="Q511" s="195"/>
      <c r="S511" s="200"/>
      <c r="T511" s="200"/>
      <c r="U511" s="152"/>
      <c r="V511" s="152"/>
      <c r="W511" s="157"/>
    </row>
    <row r="512" ht="15.75" customHeight="1">
      <c r="B512" s="199"/>
      <c r="N512" s="152"/>
      <c r="Q512" s="195"/>
      <c r="S512" s="200"/>
      <c r="T512" s="200"/>
      <c r="U512" s="152"/>
      <c r="V512" s="152"/>
      <c r="W512" s="157"/>
    </row>
    <row r="513" ht="15.75" customHeight="1">
      <c r="B513" s="199"/>
      <c r="N513" s="152"/>
      <c r="Q513" s="195"/>
      <c r="S513" s="200"/>
      <c r="T513" s="200"/>
      <c r="U513" s="152"/>
      <c r="V513" s="152"/>
      <c r="W513" s="157"/>
    </row>
    <row r="514" ht="15.75" customHeight="1">
      <c r="B514" s="199"/>
      <c r="N514" s="152"/>
      <c r="Q514" s="195"/>
      <c r="S514" s="200"/>
      <c r="T514" s="200"/>
      <c r="U514" s="152"/>
      <c r="V514" s="152"/>
      <c r="W514" s="157"/>
    </row>
    <row r="515" ht="15.75" customHeight="1">
      <c r="B515" s="199"/>
      <c r="N515" s="152"/>
      <c r="Q515" s="195"/>
      <c r="S515" s="200"/>
      <c r="T515" s="200"/>
      <c r="U515" s="152"/>
      <c r="V515" s="152"/>
      <c r="W515" s="157"/>
    </row>
    <row r="516" ht="15.75" customHeight="1">
      <c r="B516" s="199"/>
      <c r="N516" s="152"/>
      <c r="Q516" s="195"/>
      <c r="S516" s="200"/>
      <c r="T516" s="200"/>
      <c r="U516" s="152"/>
      <c r="V516" s="152"/>
      <c r="W516" s="157"/>
    </row>
    <row r="517" ht="15.75" customHeight="1">
      <c r="B517" s="199"/>
      <c r="N517" s="152"/>
      <c r="Q517" s="195"/>
      <c r="S517" s="200"/>
      <c r="T517" s="200"/>
      <c r="U517" s="152"/>
      <c r="V517" s="152"/>
      <c r="W517" s="157"/>
    </row>
    <row r="518" ht="15.75" customHeight="1">
      <c r="B518" s="199"/>
      <c r="N518" s="152"/>
      <c r="Q518" s="195"/>
      <c r="S518" s="200"/>
      <c r="T518" s="200"/>
      <c r="U518" s="152"/>
      <c r="V518" s="152"/>
      <c r="W518" s="157"/>
    </row>
    <row r="519" ht="15.75" customHeight="1">
      <c r="B519" s="199"/>
      <c r="N519" s="152"/>
      <c r="Q519" s="195"/>
      <c r="S519" s="200"/>
      <c r="T519" s="200"/>
      <c r="U519" s="152"/>
      <c r="V519" s="152"/>
      <c r="W519" s="157"/>
    </row>
    <row r="520" ht="15.75" customHeight="1">
      <c r="B520" s="199"/>
      <c r="N520" s="152"/>
      <c r="Q520" s="195"/>
      <c r="S520" s="200"/>
      <c r="T520" s="200"/>
      <c r="U520" s="152"/>
      <c r="V520" s="152"/>
      <c r="W520" s="157"/>
    </row>
    <row r="521" ht="15.75" customHeight="1">
      <c r="B521" s="199"/>
      <c r="N521" s="152"/>
      <c r="Q521" s="195"/>
      <c r="S521" s="200"/>
      <c r="T521" s="200"/>
      <c r="U521" s="152"/>
      <c r="V521" s="152"/>
      <c r="W521" s="157"/>
    </row>
    <row r="522" ht="15.75" customHeight="1">
      <c r="B522" s="199"/>
      <c r="N522" s="152"/>
      <c r="Q522" s="195"/>
      <c r="S522" s="200"/>
      <c r="T522" s="200"/>
      <c r="U522" s="152"/>
      <c r="V522" s="152"/>
      <c r="W522" s="157"/>
    </row>
    <row r="523" ht="15.75" customHeight="1">
      <c r="B523" s="199"/>
      <c r="N523" s="152"/>
      <c r="Q523" s="195"/>
      <c r="S523" s="200"/>
      <c r="T523" s="200"/>
      <c r="U523" s="152"/>
      <c r="V523" s="152"/>
      <c r="W523" s="157"/>
    </row>
    <row r="524" ht="15.75" customHeight="1">
      <c r="B524" s="199"/>
      <c r="N524" s="152"/>
      <c r="Q524" s="195"/>
      <c r="S524" s="200"/>
      <c r="T524" s="200"/>
      <c r="U524" s="152"/>
      <c r="V524" s="152"/>
      <c r="W524" s="157"/>
    </row>
    <row r="525" ht="15.75" customHeight="1">
      <c r="B525" s="199"/>
      <c r="N525" s="152"/>
      <c r="Q525" s="195"/>
      <c r="S525" s="200"/>
      <c r="T525" s="200"/>
      <c r="U525" s="152"/>
      <c r="V525" s="152"/>
      <c r="W525" s="157"/>
    </row>
    <row r="526" ht="15.75" customHeight="1">
      <c r="B526" s="199"/>
      <c r="N526" s="152"/>
      <c r="Q526" s="195"/>
      <c r="S526" s="200"/>
      <c r="T526" s="200"/>
      <c r="U526" s="152"/>
      <c r="V526" s="152"/>
      <c r="W526" s="157"/>
    </row>
    <row r="527" ht="15.75" customHeight="1">
      <c r="B527" s="199"/>
      <c r="N527" s="152"/>
      <c r="Q527" s="195"/>
      <c r="S527" s="200"/>
      <c r="T527" s="200"/>
      <c r="U527" s="152"/>
      <c r="V527" s="152"/>
      <c r="W527" s="157"/>
    </row>
    <row r="528" ht="15.75" customHeight="1">
      <c r="B528" s="199"/>
      <c r="N528" s="152"/>
      <c r="Q528" s="195"/>
      <c r="S528" s="200"/>
      <c r="T528" s="200"/>
      <c r="U528" s="152"/>
      <c r="V528" s="152"/>
      <c r="W528" s="157"/>
    </row>
    <row r="529" ht="15.75" customHeight="1">
      <c r="B529" s="199"/>
      <c r="N529" s="152"/>
      <c r="Q529" s="195"/>
      <c r="S529" s="200"/>
      <c r="T529" s="200"/>
      <c r="U529" s="152"/>
      <c r="V529" s="152"/>
      <c r="W529" s="157"/>
    </row>
    <row r="530" ht="15.75" customHeight="1">
      <c r="B530" s="199"/>
      <c r="N530" s="152"/>
      <c r="Q530" s="195"/>
      <c r="S530" s="200"/>
      <c r="T530" s="200"/>
      <c r="U530" s="152"/>
      <c r="V530" s="152"/>
      <c r="W530" s="157"/>
    </row>
    <row r="531" ht="15.75" customHeight="1">
      <c r="B531" s="199"/>
      <c r="N531" s="152"/>
      <c r="Q531" s="195"/>
      <c r="S531" s="200"/>
      <c r="T531" s="200"/>
      <c r="U531" s="152"/>
      <c r="V531" s="152"/>
      <c r="W531" s="157"/>
    </row>
    <row r="532" ht="15.75" customHeight="1">
      <c r="B532" s="199"/>
      <c r="N532" s="152"/>
      <c r="Q532" s="195"/>
      <c r="S532" s="200"/>
      <c r="T532" s="200"/>
      <c r="U532" s="152"/>
      <c r="V532" s="152"/>
      <c r="W532" s="157"/>
    </row>
    <row r="533" ht="15.75" customHeight="1">
      <c r="B533" s="199"/>
      <c r="N533" s="152"/>
      <c r="Q533" s="195"/>
      <c r="S533" s="200"/>
      <c r="T533" s="200"/>
      <c r="U533" s="152"/>
      <c r="V533" s="152"/>
      <c r="W533" s="157"/>
    </row>
    <row r="534" ht="15.75" customHeight="1">
      <c r="B534" s="199"/>
      <c r="N534" s="152"/>
      <c r="Q534" s="195"/>
      <c r="S534" s="200"/>
      <c r="T534" s="200"/>
      <c r="U534" s="152"/>
      <c r="V534" s="152"/>
      <c r="W534" s="157"/>
    </row>
    <row r="535" ht="15.75" customHeight="1">
      <c r="B535" s="199"/>
      <c r="N535" s="152"/>
      <c r="Q535" s="195"/>
      <c r="S535" s="200"/>
      <c r="T535" s="200"/>
      <c r="U535" s="152"/>
      <c r="V535" s="152"/>
      <c r="W535" s="157"/>
    </row>
    <row r="536" ht="15.75" customHeight="1">
      <c r="B536" s="199"/>
      <c r="N536" s="152"/>
      <c r="Q536" s="195"/>
      <c r="S536" s="200"/>
      <c r="T536" s="200"/>
      <c r="U536" s="152"/>
      <c r="V536" s="152"/>
      <c r="W536" s="157"/>
    </row>
    <row r="537" ht="15.75" customHeight="1">
      <c r="B537" s="199"/>
      <c r="N537" s="152"/>
      <c r="Q537" s="195"/>
      <c r="S537" s="200"/>
      <c r="T537" s="200"/>
      <c r="U537" s="152"/>
      <c r="V537" s="152"/>
      <c r="W537" s="157"/>
    </row>
    <row r="538" ht="15.75" customHeight="1">
      <c r="B538" s="199"/>
      <c r="N538" s="152"/>
      <c r="Q538" s="195"/>
      <c r="S538" s="200"/>
      <c r="T538" s="200"/>
      <c r="U538" s="152"/>
      <c r="V538" s="152"/>
      <c r="W538" s="157"/>
    </row>
    <row r="539" ht="15.75" customHeight="1">
      <c r="B539" s="199"/>
      <c r="N539" s="152"/>
      <c r="Q539" s="195"/>
      <c r="S539" s="200"/>
      <c r="T539" s="200"/>
      <c r="U539" s="152"/>
      <c r="V539" s="152"/>
      <c r="W539" s="157"/>
    </row>
    <row r="540" ht="15.75" customHeight="1">
      <c r="B540" s="199"/>
      <c r="N540" s="152"/>
      <c r="Q540" s="195"/>
      <c r="S540" s="200"/>
      <c r="T540" s="200"/>
      <c r="U540" s="152"/>
      <c r="V540" s="152"/>
      <c r="W540" s="157"/>
    </row>
    <row r="541" ht="15.75" customHeight="1">
      <c r="B541" s="199"/>
      <c r="N541" s="152"/>
      <c r="Q541" s="195"/>
      <c r="S541" s="200"/>
      <c r="T541" s="200"/>
      <c r="U541" s="152"/>
      <c r="V541" s="152"/>
      <c r="W541" s="157"/>
    </row>
    <row r="542" ht="15.75" customHeight="1">
      <c r="B542" s="199"/>
      <c r="N542" s="152"/>
      <c r="Q542" s="195"/>
      <c r="S542" s="200"/>
      <c r="T542" s="200"/>
      <c r="U542" s="152"/>
      <c r="V542" s="152"/>
      <c r="W542" s="157"/>
    </row>
    <row r="543" ht="15.75" customHeight="1">
      <c r="B543" s="199"/>
      <c r="N543" s="152"/>
      <c r="Q543" s="195"/>
      <c r="S543" s="200"/>
      <c r="T543" s="200"/>
      <c r="U543" s="152"/>
      <c r="V543" s="152"/>
      <c r="W543" s="157"/>
    </row>
    <row r="544" ht="15.75" customHeight="1">
      <c r="B544" s="199"/>
      <c r="N544" s="152"/>
      <c r="Q544" s="195"/>
      <c r="S544" s="200"/>
      <c r="T544" s="200"/>
      <c r="U544" s="152"/>
      <c r="V544" s="152"/>
      <c r="W544" s="157"/>
    </row>
    <row r="545" ht="15.75" customHeight="1">
      <c r="B545" s="199"/>
      <c r="N545" s="152"/>
      <c r="Q545" s="195"/>
      <c r="S545" s="200"/>
      <c r="T545" s="200"/>
      <c r="U545" s="152"/>
      <c r="V545" s="152"/>
      <c r="W545" s="157"/>
    </row>
    <row r="546" ht="15.75" customHeight="1">
      <c r="B546" s="199"/>
      <c r="N546" s="152"/>
      <c r="Q546" s="195"/>
      <c r="S546" s="200"/>
      <c r="T546" s="200"/>
      <c r="U546" s="152"/>
      <c r="V546" s="152"/>
      <c r="W546" s="157"/>
    </row>
    <row r="547" ht="15.75" customHeight="1">
      <c r="B547" s="199"/>
      <c r="N547" s="152"/>
      <c r="Q547" s="195"/>
      <c r="S547" s="200"/>
      <c r="T547" s="200"/>
      <c r="U547" s="152"/>
      <c r="V547" s="152"/>
      <c r="W547" s="157"/>
    </row>
    <row r="548" ht="15.75" customHeight="1">
      <c r="B548" s="199"/>
      <c r="N548" s="152"/>
      <c r="Q548" s="195"/>
      <c r="S548" s="200"/>
      <c r="T548" s="200"/>
      <c r="U548" s="152"/>
      <c r="V548" s="152"/>
      <c r="W548" s="157"/>
    </row>
    <row r="549" ht="15.75" customHeight="1">
      <c r="B549" s="199"/>
      <c r="N549" s="152"/>
      <c r="Q549" s="195"/>
      <c r="S549" s="200"/>
      <c r="T549" s="200"/>
      <c r="U549" s="152"/>
      <c r="V549" s="152"/>
      <c r="W549" s="157"/>
    </row>
    <row r="550" ht="15.75" customHeight="1">
      <c r="B550" s="199"/>
      <c r="N550" s="152"/>
      <c r="Q550" s="195"/>
      <c r="S550" s="200"/>
      <c r="T550" s="200"/>
      <c r="U550" s="152"/>
      <c r="V550" s="152"/>
      <c r="W550" s="157"/>
    </row>
    <row r="551" ht="15.75" customHeight="1">
      <c r="B551" s="199"/>
      <c r="N551" s="152"/>
      <c r="Q551" s="195"/>
      <c r="S551" s="200"/>
      <c r="T551" s="200"/>
      <c r="U551" s="152"/>
      <c r="V551" s="152"/>
      <c r="W551" s="157"/>
    </row>
    <row r="552" ht="15.75" customHeight="1">
      <c r="B552" s="199"/>
      <c r="N552" s="152"/>
      <c r="Q552" s="195"/>
      <c r="S552" s="200"/>
      <c r="T552" s="200"/>
      <c r="U552" s="152"/>
      <c r="V552" s="152"/>
      <c r="W552" s="157"/>
    </row>
    <row r="553" ht="15.75" customHeight="1">
      <c r="B553" s="199"/>
      <c r="N553" s="152"/>
      <c r="Q553" s="195"/>
      <c r="S553" s="200"/>
      <c r="T553" s="200"/>
      <c r="U553" s="152"/>
      <c r="V553" s="152"/>
      <c r="W553" s="157"/>
    </row>
    <row r="554" ht="15.75" customHeight="1">
      <c r="B554" s="199"/>
      <c r="N554" s="152"/>
      <c r="Q554" s="195"/>
      <c r="S554" s="200"/>
      <c r="T554" s="200"/>
      <c r="U554" s="152"/>
      <c r="V554" s="152"/>
      <c r="W554" s="157"/>
    </row>
    <row r="555" ht="15.75" customHeight="1">
      <c r="B555" s="199"/>
      <c r="N555" s="152"/>
      <c r="Q555" s="195"/>
      <c r="S555" s="200"/>
      <c r="T555" s="200"/>
      <c r="U555" s="152"/>
      <c r="V555" s="152"/>
      <c r="W555" s="157"/>
    </row>
    <row r="556" ht="15.75" customHeight="1">
      <c r="B556" s="199"/>
      <c r="N556" s="152"/>
      <c r="Q556" s="195"/>
      <c r="S556" s="200"/>
      <c r="T556" s="200"/>
      <c r="U556" s="152"/>
      <c r="V556" s="152"/>
      <c r="W556" s="157"/>
    </row>
    <row r="557" ht="15.75" customHeight="1">
      <c r="B557" s="199"/>
      <c r="N557" s="152"/>
      <c r="Q557" s="195"/>
      <c r="S557" s="200"/>
      <c r="T557" s="200"/>
      <c r="U557" s="152"/>
      <c r="V557" s="152"/>
      <c r="W557" s="157"/>
    </row>
    <row r="558" ht="15.75" customHeight="1">
      <c r="B558" s="199"/>
      <c r="N558" s="152"/>
      <c r="Q558" s="195"/>
      <c r="S558" s="200"/>
      <c r="T558" s="200"/>
      <c r="U558" s="152"/>
      <c r="V558" s="152"/>
      <c r="W558" s="157"/>
    </row>
    <row r="559" ht="15.75" customHeight="1">
      <c r="B559" s="199"/>
      <c r="N559" s="152"/>
      <c r="Q559" s="195"/>
      <c r="S559" s="200"/>
      <c r="T559" s="200"/>
      <c r="U559" s="152"/>
      <c r="V559" s="152"/>
      <c r="W559" s="157"/>
    </row>
    <row r="560" ht="15.75" customHeight="1">
      <c r="B560" s="199"/>
      <c r="N560" s="152"/>
      <c r="Q560" s="195"/>
      <c r="S560" s="200"/>
      <c r="T560" s="200"/>
      <c r="U560" s="152"/>
      <c r="V560" s="152"/>
      <c r="W560" s="157"/>
    </row>
    <row r="561" ht="15.75" customHeight="1">
      <c r="B561" s="199"/>
      <c r="N561" s="152"/>
      <c r="Q561" s="195"/>
      <c r="S561" s="200"/>
      <c r="T561" s="200"/>
      <c r="U561" s="152"/>
      <c r="V561" s="152"/>
      <c r="W561" s="157"/>
    </row>
    <row r="562" ht="15.75" customHeight="1">
      <c r="B562" s="199"/>
      <c r="N562" s="152"/>
      <c r="Q562" s="195"/>
      <c r="S562" s="200"/>
      <c r="T562" s="200"/>
      <c r="U562" s="152"/>
      <c r="V562" s="152"/>
      <c r="W562" s="157"/>
    </row>
    <row r="563" ht="15.75" customHeight="1">
      <c r="B563" s="199"/>
      <c r="N563" s="152"/>
      <c r="Q563" s="195"/>
      <c r="S563" s="200"/>
      <c r="T563" s="200"/>
      <c r="U563" s="152"/>
      <c r="V563" s="152"/>
      <c r="W563" s="157"/>
    </row>
    <row r="564" ht="15.75" customHeight="1">
      <c r="B564" s="199"/>
      <c r="N564" s="152"/>
      <c r="Q564" s="195"/>
      <c r="S564" s="200"/>
      <c r="T564" s="200"/>
      <c r="U564" s="152"/>
      <c r="V564" s="152"/>
      <c r="W564" s="157"/>
    </row>
    <row r="565" ht="15.75" customHeight="1">
      <c r="B565" s="199"/>
      <c r="N565" s="152"/>
      <c r="Q565" s="195"/>
      <c r="S565" s="200"/>
      <c r="T565" s="200"/>
      <c r="U565" s="152"/>
      <c r="V565" s="152"/>
      <c r="W565" s="157"/>
    </row>
    <row r="566" ht="15.75" customHeight="1">
      <c r="B566" s="199"/>
      <c r="N566" s="152"/>
      <c r="Q566" s="195"/>
      <c r="S566" s="200"/>
      <c r="T566" s="200"/>
      <c r="U566" s="152"/>
      <c r="V566" s="152"/>
      <c r="W566" s="157"/>
    </row>
    <row r="567" ht="15.75" customHeight="1">
      <c r="B567" s="199"/>
      <c r="N567" s="152"/>
      <c r="Q567" s="195"/>
      <c r="S567" s="200"/>
      <c r="T567" s="200"/>
      <c r="U567" s="152"/>
      <c r="V567" s="152"/>
      <c r="W567" s="157"/>
    </row>
    <row r="568" ht="15.75" customHeight="1">
      <c r="B568" s="199"/>
      <c r="N568" s="152"/>
      <c r="Q568" s="195"/>
      <c r="S568" s="200"/>
      <c r="T568" s="200"/>
      <c r="U568" s="152"/>
      <c r="V568" s="152"/>
      <c r="W568" s="157"/>
    </row>
    <row r="569" ht="15.75" customHeight="1">
      <c r="B569" s="199"/>
      <c r="N569" s="152"/>
      <c r="Q569" s="195"/>
      <c r="S569" s="200"/>
      <c r="T569" s="200"/>
      <c r="U569" s="152"/>
      <c r="V569" s="152"/>
      <c r="W569" s="157"/>
    </row>
    <row r="570" ht="15.75" customHeight="1">
      <c r="B570" s="199"/>
      <c r="N570" s="152"/>
      <c r="Q570" s="195"/>
      <c r="S570" s="200"/>
      <c r="T570" s="200"/>
      <c r="U570" s="152"/>
      <c r="V570" s="152"/>
      <c r="W570" s="157"/>
    </row>
    <row r="571" ht="15.75" customHeight="1">
      <c r="B571" s="199"/>
      <c r="N571" s="152"/>
      <c r="Q571" s="195"/>
      <c r="S571" s="200"/>
      <c r="T571" s="200"/>
      <c r="U571" s="152"/>
      <c r="V571" s="152"/>
      <c r="W571" s="157"/>
    </row>
    <row r="572" ht="15.75" customHeight="1">
      <c r="B572" s="199"/>
      <c r="N572" s="152"/>
      <c r="Q572" s="195"/>
      <c r="S572" s="200"/>
      <c r="T572" s="200"/>
      <c r="U572" s="152"/>
      <c r="V572" s="152"/>
      <c r="W572" s="157"/>
    </row>
    <row r="573" ht="15.75" customHeight="1">
      <c r="B573" s="199"/>
      <c r="N573" s="152"/>
      <c r="Q573" s="195"/>
      <c r="S573" s="200"/>
      <c r="T573" s="200"/>
      <c r="U573" s="152"/>
      <c r="V573" s="152"/>
      <c r="W573" s="157"/>
    </row>
    <row r="574" ht="15.75" customHeight="1">
      <c r="B574" s="199"/>
      <c r="N574" s="152"/>
      <c r="Q574" s="195"/>
      <c r="S574" s="200"/>
      <c r="T574" s="200"/>
      <c r="U574" s="152"/>
      <c r="V574" s="152"/>
      <c r="W574" s="157"/>
    </row>
    <row r="575" ht="15.75" customHeight="1">
      <c r="B575" s="199"/>
      <c r="N575" s="152"/>
      <c r="Q575" s="195"/>
      <c r="S575" s="200"/>
      <c r="T575" s="200"/>
      <c r="U575" s="152"/>
      <c r="V575" s="152"/>
      <c r="W575" s="157"/>
    </row>
    <row r="576" ht="15.75" customHeight="1">
      <c r="B576" s="199"/>
      <c r="N576" s="152"/>
      <c r="Q576" s="195"/>
      <c r="S576" s="200"/>
      <c r="T576" s="200"/>
      <c r="U576" s="152"/>
      <c r="V576" s="152"/>
      <c r="W576" s="157"/>
    </row>
    <row r="577" ht="15.75" customHeight="1">
      <c r="B577" s="199"/>
      <c r="N577" s="152"/>
      <c r="Q577" s="195"/>
      <c r="S577" s="200"/>
      <c r="T577" s="200"/>
      <c r="U577" s="152"/>
      <c r="V577" s="152"/>
      <c r="W577" s="157"/>
    </row>
    <row r="578" ht="15.75" customHeight="1">
      <c r="B578" s="199"/>
      <c r="N578" s="152"/>
      <c r="Q578" s="195"/>
      <c r="S578" s="200"/>
      <c r="T578" s="200"/>
      <c r="U578" s="152"/>
      <c r="V578" s="152"/>
      <c r="W578" s="157"/>
    </row>
    <row r="579" ht="15.75" customHeight="1">
      <c r="B579" s="199"/>
      <c r="N579" s="152"/>
      <c r="Q579" s="195"/>
      <c r="S579" s="200"/>
      <c r="T579" s="200"/>
      <c r="U579" s="152"/>
      <c r="V579" s="152"/>
      <c r="W579" s="157"/>
    </row>
    <row r="580" ht="15.75" customHeight="1">
      <c r="B580" s="199"/>
      <c r="N580" s="152"/>
      <c r="Q580" s="195"/>
      <c r="S580" s="200"/>
      <c r="T580" s="200"/>
      <c r="U580" s="152"/>
      <c r="V580" s="152"/>
      <c r="W580" s="157"/>
    </row>
    <row r="581" ht="15.75" customHeight="1">
      <c r="B581" s="199"/>
      <c r="N581" s="152"/>
      <c r="Q581" s="195"/>
      <c r="S581" s="200"/>
      <c r="T581" s="200"/>
      <c r="U581" s="152"/>
      <c r="V581" s="152"/>
      <c r="W581" s="157"/>
    </row>
    <row r="582" ht="15.75" customHeight="1">
      <c r="B582" s="199"/>
      <c r="N582" s="152"/>
      <c r="Q582" s="195"/>
      <c r="S582" s="200"/>
      <c r="T582" s="200"/>
      <c r="U582" s="152"/>
      <c r="V582" s="152"/>
      <c r="W582" s="157"/>
    </row>
    <row r="583" ht="15.75" customHeight="1">
      <c r="B583" s="199"/>
      <c r="N583" s="152"/>
      <c r="Q583" s="195"/>
      <c r="S583" s="200"/>
      <c r="T583" s="200"/>
      <c r="U583" s="152"/>
      <c r="V583" s="152"/>
      <c r="W583" s="157"/>
    </row>
    <row r="584" ht="15.75" customHeight="1">
      <c r="B584" s="199"/>
      <c r="N584" s="152"/>
      <c r="Q584" s="195"/>
      <c r="S584" s="200"/>
      <c r="T584" s="200"/>
      <c r="U584" s="152"/>
      <c r="V584" s="152"/>
      <c r="W584" s="157"/>
    </row>
    <row r="585" ht="15.75" customHeight="1">
      <c r="B585" s="199"/>
      <c r="N585" s="152"/>
      <c r="Q585" s="195"/>
      <c r="S585" s="200"/>
      <c r="T585" s="200"/>
      <c r="U585" s="152"/>
      <c r="V585" s="152"/>
      <c r="W585" s="157"/>
    </row>
    <row r="586" ht="15.75" customHeight="1">
      <c r="B586" s="199"/>
      <c r="N586" s="152"/>
      <c r="Q586" s="195"/>
      <c r="S586" s="200"/>
      <c r="T586" s="200"/>
      <c r="U586" s="152"/>
      <c r="V586" s="152"/>
      <c r="W586" s="157"/>
    </row>
    <row r="587" ht="15.75" customHeight="1">
      <c r="B587" s="199"/>
      <c r="N587" s="152"/>
      <c r="Q587" s="195"/>
      <c r="S587" s="200"/>
      <c r="T587" s="200"/>
      <c r="U587" s="152"/>
      <c r="V587" s="152"/>
      <c r="W587" s="157"/>
    </row>
    <row r="588" ht="15.75" customHeight="1">
      <c r="B588" s="199"/>
      <c r="N588" s="152"/>
      <c r="Q588" s="195"/>
      <c r="S588" s="200"/>
      <c r="T588" s="200"/>
      <c r="U588" s="152"/>
      <c r="V588" s="152"/>
      <c r="W588" s="157"/>
    </row>
    <row r="589" ht="15.75" customHeight="1">
      <c r="B589" s="199"/>
      <c r="N589" s="152"/>
      <c r="Q589" s="195"/>
      <c r="S589" s="200"/>
      <c r="T589" s="200"/>
      <c r="U589" s="152"/>
      <c r="V589" s="152"/>
      <c r="W589" s="157"/>
    </row>
    <row r="590" ht="15.75" customHeight="1">
      <c r="B590" s="199"/>
      <c r="N590" s="152"/>
      <c r="Q590" s="195"/>
      <c r="S590" s="200"/>
      <c r="T590" s="200"/>
      <c r="U590" s="152"/>
      <c r="V590" s="152"/>
      <c r="W590" s="157"/>
    </row>
    <row r="591" ht="15.75" customHeight="1">
      <c r="B591" s="199"/>
      <c r="N591" s="152"/>
      <c r="Q591" s="195"/>
      <c r="S591" s="200"/>
      <c r="T591" s="200"/>
      <c r="U591" s="152"/>
      <c r="V591" s="152"/>
      <c r="W591" s="157"/>
    </row>
    <row r="592" ht="15.75" customHeight="1">
      <c r="B592" s="199"/>
      <c r="N592" s="152"/>
      <c r="Q592" s="195"/>
      <c r="S592" s="200"/>
      <c r="T592" s="200"/>
      <c r="U592" s="152"/>
      <c r="V592" s="152"/>
      <c r="W592" s="157"/>
    </row>
    <row r="593" ht="15.75" customHeight="1">
      <c r="B593" s="199"/>
      <c r="N593" s="152"/>
      <c r="Q593" s="195"/>
      <c r="S593" s="200"/>
      <c r="T593" s="200"/>
      <c r="U593" s="152"/>
      <c r="V593" s="152"/>
      <c r="W593" s="157"/>
    </row>
    <row r="594" ht="15.75" customHeight="1">
      <c r="B594" s="199"/>
      <c r="N594" s="152"/>
      <c r="Q594" s="195"/>
      <c r="S594" s="200"/>
      <c r="T594" s="200"/>
      <c r="U594" s="152"/>
      <c r="V594" s="152"/>
      <c r="W594" s="157"/>
    </row>
    <row r="595" ht="15.75" customHeight="1">
      <c r="B595" s="199"/>
      <c r="N595" s="152"/>
      <c r="Q595" s="195"/>
      <c r="S595" s="200"/>
      <c r="T595" s="200"/>
      <c r="U595" s="152"/>
      <c r="V595" s="152"/>
      <c r="W595" s="157"/>
    </row>
    <row r="596" ht="15.75" customHeight="1">
      <c r="B596" s="199"/>
      <c r="N596" s="152"/>
      <c r="Q596" s="195"/>
      <c r="S596" s="200"/>
      <c r="T596" s="200"/>
      <c r="U596" s="152"/>
      <c r="V596" s="152"/>
      <c r="W596" s="157"/>
    </row>
    <row r="597" ht="15.75" customHeight="1">
      <c r="B597" s="199"/>
      <c r="N597" s="152"/>
      <c r="Q597" s="195"/>
      <c r="S597" s="200"/>
      <c r="T597" s="200"/>
      <c r="U597" s="152"/>
      <c r="V597" s="152"/>
      <c r="W597" s="157"/>
    </row>
    <row r="598" ht="15.75" customHeight="1">
      <c r="B598" s="199"/>
      <c r="N598" s="152"/>
      <c r="Q598" s="195"/>
      <c r="S598" s="200"/>
      <c r="T598" s="200"/>
      <c r="U598" s="152"/>
      <c r="V598" s="152"/>
      <c r="W598" s="157"/>
    </row>
    <row r="599" ht="15.75" customHeight="1">
      <c r="B599" s="199"/>
      <c r="N599" s="152"/>
      <c r="Q599" s="195"/>
      <c r="S599" s="200"/>
      <c r="T599" s="200"/>
      <c r="U599" s="152"/>
      <c r="V599" s="152"/>
      <c r="W599" s="157"/>
    </row>
    <row r="600" ht="15.75" customHeight="1">
      <c r="B600" s="199"/>
      <c r="N600" s="152"/>
      <c r="Q600" s="195"/>
      <c r="S600" s="200"/>
      <c r="T600" s="200"/>
      <c r="U600" s="152"/>
      <c r="V600" s="152"/>
      <c r="W600" s="157"/>
    </row>
    <row r="601" ht="15.75" customHeight="1">
      <c r="B601" s="199"/>
      <c r="N601" s="152"/>
      <c r="Q601" s="195"/>
      <c r="S601" s="200"/>
      <c r="T601" s="200"/>
      <c r="U601" s="152"/>
      <c r="V601" s="152"/>
      <c r="W601" s="157"/>
    </row>
    <row r="602" ht="15.75" customHeight="1">
      <c r="B602" s="199"/>
      <c r="N602" s="152"/>
      <c r="Q602" s="195"/>
      <c r="S602" s="200"/>
      <c r="T602" s="200"/>
      <c r="U602" s="152"/>
      <c r="V602" s="152"/>
      <c r="W602" s="157"/>
    </row>
    <row r="603" ht="15.75" customHeight="1">
      <c r="B603" s="199"/>
      <c r="N603" s="152"/>
      <c r="Q603" s="195"/>
      <c r="S603" s="200"/>
      <c r="T603" s="200"/>
      <c r="U603" s="152"/>
      <c r="V603" s="152"/>
      <c r="W603" s="157"/>
    </row>
    <row r="604" ht="15.75" customHeight="1">
      <c r="B604" s="199"/>
      <c r="N604" s="152"/>
      <c r="Q604" s="195"/>
      <c r="S604" s="200"/>
      <c r="T604" s="200"/>
      <c r="U604" s="152"/>
      <c r="V604" s="152"/>
      <c r="W604" s="157"/>
    </row>
    <row r="605" ht="15.75" customHeight="1">
      <c r="B605" s="199"/>
      <c r="N605" s="152"/>
      <c r="Q605" s="195"/>
      <c r="S605" s="200"/>
      <c r="T605" s="200"/>
      <c r="U605" s="152"/>
      <c r="V605" s="152"/>
      <c r="W605" s="157"/>
    </row>
    <row r="606" ht="15.75" customHeight="1">
      <c r="B606" s="199"/>
      <c r="N606" s="152"/>
      <c r="Q606" s="195"/>
      <c r="S606" s="200"/>
      <c r="T606" s="200"/>
      <c r="U606" s="152"/>
      <c r="V606" s="152"/>
      <c r="W606" s="157"/>
    </row>
    <row r="607" ht="15.75" customHeight="1">
      <c r="B607" s="199"/>
      <c r="N607" s="152"/>
      <c r="Q607" s="195"/>
      <c r="S607" s="200"/>
      <c r="T607" s="200"/>
      <c r="U607" s="152"/>
      <c r="V607" s="152"/>
      <c r="W607" s="157"/>
    </row>
    <row r="608" ht="15.75" customHeight="1">
      <c r="B608" s="199"/>
      <c r="N608" s="152"/>
      <c r="Q608" s="195"/>
      <c r="S608" s="200"/>
      <c r="T608" s="200"/>
      <c r="U608" s="152"/>
      <c r="V608" s="152"/>
      <c r="W608" s="157"/>
    </row>
    <row r="609" ht="15.75" customHeight="1">
      <c r="B609" s="199"/>
      <c r="N609" s="152"/>
      <c r="Q609" s="195"/>
      <c r="S609" s="200"/>
      <c r="T609" s="200"/>
      <c r="U609" s="152"/>
      <c r="V609" s="152"/>
      <c r="W609" s="157"/>
    </row>
    <row r="610" ht="15.75" customHeight="1">
      <c r="B610" s="199"/>
      <c r="N610" s="152"/>
      <c r="Q610" s="195"/>
      <c r="S610" s="200"/>
      <c r="T610" s="200"/>
      <c r="U610" s="152"/>
      <c r="V610" s="152"/>
      <c r="W610" s="157"/>
    </row>
    <row r="611" ht="15.75" customHeight="1">
      <c r="B611" s="199"/>
      <c r="N611" s="152"/>
      <c r="Q611" s="195"/>
      <c r="S611" s="200"/>
      <c r="T611" s="200"/>
      <c r="U611" s="152"/>
      <c r="V611" s="152"/>
      <c r="W611" s="157"/>
    </row>
    <row r="612" ht="15.75" customHeight="1">
      <c r="B612" s="199"/>
      <c r="N612" s="152"/>
      <c r="Q612" s="195"/>
      <c r="S612" s="200"/>
      <c r="T612" s="200"/>
      <c r="U612" s="152"/>
      <c r="V612" s="152"/>
      <c r="W612" s="157"/>
    </row>
    <row r="613" ht="15.75" customHeight="1">
      <c r="B613" s="199"/>
      <c r="N613" s="152"/>
      <c r="Q613" s="195"/>
      <c r="S613" s="200"/>
      <c r="T613" s="200"/>
      <c r="U613" s="152"/>
      <c r="V613" s="152"/>
      <c r="W613" s="157"/>
    </row>
    <row r="614" ht="15.75" customHeight="1">
      <c r="B614" s="199"/>
      <c r="N614" s="152"/>
      <c r="Q614" s="195"/>
      <c r="S614" s="200"/>
      <c r="T614" s="200"/>
      <c r="U614" s="152"/>
      <c r="V614" s="152"/>
      <c r="W614" s="157"/>
    </row>
    <row r="615" ht="15.75" customHeight="1">
      <c r="B615" s="199"/>
      <c r="N615" s="152"/>
      <c r="Q615" s="195"/>
      <c r="S615" s="200"/>
      <c r="T615" s="200"/>
      <c r="U615" s="152"/>
      <c r="V615" s="152"/>
      <c r="W615" s="157"/>
    </row>
    <row r="616" ht="15.75" customHeight="1">
      <c r="B616" s="199"/>
      <c r="N616" s="152"/>
      <c r="Q616" s="195"/>
      <c r="S616" s="200"/>
      <c r="T616" s="200"/>
      <c r="U616" s="152"/>
      <c r="V616" s="152"/>
      <c r="W616" s="157"/>
    </row>
    <row r="617" ht="15.75" customHeight="1">
      <c r="B617" s="199"/>
      <c r="N617" s="152"/>
      <c r="Q617" s="195"/>
      <c r="S617" s="200"/>
      <c r="T617" s="200"/>
      <c r="U617" s="152"/>
      <c r="V617" s="152"/>
      <c r="W617" s="157"/>
    </row>
    <row r="618" ht="15.75" customHeight="1">
      <c r="B618" s="199"/>
      <c r="N618" s="152"/>
      <c r="Q618" s="195"/>
      <c r="S618" s="200"/>
      <c r="T618" s="200"/>
      <c r="U618" s="152"/>
      <c r="V618" s="152"/>
      <c r="W618" s="157"/>
    </row>
    <row r="619" ht="15.75" customHeight="1">
      <c r="B619" s="199"/>
      <c r="N619" s="152"/>
      <c r="Q619" s="195"/>
      <c r="S619" s="200"/>
      <c r="T619" s="200"/>
      <c r="U619" s="152"/>
      <c r="V619" s="152"/>
      <c r="W619" s="157"/>
    </row>
    <row r="620" ht="15.75" customHeight="1">
      <c r="B620" s="199"/>
      <c r="N620" s="152"/>
      <c r="Q620" s="195"/>
      <c r="S620" s="200"/>
      <c r="T620" s="200"/>
      <c r="U620" s="152"/>
      <c r="V620" s="152"/>
      <c r="W620" s="157"/>
    </row>
    <row r="621" ht="15.75" customHeight="1">
      <c r="B621" s="199"/>
      <c r="N621" s="152"/>
      <c r="Q621" s="195"/>
      <c r="S621" s="200"/>
      <c r="T621" s="200"/>
      <c r="U621" s="152"/>
      <c r="V621" s="152"/>
      <c r="W621" s="157"/>
    </row>
    <row r="622" ht="15.75" customHeight="1">
      <c r="B622" s="199"/>
      <c r="N622" s="152"/>
      <c r="Q622" s="195"/>
      <c r="S622" s="200"/>
      <c r="T622" s="200"/>
      <c r="U622" s="152"/>
      <c r="V622" s="152"/>
      <c r="W622" s="157"/>
    </row>
    <row r="623" ht="15.75" customHeight="1">
      <c r="B623" s="199"/>
      <c r="N623" s="152"/>
      <c r="Q623" s="195"/>
      <c r="S623" s="200"/>
      <c r="T623" s="200"/>
      <c r="U623" s="152"/>
      <c r="V623" s="152"/>
      <c r="W623" s="157"/>
    </row>
    <row r="624" ht="15.75" customHeight="1">
      <c r="B624" s="199"/>
      <c r="N624" s="152"/>
      <c r="Q624" s="195"/>
      <c r="S624" s="200"/>
      <c r="T624" s="200"/>
      <c r="U624" s="152"/>
      <c r="V624" s="152"/>
      <c r="W624" s="157"/>
    </row>
    <row r="625" ht="15.75" customHeight="1">
      <c r="B625" s="199"/>
      <c r="N625" s="152"/>
      <c r="Q625" s="195"/>
      <c r="S625" s="200"/>
      <c r="T625" s="200"/>
      <c r="U625" s="152"/>
      <c r="V625" s="152"/>
      <c r="W625" s="157"/>
    </row>
    <row r="626" ht="15.75" customHeight="1">
      <c r="B626" s="199"/>
      <c r="N626" s="152"/>
      <c r="Q626" s="195"/>
      <c r="S626" s="200"/>
      <c r="T626" s="200"/>
      <c r="U626" s="152"/>
      <c r="V626" s="152"/>
      <c r="W626" s="157"/>
    </row>
    <row r="627" ht="15.75" customHeight="1">
      <c r="B627" s="199"/>
      <c r="N627" s="152"/>
      <c r="Q627" s="195"/>
      <c r="S627" s="200"/>
      <c r="T627" s="200"/>
      <c r="U627" s="152"/>
      <c r="V627" s="152"/>
      <c r="W627" s="157"/>
    </row>
    <row r="628" ht="15.75" customHeight="1">
      <c r="B628" s="199"/>
      <c r="N628" s="152"/>
      <c r="Q628" s="195"/>
      <c r="S628" s="200"/>
      <c r="T628" s="200"/>
      <c r="U628" s="152"/>
      <c r="V628" s="152"/>
      <c r="W628" s="157"/>
    </row>
    <row r="629" ht="15.75" customHeight="1">
      <c r="B629" s="199"/>
      <c r="N629" s="152"/>
      <c r="Q629" s="195"/>
      <c r="S629" s="200"/>
      <c r="T629" s="200"/>
      <c r="U629" s="152"/>
      <c r="V629" s="152"/>
      <c r="W629" s="157"/>
    </row>
    <row r="630" ht="15.75" customHeight="1">
      <c r="B630" s="199"/>
      <c r="N630" s="152"/>
      <c r="Q630" s="195"/>
      <c r="S630" s="200"/>
      <c r="T630" s="200"/>
      <c r="U630" s="152"/>
      <c r="V630" s="152"/>
      <c r="W630" s="157"/>
    </row>
    <row r="631" ht="15.75" customHeight="1">
      <c r="B631" s="199"/>
      <c r="N631" s="152"/>
      <c r="Q631" s="195"/>
      <c r="S631" s="200"/>
      <c r="T631" s="200"/>
      <c r="U631" s="152"/>
      <c r="V631" s="152"/>
      <c r="W631" s="157"/>
    </row>
    <row r="632" ht="15.75" customHeight="1">
      <c r="B632" s="199"/>
      <c r="N632" s="152"/>
      <c r="Q632" s="195"/>
      <c r="S632" s="200"/>
      <c r="T632" s="200"/>
      <c r="U632" s="152"/>
      <c r="V632" s="152"/>
      <c r="W632" s="157"/>
    </row>
    <row r="633" ht="15.75" customHeight="1">
      <c r="B633" s="199"/>
      <c r="N633" s="152"/>
      <c r="Q633" s="195"/>
      <c r="S633" s="200"/>
      <c r="T633" s="200"/>
      <c r="U633" s="152"/>
      <c r="V633" s="152"/>
      <c r="W633" s="157"/>
    </row>
    <row r="634" ht="15.75" customHeight="1">
      <c r="B634" s="199"/>
      <c r="N634" s="152"/>
      <c r="Q634" s="195"/>
      <c r="S634" s="200"/>
      <c r="T634" s="200"/>
      <c r="U634" s="152"/>
      <c r="V634" s="152"/>
      <c r="W634" s="157"/>
    </row>
    <row r="635" ht="15.75" customHeight="1">
      <c r="B635" s="199"/>
      <c r="N635" s="152"/>
      <c r="Q635" s="195"/>
      <c r="S635" s="200"/>
      <c r="T635" s="200"/>
      <c r="U635" s="152"/>
      <c r="V635" s="152"/>
      <c r="W635" s="157"/>
    </row>
    <row r="636" ht="15.75" customHeight="1">
      <c r="B636" s="199"/>
      <c r="N636" s="152"/>
      <c r="Q636" s="195"/>
      <c r="S636" s="200"/>
      <c r="T636" s="200"/>
      <c r="U636" s="152"/>
      <c r="V636" s="152"/>
      <c r="W636" s="157"/>
    </row>
    <row r="637" ht="15.75" customHeight="1">
      <c r="B637" s="199"/>
      <c r="N637" s="152"/>
      <c r="Q637" s="195"/>
      <c r="S637" s="200"/>
      <c r="T637" s="200"/>
      <c r="U637" s="152"/>
      <c r="V637" s="152"/>
      <c r="W637" s="157"/>
    </row>
    <row r="638" ht="15.75" customHeight="1">
      <c r="B638" s="199"/>
      <c r="N638" s="152"/>
      <c r="Q638" s="195"/>
      <c r="S638" s="200"/>
      <c r="T638" s="200"/>
      <c r="U638" s="152"/>
      <c r="V638" s="152"/>
      <c r="W638" s="157"/>
    </row>
    <row r="639" ht="15.75" customHeight="1">
      <c r="B639" s="199"/>
      <c r="N639" s="152"/>
      <c r="Q639" s="195"/>
      <c r="S639" s="200"/>
      <c r="T639" s="200"/>
      <c r="U639" s="152"/>
      <c r="V639" s="152"/>
      <c r="W639" s="157"/>
    </row>
    <row r="640" ht="15.75" customHeight="1">
      <c r="B640" s="199"/>
      <c r="N640" s="152"/>
      <c r="Q640" s="195"/>
      <c r="S640" s="200"/>
      <c r="T640" s="200"/>
      <c r="U640" s="152"/>
      <c r="V640" s="152"/>
      <c r="W640" s="157"/>
    </row>
    <row r="641" ht="15.75" customHeight="1">
      <c r="B641" s="199"/>
      <c r="N641" s="152"/>
      <c r="Q641" s="195"/>
      <c r="S641" s="200"/>
      <c r="T641" s="200"/>
      <c r="U641" s="152"/>
      <c r="V641" s="152"/>
      <c r="W641" s="157"/>
    </row>
    <row r="642" ht="15.75" customHeight="1">
      <c r="B642" s="199"/>
      <c r="N642" s="152"/>
      <c r="Q642" s="195"/>
      <c r="S642" s="200"/>
      <c r="T642" s="200"/>
      <c r="U642" s="152"/>
      <c r="V642" s="152"/>
      <c r="W642" s="157"/>
    </row>
    <row r="643" ht="15.75" customHeight="1">
      <c r="B643" s="199"/>
      <c r="N643" s="152"/>
      <c r="Q643" s="195"/>
      <c r="S643" s="200"/>
      <c r="T643" s="200"/>
      <c r="U643" s="152"/>
      <c r="V643" s="152"/>
      <c r="W643" s="157"/>
    </row>
    <row r="644" ht="15.75" customHeight="1">
      <c r="B644" s="199"/>
      <c r="N644" s="152"/>
      <c r="Q644" s="195"/>
      <c r="S644" s="200"/>
      <c r="T644" s="200"/>
      <c r="U644" s="152"/>
      <c r="V644" s="152"/>
      <c r="W644" s="157"/>
    </row>
    <row r="645" ht="15.75" customHeight="1">
      <c r="B645" s="199"/>
      <c r="N645" s="152"/>
      <c r="Q645" s="195"/>
      <c r="S645" s="200"/>
      <c r="T645" s="200"/>
      <c r="U645" s="152"/>
      <c r="V645" s="152"/>
      <c r="W645" s="157"/>
    </row>
    <row r="646" ht="15.75" customHeight="1">
      <c r="B646" s="199"/>
      <c r="N646" s="152"/>
      <c r="Q646" s="195"/>
      <c r="S646" s="200"/>
      <c r="T646" s="200"/>
      <c r="U646" s="152"/>
      <c r="V646" s="152"/>
      <c r="W646" s="157"/>
    </row>
    <row r="647" ht="15.75" customHeight="1">
      <c r="B647" s="199"/>
      <c r="N647" s="152"/>
      <c r="Q647" s="195"/>
      <c r="S647" s="200"/>
      <c r="T647" s="200"/>
      <c r="U647" s="152"/>
      <c r="V647" s="152"/>
      <c r="W647" s="157"/>
    </row>
    <row r="648" ht="15.75" customHeight="1">
      <c r="B648" s="199"/>
      <c r="N648" s="152"/>
      <c r="Q648" s="195"/>
      <c r="S648" s="200"/>
      <c r="T648" s="200"/>
      <c r="U648" s="152"/>
      <c r="V648" s="152"/>
      <c r="W648" s="157"/>
    </row>
    <row r="649" ht="15.75" customHeight="1">
      <c r="B649" s="199"/>
      <c r="N649" s="152"/>
      <c r="Q649" s="195"/>
      <c r="S649" s="200"/>
      <c r="T649" s="200"/>
      <c r="U649" s="152"/>
      <c r="V649" s="152"/>
      <c r="W649" s="157"/>
    </row>
    <row r="650" ht="15.75" customHeight="1">
      <c r="B650" s="199"/>
      <c r="N650" s="152"/>
      <c r="Q650" s="195"/>
      <c r="S650" s="200"/>
      <c r="T650" s="200"/>
      <c r="U650" s="152"/>
      <c r="V650" s="152"/>
      <c r="W650" s="157"/>
    </row>
    <row r="651" ht="15.75" customHeight="1">
      <c r="B651" s="199"/>
      <c r="N651" s="152"/>
      <c r="Q651" s="195"/>
      <c r="S651" s="200"/>
      <c r="T651" s="200"/>
      <c r="U651" s="152"/>
      <c r="V651" s="152"/>
      <c r="W651" s="157"/>
    </row>
    <row r="652" ht="15.75" customHeight="1">
      <c r="B652" s="199"/>
      <c r="N652" s="152"/>
      <c r="Q652" s="195"/>
      <c r="S652" s="200"/>
      <c r="T652" s="200"/>
      <c r="U652" s="152"/>
      <c r="V652" s="152"/>
      <c r="W652" s="157"/>
    </row>
    <row r="653" ht="15.75" customHeight="1">
      <c r="B653" s="199"/>
      <c r="N653" s="152"/>
      <c r="Q653" s="195"/>
      <c r="S653" s="200"/>
      <c r="T653" s="200"/>
      <c r="U653" s="152"/>
      <c r="V653" s="152"/>
      <c r="W653" s="157"/>
    </row>
    <row r="654" ht="15.75" customHeight="1">
      <c r="B654" s="199"/>
      <c r="N654" s="152"/>
      <c r="Q654" s="195"/>
      <c r="S654" s="200"/>
      <c r="T654" s="200"/>
      <c r="U654" s="152"/>
      <c r="V654" s="152"/>
      <c r="W654" s="157"/>
    </row>
    <row r="655" ht="15.75" customHeight="1">
      <c r="B655" s="199"/>
      <c r="N655" s="152"/>
      <c r="Q655" s="195"/>
      <c r="S655" s="200"/>
      <c r="T655" s="200"/>
      <c r="U655" s="152"/>
      <c r="V655" s="152"/>
      <c r="W655" s="157"/>
    </row>
    <row r="656" ht="15.75" customHeight="1">
      <c r="B656" s="199"/>
      <c r="N656" s="152"/>
      <c r="Q656" s="195"/>
      <c r="S656" s="200"/>
      <c r="T656" s="200"/>
      <c r="U656" s="152"/>
      <c r="V656" s="152"/>
      <c r="W656" s="157"/>
    </row>
    <row r="657" ht="15.75" customHeight="1">
      <c r="B657" s="199"/>
      <c r="N657" s="152"/>
      <c r="Q657" s="195"/>
      <c r="S657" s="200"/>
      <c r="T657" s="200"/>
      <c r="U657" s="152"/>
      <c r="V657" s="152"/>
      <c r="W657" s="157"/>
    </row>
    <row r="658" ht="15.75" customHeight="1">
      <c r="B658" s="199"/>
      <c r="N658" s="152"/>
      <c r="Q658" s="195"/>
      <c r="S658" s="200"/>
      <c r="T658" s="200"/>
      <c r="U658" s="152"/>
      <c r="V658" s="152"/>
      <c r="W658" s="157"/>
    </row>
    <row r="659" ht="15.75" customHeight="1">
      <c r="B659" s="199"/>
      <c r="N659" s="152"/>
      <c r="Q659" s="195"/>
      <c r="S659" s="200"/>
      <c r="T659" s="200"/>
      <c r="U659" s="152"/>
      <c r="V659" s="152"/>
      <c r="W659" s="157"/>
    </row>
    <row r="660" ht="15.75" customHeight="1">
      <c r="B660" s="199"/>
      <c r="N660" s="152"/>
      <c r="Q660" s="195"/>
      <c r="S660" s="200"/>
      <c r="T660" s="200"/>
      <c r="U660" s="152"/>
      <c r="V660" s="152"/>
      <c r="W660" s="157"/>
    </row>
    <row r="661" ht="15.75" customHeight="1">
      <c r="B661" s="199"/>
      <c r="N661" s="152"/>
      <c r="Q661" s="195"/>
      <c r="S661" s="200"/>
      <c r="T661" s="200"/>
      <c r="U661" s="152"/>
      <c r="V661" s="152"/>
      <c r="W661" s="157"/>
    </row>
    <row r="662" ht="15.75" customHeight="1">
      <c r="B662" s="199"/>
      <c r="N662" s="152"/>
      <c r="Q662" s="195"/>
      <c r="S662" s="200"/>
      <c r="T662" s="200"/>
      <c r="U662" s="152"/>
      <c r="V662" s="152"/>
      <c r="W662" s="157"/>
    </row>
    <row r="663" ht="15.75" customHeight="1">
      <c r="B663" s="199"/>
      <c r="N663" s="152"/>
      <c r="Q663" s="195"/>
      <c r="S663" s="200"/>
      <c r="T663" s="200"/>
      <c r="U663" s="152"/>
      <c r="V663" s="152"/>
      <c r="W663" s="157"/>
    </row>
    <row r="664" ht="15.75" customHeight="1">
      <c r="B664" s="199"/>
      <c r="N664" s="152"/>
      <c r="Q664" s="195"/>
      <c r="S664" s="200"/>
      <c r="T664" s="200"/>
      <c r="U664" s="152"/>
      <c r="V664" s="152"/>
      <c r="W664" s="157"/>
    </row>
    <row r="665" ht="15.75" customHeight="1">
      <c r="B665" s="199"/>
      <c r="N665" s="152"/>
      <c r="Q665" s="195"/>
      <c r="S665" s="200"/>
      <c r="T665" s="200"/>
      <c r="U665" s="152"/>
      <c r="V665" s="152"/>
      <c r="W665" s="157"/>
    </row>
    <row r="666" ht="15.75" customHeight="1">
      <c r="B666" s="199"/>
      <c r="N666" s="152"/>
      <c r="Q666" s="195"/>
      <c r="S666" s="200"/>
      <c r="T666" s="200"/>
      <c r="U666" s="152"/>
      <c r="V666" s="152"/>
      <c r="W666" s="157"/>
    </row>
    <row r="667" ht="15.75" customHeight="1">
      <c r="B667" s="199"/>
      <c r="N667" s="152"/>
      <c r="Q667" s="195"/>
      <c r="S667" s="200"/>
      <c r="T667" s="200"/>
      <c r="U667" s="152"/>
      <c r="V667" s="152"/>
      <c r="W667" s="157"/>
    </row>
    <row r="668" ht="15.75" customHeight="1">
      <c r="B668" s="199"/>
      <c r="N668" s="152"/>
      <c r="Q668" s="195"/>
      <c r="S668" s="200"/>
      <c r="T668" s="200"/>
      <c r="U668" s="152"/>
      <c r="V668" s="152"/>
      <c r="W668" s="157"/>
    </row>
    <row r="669" ht="15.75" customHeight="1">
      <c r="B669" s="199"/>
      <c r="N669" s="152"/>
      <c r="Q669" s="195"/>
      <c r="S669" s="200"/>
      <c r="T669" s="200"/>
      <c r="U669" s="152"/>
      <c r="V669" s="152"/>
      <c r="W669" s="157"/>
    </row>
    <row r="670" ht="15.75" customHeight="1">
      <c r="B670" s="199"/>
      <c r="N670" s="152"/>
      <c r="Q670" s="195"/>
      <c r="S670" s="200"/>
      <c r="T670" s="200"/>
      <c r="U670" s="152"/>
      <c r="V670" s="152"/>
      <c r="W670" s="157"/>
    </row>
    <row r="671" ht="15.75" customHeight="1">
      <c r="B671" s="199"/>
      <c r="N671" s="152"/>
      <c r="Q671" s="195"/>
      <c r="S671" s="200"/>
      <c r="T671" s="200"/>
      <c r="U671" s="152"/>
      <c r="V671" s="152"/>
      <c r="W671" s="157"/>
    </row>
    <row r="672" ht="15.75" customHeight="1">
      <c r="B672" s="199"/>
      <c r="N672" s="152"/>
      <c r="Q672" s="195"/>
      <c r="S672" s="200"/>
      <c r="T672" s="200"/>
      <c r="U672" s="152"/>
      <c r="V672" s="152"/>
      <c r="W672" s="157"/>
    </row>
    <row r="673" ht="15.75" customHeight="1">
      <c r="B673" s="199"/>
      <c r="N673" s="152"/>
      <c r="Q673" s="195"/>
      <c r="S673" s="200"/>
      <c r="T673" s="200"/>
      <c r="U673" s="152"/>
      <c r="V673" s="152"/>
      <c r="W673" s="157"/>
    </row>
    <row r="674" ht="15.75" customHeight="1">
      <c r="B674" s="199"/>
      <c r="N674" s="152"/>
      <c r="Q674" s="195"/>
      <c r="S674" s="200"/>
      <c r="T674" s="200"/>
      <c r="U674" s="152"/>
      <c r="V674" s="152"/>
      <c r="W674" s="157"/>
    </row>
    <row r="675" ht="15.75" customHeight="1">
      <c r="B675" s="199"/>
      <c r="N675" s="152"/>
      <c r="Q675" s="195"/>
      <c r="S675" s="200"/>
      <c r="T675" s="200"/>
      <c r="U675" s="152"/>
      <c r="V675" s="152"/>
      <c r="W675" s="157"/>
    </row>
    <row r="676" ht="15.75" customHeight="1">
      <c r="B676" s="199"/>
      <c r="N676" s="152"/>
      <c r="Q676" s="195"/>
      <c r="S676" s="200"/>
      <c r="T676" s="200"/>
      <c r="U676" s="152"/>
      <c r="V676" s="152"/>
      <c r="W676" s="157"/>
    </row>
    <row r="677" ht="15.75" customHeight="1">
      <c r="B677" s="199"/>
      <c r="N677" s="152"/>
      <c r="Q677" s="195"/>
      <c r="S677" s="200"/>
      <c r="T677" s="200"/>
      <c r="U677" s="152"/>
      <c r="V677" s="152"/>
      <c r="W677" s="157"/>
    </row>
    <row r="678" ht="15.75" customHeight="1">
      <c r="B678" s="199"/>
      <c r="N678" s="152"/>
      <c r="Q678" s="195"/>
      <c r="S678" s="200"/>
      <c r="T678" s="200"/>
      <c r="U678" s="152"/>
      <c r="V678" s="152"/>
      <c r="W678" s="157"/>
    </row>
    <row r="679" ht="15.75" customHeight="1">
      <c r="B679" s="199"/>
      <c r="N679" s="152"/>
      <c r="Q679" s="195"/>
      <c r="S679" s="200"/>
      <c r="T679" s="200"/>
      <c r="U679" s="152"/>
      <c r="V679" s="152"/>
      <c r="W679" s="157"/>
    </row>
    <row r="680" ht="15.75" customHeight="1">
      <c r="B680" s="199"/>
      <c r="N680" s="152"/>
      <c r="Q680" s="195"/>
      <c r="S680" s="200"/>
      <c r="T680" s="200"/>
      <c r="U680" s="152"/>
      <c r="V680" s="152"/>
      <c r="W680" s="157"/>
    </row>
    <row r="681" ht="15.75" customHeight="1">
      <c r="B681" s="199"/>
      <c r="N681" s="152"/>
      <c r="Q681" s="195"/>
      <c r="S681" s="200"/>
      <c r="T681" s="200"/>
      <c r="U681" s="152"/>
      <c r="V681" s="152"/>
      <c r="W681" s="157"/>
    </row>
    <row r="682" ht="15.75" customHeight="1">
      <c r="B682" s="199"/>
      <c r="N682" s="152"/>
      <c r="Q682" s="195"/>
      <c r="S682" s="200"/>
      <c r="T682" s="200"/>
      <c r="U682" s="152"/>
      <c r="V682" s="152"/>
      <c r="W682" s="157"/>
    </row>
    <row r="683" ht="15.75" customHeight="1">
      <c r="B683" s="199"/>
      <c r="N683" s="152"/>
      <c r="Q683" s="195"/>
      <c r="S683" s="200"/>
      <c r="T683" s="200"/>
      <c r="U683" s="152"/>
      <c r="V683" s="152"/>
      <c r="W683" s="157"/>
    </row>
    <row r="684" ht="15.75" customHeight="1">
      <c r="B684" s="199"/>
      <c r="N684" s="152"/>
      <c r="Q684" s="195"/>
      <c r="S684" s="200"/>
      <c r="T684" s="200"/>
      <c r="U684" s="152"/>
      <c r="V684" s="152"/>
      <c r="W684" s="157"/>
    </row>
    <row r="685" ht="15.75" customHeight="1">
      <c r="B685" s="199"/>
      <c r="N685" s="152"/>
      <c r="Q685" s="195"/>
      <c r="S685" s="200"/>
      <c r="T685" s="200"/>
      <c r="U685" s="152"/>
      <c r="V685" s="152"/>
      <c r="W685" s="157"/>
    </row>
    <row r="686" ht="15.75" customHeight="1">
      <c r="B686" s="199"/>
      <c r="N686" s="152"/>
      <c r="Q686" s="195"/>
      <c r="S686" s="200"/>
      <c r="T686" s="200"/>
      <c r="U686" s="152"/>
      <c r="V686" s="152"/>
      <c r="W686" s="157"/>
    </row>
    <row r="687" ht="15.75" customHeight="1">
      <c r="B687" s="199"/>
      <c r="N687" s="152"/>
      <c r="Q687" s="195"/>
      <c r="S687" s="200"/>
      <c r="T687" s="200"/>
      <c r="U687" s="152"/>
      <c r="V687" s="152"/>
      <c r="W687" s="157"/>
    </row>
    <row r="688" ht="15.75" customHeight="1">
      <c r="B688" s="199"/>
      <c r="N688" s="152"/>
      <c r="Q688" s="195"/>
      <c r="S688" s="200"/>
      <c r="T688" s="200"/>
      <c r="U688" s="152"/>
      <c r="V688" s="152"/>
      <c r="W688" s="157"/>
    </row>
    <row r="689" ht="15.75" customHeight="1">
      <c r="B689" s="199"/>
      <c r="N689" s="152"/>
      <c r="Q689" s="195"/>
      <c r="S689" s="200"/>
      <c r="T689" s="200"/>
      <c r="U689" s="152"/>
      <c r="V689" s="152"/>
      <c r="W689" s="157"/>
    </row>
    <row r="690" ht="15.75" customHeight="1">
      <c r="B690" s="199"/>
      <c r="N690" s="152"/>
      <c r="Q690" s="195"/>
      <c r="S690" s="200"/>
      <c r="T690" s="200"/>
      <c r="U690" s="152"/>
      <c r="V690" s="152"/>
      <c r="W690" s="157"/>
    </row>
    <row r="691" ht="15.75" customHeight="1">
      <c r="B691" s="199"/>
      <c r="N691" s="152"/>
      <c r="Q691" s="195"/>
      <c r="S691" s="200"/>
      <c r="T691" s="200"/>
      <c r="U691" s="152"/>
      <c r="V691" s="152"/>
      <c r="W691" s="157"/>
    </row>
    <row r="692" ht="15.75" customHeight="1">
      <c r="B692" s="199"/>
      <c r="N692" s="152"/>
      <c r="Q692" s="195"/>
      <c r="S692" s="200"/>
      <c r="T692" s="200"/>
      <c r="U692" s="152"/>
      <c r="V692" s="152"/>
      <c r="W692" s="157"/>
    </row>
    <row r="693" ht="15.75" customHeight="1">
      <c r="B693" s="199"/>
      <c r="N693" s="152"/>
      <c r="Q693" s="195"/>
      <c r="S693" s="200"/>
      <c r="T693" s="200"/>
      <c r="U693" s="152"/>
      <c r="V693" s="152"/>
      <c r="W693" s="157"/>
    </row>
    <row r="694" ht="15.75" customHeight="1">
      <c r="B694" s="199"/>
      <c r="N694" s="152"/>
      <c r="Q694" s="195"/>
      <c r="S694" s="200"/>
      <c r="T694" s="200"/>
      <c r="U694" s="152"/>
      <c r="V694" s="152"/>
      <c r="W694" s="157"/>
    </row>
    <row r="695" ht="15.75" customHeight="1">
      <c r="B695" s="199"/>
      <c r="N695" s="152"/>
      <c r="Q695" s="195"/>
      <c r="S695" s="200"/>
      <c r="T695" s="200"/>
      <c r="U695" s="152"/>
      <c r="V695" s="152"/>
      <c r="W695" s="157"/>
    </row>
    <row r="696" ht="15.75" customHeight="1">
      <c r="B696" s="199"/>
      <c r="N696" s="152"/>
      <c r="Q696" s="195"/>
      <c r="S696" s="200"/>
      <c r="T696" s="200"/>
      <c r="U696" s="152"/>
      <c r="V696" s="152"/>
      <c r="W696" s="157"/>
    </row>
    <row r="697" ht="15.75" customHeight="1">
      <c r="B697" s="199"/>
      <c r="N697" s="152"/>
      <c r="Q697" s="195"/>
      <c r="S697" s="200"/>
      <c r="T697" s="200"/>
      <c r="U697" s="152"/>
      <c r="V697" s="152"/>
      <c r="W697" s="157"/>
    </row>
    <row r="698" ht="15.75" customHeight="1">
      <c r="B698" s="199"/>
      <c r="N698" s="152"/>
      <c r="Q698" s="195"/>
      <c r="S698" s="200"/>
      <c r="T698" s="200"/>
      <c r="U698" s="152"/>
      <c r="V698" s="152"/>
      <c r="W698" s="157"/>
    </row>
    <row r="699" ht="15.75" customHeight="1">
      <c r="B699" s="199"/>
      <c r="N699" s="152"/>
      <c r="Q699" s="195"/>
      <c r="S699" s="200"/>
      <c r="T699" s="200"/>
      <c r="U699" s="152"/>
      <c r="V699" s="152"/>
      <c r="W699" s="157"/>
    </row>
    <row r="700" ht="15.75" customHeight="1">
      <c r="B700" s="199"/>
      <c r="N700" s="152"/>
      <c r="Q700" s="195"/>
      <c r="S700" s="200"/>
      <c r="T700" s="200"/>
      <c r="U700" s="152"/>
      <c r="V700" s="152"/>
      <c r="W700" s="157"/>
    </row>
    <row r="701" ht="15.75" customHeight="1">
      <c r="B701" s="199"/>
      <c r="N701" s="152"/>
      <c r="Q701" s="195"/>
      <c r="S701" s="200"/>
      <c r="T701" s="200"/>
      <c r="U701" s="152"/>
      <c r="V701" s="152"/>
      <c r="W701" s="157"/>
    </row>
    <row r="702" ht="15.75" customHeight="1">
      <c r="B702" s="199"/>
      <c r="N702" s="152"/>
      <c r="Q702" s="195"/>
      <c r="S702" s="200"/>
      <c r="T702" s="200"/>
      <c r="U702" s="152"/>
      <c r="V702" s="152"/>
      <c r="W702" s="157"/>
    </row>
    <row r="703" ht="15.75" customHeight="1">
      <c r="B703" s="199"/>
      <c r="N703" s="152"/>
      <c r="Q703" s="195"/>
      <c r="S703" s="200"/>
      <c r="T703" s="200"/>
      <c r="U703" s="152"/>
      <c r="V703" s="152"/>
      <c r="W703" s="157"/>
    </row>
    <row r="704" ht="15.75" customHeight="1">
      <c r="B704" s="199"/>
      <c r="N704" s="152"/>
      <c r="Q704" s="195"/>
      <c r="S704" s="200"/>
      <c r="T704" s="200"/>
      <c r="U704" s="152"/>
      <c r="V704" s="152"/>
      <c r="W704" s="157"/>
    </row>
    <row r="705" ht="15.75" customHeight="1">
      <c r="B705" s="199"/>
      <c r="N705" s="152"/>
      <c r="Q705" s="195"/>
      <c r="S705" s="200"/>
      <c r="T705" s="200"/>
      <c r="U705" s="152"/>
      <c r="V705" s="152"/>
      <c r="W705" s="157"/>
    </row>
    <row r="706" ht="15.75" customHeight="1">
      <c r="B706" s="199"/>
      <c r="N706" s="152"/>
      <c r="Q706" s="195"/>
      <c r="S706" s="200"/>
      <c r="T706" s="200"/>
      <c r="U706" s="152"/>
      <c r="V706" s="152"/>
      <c r="W706" s="157"/>
    </row>
    <row r="707" ht="15.75" customHeight="1">
      <c r="B707" s="199"/>
      <c r="N707" s="152"/>
      <c r="Q707" s="195"/>
      <c r="S707" s="200"/>
      <c r="T707" s="200"/>
      <c r="U707" s="152"/>
      <c r="V707" s="152"/>
      <c r="W707" s="157"/>
    </row>
    <row r="708" ht="15.75" customHeight="1">
      <c r="B708" s="199"/>
      <c r="N708" s="152"/>
      <c r="Q708" s="195"/>
      <c r="S708" s="200"/>
      <c r="T708" s="200"/>
      <c r="U708" s="152"/>
      <c r="V708" s="152"/>
      <c r="W708" s="157"/>
    </row>
    <row r="709" ht="15.75" customHeight="1">
      <c r="B709" s="199"/>
      <c r="N709" s="152"/>
      <c r="Q709" s="195"/>
      <c r="S709" s="200"/>
      <c r="T709" s="200"/>
      <c r="U709" s="152"/>
      <c r="V709" s="152"/>
      <c r="W709" s="157"/>
    </row>
    <row r="710" ht="15.75" customHeight="1">
      <c r="B710" s="199"/>
      <c r="N710" s="152"/>
      <c r="Q710" s="195"/>
      <c r="S710" s="200"/>
      <c r="T710" s="200"/>
      <c r="U710" s="152"/>
      <c r="V710" s="152"/>
      <c r="W710" s="157"/>
    </row>
    <row r="711" ht="15.75" customHeight="1">
      <c r="B711" s="199"/>
      <c r="N711" s="152"/>
      <c r="Q711" s="195"/>
      <c r="S711" s="200"/>
      <c r="T711" s="200"/>
      <c r="U711" s="152"/>
      <c r="V711" s="152"/>
      <c r="W711" s="157"/>
    </row>
    <row r="712" ht="15.75" customHeight="1">
      <c r="B712" s="199"/>
      <c r="N712" s="152"/>
      <c r="Q712" s="195"/>
      <c r="S712" s="200"/>
      <c r="T712" s="200"/>
      <c r="U712" s="152"/>
      <c r="V712" s="152"/>
      <c r="W712" s="157"/>
    </row>
    <row r="713" ht="15.75" customHeight="1">
      <c r="B713" s="199"/>
      <c r="N713" s="152"/>
      <c r="Q713" s="195"/>
      <c r="S713" s="200"/>
      <c r="T713" s="200"/>
      <c r="U713" s="152"/>
      <c r="V713" s="152"/>
      <c r="W713" s="157"/>
    </row>
    <row r="714" ht="15.75" customHeight="1">
      <c r="B714" s="199"/>
      <c r="N714" s="152"/>
      <c r="Q714" s="195"/>
      <c r="S714" s="200"/>
      <c r="T714" s="200"/>
      <c r="U714" s="152"/>
      <c r="V714" s="152"/>
      <c r="W714" s="157"/>
    </row>
    <row r="715" ht="15.75" customHeight="1">
      <c r="B715" s="199"/>
      <c r="N715" s="152"/>
      <c r="Q715" s="195"/>
      <c r="S715" s="200"/>
      <c r="T715" s="200"/>
      <c r="U715" s="152"/>
      <c r="V715" s="152"/>
      <c r="W715" s="157"/>
    </row>
    <row r="716" ht="15.75" customHeight="1">
      <c r="B716" s="199"/>
      <c r="N716" s="152"/>
      <c r="Q716" s="195"/>
      <c r="S716" s="200"/>
      <c r="T716" s="200"/>
      <c r="U716" s="152"/>
      <c r="V716" s="152"/>
      <c r="W716" s="157"/>
    </row>
    <row r="717" ht="15.75" customHeight="1">
      <c r="B717" s="199"/>
      <c r="N717" s="152"/>
      <c r="Q717" s="195"/>
      <c r="S717" s="200"/>
      <c r="T717" s="200"/>
      <c r="U717" s="152"/>
      <c r="V717" s="152"/>
      <c r="W717" s="157"/>
    </row>
    <row r="718" ht="15.75" customHeight="1">
      <c r="B718" s="199"/>
      <c r="N718" s="152"/>
      <c r="Q718" s="195"/>
      <c r="S718" s="200"/>
      <c r="T718" s="200"/>
      <c r="U718" s="152"/>
      <c r="V718" s="152"/>
      <c r="W718" s="157"/>
    </row>
    <row r="719" ht="15.75" customHeight="1">
      <c r="B719" s="199"/>
      <c r="N719" s="152"/>
      <c r="Q719" s="195"/>
      <c r="S719" s="200"/>
      <c r="T719" s="200"/>
      <c r="U719" s="152"/>
      <c r="V719" s="152"/>
      <c r="W719" s="157"/>
    </row>
    <row r="720" ht="15.75" customHeight="1">
      <c r="B720" s="199"/>
      <c r="N720" s="152"/>
      <c r="Q720" s="195"/>
      <c r="S720" s="200"/>
      <c r="T720" s="200"/>
      <c r="U720" s="152"/>
      <c r="V720" s="152"/>
      <c r="W720" s="157"/>
    </row>
    <row r="721" ht="15.75" customHeight="1">
      <c r="B721" s="199"/>
      <c r="N721" s="152"/>
      <c r="Q721" s="195"/>
      <c r="S721" s="200"/>
      <c r="T721" s="200"/>
      <c r="U721" s="152"/>
      <c r="V721" s="152"/>
      <c r="W721" s="157"/>
    </row>
    <row r="722" ht="15.75" customHeight="1">
      <c r="B722" s="199"/>
      <c r="N722" s="152"/>
      <c r="Q722" s="195"/>
      <c r="S722" s="200"/>
      <c r="T722" s="200"/>
      <c r="U722" s="152"/>
      <c r="V722" s="152"/>
      <c r="W722" s="157"/>
    </row>
    <row r="723" ht="15.75" customHeight="1">
      <c r="B723" s="199"/>
      <c r="N723" s="152"/>
      <c r="Q723" s="195"/>
      <c r="S723" s="200"/>
      <c r="T723" s="200"/>
      <c r="U723" s="152"/>
      <c r="V723" s="152"/>
      <c r="W723" s="157"/>
    </row>
    <row r="724" ht="15.75" customHeight="1">
      <c r="B724" s="199"/>
      <c r="N724" s="152"/>
      <c r="Q724" s="195"/>
      <c r="S724" s="200"/>
      <c r="T724" s="200"/>
      <c r="U724" s="152"/>
      <c r="V724" s="152"/>
      <c r="W724" s="157"/>
    </row>
    <row r="725" ht="15.75" customHeight="1">
      <c r="B725" s="199"/>
      <c r="N725" s="152"/>
      <c r="Q725" s="195"/>
      <c r="S725" s="200"/>
      <c r="T725" s="200"/>
      <c r="U725" s="152"/>
      <c r="V725" s="152"/>
      <c r="W725" s="157"/>
    </row>
    <row r="726" ht="15.75" customHeight="1">
      <c r="B726" s="199"/>
      <c r="N726" s="152"/>
      <c r="Q726" s="195"/>
      <c r="S726" s="200"/>
      <c r="T726" s="200"/>
      <c r="U726" s="152"/>
      <c r="V726" s="152"/>
      <c r="W726" s="157"/>
    </row>
    <row r="727" ht="15.75" customHeight="1">
      <c r="B727" s="199"/>
      <c r="N727" s="152"/>
      <c r="Q727" s="195"/>
      <c r="S727" s="200"/>
      <c r="T727" s="200"/>
      <c r="U727" s="152"/>
      <c r="V727" s="152"/>
      <c r="W727" s="157"/>
    </row>
    <row r="728" ht="15.75" customHeight="1">
      <c r="B728" s="199"/>
      <c r="N728" s="152"/>
      <c r="Q728" s="195"/>
      <c r="S728" s="200"/>
      <c r="T728" s="200"/>
      <c r="U728" s="152"/>
      <c r="V728" s="152"/>
      <c r="W728" s="157"/>
    </row>
    <row r="729" ht="15.75" customHeight="1">
      <c r="B729" s="199"/>
      <c r="N729" s="152"/>
      <c r="Q729" s="195"/>
      <c r="S729" s="200"/>
      <c r="T729" s="200"/>
      <c r="U729" s="152"/>
      <c r="V729" s="152"/>
      <c r="W729" s="157"/>
    </row>
    <row r="730" ht="15.75" customHeight="1">
      <c r="B730" s="199"/>
      <c r="N730" s="152"/>
      <c r="Q730" s="195"/>
      <c r="S730" s="200"/>
      <c r="T730" s="200"/>
      <c r="U730" s="152"/>
      <c r="V730" s="152"/>
      <c r="W730" s="157"/>
    </row>
    <row r="731" ht="15.75" customHeight="1">
      <c r="B731" s="199"/>
      <c r="N731" s="152"/>
      <c r="Q731" s="195"/>
      <c r="S731" s="200"/>
      <c r="T731" s="200"/>
      <c r="U731" s="152"/>
      <c r="V731" s="152"/>
      <c r="W731" s="157"/>
    </row>
    <row r="732" ht="15.75" customHeight="1">
      <c r="B732" s="199"/>
      <c r="N732" s="152"/>
      <c r="Q732" s="195"/>
      <c r="S732" s="200"/>
      <c r="T732" s="200"/>
      <c r="U732" s="152"/>
      <c r="V732" s="152"/>
      <c r="W732" s="157"/>
    </row>
    <row r="733" ht="15.75" customHeight="1">
      <c r="B733" s="199"/>
      <c r="N733" s="152"/>
      <c r="Q733" s="195"/>
      <c r="S733" s="200"/>
      <c r="T733" s="200"/>
      <c r="U733" s="152"/>
      <c r="V733" s="152"/>
      <c r="W733" s="157"/>
    </row>
    <row r="734" ht="15.75" customHeight="1">
      <c r="B734" s="199"/>
      <c r="N734" s="152"/>
      <c r="Q734" s="195"/>
      <c r="S734" s="200"/>
      <c r="T734" s="200"/>
      <c r="U734" s="152"/>
      <c r="V734" s="152"/>
      <c r="W734" s="157"/>
    </row>
    <row r="735" ht="15.75" customHeight="1">
      <c r="B735" s="199"/>
      <c r="N735" s="152"/>
      <c r="Q735" s="195"/>
      <c r="S735" s="200"/>
      <c r="T735" s="200"/>
      <c r="U735" s="152"/>
      <c r="V735" s="152"/>
      <c r="W735" s="157"/>
    </row>
    <row r="736" ht="15.75" customHeight="1">
      <c r="B736" s="199"/>
      <c r="N736" s="152"/>
      <c r="Q736" s="195"/>
      <c r="S736" s="200"/>
      <c r="T736" s="200"/>
      <c r="U736" s="152"/>
      <c r="V736" s="152"/>
      <c r="W736" s="157"/>
    </row>
    <row r="737" ht="15.75" customHeight="1">
      <c r="B737" s="199"/>
      <c r="N737" s="152"/>
      <c r="Q737" s="195"/>
      <c r="S737" s="200"/>
      <c r="T737" s="200"/>
      <c r="U737" s="152"/>
      <c r="V737" s="152"/>
      <c r="W737" s="157"/>
    </row>
    <row r="738" ht="15.75" customHeight="1">
      <c r="B738" s="199"/>
      <c r="N738" s="152"/>
      <c r="Q738" s="195"/>
      <c r="S738" s="200"/>
      <c r="T738" s="200"/>
      <c r="U738" s="152"/>
      <c r="V738" s="152"/>
      <c r="W738" s="157"/>
    </row>
    <row r="739" ht="15.75" customHeight="1">
      <c r="B739" s="199"/>
      <c r="N739" s="152"/>
      <c r="Q739" s="195"/>
      <c r="S739" s="200"/>
      <c r="T739" s="200"/>
      <c r="U739" s="152"/>
      <c r="V739" s="152"/>
      <c r="W739" s="157"/>
    </row>
    <row r="740" ht="15.75" customHeight="1">
      <c r="B740" s="199"/>
      <c r="N740" s="152"/>
      <c r="Q740" s="195"/>
      <c r="S740" s="200"/>
      <c r="T740" s="200"/>
      <c r="U740" s="152"/>
      <c r="V740" s="152"/>
      <c r="W740" s="157"/>
    </row>
    <row r="741" ht="15.75" customHeight="1">
      <c r="B741" s="199"/>
      <c r="N741" s="152"/>
      <c r="Q741" s="195"/>
      <c r="S741" s="200"/>
      <c r="T741" s="200"/>
      <c r="U741" s="152"/>
      <c r="V741" s="152"/>
      <c r="W741" s="157"/>
    </row>
    <row r="742" ht="15.75" customHeight="1">
      <c r="B742" s="199"/>
      <c r="N742" s="152"/>
      <c r="Q742" s="195"/>
      <c r="S742" s="200"/>
      <c r="T742" s="200"/>
      <c r="U742" s="152"/>
      <c r="V742" s="152"/>
      <c r="W742" s="157"/>
    </row>
    <row r="743" ht="15.75" customHeight="1">
      <c r="B743" s="199"/>
      <c r="N743" s="152"/>
      <c r="Q743" s="195"/>
      <c r="S743" s="200"/>
      <c r="T743" s="200"/>
      <c r="U743" s="152"/>
      <c r="V743" s="152"/>
      <c r="W743" s="157"/>
    </row>
    <row r="744" ht="15.75" customHeight="1">
      <c r="B744" s="199"/>
      <c r="N744" s="152"/>
      <c r="Q744" s="195"/>
      <c r="S744" s="200"/>
      <c r="T744" s="200"/>
      <c r="U744" s="152"/>
      <c r="V744" s="152"/>
      <c r="W744" s="157"/>
    </row>
    <row r="745" ht="15.75" customHeight="1">
      <c r="B745" s="199"/>
      <c r="N745" s="152"/>
      <c r="Q745" s="195"/>
      <c r="S745" s="200"/>
      <c r="T745" s="200"/>
      <c r="U745" s="152"/>
      <c r="V745" s="152"/>
      <c r="W745" s="157"/>
    </row>
    <row r="746" ht="15.75" customHeight="1">
      <c r="B746" s="199"/>
      <c r="N746" s="152"/>
      <c r="Q746" s="195"/>
      <c r="S746" s="200"/>
      <c r="T746" s="200"/>
      <c r="U746" s="152"/>
      <c r="V746" s="152"/>
      <c r="W746" s="157"/>
    </row>
    <row r="747" ht="15.75" customHeight="1">
      <c r="B747" s="199"/>
      <c r="N747" s="152"/>
      <c r="Q747" s="195"/>
      <c r="S747" s="200"/>
      <c r="T747" s="200"/>
      <c r="U747" s="152"/>
      <c r="V747" s="152"/>
      <c r="W747" s="157"/>
    </row>
    <row r="748" ht="15.75" customHeight="1">
      <c r="B748" s="199"/>
      <c r="N748" s="152"/>
      <c r="Q748" s="195"/>
      <c r="S748" s="200"/>
      <c r="T748" s="200"/>
      <c r="U748" s="152"/>
      <c r="V748" s="152"/>
      <c r="W748" s="157"/>
    </row>
    <row r="749" ht="15.75" customHeight="1">
      <c r="B749" s="199"/>
      <c r="N749" s="152"/>
      <c r="Q749" s="195"/>
      <c r="S749" s="200"/>
      <c r="T749" s="200"/>
      <c r="U749" s="152"/>
      <c r="V749" s="152"/>
      <c r="W749" s="157"/>
    </row>
    <row r="750" ht="15.75" customHeight="1">
      <c r="B750" s="199"/>
      <c r="N750" s="152"/>
      <c r="Q750" s="195"/>
      <c r="S750" s="200"/>
      <c r="T750" s="200"/>
      <c r="U750" s="152"/>
      <c r="V750" s="152"/>
      <c r="W750" s="157"/>
    </row>
    <row r="751" ht="15.75" customHeight="1">
      <c r="B751" s="199"/>
      <c r="N751" s="152"/>
      <c r="Q751" s="195"/>
      <c r="S751" s="200"/>
      <c r="T751" s="200"/>
      <c r="U751" s="152"/>
      <c r="V751" s="152"/>
      <c r="W751" s="157"/>
    </row>
    <row r="752" ht="15.75" customHeight="1">
      <c r="B752" s="199"/>
      <c r="N752" s="152"/>
      <c r="Q752" s="195"/>
      <c r="S752" s="200"/>
      <c r="T752" s="200"/>
      <c r="U752" s="152"/>
      <c r="V752" s="152"/>
      <c r="W752" s="157"/>
    </row>
    <row r="753" ht="15.75" customHeight="1">
      <c r="B753" s="199"/>
      <c r="N753" s="152"/>
      <c r="Q753" s="195"/>
      <c r="S753" s="200"/>
      <c r="T753" s="200"/>
      <c r="U753" s="152"/>
      <c r="V753" s="152"/>
      <c r="W753" s="157"/>
    </row>
    <row r="754" ht="15.75" customHeight="1">
      <c r="B754" s="199"/>
      <c r="N754" s="152"/>
      <c r="Q754" s="195"/>
      <c r="S754" s="200"/>
      <c r="T754" s="200"/>
      <c r="U754" s="152"/>
      <c r="V754" s="152"/>
      <c r="W754" s="157"/>
    </row>
    <row r="755" ht="15.75" customHeight="1">
      <c r="B755" s="199"/>
      <c r="N755" s="152"/>
      <c r="Q755" s="195"/>
      <c r="S755" s="200"/>
      <c r="T755" s="200"/>
      <c r="U755" s="152"/>
      <c r="V755" s="152"/>
      <c r="W755" s="157"/>
    </row>
    <row r="756" ht="15.75" customHeight="1">
      <c r="B756" s="199"/>
      <c r="N756" s="152"/>
      <c r="Q756" s="195"/>
      <c r="S756" s="200"/>
      <c r="T756" s="200"/>
      <c r="U756" s="152"/>
      <c r="V756" s="152"/>
      <c r="W756" s="157"/>
    </row>
    <row r="757" ht="15.75" customHeight="1">
      <c r="B757" s="199"/>
      <c r="N757" s="152"/>
      <c r="Q757" s="195"/>
      <c r="S757" s="200"/>
      <c r="T757" s="200"/>
      <c r="U757" s="152"/>
      <c r="V757" s="152"/>
      <c r="W757" s="157"/>
    </row>
    <row r="758" ht="15.75" customHeight="1">
      <c r="B758" s="199"/>
      <c r="N758" s="152"/>
      <c r="Q758" s="195"/>
      <c r="S758" s="200"/>
      <c r="T758" s="200"/>
      <c r="U758" s="152"/>
      <c r="V758" s="152"/>
      <c r="W758" s="157"/>
    </row>
    <row r="759" ht="15.75" customHeight="1">
      <c r="B759" s="199"/>
      <c r="N759" s="152"/>
      <c r="Q759" s="195"/>
      <c r="S759" s="200"/>
      <c r="T759" s="200"/>
      <c r="U759" s="152"/>
      <c r="V759" s="152"/>
      <c r="W759" s="157"/>
    </row>
    <row r="760" ht="15.75" customHeight="1">
      <c r="B760" s="199"/>
      <c r="N760" s="152"/>
      <c r="Q760" s="195"/>
      <c r="S760" s="200"/>
      <c r="T760" s="200"/>
      <c r="U760" s="152"/>
      <c r="V760" s="152"/>
      <c r="W760" s="157"/>
    </row>
    <row r="761" ht="15.75" customHeight="1">
      <c r="B761" s="199"/>
      <c r="N761" s="152"/>
      <c r="Q761" s="195"/>
      <c r="S761" s="200"/>
      <c r="T761" s="200"/>
      <c r="U761" s="152"/>
      <c r="V761" s="152"/>
      <c r="W761" s="157"/>
    </row>
    <row r="762" ht="15.75" customHeight="1">
      <c r="B762" s="199"/>
      <c r="N762" s="152"/>
      <c r="Q762" s="195"/>
      <c r="S762" s="200"/>
      <c r="T762" s="200"/>
      <c r="U762" s="152"/>
      <c r="V762" s="152"/>
      <c r="W762" s="157"/>
    </row>
    <row r="763" ht="15.75" customHeight="1">
      <c r="B763" s="199"/>
      <c r="N763" s="152"/>
      <c r="Q763" s="195"/>
      <c r="S763" s="200"/>
      <c r="T763" s="200"/>
      <c r="U763" s="152"/>
      <c r="V763" s="152"/>
      <c r="W763" s="157"/>
    </row>
    <row r="764" ht="15.75" customHeight="1">
      <c r="B764" s="199"/>
      <c r="N764" s="152"/>
      <c r="Q764" s="195"/>
      <c r="S764" s="200"/>
      <c r="T764" s="200"/>
      <c r="U764" s="152"/>
      <c r="V764" s="152"/>
      <c r="W764" s="157"/>
    </row>
    <row r="765" ht="15.75" customHeight="1">
      <c r="B765" s="199"/>
      <c r="N765" s="152"/>
      <c r="Q765" s="195"/>
      <c r="S765" s="200"/>
      <c r="T765" s="200"/>
      <c r="U765" s="152"/>
      <c r="V765" s="152"/>
      <c r="W765" s="157"/>
    </row>
    <row r="766" ht="15.75" customHeight="1">
      <c r="B766" s="199"/>
      <c r="N766" s="152"/>
      <c r="Q766" s="195"/>
      <c r="S766" s="200"/>
      <c r="T766" s="200"/>
      <c r="U766" s="152"/>
      <c r="V766" s="152"/>
      <c r="W766" s="157"/>
    </row>
    <row r="767" ht="15.75" customHeight="1">
      <c r="B767" s="199"/>
      <c r="N767" s="152"/>
      <c r="Q767" s="195"/>
      <c r="S767" s="200"/>
      <c r="T767" s="200"/>
      <c r="U767" s="152"/>
      <c r="V767" s="152"/>
      <c r="W767" s="157"/>
    </row>
    <row r="768" ht="15.75" customHeight="1">
      <c r="B768" s="199"/>
      <c r="N768" s="152"/>
      <c r="Q768" s="195"/>
      <c r="S768" s="200"/>
      <c r="T768" s="200"/>
      <c r="U768" s="152"/>
      <c r="V768" s="152"/>
      <c r="W768" s="157"/>
    </row>
    <row r="769" ht="15.75" customHeight="1">
      <c r="B769" s="199"/>
      <c r="N769" s="152"/>
      <c r="Q769" s="195"/>
      <c r="S769" s="200"/>
      <c r="T769" s="200"/>
      <c r="U769" s="152"/>
      <c r="V769" s="152"/>
      <c r="W769" s="157"/>
    </row>
    <row r="770" ht="15.75" customHeight="1">
      <c r="B770" s="199"/>
      <c r="N770" s="152"/>
      <c r="Q770" s="195"/>
      <c r="S770" s="200"/>
      <c r="T770" s="200"/>
      <c r="U770" s="152"/>
      <c r="V770" s="152"/>
      <c r="W770" s="157"/>
    </row>
    <row r="771" ht="15.75" customHeight="1">
      <c r="B771" s="199"/>
      <c r="N771" s="152"/>
      <c r="Q771" s="195"/>
      <c r="S771" s="200"/>
      <c r="T771" s="200"/>
      <c r="U771" s="152"/>
      <c r="V771" s="152"/>
      <c r="W771" s="157"/>
    </row>
    <row r="772" ht="15.75" customHeight="1">
      <c r="B772" s="199"/>
      <c r="N772" s="152"/>
      <c r="Q772" s="195"/>
      <c r="S772" s="200"/>
      <c r="T772" s="200"/>
      <c r="U772" s="152"/>
      <c r="V772" s="152"/>
      <c r="W772" s="157"/>
    </row>
    <row r="773" ht="15.75" customHeight="1">
      <c r="B773" s="199"/>
      <c r="N773" s="152"/>
      <c r="Q773" s="195"/>
      <c r="S773" s="200"/>
      <c r="T773" s="200"/>
      <c r="U773" s="152"/>
      <c r="V773" s="152"/>
      <c r="W773" s="157"/>
    </row>
    <row r="774" ht="15.75" customHeight="1">
      <c r="B774" s="199"/>
      <c r="N774" s="152"/>
      <c r="Q774" s="195"/>
      <c r="S774" s="200"/>
      <c r="T774" s="200"/>
      <c r="U774" s="152"/>
      <c r="V774" s="152"/>
      <c r="W774" s="157"/>
    </row>
    <row r="775" ht="15.75" customHeight="1">
      <c r="B775" s="199"/>
      <c r="N775" s="152"/>
      <c r="Q775" s="195"/>
      <c r="S775" s="200"/>
      <c r="T775" s="200"/>
      <c r="U775" s="152"/>
      <c r="V775" s="152"/>
      <c r="W775" s="157"/>
    </row>
    <row r="776" ht="15.75" customHeight="1">
      <c r="B776" s="199"/>
      <c r="N776" s="152"/>
      <c r="Q776" s="195"/>
      <c r="S776" s="200"/>
      <c r="T776" s="200"/>
      <c r="U776" s="152"/>
      <c r="V776" s="152"/>
      <c r="W776" s="157"/>
    </row>
    <row r="777" ht="15.75" customHeight="1">
      <c r="B777" s="199"/>
      <c r="N777" s="152"/>
      <c r="Q777" s="195"/>
      <c r="S777" s="200"/>
      <c r="T777" s="200"/>
      <c r="U777" s="152"/>
      <c r="V777" s="152"/>
      <c r="W777" s="157"/>
    </row>
    <row r="778" ht="15.75" customHeight="1">
      <c r="B778" s="199"/>
      <c r="N778" s="152"/>
      <c r="Q778" s="195"/>
      <c r="S778" s="200"/>
      <c r="T778" s="200"/>
      <c r="U778" s="152"/>
      <c r="V778" s="152"/>
      <c r="W778" s="157"/>
    </row>
    <row r="779" ht="15.75" customHeight="1">
      <c r="B779" s="199"/>
      <c r="N779" s="152"/>
      <c r="Q779" s="195"/>
      <c r="S779" s="200"/>
      <c r="T779" s="200"/>
      <c r="U779" s="152"/>
      <c r="V779" s="152"/>
      <c r="W779" s="157"/>
    </row>
    <row r="780" ht="15.75" customHeight="1">
      <c r="B780" s="199"/>
      <c r="N780" s="152"/>
      <c r="Q780" s="195"/>
      <c r="S780" s="200"/>
      <c r="T780" s="200"/>
      <c r="U780" s="152"/>
      <c r="V780" s="152"/>
      <c r="W780" s="157"/>
    </row>
    <row r="781" ht="15.75" customHeight="1">
      <c r="B781" s="199"/>
      <c r="N781" s="152"/>
      <c r="Q781" s="195"/>
      <c r="S781" s="200"/>
      <c r="T781" s="200"/>
      <c r="U781" s="152"/>
      <c r="V781" s="152"/>
      <c r="W781" s="157"/>
    </row>
    <row r="782" ht="15.75" customHeight="1">
      <c r="B782" s="199"/>
      <c r="N782" s="152"/>
      <c r="Q782" s="195"/>
      <c r="S782" s="200"/>
      <c r="T782" s="200"/>
      <c r="U782" s="152"/>
      <c r="V782" s="152"/>
      <c r="W782" s="157"/>
    </row>
    <row r="783" ht="15.75" customHeight="1">
      <c r="B783" s="199"/>
      <c r="N783" s="152"/>
      <c r="Q783" s="195"/>
      <c r="S783" s="200"/>
      <c r="T783" s="200"/>
      <c r="U783" s="152"/>
      <c r="V783" s="152"/>
      <c r="W783" s="157"/>
    </row>
    <row r="784" ht="15.75" customHeight="1">
      <c r="B784" s="199"/>
      <c r="N784" s="152"/>
      <c r="Q784" s="195"/>
      <c r="S784" s="200"/>
      <c r="T784" s="200"/>
      <c r="U784" s="152"/>
      <c r="V784" s="152"/>
      <c r="W784" s="157"/>
    </row>
    <row r="785" ht="15.75" customHeight="1">
      <c r="B785" s="199"/>
      <c r="N785" s="152"/>
      <c r="Q785" s="195"/>
      <c r="S785" s="200"/>
      <c r="T785" s="200"/>
      <c r="U785" s="152"/>
      <c r="V785" s="152"/>
      <c r="W785" s="157"/>
    </row>
    <row r="786" ht="15.75" customHeight="1">
      <c r="B786" s="199"/>
      <c r="N786" s="152"/>
      <c r="Q786" s="195"/>
      <c r="S786" s="200"/>
      <c r="T786" s="200"/>
      <c r="U786" s="152"/>
      <c r="V786" s="152"/>
      <c r="W786" s="157"/>
    </row>
    <row r="787" ht="15.75" customHeight="1">
      <c r="B787" s="199"/>
      <c r="N787" s="152"/>
      <c r="Q787" s="195"/>
      <c r="S787" s="200"/>
      <c r="T787" s="200"/>
      <c r="U787" s="152"/>
      <c r="V787" s="152"/>
      <c r="W787" s="157"/>
    </row>
    <row r="788" ht="15.75" customHeight="1">
      <c r="B788" s="199"/>
      <c r="N788" s="152"/>
      <c r="Q788" s="195"/>
      <c r="S788" s="200"/>
      <c r="T788" s="200"/>
      <c r="U788" s="152"/>
      <c r="V788" s="152"/>
      <c r="W788" s="157"/>
    </row>
    <row r="789" ht="15.75" customHeight="1">
      <c r="B789" s="199"/>
      <c r="N789" s="152"/>
      <c r="Q789" s="195"/>
      <c r="S789" s="200"/>
      <c r="T789" s="200"/>
      <c r="U789" s="152"/>
      <c r="V789" s="152"/>
      <c r="W789" s="157"/>
    </row>
    <row r="790" ht="15.75" customHeight="1">
      <c r="B790" s="199"/>
      <c r="N790" s="152"/>
      <c r="Q790" s="195"/>
      <c r="S790" s="200"/>
      <c r="T790" s="200"/>
      <c r="U790" s="152"/>
      <c r="V790" s="152"/>
      <c r="W790" s="157"/>
    </row>
    <row r="791" ht="15.75" customHeight="1">
      <c r="B791" s="199"/>
      <c r="N791" s="152"/>
      <c r="Q791" s="195"/>
      <c r="S791" s="200"/>
      <c r="T791" s="200"/>
      <c r="U791" s="152"/>
      <c r="V791" s="152"/>
      <c r="W791" s="157"/>
    </row>
    <row r="792" ht="15.75" customHeight="1">
      <c r="B792" s="199"/>
      <c r="N792" s="152"/>
      <c r="Q792" s="195"/>
      <c r="S792" s="200"/>
      <c r="T792" s="200"/>
      <c r="U792" s="152"/>
      <c r="V792" s="152"/>
      <c r="W792" s="157"/>
    </row>
    <row r="793" ht="15.75" customHeight="1">
      <c r="B793" s="199"/>
      <c r="N793" s="152"/>
      <c r="Q793" s="195"/>
      <c r="S793" s="200"/>
      <c r="T793" s="200"/>
      <c r="U793" s="152"/>
      <c r="V793" s="152"/>
      <c r="W793" s="157"/>
    </row>
    <row r="794" ht="15.75" customHeight="1">
      <c r="B794" s="199"/>
      <c r="N794" s="152"/>
      <c r="Q794" s="195"/>
      <c r="S794" s="200"/>
      <c r="T794" s="200"/>
      <c r="U794" s="152"/>
      <c r="V794" s="152"/>
      <c r="W794" s="157"/>
    </row>
    <row r="795" ht="15.75" customHeight="1">
      <c r="B795" s="199"/>
      <c r="N795" s="152"/>
      <c r="Q795" s="195"/>
      <c r="S795" s="200"/>
      <c r="T795" s="200"/>
      <c r="U795" s="152"/>
      <c r="V795" s="152"/>
      <c r="W795" s="157"/>
    </row>
    <row r="796" ht="15.75" customHeight="1">
      <c r="B796" s="199"/>
      <c r="N796" s="152"/>
      <c r="Q796" s="195"/>
      <c r="S796" s="200"/>
      <c r="T796" s="200"/>
      <c r="U796" s="152"/>
      <c r="V796" s="152"/>
      <c r="W796" s="157"/>
    </row>
    <row r="797" ht="15.75" customHeight="1">
      <c r="B797" s="199"/>
      <c r="N797" s="152"/>
      <c r="Q797" s="195"/>
      <c r="S797" s="200"/>
      <c r="T797" s="200"/>
      <c r="U797" s="152"/>
      <c r="V797" s="152"/>
      <c r="W797" s="157"/>
    </row>
    <row r="798" ht="15.75" customHeight="1">
      <c r="B798" s="199"/>
      <c r="N798" s="152"/>
      <c r="Q798" s="195"/>
      <c r="S798" s="200"/>
      <c r="T798" s="200"/>
      <c r="U798" s="152"/>
      <c r="V798" s="152"/>
      <c r="W798" s="157"/>
    </row>
    <row r="799" ht="15.75" customHeight="1">
      <c r="B799" s="199"/>
      <c r="N799" s="152"/>
      <c r="Q799" s="195"/>
      <c r="S799" s="200"/>
      <c r="T799" s="200"/>
      <c r="U799" s="152"/>
      <c r="V799" s="152"/>
      <c r="W799" s="157"/>
    </row>
    <row r="800" ht="15.75" customHeight="1">
      <c r="B800" s="199"/>
      <c r="N800" s="152"/>
      <c r="Q800" s="195"/>
      <c r="S800" s="200"/>
      <c r="T800" s="200"/>
      <c r="U800" s="152"/>
      <c r="V800" s="152"/>
      <c r="W800" s="157"/>
    </row>
    <row r="801" ht="15.75" customHeight="1">
      <c r="B801" s="199"/>
      <c r="N801" s="152"/>
      <c r="Q801" s="195"/>
      <c r="S801" s="200"/>
      <c r="T801" s="200"/>
      <c r="U801" s="152"/>
      <c r="V801" s="152"/>
      <c r="W801" s="157"/>
    </row>
    <row r="802" ht="15.75" customHeight="1">
      <c r="B802" s="199"/>
      <c r="N802" s="152"/>
      <c r="Q802" s="195"/>
      <c r="S802" s="200"/>
      <c r="T802" s="200"/>
      <c r="U802" s="152"/>
      <c r="V802" s="152"/>
      <c r="W802" s="157"/>
    </row>
    <row r="803" ht="15.75" customHeight="1">
      <c r="B803" s="199"/>
      <c r="N803" s="152"/>
      <c r="Q803" s="195"/>
      <c r="S803" s="200"/>
      <c r="T803" s="200"/>
      <c r="U803" s="152"/>
      <c r="V803" s="152"/>
      <c r="W803" s="157"/>
    </row>
    <row r="804" ht="15.75" customHeight="1">
      <c r="B804" s="199"/>
      <c r="N804" s="152"/>
      <c r="Q804" s="195"/>
      <c r="S804" s="200"/>
      <c r="T804" s="200"/>
      <c r="U804" s="152"/>
      <c r="V804" s="152"/>
      <c r="W804" s="157"/>
    </row>
    <row r="805" ht="15.75" customHeight="1">
      <c r="B805" s="199"/>
      <c r="N805" s="152"/>
      <c r="Q805" s="195"/>
      <c r="S805" s="200"/>
      <c r="T805" s="200"/>
      <c r="U805" s="152"/>
      <c r="V805" s="152"/>
      <c r="W805" s="157"/>
    </row>
    <row r="806" ht="15.75" customHeight="1">
      <c r="B806" s="199"/>
      <c r="N806" s="152"/>
      <c r="Q806" s="195"/>
      <c r="S806" s="200"/>
      <c r="T806" s="200"/>
      <c r="U806" s="152"/>
      <c r="V806" s="152"/>
      <c r="W806" s="157"/>
    </row>
    <row r="807" ht="15.75" customHeight="1">
      <c r="B807" s="199"/>
      <c r="N807" s="152"/>
      <c r="Q807" s="195"/>
      <c r="S807" s="200"/>
      <c r="T807" s="200"/>
      <c r="U807" s="152"/>
      <c r="V807" s="152"/>
      <c r="W807" s="157"/>
    </row>
    <row r="808" ht="15.75" customHeight="1">
      <c r="B808" s="199"/>
      <c r="N808" s="152"/>
      <c r="Q808" s="195"/>
      <c r="S808" s="200"/>
      <c r="T808" s="200"/>
      <c r="U808" s="152"/>
      <c r="V808" s="152"/>
      <c r="W808" s="157"/>
    </row>
    <row r="809" ht="15.75" customHeight="1">
      <c r="B809" s="199"/>
      <c r="N809" s="152"/>
      <c r="Q809" s="195"/>
      <c r="S809" s="200"/>
      <c r="T809" s="200"/>
      <c r="U809" s="152"/>
      <c r="V809" s="152"/>
      <c r="W809" s="157"/>
    </row>
    <row r="810" ht="15.75" customHeight="1">
      <c r="B810" s="199"/>
      <c r="N810" s="152"/>
      <c r="Q810" s="195"/>
      <c r="S810" s="200"/>
      <c r="T810" s="200"/>
      <c r="U810" s="152"/>
      <c r="V810" s="152"/>
      <c r="W810" s="157"/>
    </row>
    <row r="811" ht="15.75" customHeight="1">
      <c r="B811" s="199"/>
      <c r="N811" s="152"/>
      <c r="Q811" s="195"/>
      <c r="S811" s="200"/>
      <c r="T811" s="200"/>
      <c r="U811" s="152"/>
      <c r="V811" s="152"/>
      <c r="W811" s="157"/>
    </row>
    <row r="812" ht="15.75" customHeight="1">
      <c r="B812" s="199"/>
      <c r="N812" s="152"/>
      <c r="Q812" s="195"/>
      <c r="S812" s="200"/>
      <c r="T812" s="200"/>
      <c r="U812" s="152"/>
      <c r="V812" s="152"/>
      <c r="W812" s="157"/>
    </row>
    <row r="813" ht="15.75" customHeight="1">
      <c r="B813" s="199"/>
      <c r="N813" s="152"/>
      <c r="Q813" s="195"/>
      <c r="S813" s="200"/>
      <c r="T813" s="200"/>
      <c r="U813" s="152"/>
      <c r="V813" s="152"/>
      <c r="W813" s="157"/>
    </row>
    <row r="814" ht="15.75" customHeight="1">
      <c r="B814" s="199"/>
      <c r="N814" s="152"/>
      <c r="Q814" s="195"/>
      <c r="S814" s="200"/>
      <c r="T814" s="200"/>
      <c r="U814" s="152"/>
      <c r="V814" s="152"/>
      <c r="W814" s="157"/>
    </row>
    <row r="815" ht="15.75" customHeight="1">
      <c r="B815" s="199"/>
      <c r="N815" s="152"/>
      <c r="Q815" s="195"/>
      <c r="S815" s="200"/>
      <c r="T815" s="200"/>
      <c r="U815" s="152"/>
      <c r="V815" s="152"/>
      <c r="W815" s="157"/>
    </row>
    <row r="816" ht="15.75" customHeight="1">
      <c r="B816" s="199"/>
      <c r="N816" s="152"/>
      <c r="Q816" s="195"/>
      <c r="S816" s="200"/>
      <c r="T816" s="200"/>
      <c r="U816" s="152"/>
      <c r="V816" s="152"/>
      <c r="W816" s="157"/>
    </row>
    <row r="817" ht="15.75" customHeight="1">
      <c r="B817" s="199"/>
      <c r="N817" s="152"/>
      <c r="Q817" s="195"/>
      <c r="S817" s="200"/>
      <c r="T817" s="200"/>
      <c r="U817" s="152"/>
      <c r="V817" s="152"/>
      <c r="W817" s="157"/>
    </row>
    <row r="818" ht="15.75" customHeight="1">
      <c r="B818" s="199"/>
      <c r="N818" s="152"/>
      <c r="Q818" s="195"/>
      <c r="S818" s="200"/>
      <c r="T818" s="200"/>
      <c r="U818" s="152"/>
      <c r="V818" s="152"/>
      <c r="W818" s="157"/>
    </row>
    <row r="819" ht="15.75" customHeight="1">
      <c r="B819" s="199"/>
      <c r="N819" s="152"/>
      <c r="Q819" s="195"/>
      <c r="S819" s="200"/>
      <c r="T819" s="200"/>
      <c r="U819" s="152"/>
      <c r="V819" s="152"/>
      <c r="W819" s="157"/>
    </row>
    <row r="820" ht="15.75" customHeight="1">
      <c r="B820" s="199"/>
      <c r="N820" s="152"/>
      <c r="Q820" s="195"/>
      <c r="S820" s="200"/>
      <c r="T820" s="200"/>
      <c r="U820" s="152"/>
      <c r="V820" s="152"/>
      <c r="W820" s="157"/>
    </row>
    <row r="821" ht="15.75" customHeight="1">
      <c r="B821" s="199"/>
      <c r="N821" s="152"/>
      <c r="Q821" s="195"/>
      <c r="S821" s="200"/>
      <c r="T821" s="200"/>
      <c r="U821" s="152"/>
      <c r="V821" s="152"/>
      <c r="W821" s="157"/>
    </row>
    <row r="822" ht="15.75" customHeight="1">
      <c r="B822" s="199"/>
      <c r="N822" s="152"/>
      <c r="Q822" s="195"/>
      <c r="S822" s="200"/>
      <c r="T822" s="200"/>
      <c r="U822" s="152"/>
      <c r="V822" s="152"/>
      <c r="W822" s="157"/>
    </row>
    <row r="823" ht="15.75" customHeight="1">
      <c r="B823" s="199"/>
      <c r="N823" s="152"/>
      <c r="Q823" s="195"/>
      <c r="S823" s="200"/>
      <c r="T823" s="200"/>
      <c r="U823" s="152"/>
      <c r="V823" s="152"/>
      <c r="W823" s="157"/>
    </row>
    <row r="824" ht="15.75" customHeight="1">
      <c r="B824" s="199"/>
      <c r="N824" s="152"/>
      <c r="Q824" s="195"/>
      <c r="S824" s="200"/>
      <c r="T824" s="200"/>
      <c r="U824" s="152"/>
      <c r="V824" s="152"/>
      <c r="W824" s="157"/>
    </row>
    <row r="825" ht="15.75" customHeight="1">
      <c r="B825" s="199"/>
      <c r="N825" s="152"/>
      <c r="Q825" s="195"/>
      <c r="S825" s="200"/>
      <c r="T825" s="200"/>
      <c r="U825" s="152"/>
      <c r="V825" s="152"/>
      <c r="W825" s="157"/>
    </row>
    <row r="826" ht="15.75" customHeight="1">
      <c r="B826" s="199"/>
      <c r="N826" s="152"/>
      <c r="Q826" s="195"/>
      <c r="S826" s="200"/>
      <c r="T826" s="200"/>
      <c r="U826" s="152"/>
      <c r="V826" s="152"/>
      <c r="W826" s="157"/>
    </row>
    <row r="827" ht="15.75" customHeight="1">
      <c r="B827" s="199"/>
      <c r="N827" s="152"/>
      <c r="Q827" s="195"/>
      <c r="S827" s="200"/>
      <c r="T827" s="200"/>
      <c r="U827" s="152"/>
      <c r="V827" s="152"/>
      <c r="W827" s="157"/>
    </row>
    <row r="828" ht="15.75" customHeight="1">
      <c r="B828" s="199"/>
      <c r="N828" s="152"/>
      <c r="Q828" s="195"/>
      <c r="S828" s="200"/>
      <c r="T828" s="200"/>
      <c r="U828" s="152"/>
      <c r="V828" s="152"/>
      <c r="W828" s="157"/>
    </row>
    <row r="829" ht="15.75" customHeight="1">
      <c r="B829" s="199"/>
      <c r="N829" s="152"/>
      <c r="Q829" s="195"/>
      <c r="S829" s="200"/>
      <c r="T829" s="200"/>
      <c r="U829" s="152"/>
      <c r="V829" s="152"/>
      <c r="W829" s="157"/>
    </row>
    <row r="830" ht="15.75" customHeight="1">
      <c r="B830" s="199"/>
      <c r="N830" s="152"/>
      <c r="Q830" s="195"/>
      <c r="S830" s="200"/>
      <c r="T830" s="200"/>
      <c r="U830" s="152"/>
      <c r="V830" s="152"/>
      <c r="W830" s="157"/>
    </row>
    <row r="831" ht="15.75" customHeight="1">
      <c r="B831" s="199"/>
      <c r="N831" s="152"/>
      <c r="Q831" s="195"/>
      <c r="S831" s="200"/>
      <c r="T831" s="200"/>
      <c r="U831" s="152"/>
      <c r="V831" s="152"/>
      <c r="W831" s="157"/>
    </row>
    <row r="832" ht="15.75" customHeight="1">
      <c r="B832" s="199"/>
      <c r="N832" s="152"/>
      <c r="Q832" s="195"/>
      <c r="S832" s="200"/>
      <c r="T832" s="200"/>
      <c r="U832" s="152"/>
      <c r="V832" s="152"/>
      <c r="W832" s="157"/>
    </row>
    <row r="833" ht="15.75" customHeight="1">
      <c r="B833" s="199"/>
      <c r="N833" s="152"/>
      <c r="Q833" s="195"/>
      <c r="S833" s="200"/>
      <c r="T833" s="200"/>
      <c r="U833" s="152"/>
      <c r="V833" s="152"/>
      <c r="W833" s="157"/>
    </row>
    <row r="834" ht="15.75" customHeight="1">
      <c r="B834" s="199"/>
      <c r="N834" s="152"/>
      <c r="Q834" s="195"/>
      <c r="S834" s="200"/>
      <c r="T834" s="200"/>
      <c r="U834" s="152"/>
      <c r="V834" s="152"/>
      <c r="W834" s="157"/>
    </row>
    <row r="835" ht="15.75" customHeight="1">
      <c r="B835" s="199"/>
      <c r="N835" s="152"/>
      <c r="Q835" s="195"/>
      <c r="S835" s="200"/>
      <c r="T835" s="200"/>
      <c r="U835" s="152"/>
      <c r="V835" s="152"/>
      <c r="W835" s="157"/>
    </row>
    <row r="836" ht="15.75" customHeight="1">
      <c r="B836" s="199"/>
      <c r="N836" s="152"/>
      <c r="Q836" s="195"/>
      <c r="S836" s="200"/>
      <c r="T836" s="200"/>
      <c r="U836" s="152"/>
      <c r="V836" s="152"/>
      <c r="W836" s="157"/>
    </row>
    <row r="837" ht="15.75" customHeight="1">
      <c r="B837" s="199"/>
      <c r="N837" s="152"/>
      <c r="Q837" s="195"/>
      <c r="S837" s="200"/>
      <c r="T837" s="200"/>
      <c r="U837" s="152"/>
      <c r="V837" s="152"/>
      <c r="W837" s="157"/>
    </row>
    <row r="838" ht="15.75" customHeight="1">
      <c r="B838" s="199"/>
      <c r="N838" s="152"/>
      <c r="Q838" s="195"/>
      <c r="S838" s="200"/>
      <c r="T838" s="200"/>
      <c r="U838" s="152"/>
      <c r="V838" s="152"/>
      <c r="W838" s="157"/>
    </row>
    <row r="839" ht="15.75" customHeight="1">
      <c r="B839" s="199"/>
      <c r="N839" s="152"/>
      <c r="Q839" s="195"/>
      <c r="S839" s="200"/>
      <c r="T839" s="200"/>
      <c r="U839" s="152"/>
      <c r="V839" s="152"/>
      <c r="W839" s="157"/>
    </row>
    <row r="840" ht="15.75" customHeight="1">
      <c r="B840" s="199"/>
      <c r="N840" s="152"/>
      <c r="Q840" s="195"/>
      <c r="S840" s="200"/>
      <c r="T840" s="200"/>
      <c r="U840" s="152"/>
      <c r="V840" s="152"/>
      <c r="W840" s="157"/>
    </row>
    <row r="841" ht="15.75" customHeight="1">
      <c r="B841" s="199"/>
      <c r="N841" s="152"/>
      <c r="Q841" s="195"/>
      <c r="S841" s="200"/>
      <c r="T841" s="200"/>
      <c r="U841" s="152"/>
      <c r="V841" s="152"/>
      <c r="W841" s="157"/>
    </row>
    <row r="842" ht="15.75" customHeight="1">
      <c r="B842" s="199"/>
      <c r="N842" s="152"/>
      <c r="Q842" s="195"/>
      <c r="S842" s="200"/>
      <c r="T842" s="200"/>
      <c r="U842" s="152"/>
      <c r="V842" s="152"/>
      <c r="W842" s="157"/>
    </row>
    <row r="843" ht="15.75" customHeight="1">
      <c r="B843" s="199"/>
      <c r="N843" s="152"/>
      <c r="Q843" s="195"/>
      <c r="S843" s="200"/>
      <c r="T843" s="200"/>
      <c r="U843" s="152"/>
      <c r="V843" s="152"/>
      <c r="W843" s="157"/>
    </row>
    <row r="844" ht="15.75" customHeight="1">
      <c r="B844" s="199"/>
      <c r="N844" s="152"/>
      <c r="Q844" s="195"/>
      <c r="S844" s="200"/>
      <c r="T844" s="200"/>
      <c r="U844" s="152"/>
      <c r="V844" s="152"/>
      <c r="W844" s="157"/>
    </row>
    <row r="845" ht="15.75" customHeight="1">
      <c r="B845" s="199"/>
      <c r="N845" s="152"/>
      <c r="Q845" s="195"/>
      <c r="S845" s="200"/>
      <c r="T845" s="200"/>
      <c r="U845" s="152"/>
      <c r="V845" s="152"/>
      <c r="W845" s="157"/>
    </row>
    <row r="846" ht="15.75" customHeight="1">
      <c r="B846" s="199"/>
      <c r="N846" s="152"/>
      <c r="Q846" s="195"/>
      <c r="S846" s="200"/>
      <c r="T846" s="200"/>
      <c r="U846" s="152"/>
      <c r="V846" s="152"/>
      <c r="W846" s="157"/>
    </row>
    <row r="847" ht="15.75" customHeight="1">
      <c r="B847" s="199"/>
      <c r="N847" s="152"/>
      <c r="Q847" s="195"/>
      <c r="S847" s="200"/>
      <c r="T847" s="200"/>
      <c r="U847" s="152"/>
      <c r="V847" s="152"/>
      <c r="W847" s="157"/>
    </row>
    <row r="848" ht="15.75" customHeight="1">
      <c r="B848" s="199"/>
      <c r="N848" s="152"/>
      <c r="Q848" s="195"/>
      <c r="S848" s="200"/>
      <c r="T848" s="200"/>
      <c r="U848" s="152"/>
      <c r="V848" s="152"/>
      <c r="W848" s="157"/>
    </row>
    <row r="849" ht="15.75" customHeight="1">
      <c r="B849" s="199"/>
      <c r="N849" s="152"/>
      <c r="Q849" s="195"/>
      <c r="S849" s="200"/>
      <c r="T849" s="200"/>
      <c r="U849" s="152"/>
      <c r="V849" s="152"/>
      <c r="W849" s="157"/>
    </row>
    <row r="850" ht="15.75" customHeight="1">
      <c r="B850" s="199"/>
      <c r="N850" s="152"/>
      <c r="Q850" s="195"/>
      <c r="S850" s="200"/>
      <c r="T850" s="200"/>
      <c r="U850" s="152"/>
      <c r="V850" s="152"/>
      <c r="W850" s="157"/>
    </row>
    <row r="851" ht="15.75" customHeight="1">
      <c r="B851" s="199"/>
      <c r="N851" s="152"/>
      <c r="Q851" s="195"/>
      <c r="S851" s="200"/>
      <c r="T851" s="200"/>
      <c r="U851" s="152"/>
      <c r="V851" s="152"/>
      <c r="W851" s="157"/>
    </row>
    <row r="852" ht="15.75" customHeight="1">
      <c r="B852" s="199"/>
      <c r="N852" s="152"/>
      <c r="Q852" s="195"/>
      <c r="S852" s="200"/>
      <c r="T852" s="200"/>
      <c r="U852" s="152"/>
      <c r="V852" s="152"/>
      <c r="W852" s="157"/>
    </row>
    <row r="853" ht="15.75" customHeight="1">
      <c r="B853" s="199"/>
      <c r="N853" s="152"/>
      <c r="Q853" s="195"/>
      <c r="S853" s="200"/>
      <c r="T853" s="200"/>
      <c r="U853" s="152"/>
      <c r="V853" s="152"/>
      <c r="W853" s="157"/>
    </row>
    <row r="854" ht="15.75" customHeight="1">
      <c r="B854" s="199"/>
      <c r="N854" s="152"/>
      <c r="Q854" s="195"/>
      <c r="S854" s="200"/>
      <c r="T854" s="200"/>
      <c r="U854" s="152"/>
      <c r="V854" s="152"/>
      <c r="W854" s="157"/>
    </row>
    <row r="855" ht="15.75" customHeight="1">
      <c r="B855" s="199"/>
      <c r="N855" s="152"/>
      <c r="Q855" s="195"/>
      <c r="S855" s="200"/>
      <c r="T855" s="200"/>
      <c r="U855" s="152"/>
      <c r="V855" s="152"/>
      <c r="W855" s="157"/>
    </row>
    <row r="856" ht="15.75" customHeight="1">
      <c r="B856" s="199"/>
      <c r="N856" s="152"/>
      <c r="Q856" s="195"/>
      <c r="S856" s="200"/>
      <c r="T856" s="200"/>
      <c r="U856" s="152"/>
      <c r="V856" s="152"/>
      <c r="W856" s="157"/>
    </row>
    <row r="857" ht="15.75" customHeight="1">
      <c r="B857" s="199"/>
      <c r="N857" s="152"/>
      <c r="Q857" s="195"/>
      <c r="S857" s="200"/>
      <c r="T857" s="200"/>
      <c r="U857" s="152"/>
      <c r="V857" s="152"/>
      <c r="W857" s="157"/>
    </row>
    <row r="858" ht="15.75" customHeight="1">
      <c r="B858" s="199"/>
      <c r="N858" s="152"/>
      <c r="Q858" s="195"/>
      <c r="S858" s="200"/>
      <c r="T858" s="200"/>
      <c r="U858" s="152"/>
      <c r="V858" s="152"/>
      <c r="W858" s="157"/>
    </row>
    <row r="859" ht="15.75" customHeight="1">
      <c r="B859" s="199"/>
      <c r="N859" s="152"/>
      <c r="Q859" s="195"/>
      <c r="S859" s="200"/>
      <c r="T859" s="200"/>
      <c r="U859" s="152"/>
      <c r="V859" s="152"/>
      <c r="W859" s="157"/>
    </row>
    <row r="860" ht="15.75" customHeight="1">
      <c r="B860" s="199"/>
      <c r="N860" s="152"/>
      <c r="Q860" s="195"/>
      <c r="S860" s="200"/>
      <c r="T860" s="200"/>
      <c r="U860" s="152"/>
      <c r="V860" s="152"/>
      <c r="W860" s="157"/>
    </row>
    <row r="861" ht="15.75" customHeight="1">
      <c r="B861" s="199"/>
      <c r="N861" s="152"/>
      <c r="Q861" s="195"/>
      <c r="S861" s="200"/>
      <c r="T861" s="200"/>
      <c r="U861" s="152"/>
      <c r="V861" s="152"/>
      <c r="W861" s="157"/>
    </row>
    <row r="862" ht="15.75" customHeight="1">
      <c r="B862" s="199"/>
      <c r="N862" s="152"/>
      <c r="Q862" s="195"/>
      <c r="S862" s="200"/>
      <c r="T862" s="200"/>
      <c r="U862" s="152"/>
      <c r="V862" s="152"/>
      <c r="W862" s="157"/>
    </row>
    <row r="863" ht="15.75" customHeight="1">
      <c r="B863" s="199"/>
      <c r="N863" s="152"/>
      <c r="Q863" s="195"/>
      <c r="S863" s="200"/>
      <c r="T863" s="200"/>
      <c r="U863" s="152"/>
      <c r="V863" s="152"/>
      <c r="W863" s="157"/>
    </row>
    <row r="864" ht="15.75" customHeight="1">
      <c r="B864" s="199"/>
      <c r="N864" s="152"/>
      <c r="Q864" s="195"/>
      <c r="S864" s="200"/>
      <c r="T864" s="200"/>
      <c r="U864" s="152"/>
      <c r="V864" s="152"/>
      <c r="W864" s="157"/>
    </row>
    <row r="865" ht="15.75" customHeight="1">
      <c r="B865" s="199"/>
      <c r="N865" s="152"/>
      <c r="Q865" s="195"/>
      <c r="S865" s="200"/>
      <c r="T865" s="200"/>
      <c r="U865" s="152"/>
      <c r="V865" s="152"/>
      <c r="W865" s="157"/>
    </row>
    <row r="866" ht="15.75" customHeight="1">
      <c r="B866" s="199"/>
      <c r="N866" s="152"/>
      <c r="Q866" s="195"/>
      <c r="S866" s="200"/>
      <c r="T866" s="200"/>
      <c r="U866" s="152"/>
      <c r="V866" s="152"/>
      <c r="W866" s="157"/>
    </row>
    <row r="867" ht="15.75" customHeight="1">
      <c r="B867" s="199"/>
      <c r="N867" s="152"/>
      <c r="Q867" s="195"/>
      <c r="S867" s="200"/>
      <c r="T867" s="200"/>
      <c r="U867" s="152"/>
      <c r="V867" s="152"/>
      <c r="W867" s="157"/>
    </row>
    <row r="868" ht="15.75" customHeight="1">
      <c r="B868" s="199"/>
      <c r="N868" s="152"/>
      <c r="Q868" s="195"/>
      <c r="S868" s="200"/>
      <c r="T868" s="200"/>
      <c r="U868" s="152"/>
      <c r="V868" s="152"/>
      <c r="W868" s="157"/>
    </row>
    <row r="869" ht="15.75" customHeight="1">
      <c r="B869" s="199"/>
      <c r="N869" s="152"/>
      <c r="Q869" s="195"/>
      <c r="S869" s="200"/>
      <c r="T869" s="200"/>
      <c r="U869" s="152"/>
      <c r="V869" s="152"/>
      <c r="W869" s="157"/>
    </row>
    <row r="870" ht="15.75" customHeight="1">
      <c r="B870" s="199"/>
      <c r="N870" s="152"/>
      <c r="Q870" s="195"/>
      <c r="S870" s="200"/>
      <c r="T870" s="200"/>
      <c r="U870" s="152"/>
      <c r="V870" s="152"/>
      <c r="W870" s="157"/>
    </row>
    <row r="871" ht="15.75" customHeight="1">
      <c r="B871" s="199"/>
      <c r="N871" s="152"/>
      <c r="Q871" s="195"/>
      <c r="S871" s="200"/>
      <c r="T871" s="200"/>
      <c r="U871" s="152"/>
      <c r="V871" s="152"/>
      <c r="W871" s="157"/>
    </row>
    <row r="872" ht="15.75" customHeight="1">
      <c r="B872" s="199"/>
      <c r="N872" s="152"/>
      <c r="Q872" s="195"/>
      <c r="S872" s="200"/>
      <c r="T872" s="200"/>
      <c r="U872" s="152"/>
      <c r="V872" s="152"/>
      <c r="W872" s="157"/>
    </row>
    <row r="873" ht="15.75" customHeight="1">
      <c r="B873" s="199"/>
      <c r="N873" s="152"/>
      <c r="Q873" s="195"/>
      <c r="S873" s="200"/>
      <c r="T873" s="200"/>
      <c r="U873" s="152"/>
      <c r="V873" s="152"/>
      <c r="W873" s="157"/>
    </row>
    <row r="874" ht="15.75" customHeight="1">
      <c r="B874" s="199"/>
      <c r="N874" s="152"/>
      <c r="Q874" s="195"/>
      <c r="S874" s="200"/>
      <c r="T874" s="200"/>
      <c r="U874" s="152"/>
      <c r="V874" s="152"/>
      <c r="W874" s="157"/>
    </row>
    <row r="875" ht="15.75" customHeight="1">
      <c r="B875" s="199"/>
      <c r="N875" s="152"/>
      <c r="Q875" s="195"/>
      <c r="S875" s="200"/>
      <c r="T875" s="200"/>
      <c r="U875" s="152"/>
      <c r="V875" s="152"/>
      <c r="W875" s="157"/>
    </row>
    <row r="876" ht="15.75" customHeight="1">
      <c r="B876" s="199"/>
      <c r="N876" s="152"/>
      <c r="Q876" s="195"/>
      <c r="S876" s="200"/>
      <c r="T876" s="200"/>
      <c r="U876" s="152"/>
      <c r="V876" s="152"/>
      <c r="W876" s="157"/>
    </row>
    <row r="877" ht="15.75" customHeight="1">
      <c r="B877" s="199"/>
      <c r="N877" s="152"/>
      <c r="Q877" s="195"/>
      <c r="S877" s="200"/>
      <c r="T877" s="200"/>
      <c r="U877" s="152"/>
      <c r="V877" s="152"/>
      <c r="W877" s="157"/>
    </row>
    <row r="878" ht="15.75" customHeight="1">
      <c r="B878" s="199"/>
      <c r="N878" s="152"/>
      <c r="Q878" s="195"/>
      <c r="S878" s="200"/>
      <c r="T878" s="200"/>
      <c r="U878" s="152"/>
      <c r="V878" s="152"/>
      <c r="W878" s="157"/>
    </row>
    <row r="879" ht="15.75" customHeight="1">
      <c r="B879" s="199"/>
      <c r="N879" s="152"/>
      <c r="Q879" s="195"/>
      <c r="S879" s="200"/>
      <c r="T879" s="200"/>
      <c r="U879" s="152"/>
      <c r="V879" s="152"/>
      <c r="W879" s="157"/>
    </row>
    <row r="880" ht="15.75" customHeight="1">
      <c r="B880" s="199"/>
      <c r="N880" s="152"/>
      <c r="Q880" s="195"/>
      <c r="S880" s="200"/>
      <c r="T880" s="200"/>
      <c r="U880" s="152"/>
      <c r="V880" s="152"/>
      <c r="W880" s="157"/>
    </row>
    <row r="881" ht="15.75" customHeight="1">
      <c r="B881" s="199"/>
      <c r="N881" s="152"/>
      <c r="Q881" s="195"/>
      <c r="S881" s="200"/>
      <c r="T881" s="200"/>
      <c r="U881" s="152"/>
      <c r="V881" s="152"/>
      <c r="W881" s="157"/>
    </row>
    <row r="882" ht="15.75" customHeight="1">
      <c r="B882" s="199"/>
      <c r="N882" s="152"/>
      <c r="Q882" s="195"/>
      <c r="S882" s="200"/>
      <c r="T882" s="200"/>
      <c r="U882" s="152"/>
      <c r="V882" s="152"/>
      <c r="W882" s="157"/>
    </row>
    <row r="883" ht="15.75" customHeight="1">
      <c r="B883" s="199"/>
      <c r="N883" s="152"/>
      <c r="Q883" s="195"/>
      <c r="S883" s="200"/>
      <c r="T883" s="200"/>
      <c r="U883" s="152"/>
      <c r="V883" s="152"/>
      <c r="W883" s="157"/>
    </row>
    <row r="884" ht="15.75" customHeight="1">
      <c r="B884" s="199"/>
      <c r="N884" s="152"/>
      <c r="Q884" s="195"/>
      <c r="S884" s="200"/>
      <c r="T884" s="200"/>
      <c r="U884" s="152"/>
      <c r="V884" s="152"/>
      <c r="W884" s="157"/>
    </row>
    <row r="885" ht="15.75" customHeight="1">
      <c r="B885" s="199"/>
      <c r="N885" s="152"/>
      <c r="Q885" s="195"/>
      <c r="S885" s="200"/>
      <c r="T885" s="200"/>
      <c r="U885" s="152"/>
      <c r="V885" s="152"/>
      <c r="W885" s="157"/>
    </row>
    <row r="886" ht="15.75" customHeight="1">
      <c r="B886" s="199"/>
      <c r="N886" s="152"/>
      <c r="Q886" s="195"/>
      <c r="S886" s="200"/>
      <c r="T886" s="200"/>
      <c r="U886" s="152"/>
      <c r="V886" s="152"/>
      <c r="W886" s="157"/>
    </row>
    <row r="887" ht="15.75" customHeight="1">
      <c r="B887" s="199"/>
      <c r="N887" s="152"/>
      <c r="Q887" s="195"/>
      <c r="S887" s="200"/>
      <c r="T887" s="200"/>
      <c r="U887" s="152"/>
      <c r="V887" s="152"/>
      <c r="W887" s="157"/>
    </row>
    <row r="888" ht="15.75" customHeight="1">
      <c r="B888" s="199"/>
      <c r="N888" s="152"/>
      <c r="Q888" s="195"/>
      <c r="S888" s="200"/>
      <c r="T888" s="200"/>
      <c r="U888" s="152"/>
      <c r="V888" s="152"/>
      <c r="W888" s="157"/>
    </row>
    <row r="889" ht="15.75" customHeight="1">
      <c r="B889" s="199"/>
      <c r="N889" s="152"/>
      <c r="Q889" s="195"/>
      <c r="S889" s="200"/>
      <c r="T889" s="200"/>
      <c r="U889" s="152"/>
      <c r="V889" s="152"/>
      <c r="W889" s="157"/>
    </row>
    <row r="890" ht="15.75" customHeight="1">
      <c r="B890" s="199"/>
      <c r="N890" s="152"/>
      <c r="Q890" s="195"/>
      <c r="S890" s="200"/>
      <c r="T890" s="200"/>
      <c r="U890" s="152"/>
      <c r="V890" s="152"/>
      <c r="W890" s="157"/>
    </row>
    <row r="891" ht="15.75" customHeight="1">
      <c r="B891" s="199"/>
      <c r="N891" s="152"/>
      <c r="Q891" s="195"/>
      <c r="S891" s="200"/>
      <c r="T891" s="200"/>
      <c r="U891" s="152"/>
      <c r="V891" s="152"/>
      <c r="W891" s="157"/>
    </row>
    <row r="892" ht="15.75" customHeight="1">
      <c r="B892" s="199"/>
      <c r="N892" s="152"/>
      <c r="Q892" s="195"/>
      <c r="S892" s="200"/>
      <c r="T892" s="200"/>
      <c r="U892" s="152"/>
      <c r="V892" s="152"/>
      <c r="W892" s="157"/>
    </row>
    <row r="893" ht="15.75" customHeight="1">
      <c r="B893" s="199"/>
      <c r="N893" s="152"/>
      <c r="Q893" s="195"/>
      <c r="S893" s="200"/>
      <c r="T893" s="200"/>
      <c r="U893" s="152"/>
      <c r="V893" s="152"/>
      <c r="W893" s="157"/>
    </row>
    <row r="894" ht="15.75" customHeight="1">
      <c r="B894" s="199"/>
      <c r="N894" s="152"/>
      <c r="Q894" s="195"/>
      <c r="S894" s="200"/>
      <c r="T894" s="200"/>
      <c r="U894" s="152"/>
      <c r="V894" s="152"/>
      <c r="W894" s="157"/>
    </row>
    <row r="895" ht="15.75" customHeight="1">
      <c r="B895" s="199"/>
      <c r="N895" s="152"/>
      <c r="Q895" s="195"/>
      <c r="S895" s="200"/>
      <c r="T895" s="200"/>
      <c r="U895" s="152"/>
      <c r="V895" s="152"/>
      <c r="W895" s="157"/>
    </row>
    <row r="896" ht="15.75" customHeight="1">
      <c r="B896" s="199"/>
      <c r="N896" s="152"/>
      <c r="Q896" s="195"/>
      <c r="S896" s="200"/>
      <c r="T896" s="200"/>
      <c r="U896" s="152"/>
      <c r="V896" s="152"/>
      <c r="W896" s="157"/>
    </row>
    <row r="897" ht="15.75" customHeight="1">
      <c r="B897" s="199"/>
      <c r="N897" s="152"/>
      <c r="Q897" s="195"/>
      <c r="S897" s="200"/>
      <c r="T897" s="200"/>
      <c r="U897" s="152"/>
      <c r="V897" s="152"/>
      <c r="W897" s="157"/>
    </row>
    <row r="898" ht="15.75" customHeight="1">
      <c r="B898" s="199"/>
      <c r="N898" s="152"/>
      <c r="Q898" s="195"/>
      <c r="S898" s="200"/>
      <c r="T898" s="200"/>
      <c r="U898" s="152"/>
      <c r="V898" s="152"/>
      <c r="W898" s="157"/>
    </row>
    <row r="899" ht="15.75" customHeight="1">
      <c r="B899" s="199"/>
      <c r="N899" s="152"/>
      <c r="Q899" s="195"/>
      <c r="S899" s="200"/>
      <c r="T899" s="200"/>
      <c r="U899" s="152"/>
      <c r="V899" s="152"/>
      <c r="W899" s="157"/>
    </row>
    <row r="900" ht="15.75" customHeight="1">
      <c r="B900" s="199"/>
      <c r="N900" s="152"/>
      <c r="Q900" s="195"/>
      <c r="S900" s="200"/>
      <c r="T900" s="200"/>
      <c r="U900" s="152"/>
      <c r="V900" s="152"/>
      <c r="W900" s="157"/>
    </row>
    <row r="901" ht="15.75" customHeight="1">
      <c r="B901" s="199"/>
      <c r="N901" s="152"/>
      <c r="Q901" s="195"/>
      <c r="S901" s="200"/>
      <c r="T901" s="200"/>
      <c r="U901" s="152"/>
      <c r="V901" s="152"/>
      <c r="W901" s="157"/>
    </row>
    <row r="902" ht="15.75" customHeight="1">
      <c r="B902" s="199"/>
      <c r="N902" s="152"/>
      <c r="Q902" s="195"/>
      <c r="S902" s="200"/>
      <c r="T902" s="200"/>
      <c r="U902" s="152"/>
      <c r="V902" s="152"/>
      <c r="W902" s="157"/>
    </row>
    <row r="903" ht="15.75" customHeight="1">
      <c r="B903" s="199"/>
      <c r="N903" s="152"/>
      <c r="Q903" s="195"/>
      <c r="S903" s="200"/>
      <c r="T903" s="200"/>
      <c r="U903" s="152"/>
      <c r="V903" s="152"/>
      <c r="W903" s="157"/>
    </row>
    <row r="904" ht="15.75" customHeight="1">
      <c r="B904" s="199"/>
      <c r="N904" s="152"/>
      <c r="Q904" s="195"/>
      <c r="S904" s="200"/>
      <c r="T904" s="200"/>
      <c r="U904" s="152"/>
      <c r="V904" s="152"/>
      <c r="W904" s="157"/>
    </row>
    <row r="905" ht="15.75" customHeight="1">
      <c r="B905" s="199"/>
      <c r="N905" s="152"/>
      <c r="Q905" s="195"/>
      <c r="S905" s="200"/>
      <c r="T905" s="200"/>
      <c r="U905" s="152"/>
      <c r="V905" s="152"/>
      <c r="W905" s="157"/>
    </row>
    <row r="906" ht="15.75" customHeight="1">
      <c r="B906" s="199"/>
      <c r="N906" s="152"/>
      <c r="Q906" s="195"/>
      <c r="S906" s="200"/>
      <c r="T906" s="200"/>
      <c r="U906" s="152"/>
      <c r="V906" s="152"/>
      <c r="W906" s="157"/>
    </row>
    <row r="907" ht="15.75" customHeight="1">
      <c r="B907" s="199"/>
      <c r="N907" s="152"/>
      <c r="Q907" s="195"/>
      <c r="S907" s="200"/>
      <c r="T907" s="200"/>
      <c r="U907" s="152"/>
      <c r="V907" s="152"/>
      <c r="W907" s="157"/>
    </row>
    <row r="908" ht="15.75" customHeight="1">
      <c r="B908" s="199"/>
      <c r="N908" s="152"/>
      <c r="Q908" s="195"/>
      <c r="S908" s="200"/>
      <c r="T908" s="200"/>
      <c r="U908" s="152"/>
      <c r="V908" s="152"/>
      <c r="W908" s="157"/>
    </row>
    <row r="909" ht="15.75" customHeight="1">
      <c r="B909" s="199"/>
      <c r="N909" s="152"/>
      <c r="Q909" s="195"/>
      <c r="S909" s="200"/>
      <c r="T909" s="200"/>
      <c r="U909" s="152"/>
      <c r="V909" s="152"/>
      <c r="W909" s="157"/>
    </row>
    <row r="910" ht="15.75" customHeight="1">
      <c r="B910" s="199"/>
      <c r="N910" s="152"/>
      <c r="Q910" s="195"/>
      <c r="S910" s="200"/>
      <c r="T910" s="200"/>
      <c r="U910" s="152"/>
      <c r="V910" s="152"/>
      <c r="W910" s="157"/>
    </row>
    <row r="911" ht="15.75" customHeight="1">
      <c r="B911" s="199"/>
      <c r="N911" s="152"/>
      <c r="Q911" s="195"/>
      <c r="S911" s="200"/>
      <c r="T911" s="200"/>
      <c r="U911" s="152"/>
      <c r="V911" s="152"/>
      <c r="W911" s="157"/>
    </row>
    <row r="912" ht="15.75" customHeight="1">
      <c r="B912" s="199"/>
      <c r="N912" s="152"/>
      <c r="Q912" s="195"/>
      <c r="S912" s="200"/>
      <c r="T912" s="200"/>
      <c r="U912" s="152"/>
      <c r="V912" s="152"/>
      <c r="W912" s="157"/>
    </row>
    <row r="913" ht="15.75" customHeight="1">
      <c r="B913" s="199"/>
      <c r="N913" s="152"/>
      <c r="Q913" s="195"/>
      <c r="S913" s="200"/>
      <c r="T913" s="200"/>
      <c r="U913" s="152"/>
      <c r="V913" s="152"/>
      <c r="W913" s="157"/>
    </row>
    <row r="914" ht="15.75" customHeight="1">
      <c r="B914" s="199"/>
      <c r="N914" s="152"/>
      <c r="Q914" s="195"/>
      <c r="S914" s="200"/>
      <c r="T914" s="200"/>
      <c r="U914" s="152"/>
      <c r="V914" s="152"/>
      <c r="W914" s="157"/>
    </row>
    <row r="915" ht="15.75" customHeight="1">
      <c r="B915" s="199"/>
      <c r="N915" s="152"/>
      <c r="Q915" s="195"/>
      <c r="S915" s="200"/>
      <c r="T915" s="200"/>
      <c r="U915" s="152"/>
      <c r="V915" s="152"/>
      <c r="W915" s="157"/>
    </row>
    <row r="916" ht="15.75" customHeight="1">
      <c r="B916" s="199"/>
      <c r="N916" s="152"/>
      <c r="Q916" s="195"/>
      <c r="S916" s="200"/>
      <c r="T916" s="200"/>
      <c r="U916" s="152"/>
      <c r="V916" s="152"/>
      <c r="W916" s="157"/>
    </row>
    <row r="917" ht="15.75" customHeight="1">
      <c r="B917" s="199"/>
      <c r="N917" s="152"/>
      <c r="Q917" s="195"/>
      <c r="S917" s="200"/>
      <c r="T917" s="200"/>
      <c r="U917" s="152"/>
      <c r="V917" s="152"/>
      <c r="W917" s="157"/>
    </row>
    <row r="918" ht="15.75" customHeight="1">
      <c r="B918" s="199"/>
      <c r="N918" s="152"/>
      <c r="Q918" s="195"/>
      <c r="S918" s="200"/>
      <c r="T918" s="200"/>
      <c r="U918" s="152"/>
      <c r="V918" s="152"/>
      <c r="W918" s="157"/>
    </row>
    <row r="919" ht="15.75" customHeight="1">
      <c r="B919" s="199"/>
      <c r="N919" s="152"/>
      <c r="Q919" s="195"/>
      <c r="S919" s="200"/>
      <c r="T919" s="200"/>
      <c r="U919" s="152"/>
      <c r="V919" s="152"/>
      <c r="W919" s="157"/>
    </row>
    <row r="920" ht="15.75" customHeight="1">
      <c r="B920" s="199"/>
      <c r="N920" s="152"/>
      <c r="Q920" s="195"/>
      <c r="S920" s="200"/>
      <c r="T920" s="200"/>
      <c r="U920" s="152"/>
      <c r="V920" s="152"/>
      <c r="W920" s="157"/>
    </row>
    <row r="921" ht="15.75" customHeight="1">
      <c r="B921" s="199"/>
      <c r="N921" s="152"/>
      <c r="Q921" s="195"/>
      <c r="S921" s="200"/>
      <c r="T921" s="200"/>
      <c r="U921" s="152"/>
      <c r="V921" s="152"/>
      <c r="W921" s="157"/>
    </row>
    <row r="922" ht="15.75" customHeight="1">
      <c r="B922" s="199"/>
      <c r="N922" s="152"/>
      <c r="Q922" s="195"/>
      <c r="S922" s="200"/>
      <c r="T922" s="200"/>
      <c r="U922" s="152"/>
      <c r="V922" s="152"/>
      <c r="W922" s="157"/>
    </row>
    <row r="923" ht="15.75" customHeight="1">
      <c r="B923" s="199"/>
      <c r="N923" s="152"/>
      <c r="Q923" s="195"/>
      <c r="S923" s="200"/>
      <c r="T923" s="200"/>
      <c r="U923" s="152"/>
      <c r="V923" s="152"/>
      <c r="W923" s="157"/>
    </row>
    <row r="924" ht="15.75" customHeight="1">
      <c r="B924" s="199"/>
      <c r="N924" s="152"/>
      <c r="Q924" s="195"/>
      <c r="S924" s="200"/>
      <c r="T924" s="200"/>
      <c r="U924" s="152"/>
      <c r="V924" s="152"/>
      <c r="W924" s="157"/>
    </row>
    <row r="925" ht="15.75" customHeight="1">
      <c r="B925" s="199"/>
      <c r="N925" s="152"/>
      <c r="Q925" s="195"/>
      <c r="S925" s="200"/>
      <c r="T925" s="200"/>
      <c r="U925" s="152"/>
      <c r="V925" s="152"/>
      <c r="W925" s="157"/>
    </row>
    <row r="926" ht="15.75" customHeight="1">
      <c r="B926" s="199"/>
      <c r="N926" s="152"/>
      <c r="Q926" s="195"/>
      <c r="S926" s="200"/>
      <c r="T926" s="200"/>
      <c r="U926" s="152"/>
      <c r="V926" s="152"/>
      <c r="W926" s="157"/>
    </row>
    <row r="927" ht="15.75" customHeight="1">
      <c r="B927" s="199"/>
      <c r="N927" s="152"/>
      <c r="Q927" s="195"/>
      <c r="S927" s="200"/>
      <c r="T927" s="200"/>
      <c r="U927" s="152"/>
      <c r="V927" s="152"/>
      <c r="W927" s="157"/>
    </row>
    <row r="928" ht="15.75" customHeight="1">
      <c r="B928" s="199"/>
      <c r="N928" s="152"/>
      <c r="Q928" s="195"/>
      <c r="S928" s="200"/>
      <c r="T928" s="200"/>
      <c r="U928" s="152"/>
      <c r="V928" s="152"/>
      <c r="W928" s="157"/>
    </row>
    <row r="929" ht="15.75" customHeight="1">
      <c r="B929" s="199"/>
      <c r="N929" s="152"/>
      <c r="Q929" s="195"/>
      <c r="S929" s="200"/>
      <c r="T929" s="200"/>
      <c r="U929" s="152"/>
      <c r="V929" s="152"/>
      <c r="W929" s="157"/>
    </row>
    <row r="930" ht="15.75" customHeight="1">
      <c r="B930" s="199"/>
      <c r="N930" s="152"/>
      <c r="Q930" s="195"/>
      <c r="S930" s="200"/>
      <c r="T930" s="200"/>
      <c r="U930" s="152"/>
      <c r="V930" s="152"/>
      <c r="W930" s="157"/>
    </row>
    <row r="931" ht="15.75" customHeight="1">
      <c r="B931" s="199"/>
      <c r="N931" s="152"/>
      <c r="Q931" s="195"/>
      <c r="S931" s="200"/>
      <c r="T931" s="200"/>
      <c r="U931" s="152"/>
      <c r="V931" s="152"/>
      <c r="W931" s="157"/>
    </row>
    <row r="932" ht="15.75" customHeight="1">
      <c r="B932" s="199"/>
      <c r="N932" s="152"/>
      <c r="Q932" s="195"/>
      <c r="S932" s="200"/>
      <c r="T932" s="200"/>
      <c r="U932" s="152"/>
      <c r="V932" s="152"/>
      <c r="W932" s="157"/>
    </row>
    <row r="933" ht="15.75" customHeight="1">
      <c r="B933" s="199"/>
      <c r="N933" s="152"/>
      <c r="Q933" s="195"/>
      <c r="S933" s="200"/>
      <c r="T933" s="200"/>
      <c r="U933" s="152"/>
      <c r="V933" s="152"/>
      <c r="W933" s="157"/>
    </row>
    <row r="934" ht="15.75" customHeight="1">
      <c r="B934" s="199"/>
      <c r="N934" s="152"/>
      <c r="Q934" s="195"/>
      <c r="S934" s="200"/>
      <c r="T934" s="200"/>
      <c r="U934" s="152"/>
      <c r="V934" s="152"/>
      <c r="W934" s="157"/>
    </row>
    <row r="935" ht="15.75" customHeight="1">
      <c r="B935" s="199"/>
      <c r="N935" s="152"/>
      <c r="Q935" s="195"/>
      <c r="S935" s="200"/>
      <c r="T935" s="200"/>
      <c r="U935" s="152"/>
      <c r="V935" s="152"/>
      <c r="W935" s="157"/>
    </row>
    <row r="936" ht="15.75" customHeight="1">
      <c r="B936" s="199"/>
      <c r="N936" s="152"/>
      <c r="Q936" s="195"/>
      <c r="S936" s="200"/>
      <c r="T936" s="200"/>
      <c r="U936" s="152"/>
      <c r="V936" s="152"/>
      <c r="W936" s="157"/>
    </row>
    <row r="937" ht="15.75" customHeight="1">
      <c r="B937" s="199"/>
      <c r="N937" s="152"/>
      <c r="Q937" s="195"/>
      <c r="S937" s="200"/>
      <c r="T937" s="200"/>
      <c r="U937" s="152"/>
      <c r="V937" s="152"/>
      <c r="W937" s="157"/>
    </row>
    <row r="938" ht="15.75" customHeight="1">
      <c r="B938" s="199"/>
      <c r="N938" s="152"/>
      <c r="Q938" s="195"/>
      <c r="S938" s="200"/>
      <c r="T938" s="200"/>
      <c r="U938" s="152"/>
      <c r="V938" s="152"/>
      <c r="W938" s="157"/>
    </row>
    <row r="939" ht="15.75" customHeight="1">
      <c r="B939" s="199"/>
      <c r="N939" s="152"/>
      <c r="Q939" s="195"/>
      <c r="S939" s="200"/>
      <c r="T939" s="200"/>
      <c r="U939" s="152"/>
      <c r="V939" s="152"/>
      <c r="W939" s="157"/>
    </row>
    <row r="940" ht="15.75" customHeight="1">
      <c r="B940" s="199"/>
      <c r="N940" s="152"/>
      <c r="Q940" s="195"/>
      <c r="S940" s="200"/>
      <c r="T940" s="200"/>
      <c r="U940" s="152"/>
      <c r="V940" s="152"/>
      <c r="W940" s="157"/>
    </row>
    <row r="941" ht="15.75" customHeight="1">
      <c r="B941" s="199"/>
      <c r="N941" s="152"/>
      <c r="Q941" s="195"/>
      <c r="S941" s="200"/>
      <c r="T941" s="200"/>
      <c r="U941" s="152"/>
      <c r="V941" s="152"/>
      <c r="W941" s="157"/>
    </row>
    <row r="942" ht="15.75" customHeight="1">
      <c r="B942" s="199"/>
      <c r="N942" s="152"/>
      <c r="Q942" s="195"/>
      <c r="S942" s="200"/>
      <c r="T942" s="200"/>
      <c r="U942" s="152"/>
      <c r="V942" s="152"/>
      <c r="W942" s="157"/>
    </row>
    <row r="943" ht="15.75" customHeight="1">
      <c r="B943" s="199"/>
      <c r="N943" s="152"/>
      <c r="Q943" s="195"/>
      <c r="S943" s="200"/>
      <c r="T943" s="200"/>
      <c r="U943" s="152"/>
      <c r="V943" s="152"/>
      <c r="W943" s="157"/>
    </row>
    <row r="944" ht="15.75" customHeight="1">
      <c r="B944" s="199"/>
      <c r="N944" s="152"/>
      <c r="Q944" s="195"/>
      <c r="S944" s="200"/>
      <c r="T944" s="200"/>
      <c r="U944" s="152"/>
      <c r="V944" s="152"/>
      <c r="W944" s="157"/>
    </row>
    <row r="945" ht="15.75" customHeight="1">
      <c r="B945" s="199"/>
      <c r="N945" s="152"/>
      <c r="Q945" s="195"/>
      <c r="S945" s="200"/>
      <c r="T945" s="200"/>
      <c r="U945" s="152"/>
      <c r="V945" s="152"/>
      <c r="W945" s="157"/>
    </row>
    <row r="946" ht="15.75" customHeight="1">
      <c r="B946" s="199"/>
      <c r="N946" s="152"/>
      <c r="Q946" s="195"/>
      <c r="S946" s="200"/>
      <c r="T946" s="200"/>
      <c r="U946" s="152"/>
      <c r="V946" s="152"/>
      <c r="W946" s="157"/>
    </row>
    <row r="947" ht="15.75" customHeight="1">
      <c r="B947" s="199"/>
      <c r="N947" s="152"/>
      <c r="Q947" s="195"/>
      <c r="S947" s="200"/>
      <c r="T947" s="200"/>
      <c r="U947" s="152"/>
      <c r="V947" s="152"/>
      <c r="W947" s="157"/>
    </row>
    <row r="948" ht="15.75" customHeight="1">
      <c r="B948" s="199"/>
      <c r="N948" s="152"/>
      <c r="Q948" s="195"/>
      <c r="S948" s="200"/>
      <c r="T948" s="200"/>
      <c r="U948" s="152"/>
      <c r="V948" s="152"/>
      <c r="W948" s="157"/>
    </row>
    <row r="949" ht="15.75" customHeight="1">
      <c r="B949" s="199"/>
      <c r="N949" s="152"/>
      <c r="Q949" s="195"/>
      <c r="S949" s="200"/>
      <c r="T949" s="200"/>
      <c r="U949" s="152"/>
      <c r="V949" s="152"/>
      <c r="W949" s="157"/>
    </row>
    <row r="950" ht="15.75" customHeight="1">
      <c r="B950" s="199"/>
      <c r="N950" s="152"/>
      <c r="Q950" s="195"/>
      <c r="S950" s="200"/>
      <c r="T950" s="200"/>
      <c r="U950" s="152"/>
      <c r="V950" s="152"/>
      <c r="W950" s="157"/>
    </row>
    <row r="951" ht="15.75" customHeight="1">
      <c r="B951" s="199"/>
      <c r="N951" s="152"/>
      <c r="Q951" s="195"/>
      <c r="S951" s="200"/>
      <c r="T951" s="200"/>
      <c r="U951" s="152"/>
      <c r="V951" s="152"/>
      <c r="W951" s="157"/>
    </row>
    <row r="952" ht="15.75" customHeight="1">
      <c r="B952" s="199"/>
      <c r="N952" s="152"/>
      <c r="Q952" s="195"/>
      <c r="S952" s="200"/>
      <c r="T952" s="200"/>
      <c r="U952" s="152"/>
      <c r="V952" s="152"/>
      <c r="W952" s="157"/>
    </row>
    <row r="953" ht="15.75" customHeight="1">
      <c r="B953" s="199"/>
      <c r="N953" s="152"/>
      <c r="Q953" s="195"/>
      <c r="S953" s="200"/>
      <c r="T953" s="200"/>
      <c r="U953" s="152"/>
      <c r="V953" s="152"/>
      <c r="W953" s="157"/>
    </row>
    <row r="954" ht="15.75" customHeight="1">
      <c r="B954" s="199"/>
      <c r="N954" s="152"/>
      <c r="Q954" s="195"/>
      <c r="S954" s="200"/>
      <c r="T954" s="200"/>
      <c r="U954" s="152"/>
      <c r="V954" s="152"/>
      <c r="W954" s="157"/>
    </row>
    <row r="955" ht="15.75" customHeight="1">
      <c r="B955" s="199"/>
      <c r="N955" s="152"/>
      <c r="Q955" s="195"/>
      <c r="S955" s="200"/>
      <c r="T955" s="200"/>
      <c r="U955" s="152"/>
      <c r="V955" s="152"/>
      <c r="W955" s="157"/>
    </row>
    <row r="956" ht="15.75" customHeight="1">
      <c r="B956" s="199"/>
      <c r="N956" s="152"/>
      <c r="Q956" s="195"/>
      <c r="S956" s="200"/>
      <c r="T956" s="200"/>
      <c r="U956" s="152"/>
      <c r="V956" s="152"/>
      <c r="W956" s="157"/>
    </row>
    <row r="957" ht="15.75" customHeight="1">
      <c r="B957" s="199"/>
      <c r="N957" s="152"/>
      <c r="Q957" s="195"/>
      <c r="S957" s="200"/>
      <c r="T957" s="200"/>
      <c r="U957" s="152"/>
      <c r="V957" s="152"/>
      <c r="W957" s="157"/>
    </row>
    <row r="958" ht="15.75" customHeight="1">
      <c r="B958" s="199"/>
      <c r="N958" s="152"/>
      <c r="Q958" s="195"/>
      <c r="S958" s="200"/>
      <c r="T958" s="200"/>
      <c r="U958" s="152"/>
      <c r="V958" s="152"/>
      <c r="W958" s="157"/>
    </row>
    <row r="959" ht="15.75" customHeight="1">
      <c r="B959" s="199"/>
      <c r="N959" s="152"/>
      <c r="Q959" s="195"/>
      <c r="S959" s="200"/>
      <c r="T959" s="200"/>
      <c r="U959" s="152"/>
      <c r="V959" s="152"/>
      <c r="W959" s="157"/>
    </row>
    <row r="960" ht="15.75" customHeight="1">
      <c r="B960" s="199"/>
      <c r="N960" s="152"/>
      <c r="Q960" s="195"/>
      <c r="S960" s="200"/>
      <c r="T960" s="200"/>
      <c r="U960" s="152"/>
      <c r="V960" s="152"/>
      <c r="W960" s="157"/>
    </row>
    <row r="961" ht="15.75" customHeight="1">
      <c r="B961" s="199"/>
      <c r="N961" s="152"/>
      <c r="Q961" s="195"/>
      <c r="S961" s="200"/>
      <c r="T961" s="200"/>
      <c r="U961" s="152"/>
      <c r="V961" s="152"/>
      <c r="W961" s="157"/>
    </row>
    <row r="962" ht="15.75" customHeight="1">
      <c r="B962" s="199"/>
      <c r="N962" s="152"/>
      <c r="Q962" s="195"/>
      <c r="S962" s="200"/>
      <c r="T962" s="200"/>
      <c r="U962" s="152"/>
      <c r="V962" s="152"/>
      <c r="W962" s="157"/>
    </row>
    <row r="963" ht="15.75" customHeight="1">
      <c r="B963" s="199"/>
      <c r="N963" s="152"/>
      <c r="Q963" s="195"/>
      <c r="S963" s="200"/>
      <c r="T963" s="200"/>
      <c r="U963" s="152"/>
      <c r="V963" s="152"/>
      <c r="W963" s="157"/>
    </row>
    <row r="964" ht="15.75" customHeight="1">
      <c r="B964" s="199"/>
      <c r="N964" s="152"/>
      <c r="Q964" s="195"/>
      <c r="S964" s="200"/>
      <c r="T964" s="200"/>
      <c r="U964" s="152"/>
      <c r="V964" s="152"/>
      <c r="W964" s="157"/>
    </row>
    <row r="965" ht="15.75" customHeight="1">
      <c r="B965" s="199"/>
      <c r="N965" s="152"/>
      <c r="Q965" s="195"/>
      <c r="S965" s="200"/>
      <c r="T965" s="200"/>
      <c r="U965" s="152"/>
      <c r="V965" s="152"/>
      <c r="W965" s="157"/>
    </row>
    <row r="966" ht="15.75" customHeight="1">
      <c r="B966" s="199"/>
      <c r="N966" s="152"/>
      <c r="Q966" s="195"/>
      <c r="S966" s="200"/>
      <c r="T966" s="200"/>
      <c r="U966" s="152"/>
      <c r="V966" s="152"/>
      <c r="W966" s="157"/>
    </row>
    <row r="967" ht="15.75" customHeight="1">
      <c r="B967" s="199"/>
      <c r="N967" s="152"/>
      <c r="Q967" s="195"/>
      <c r="S967" s="200"/>
      <c r="T967" s="200"/>
      <c r="U967" s="152"/>
      <c r="V967" s="152"/>
      <c r="W967" s="157"/>
    </row>
    <row r="968" ht="15.75" customHeight="1">
      <c r="B968" s="199"/>
      <c r="N968" s="152"/>
      <c r="Q968" s="195"/>
      <c r="S968" s="200"/>
      <c r="T968" s="200"/>
      <c r="U968" s="152"/>
      <c r="V968" s="152"/>
      <c r="W968" s="157"/>
    </row>
    <row r="969" ht="15.75" customHeight="1">
      <c r="B969" s="199"/>
      <c r="N969" s="152"/>
      <c r="Q969" s="195"/>
      <c r="S969" s="200"/>
      <c r="T969" s="200"/>
      <c r="U969" s="152"/>
      <c r="V969" s="152"/>
      <c r="W969" s="157"/>
    </row>
    <row r="970" ht="15.75" customHeight="1">
      <c r="B970" s="199"/>
      <c r="N970" s="152"/>
      <c r="Q970" s="195"/>
      <c r="S970" s="200"/>
      <c r="T970" s="200"/>
      <c r="U970" s="152"/>
      <c r="V970" s="152"/>
      <c r="W970" s="157"/>
    </row>
    <row r="971" ht="15.75" customHeight="1">
      <c r="B971" s="199"/>
      <c r="N971" s="152"/>
      <c r="Q971" s="195"/>
      <c r="S971" s="200"/>
      <c r="T971" s="200"/>
      <c r="U971" s="152"/>
      <c r="V971" s="152"/>
      <c r="W971" s="157"/>
    </row>
    <row r="972" ht="15.75" customHeight="1">
      <c r="B972" s="199"/>
      <c r="N972" s="152"/>
      <c r="Q972" s="195"/>
      <c r="S972" s="200"/>
      <c r="T972" s="200"/>
      <c r="U972" s="152"/>
      <c r="V972" s="152"/>
      <c r="W972" s="157"/>
    </row>
    <row r="973" ht="15.75" customHeight="1">
      <c r="B973" s="199"/>
      <c r="N973" s="152"/>
      <c r="Q973" s="195"/>
      <c r="S973" s="200"/>
      <c r="T973" s="200"/>
      <c r="U973" s="152"/>
      <c r="V973" s="152"/>
      <c r="W973" s="157"/>
    </row>
    <row r="974" ht="15.75" customHeight="1">
      <c r="B974" s="199"/>
      <c r="N974" s="152"/>
      <c r="Q974" s="195"/>
      <c r="S974" s="200"/>
      <c r="T974" s="200"/>
      <c r="U974" s="152"/>
      <c r="V974" s="152"/>
      <c r="W974" s="157"/>
    </row>
    <row r="975" ht="15.75" customHeight="1">
      <c r="B975" s="199"/>
      <c r="N975" s="152"/>
      <c r="Q975" s="195"/>
      <c r="S975" s="200"/>
      <c r="T975" s="200"/>
      <c r="U975" s="152"/>
      <c r="V975" s="152"/>
      <c r="W975" s="157"/>
    </row>
    <row r="976" ht="15.75" customHeight="1">
      <c r="B976" s="199"/>
      <c r="N976" s="152"/>
      <c r="Q976" s="195"/>
      <c r="S976" s="200"/>
      <c r="T976" s="200"/>
      <c r="U976" s="152"/>
      <c r="V976" s="152"/>
      <c r="W976" s="157"/>
    </row>
    <row r="977" ht="15.75" customHeight="1">
      <c r="B977" s="199"/>
      <c r="N977" s="152"/>
      <c r="Q977" s="195"/>
      <c r="S977" s="200"/>
      <c r="T977" s="200"/>
      <c r="U977" s="152"/>
      <c r="V977" s="152"/>
      <c r="W977" s="157"/>
    </row>
    <row r="978" ht="15.75" customHeight="1">
      <c r="B978" s="199"/>
      <c r="N978" s="152"/>
      <c r="Q978" s="195"/>
      <c r="S978" s="200"/>
      <c r="T978" s="200"/>
      <c r="U978" s="152"/>
      <c r="V978" s="152"/>
      <c r="W978" s="157"/>
    </row>
    <row r="979" ht="15.75" customHeight="1">
      <c r="B979" s="199"/>
      <c r="N979" s="152"/>
      <c r="Q979" s="195"/>
      <c r="S979" s="200"/>
      <c r="T979" s="200"/>
      <c r="U979" s="152"/>
      <c r="V979" s="152"/>
      <c r="W979" s="157"/>
    </row>
    <row r="980" ht="15.75" customHeight="1">
      <c r="B980" s="199"/>
      <c r="N980" s="152"/>
      <c r="Q980" s="195"/>
      <c r="S980" s="200"/>
      <c r="T980" s="200"/>
      <c r="U980" s="152"/>
      <c r="V980" s="152"/>
      <c r="W980" s="157"/>
    </row>
    <row r="981" ht="15.75" customHeight="1">
      <c r="B981" s="199"/>
      <c r="N981" s="152"/>
      <c r="Q981" s="195"/>
      <c r="S981" s="200"/>
      <c r="T981" s="200"/>
      <c r="U981" s="152"/>
      <c r="V981" s="152"/>
      <c r="W981" s="157"/>
    </row>
    <row r="982" ht="15.75" customHeight="1">
      <c r="B982" s="199"/>
      <c r="N982" s="152"/>
      <c r="Q982" s="195"/>
      <c r="S982" s="200"/>
      <c r="T982" s="200"/>
      <c r="U982" s="152"/>
      <c r="V982" s="152"/>
      <c r="W982" s="157"/>
    </row>
    <row r="983" ht="15.75" customHeight="1">
      <c r="B983" s="199"/>
      <c r="N983" s="152"/>
      <c r="Q983" s="195"/>
      <c r="S983" s="200"/>
      <c r="T983" s="200"/>
      <c r="U983" s="152"/>
      <c r="V983" s="152"/>
      <c r="W983" s="157"/>
    </row>
    <row r="984" ht="15.75" customHeight="1">
      <c r="B984" s="199"/>
      <c r="N984" s="152"/>
      <c r="Q984" s="195"/>
      <c r="S984" s="200"/>
      <c r="T984" s="200"/>
      <c r="U984" s="152"/>
      <c r="V984" s="152"/>
      <c r="W984" s="157"/>
    </row>
    <row r="985" ht="15.75" customHeight="1">
      <c r="B985" s="199"/>
      <c r="N985" s="152"/>
      <c r="Q985" s="195"/>
      <c r="S985" s="200"/>
      <c r="T985" s="200"/>
      <c r="U985" s="152"/>
      <c r="V985" s="152"/>
      <c r="W985" s="157"/>
    </row>
    <row r="986" ht="15.75" customHeight="1">
      <c r="B986" s="199"/>
      <c r="N986" s="152"/>
      <c r="Q986" s="195"/>
      <c r="S986" s="200"/>
      <c r="T986" s="200"/>
      <c r="U986" s="152"/>
      <c r="V986" s="152"/>
      <c r="W986" s="157"/>
    </row>
    <row r="987" ht="15.75" customHeight="1">
      <c r="B987" s="199"/>
      <c r="N987" s="152"/>
      <c r="Q987" s="195"/>
      <c r="S987" s="200"/>
      <c r="T987" s="200"/>
      <c r="U987" s="152"/>
      <c r="V987" s="152"/>
      <c r="W987" s="157"/>
    </row>
    <row r="988" ht="15.75" customHeight="1">
      <c r="B988" s="199"/>
      <c r="N988" s="152"/>
      <c r="Q988" s="195"/>
      <c r="S988" s="200"/>
      <c r="T988" s="200"/>
      <c r="U988" s="152"/>
      <c r="V988" s="152"/>
      <c r="W988" s="157"/>
    </row>
    <row r="989" ht="15.75" customHeight="1">
      <c r="B989" s="199"/>
      <c r="N989" s="152"/>
      <c r="Q989" s="195"/>
      <c r="S989" s="200"/>
      <c r="T989" s="200"/>
      <c r="U989" s="152"/>
      <c r="V989" s="152"/>
      <c r="W989" s="157"/>
    </row>
    <row r="990" ht="15.75" customHeight="1">
      <c r="B990" s="199"/>
      <c r="N990" s="152"/>
      <c r="Q990" s="195"/>
      <c r="S990" s="200"/>
      <c r="T990" s="200"/>
      <c r="U990" s="152"/>
      <c r="V990" s="152"/>
      <c r="W990" s="157"/>
    </row>
    <row r="991" ht="15.75" customHeight="1">
      <c r="B991" s="199"/>
      <c r="N991" s="152"/>
      <c r="Q991" s="195"/>
      <c r="S991" s="200"/>
      <c r="T991" s="200"/>
      <c r="U991" s="152"/>
      <c r="V991" s="152"/>
      <c r="W991" s="157"/>
    </row>
    <row r="992" ht="15.75" customHeight="1">
      <c r="B992" s="199"/>
      <c r="N992" s="152"/>
      <c r="Q992" s="195"/>
      <c r="S992" s="200"/>
      <c r="T992" s="200"/>
      <c r="U992" s="152"/>
      <c r="V992" s="152"/>
      <c r="W992" s="157"/>
    </row>
    <row r="993" ht="15.75" customHeight="1">
      <c r="B993" s="199"/>
      <c r="N993" s="152"/>
      <c r="Q993" s="195"/>
      <c r="S993" s="200"/>
      <c r="T993" s="200"/>
      <c r="U993" s="152"/>
      <c r="V993" s="152"/>
      <c r="W993" s="157"/>
    </row>
    <row r="994" ht="15.75" customHeight="1">
      <c r="B994" s="199"/>
      <c r="N994" s="152"/>
      <c r="Q994" s="195"/>
      <c r="S994" s="200"/>
      <c r="T994" s="200"/>
      <c r="U994" s="152"/>
      <c r="V994" s="152"/>
      <c r="W994" s="157"/>
    </row>
    <row r="995" ht="15.75" customHeight="1">
      <c r="B995" s="199"/>
      <c r="N995" s="152"/>
      <c r="Q995" s="195"/>
      <c r="S995" s="200"/>
      <c r="T995" s="200"/>
      <c r="U995" s="152"/>
      <c r="V995" s="152"/>
      <c r="W995" s="157"/>
    </row>
    <row r="996" ht="15.75" customHeight="1">
      <c r="B996" s="199"/>
      <c r="N996" s="152"/>
      <c r="Q996" s="195"/>
      <c r="S996" s="200"/>
      <c r="T996" s="200"/>
      <c r="U996" s="152"/>
      <c r="V996" s="152"/>
      <c r="W996" s="157"/>
    </row>
    <row r="997" ht="15.75" customHeight="1">
      <c r="B997" s="199"/>
      <c r="N997" s="152"/>
      <c r="Q997" s="195"/>
      <c r="S997" s="200"/>
      <c r="T997" s="200"/>
      <c r="U997" s="152"/>
      <c r="V997" s="152"/>
      <c r="W997" s="157"/>
    </row>
    <row r="998" ht="15.75" customHeight="1">
      <c r="B998" s="199"/>
      <c r="N998" s="152"/>
      <c r="Q998" s="195"/>
      <c r="S998" s="200"/>
      <c r="T998" s="200"/>
      <c r="U998" s="152"/>
      <c r="V998" s="152"/>
      <c r="W998" s="157"/>
    </row>
    <row r="999" ht="15.75" customHeight="1">
      <c r="B999" s="199"/>
      <c r="N999" s="152"/>
      <c r="Q999" s="195"/>
      <c r="S999" s="200"/>
      <c r="T999" s="200"/>
      <c r="U999" s="152"/>
      <c r="V999" s="152"/>
      <c r="W999" s="157"/>
    </row>
    <row r="1000" ht="15.75" customHeight="1">
      <c r="B1000" s="199"/>
      <c r="N1000" s="152"/>
      <c r="Q1000" s="195"/>
      <c r="S1000" s="200"/>
      <c r="T1000" s="200"/>
      <c r="U1000" s="152"/>
      <c r="V1000" s="152"/>
      <c r="W1000" s="157"/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7E6B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3" width="12.63"/>
    <col customWidth="1" min="4" max="4" width="13.75"/>
    <col customWidth="1" min="5" max="5" width="21.13"/>
    <col customWidth="1" min="6" max="6" width="20.38"/>
    <col customWidth="1" min="7" max="7" width="20.25"/>
    <col customWidth="1" min="8" max="8" width="17.88"/>
    <col customWidth="1" min="9" max="9" width="14.38"/>
    <col customWidth="1" min="10" max="10" width="9.75"/>
    <col customWidth="1" min="23" max="23" width="15.0"/>
  </cols>
  <sheetData>
    <row r="1" ht="15.75" customHeight="1">
      <c r="A1" s="168" t="str">
        <f>Datos!A1</f>
        <v>   Fecha </v>
      </c>
      <c r="B1" s="172" t="str">
        <f>Datos!B1</f>
        <v>NIS</v>
      </c>
      <c r="C1" s="168" t="str">
        <f>Datos!C1</f>
        <v>Cliente</v>
      </c>
      <c r="D1" s="168" t="str">
        <f>Datos!D1</f>
        <v>IVA</v>
      </c>
      <c r="E1" s="168" t="str">
        <f>Datos!E1</f>
        <v>Consumo [kWh]</v>
      </c>
      <c r="F1" s="168" t="str">
        <f>Datos!F1</f>
        <v>Consumo hs punta [kWh]</v>
      </c>
      <c r="G1" s="168" t="str">
        <f>Datos!G1</f>
        <v>Consumo hs valle [kWh]</v>
      </c>
      <c r="H1" s="168" t="str">
        <f>Datos!H1</f>
        <v>Consumo hs resto[kWh]</v>
      </c>
      <c r="I1" s="168" t="str">
        <f>Datos!I1</f>
        <v>Catergoria</v>
      </c>
      <c r="J1" s="168" t="str">
        <f>Datos!J1</f>
        <v>Tarifa punta</v>
      </c>
      <c r="K1" s="168" t="str">
        <f>Datos!K1</f>
        <v>Tarifa valle</v>
      </c>
      <c r="L1" s="168" t="str">
        <f>Datos!L1</f>
        <v>Tarifa resto</v>
      </c>
      <c r="M1" s="168" t="str">
        <f>Datos!M1</f>
        <v>Generacion FV [kWh]</v>
      </c>
      <c r="N1" s="173" t="str">
        <f>Datos!N1</f>
        <v>CONSUMO TOTAL</v>
      </c>
      <c r="O1" s="168" t="str">
        <f>Datos!O1</f>
        <v>Total a pagar S / IVA</v>
      </c>
      <c r="P1" s="168" t="str">
        <f>Datos!P1</f>
        <v>Valor USD</v>
      </c>
      <c r="Q1" s="182" t="str">
        <f>Datos!Q1</f>
        <v>Ahorro (USD)</v>
      </c>
      <c r="R1" s="168" t="str">
        <f>Datos!R1</f>
        <v>Ahorro ($)</v>
      </c>
      <c r="S1" s="183" t="str">
        <f>Datos!S1</f>
        <v>Valor dolar Actual ($)</v>
      </c>
      <c r="T1" s="183" t="str">
        <f>Datos!T1</f>
        <v>Ahorro ($)-A precio actual</v>
      </c>
      <c r="U1" s="173" t="str">
        <f>Datos!U1</f>
        <v>kg CO2e evitados</v>
      </c>
      <c r="V1" s="173" t="str">
        <f>Datos!V1</f>
        <v>Equivalente en árboles</v>
      </c>
      <c r="W1" s="184" t="str">
        <f>Datos!W1</f>
        <v>% de ahorro sobre los consumos</v>
      </c>
      <c r="X1" s="185" t="str">
        <f>Datos!X1</f>
        <v>SIN PANELES S/IVA</v>
      </c>
      <c r="Y1" s="203"/>
      <c r="Z1" s="204"/>
      <c r="AA1" s="176"/>
      <c r="AB1" s="177"/>
      <c r="AC1" s="178"/>
    </row>
    <row r="2" ht="15.75" customHeight="1">
      <c r="A2" s="26">
        <f>IFERROR(__xludf.DUMMYFUNCTION("FILTER(Datos!1:1247,Datos!B:B=5253773)"),45992.0)</f>
        <v>45992</v>
      </c>
      <c r="B2" s="77">
        <f>IFERROR(__xludf.DUMMYFUNCTION("""COMPUTED_VALUE"""),5253773.0)</f>
        <v>5253773</v>
      </c>
      <c r="C2" s="77" t="str">
        <f>IFERROR(__xludf.DUMMYFUNCTION("""COMPUTED_VALUE"""),"Ivan BV")</f>
        <v>Ivan BV</v>
      </c>
      <c r="D2" s="29">
        <f>IFERROR(__xludf.DUMMYFUNCTION("""COMPUTED_VALUE"""),0.21)</f>
        <v>0.21</v>
      </c>
      <c r="E2" s="17">
        <f>IFERROR(__xludf.DUMMYFUNCTION("""COMPUTED_VALUE"""),365.0)</f>
        <v>365</v>
      </c>
      <c r="F2" s="17">
        <f>IFERROR(__xludf.DUMMYFUNCTION("""COMPUTED_VALUE"""),116.0)</f>
        <v>116</v>
      </c>
      <c r="G2" s="17">
        <f>IFERROR(__xludf.DUMMYFUNCTION("""COMPUTED_VALUE"""),91.0)</f>
        <v>91</v>
      </c>
      <c r="H2" s="17">
        <f>IFERROR(__xludf.DUMMYFUNCTION("""COMPUTED_VALUE"""),158.0)</f>
        <v>158</v>
      </c>
      <c r="I2" s="17" t="str">
        <f>IFERROR(__xludf.DUMMYFUNCTION("""COMPUTED_VALUE"""),"T1-R2-N1")</f>
        <v>T1-R2-N1</v>
      </c>
      <c r="J2" s="30">
        <f>IFERROR(__xludf.DUMMYFUNCTION("""COMPUTED_VALUE"""),229.3919)</f>
        <v>229.3919</v>
      </c>
      <c r="K2" s="30">
        <f>IFERROR(__xludf.DUMMYFUNCTION("""COMPUTED_VALUE"""),229.3919)</f>
        <v>229.3919</v>
      </c>
      <c r="L2" s="30">
        <f>IFERROR(__xludf.DUMMYFUNCTION("""COMPUTED_VALUE"""),229.3919)</f>
        <v>229.3919</v>
      </c>
      <c r="M2" s="15">
        <f>IFERROR(__xludf.DUMMYFUNCTION("""COMPUTED_VALUE"""),163.0)</f>
        <v>163</v>
      </c>
      <c r="N2" s="17">
        <f>IFERROR(__xludf.DUMMYFUNCTION("""COMPUTED_VALUE"""),528.0)</f>
        <v>528</v>
      </c>
      <c r="O2" s="31">
        <f>IFERROR(__xludf.DUMMYFUNCTION("""COMPUTED_VALUE"""),83728.0435)</f>
        <v>83728.0435</v>
      </c>
      <c r="P2" s="20">
        <f>IFERROR(__xludf.DUMMYFUNCTION("""COMPUTED_VALUE"""),1470.0)</f>
        <v>1470</v>
      </c>
      <c r="Q2" s="181">
        <f>IFERROR(__xludf.DUMMYFUNCTION("""COMPUTED_VALUE"""),25.435972585034012)</f>
        <v>25.43597259</v>
      </c>
      <c r="R2" s="32">
        <f>IFERROR(__xludf.DUMMYFUNCTION("""COMPUTED_VALUE"""),37390.8797)</f>
        <v>37390.8797</v>
      </c>
      <c r="S2" s="84">
        <f>IFERROR(__xludf.DUMMYFUNCTION("""COMPUTED_VALUE"""),1465.0)</f>
        <v>1465</v>
      </c>
      <c r="T2" s="34">
        <f>IFERROR(__xludf.DUMMYFUNCTION("""COMPUTED_VALUE"""),45089.07680286054)</f>
        <v>45089.0768</v>
      </c>
      <c r="U2" s="35">
        <f>IFERROR(__xludf.DUMMYFUNCTION("""COMPUTED_VALUE"""),32.6)</f>
        <v>32.6</v>
      </c>
      <c r="V2" s="36">
        <f>IFERROR(__xludf.DUMMYFUNCTION("""COMPUTED_VALUE"""),1.481818181818182)</f>
        <v>1.481818182</v>
      </c>
      <c r="W2" s="37">
        <f>IFERROR(__xludf.DUMMYFUNCTION("""COMPUTED_VALUE"""),0.3087121212121212)</f>
        <v>0.3087121212</v>
      </c>
      <c r="X2" s="31">
        <f>IFERROR(__xludf.DUMMYFUNCTION("""COMPUTED_VALUE"""),121118.92319999999)</f>
        <v>121118.9232</v>
      </c>
      <c r="Y2" s="165"/>
      <c r="Z2" s="187"/>
      <c r="AA2" s="188"/>
      <c r="AB2" s="188"/>
      <c r="AC2" s="189"/>
      <c r="AD2" s="189"/>
      <c r="AE2" s="189"/>
      <c r="AF2" s="189"/>
      <c r="AG2" s="189"/>
      <c r="AH2" s="189"/>
      <c r="AI2" s="189"/>
      <c r="AJ2" s="189"/>
      <c r="AK2" s="189"/>
      <c r="AL2" s="189"/>
      <c r="AM2" s="189"/>
      <c r="AN2" s="189"/>
      <c r="AO2" s="189"/>
      <c r="AP2" s="189"/>
      <c r="AQ2" s="189"/>
      <c r="AR2" s="189"/>
      <c r="AS2" s="189"/>
      <c r="AT2" s="189"/>
      <c r="AU2" s="189"/>
      <c r="AV2" s="189"/>
    </row>
    <row r="3" ht="15.75" customHeight="1">
      <c r="A3" s="26">
        <f>IFERROR(__xludf.DUMMYFUNCTION("""COMPUTED_VALUE"""),45976.0)</f>
        <v>45976</v>
      </c>
      <c r="B3" s="77">
        <f>IFERROR(__xludf.DUMMYFUNCTION("""COMPUTED_VALUE"""),5253773.0)</f>
        <v>5253773</v>
      </c>
      <c r="C3" s="77" t="str">
        <f>IFERROR(__xludf.DUMMYFUNCTION("""COMPUTED_VALUE"""),"Ivan BV")</f>
        <v>Ivan BV</v>
      </c>
      <c r="D3" s="29">
        <f>IFERROR(__xludf.DUMMYFUNCTION("""COMPUTED_VALUE"""),0.27)</f>
        <v>0.27</v>
      </c>
      <c r="E3" s="17">
        <f>IFERROR(__xludf.DUMMYFUNCTION("""COMPUTED_VALUE"""),517.0)</f>
        <v>517</v>
      </c>
      <c r="F3" s="17">
        <f>IFERROR(__xludf.DUMMYFUNCTION("""COMPUTED_VALUE"""),173.0)</f>
        <v>173</v>
      </c>
      <c r="G3" s="17">
        <f>IFERROR(__xludf.DUMMYFUNCTION("""COMPUTED_VALUE"""),74.0)</f>
        <v>74</v>
      </c>
      <c r="H3" s="17">
        <f>IFERROR(__xludf.DUMMYFUNCTION("""COMPUTED_VALUE"""),270.0)</f>
        <v>270</v>
      </c>
      <c r="I3" s="17" t="str">
        <f>IFERROR(__xludf.DUMMYFUNCTION("""COMPUTED_VALUE"""),"T1-R2-N1")</f>
        <v>T1-R2-N1</v>
      </c>
      <c r="J3" s="30">
        <f>IFERROR(__xludf.DUMMYFUNCTION("""COMPUTED_VALUE"""),233.1878)</f>
        <v>233.1878</v>
      </c>
      <c r="K3" s="30">
        <f>IFERROR(__xludf.DUMMYFUNCTION("""COMPUTED_VALUE"""),233.1878)</f>
        <v>233.1878</v>
      </c>
      <c r="L3" s="30">
        <f>IFERROR(__xludf.DUMMYFUNCTION("""COMPUTED_VALUE"""),233.1878)</f>
        <v>233.1878</v>
      </c>
      <c r="M3" s="15">
        <f>IFERROR(__xludf.DUMMYFUNCTION("""COMPUTED_VALUE"""),253.6)</f>
        <v>253.6</v>
      </c>
      <c r="N3" s="17">
        <f>IFERROR(__xludf.DUMMYFUNCTION("""COMPUTED_VALUE"""),770.6)</f>
        <v>770.6</v>
      </c>
      <c r="O3" s="31">
        <f>IFERROR(__xludf.DUMMYFUNCTION("""COMPUTED_VALUE"""),120558.0926)</f>
        <v>120558.0926</v>
      </c>
      <c r="P3" s="20">
        <f>IFERROR(__xludf.DUMMYFUNCTION("""COMPUTED_VALUE"""),1470.0)</f>
        <v>1470</v>
      </c>
      <c r="Q3" s="181">
        <f>IFERROR(__xludf.DUMMYFUNCTION("""COMPUTED_VALUE"""),40.228861278911566)</f>
        <v>40.22886128</v>
      </c>
      <c r="R3" s="32">
        <f>IFERROR(__xludf.DUMMYFUNCTION("""COMPUTED_VALUE"""),59136.426080000005)</f>
        <v>59136.42608</v>
      </c>
      <c r="S3" s="84">
        <f>IFERROR(__xludf.DUMMYFUNCTION("""COMPUTED_VALUE"""),1465.0)</f>
        <v>1465</v>
      </c>
      <c r="T3" s="34">
        <f>IFERROR(__xludf.DUMMYFUNCTION("""COMPUTED_VALUE"""),74847.80785247892)</f>
        <v>74847.80785</v>
      </c>
      <c r="U3" s="35">
        <f>IFERROR(__xludf.DUMMYFUNCTION("""COMPUTED_VALUE"""),50.72)</f>
        <v>50.72</v>
      </c>
      <c r="V3" s="36">
        <f>IFERROR(__xludf.DUMMYFUNCTION("""COMPUTED_VALUE"""),2.305454545454545)</f>
        <v>2.305454545</v>
      </c>
      <c r="W3" s="37">
        <f>IFERROR(__xludf.DUMMYFUNCTION("""COMPUTED_VALUE"""),0.3290942123021023)</f>
        <v>0.3290942123</v>
      </c>
      <c r="X3" s="31">
        <f>IFERROR(__xludf.DUMMYFUNCTION("""COMPUTED_VALUE"""),179694.51868)</f>
        <v>179694.5187</v>
      </c>
      <c r="Y3" s="165"/>
      <c r="Z3" s="187"/>
      <c r="AA3" s="188"/>
      <c r="AB3" s="188"/>
      <c r="AC3" s="202"/>
      <c r="AD3" s="189"/>
      <c r="AE3" s="189"/>
      <c r="AF3" s="189"/>
      <c r="AG3" s="189"/>
      <c r="AH3" s="189"/>
      <c r="AI3" s="189"/>
      <c r="AJ3" s="189"/>
      <c r="AK3" s="189"/>
      <c r="AL3" s="189"/>
      <c r="AM3" s="189"/>
      <c r="AN3" s="189"/>
      <c r="AO3" s="189"/>
      <c r="AP3" s="189"/>
      <c r="AQ3" s="189"/>
      <c r="AR3" s="189"/>
      <c r="AS3" s="189"/>
      <c r="AT3" s="189"/>
      <c r="AU3" s="189"/>
      <c r="AV3" s="189"/>
    </row>
    <row r="4" ht="15.75" customHeight="1">
      <c r="A4" s="26">
        <f>IFERROR(__xludf.DUMMYFUNCTION("""COMPUTED_VALUE"""),45931.0)</f>
        <v>45931</v>
      </c>
      <c r="B4" s="77">
        <f>IFERROR(__xludf.DUMMYFUNCTION("""COMPUTED_VALUE"""),5253773.0)</f>
        <v>5253773</v>
      </c>
      <c r="C4" s="77" t="str">
        <f>IFERROR(__xludf.DUMMYFUNCTION("""COMPUTED_VALUE"""),"Ivan BV")</f>
        <v>Ivan BV</v>
      </c>
      <c r="D4" s="29">
        <f>IFERROR(__xludf.DUMMYFUNCTION("""COMPUTED_VALUE"""),0.21)</f>
        <v>0.21</v>
      </c>
      <c r="E4" s="17">
        <f>IFERROR(__xludf.DUMMYFUNCTION("""COMPUTED_VALUE"""),612.0)</f>
        <v>612</v>
      </c>
      <c r="F4" s="17">
        <f>IFERROR(__xludf.DUMMYFUNCTION("""COMPUTED_VALUE"""),199.0)</f>
        <v>199</v>
      </c>
      <c r="G4" s="17">
        <f>IFERROR(__xludf.DUMMYFUNCTION("""COMPUTED_VALUE"""),80.0)</f>
        <v>80</v>
      </c>
      <c r="H4" s="17">
        <f>IFERROR(__xludf.DUMMYFUNCTION("""COMPUTED_VALUE"""),333.0)</f>
        <v>333</v>
      </c>
      <c r="I4" s="28" t="str">
        <f>IFERROR(__xludf.DUMMYFUNCTION("""COMPUTED_VALUE"""),"T1-R2-N1")</f>
        <v>T1-R2-N1</v>
      </c>
      <c r="J4" s="30">
        <f>IFERROR(__xludf.DUMMYFUNCTION("""COMPUTED_VALUE"""),230.0967)</f>
        <v>230.0967</v>
      </c>
      <c r="K4" s="30">
        <f>IFERROR(__xludf.DUMMYFUNCTION("""COMPUTED_VALUE"""),230.0967)</f>
        <v>230.0967</v>
      </c>
      <c r="L4" s="30">
        <f>IFERROR(__xludf.DUMMYFUNCTION("""COMPUTED_VALUE"""),230.0967)</f>
        <v>230.0967</v>
      </c>
      <c r="M4" s="15">
        <f>IFERROR(__xludf.DUMMYFUNCTION("""COMPUTED_VALUE"""),290.0)</f>
        <v>290</v>
      </c>
      <c r="N4" s="17">
        <f>IFERROR(__xludf.DUMMYFUNCTION("""COMPUTED_VALUE"""),902.0)</f>
        <v>902</v>
      </c>
      <c r="O4" s="31">
        <f>IFERROR(__xludf.DUMMYFUNCTION("""COMPUTED_VALUE"""),140819.1804)</f>
        <v>140819.1804</v>
      </c>
      <c r="P4" s="20">
        <f>IFERROR(__xludf.DUMMYFUNCTION("""COMPUTED_VALUE"""),1450.0)</f>
        <v>1450</v>
      </c>
      <c r="Q4" s="181">
        <f>IFERROR(__xludf.DUMMYFUNCTION("""COMPUTED_VALUE"""),46.01934000000001)</f>
        <v>46.01934</v>
      </c>
      <c r="R4" s="32">
        <f>IFERROR(__xludf.DUMMYFUNCTION("""COMPUTED_VALUE"""),66728.043)</f>
        <v>66728.043</v>
      </c>
      <c r="S4" s="84">
        <f>IFERROR(__xludf.DUMMYFUNCTION("""COMPUTED_VALUE"""),1465.0)</f>
        <v>1465</v>
      </c>
      <c r="T4" s="34">
        <f>IFERROR(__xludf.DUMMYFUNCTION("""COMPUTED_VALUE"""),81576.183051)</f>
        <v>81576.18305</v>
      </c>
      <c r="U4" s="35">
        <f>IFERROR(__xludf.DUMMYFUNCTION("""COMPUTED_VALUE"""),58.0)</f>
        <v>58</v>
      </c>
      <c r="V4" s="36">
        <f>IFERROR(__xludf.DUMMYFUNCTION("""COMPUTED_VALUE"""),2.6363636363636362)</f>
        <v>2.636363636</v>
      </c>
      <c r="W4" s="37">
        <f>IFERROR(__xludf.DUMMYFUNCTION("""COMPUTED_VALUE"""),0.3215077605321508)</f>
        <v>0.3215077605</v>
      </c>
      <c r="X4" s="31">
        <f>IFERROR(__xludf.DUMMYFUNCTION("""COMPUTED_VALUE"""),207547.22340000002)</f>
        <v>207547.2234</v>
      </c>
      <c r="Y4" s="165"/>
      <c r="Z4" s="187"/>
      <c r="AA4" s="188"/>
      <c r="AB4" s="188"/>
      <c r="AC4" s="202"/>
      <c r="AD4" s="189"/>
      <c r="AE4" s="189"/>
      <c r="AF4" s="189"/>
      <c r="AG4" s="189"/>
      <c r="AH4" s="189"/>
      <c r="AI4" s="189"/>
      <c r="AJ4" s="189"/>
      <c r="AK4" s="189"/>
      <c r="AL4" s="189"/>
      <c r="AM4" s="189"/>
      <c r="AN4" s="189"/>
      <c r="AO4" s="189"/>
      <c r="AP4" s="189"/>
      <c r="AQ4" s="189"/>
      <c r="AR4" s="189"/>
      <c r="AS4" s="189"/>
      <c r="AT4" s="189"/>
      <c r="AU4" s="189"/>
      <c r="AV4" s="189"/>
    </row>
    <row r="5" ht="15.75" customHeight="1">
      <c r="A5" s="26">
        <f>IFERROR(__xludf.DUMMYFUNCTION("""COMPUTED_VALUE"""),45915.0)</f>
        <v>45915</v>
      </c>
      <c r="B5" s="77">
        <f>IFERROR(__xludf.DUMMYFUNCTION("""COMPUTED_VALUE"""),5253773.0)</f>
        <v>5253773</v>
      </c>
      <c r="C5" s="77" t="str">
        <f>IFERROR(__xludf.DUMMYFUNCTION("""COMPUTED_VALUE"""),"Ivan BV")</f>
        <v>Ivan BV</v>
      </c>
      <c r="D5" s="29">
        <f>IFERROR(__xludf.DUMMYFUNCTION("""COMPUTED_VALUE"""),0.21)</f>
        <v>0.21</v>
      </c>
      <c r="E5" s="17">
        <f>IFERROR(__xludf.DUMMYFUNCTION("""COMPUTED_VALUE"""),590.0)</f>
        <v>590</v>
      </c>
      <c r="F5" s="17">
        <f>IFERROR(__xludf.DUMMYFUNCTION("""COMPUTED_VALUE"""),216.0)</f>
        <v>216</v>
      </c>
      <c r="G5" s="17">
        <f>IFERROR(__xludf.DUMMYFUNCTION("""COMPUTED_VALUE"""),100.0)</f>
        <v>100</v>
      </c>
      <c r="H5" s="17">
        <f>IFERROR(__xludf.DUMMYFUNCTION("""COMPUTED_VALUE"""),274.0)</f>
        <v>274</v>
      </c>
      <c r="I5" s="28" t="str">
        <f>IFERROR(__xludf.DUMMYFUNCTION("""COMPUTED_VALUE"""),"T1-R2-N1")</f>
        <v>T1-R2-N1</v>
      </c>
      <c r="J5" s="30">
        <f>IFERROR(__xludf.DUMMYFUNCTION("""COMPUTED_VALUE"""),229.758)</f>
        <v>229.758</v>
      </c>
      <c r="K5" s="30">
        <f>IFERROR(__xludf.DUMMYFUNCTION("""COMPUTED_VALUE"""),229.758)</f>
        <v>229.758</v>
      </c>
      <c r="L5" s="30">
        <f>IFERROR(__xludf.DUMMYFUNCTION("""COMPUTED_VALUE"""),229.758)</f>
        <v>229.758</v>
      </c>
      <c r="M5" s="15">
        <f>IFERROR(__xludf.DUMMYFUNCTION("""COMPUTED_VALUE"""),235.5)</f>
        <v>235.5</v>
      </c>
      <c r="N5" s="17">
        <f>IFERROR(__xludf.DUMMYFUNCTION("""COMPUTED_VALUE"""),825.5)</f>
        <v>825.5</v>
      </c>
      <c r="O5" s="31">
        <f>IFERROR(__xludf.DUMMYFUNCTION("""COMPUTED_VALUE"""),135557.22)</f>
        <v>135557.22</v>
      </c>
      <c r="P5" s="20">
        <f>IFERROR(__xludf.DUMMYFUNCTION("""COMPUTED_VALUE"""),1425.0)</f>
        <v>1425</v>
      </c>
      <c r="Q5" s="181">
        <f>IFERROR(__xludf.DUMMYFUNCTION("""COMPUTED_VALUE"""),37.97053263157895)</f>
        <v>37.97053263</v>
      </c>
      <c r="R5" s="32">
        <f>IFERROR(__xludf.DUMMYFUNCTION("""COMPUTED_VALUE"""),54108.009)</f>
        <v>54108.009</v>
      </c>
      <c r="S5" s="84">
        <f>IFERROR(__xludf.DUMMYFUNCTION("""COMPUTED_VALUE"""),1465.0)</f>
        <v>1465</v>
      </c>
      <c r="T5" s="34">
        <f>IFERROR(__xludf.DUMMYFUNCTION("""COMPUTED_VALUE"""),67308.46466936842)</f>
        <v>67308.46467</v>
      </c>
      <c r="U5" s="35">
        <f>IFERROR(__xludf.DUMMYFUNCTION("""COMPUTED_VALUE"""),47.1)</f>
        <v>47.1</v>
      </c>
      <c r="V5" s="36">
        <f>IFERROR(__xludf.DUMMYFUNCTION("""COMPUTED_VALUE"""),2.140909090909091)</f>
        <v>2.140909091</v>
      </c>
      <c r="W5" s="37">
        <f>IFERROR(__xludf.DUMMYFUNCTION("""COMPUTED_VALUE"""),0.2852816474863719)</f>
        <v>0.2852816475</v>
      </c>
      <c r="X5" s="31">
        <f>IFERROR(__xludf.DUMMYFUNCTION("""COMPUTED_VALUE"""),189665.229)</f>
        <v>189665.229</v>
      </c>
      <c r="Y5" s="165"/>
      <c r="Z5" s="187"/>
      <c r="AA5" s="188"/>
      <c r="AB5" s="188"/>
      <c r="AC5" s="202"/>
      <c r="AD5" s="189"/>
      <c r="AE5" s="189"/>
      <c r="AF5" s="189"/>
      <c r="AG5" s="189"/>
      <c r="AH5" s="189"/>
      <c r="AI5" s="189"/>
      <c r="AJ5" s="189"/>
      <c r="AK5" s="189"/>
      <c r="AL5" s="189"/>
      <c r="AM5" s="189"/>
      <c r="AN5" s="189"/>
      <c r="AO5" s="189"/>
      <c r="AP5" s="189"/>
      <c r="AQ5" s="189"/>
      <c r="AR5" s="189"/>
      <c r="AS5" s="189"/>
      <c r="AT5" s="189"/>
      <c r="AU5" s="189"/>
      <c r="AV5" s="189"/>
    </row>
    <row r="6" ht="15.75" customHeight="1">
      <c r="A6" s="26">
        <f>IFERROR(__xludf.DUMMYFUNCTION("""COMPUTED_VALUE"""),45883.0)</f>
        <v>45883</v>
      </c>
      <c r="B6" s="77">
        <f>IFERROR(__xludf.DUMMYFUNCTION("""COMPUTED_VALUE"""),5253773.0)</f>
        <v>5253773</v>
      </c>
      <c r="C6" s="77" t="str">
        <f>IFERROR(__xludf.DUMMYFUNCTION("""COMPUTED_VALUE"""),"Ivan BV")</f>
        <v>Ivan BV</v>
      </c>
      <c r="D6" s="29">
        <f>IFERROR(__xludf.DUMMYFUNCTION("""COMPUTED_VALUE"""),0.21)</f>
        <v>0.21</v>
      </c>
      <c r="E6" s="17">
        <f>IFERROR(__xludf.DUMMYFUNCTION("""COMPUTED_VALUE"""),576.0)</f>
        <v>576</v>
      </c>
      <c r="F6" s="17">
        <f>IFERROR(__xludf.DUMMYFUNCTION("""COMPUTED_VALUE"""),214.0)</f>
        <v>214</v>
      </c>
      <c r="G6" s="17">
        <f>IFERROR(__xludf.DUMMYFUNCTION("""COMPUTED_VALUE"""),95.0)</f>
        <v>95</v>
      </c>
      <c r="H6" s="17">
        <f>IFERROR(__xludf.DUMMYFUNCTION("""COMPUTED_VALUE"""),267.0)</f>
        <v>267</v>
      </c>
      <c r="I6" s="28" t="str">
        <f>IFERROR(__xludf.DUMMYFUNCTION("""COMPUTED_VALUE"""),"T1-R2-N1")</f>
        <v>T1-R2-N1</v>
      </c>
      <c r="J6" s="30">
        <f>IFERROR(__xludf.DUMMYFUNCTION("""COMPUTED_VALUE"""),226.8118)</f>
        <v>226.8118</v>
      </c>
      <c r="K6" s="30">
        <f>IFERROR(__xludf.DUMMYFUNCTION("""COMPUTED_VALUE"""),226.8118)</f>
        <v>226.8118</v>
      </c>
      <c r="L6" s="30">
        <f>IFERROR(__xludf.DUMMYFUNCTION("""COMPUTED_VALUE"""),226.8118)</f>
        <v>226.8118</v>
      </c>
      <c r="M6" s="15">
        <f>IFERROR(__xludf.DUMMYFUNCTION("""COMPUTED_VALUE"""),205.3)</f>
        <v>205.3</v>
      </c>
      <c r="N6" s="17">
        <f>IFERROR(__xludf.DUMMYFUNCTION("""COMPUTED_VALUE"""),781.3)</f>
        <v>781.3</v>
      </c>
      <c r="O6" s="31">
        <f>IFERROR(__xludf.DUMMYFUNCTION("""COMPUTED_VALUE"""),130643.5968)</f>
        <v>130643.5968</v>
      </c>
      <c r="P6" s="20">
        <f>IFERROR(__xludf.DUMMYFUNCTION("""COMPUTED_VALUE"""),1340.0)</f>
        <v>1340</v>
      </c>
      <c r="Q6" s="181">
        <f>IFERROR(__xludf.DUMMYFUNCTION("""COMPUTED_VALUE"""),34.74959891044776)</f>
        <v>34.74959891</v>
      </c>
      <c r="R6" s="32">
        <f>IFERROR(__xludf.DUMMYFUNCTION("""COMPUTED_VALUE"""),46564.46253999999)</f>
        <v>46564.46254</v>
      </c>
      <c r="S6" s="84">
        <f>IFERROR(__xludf.DUMMYFUNCTION("""COMPUTED_VALUE"""),1465.0)</f>
        <v>1465</v>
      </c>
      <c r="T6" s="34">
        <f>IFERROR(__xludf.DUMMYFUNCTION("""COMPUTED_VALUE"""),61598.876508605215)</f>
        <v>61598.87651</v>
      </c>
      <c r="U6" s="35">
        <f>IFERROR(__xludf.DUMMYFUNCTION("""COMPUTED_VALUE"""),41.06)</f>
        <v>41.06</v>
      </c>
      <c r="V6" s="36">
        <f>IFERROR(__xludf.DUMMYFUNCTION("""COMPUTED_VALUE"""),1.8663636363636364)</f>
        <v>1.866363636</v>
      </c>
      <c r="W6" s="37">
        <f>IFERROR(__xludf.DUMMYFUNCTION("""COMPUTED_VALUE"""),0.2627671829002944)</f>
        <v>0.2627671829</v>
      </c>
      <c r="X6" s="31">
        <f>IFERROR(__xludf.DUMMYFUNCTION("""COMPUTED_VALUE"""),177208.05934)</f>
        <v>177208.0593</v>
      </c>
      <c r="Y6" s="165"/>
      <c r="Z6" s="187"/>
      <c r="AA6" s="188"/>
      <c r="AB6" s="188"/>
      <c r="AC6" s="202"/>
      <c r="AD6" s="189"/>
      <c r="AE6" s="189"/>
      <c r="AF6" s="189"/>
      <c r="AG6" s="189"/>
      <c r="AH6" s="189"/>
      <c r="AI6" s="189"/>
      <c r="AJ6" s="189"/>
      <c r="AK6" s="189"/>
      <c r="AL6" s="189"/>
      <c r="AM6" s="189"/>
      <c r="AN6" s="189"/>
      <c r="AO6" s="189"/>
      <c r="AP6" s="189"/>
      <c r="AQ6" s="189"/>
      <c r="AR6" s="189"/>
      <c r="AS6" s="189"/>
      <c r="AT6" s="189"/>
      <c r="AU6" s="189"/>
      <c r="AV6" s="189"/>
    </row>
    <row r="7" ht="15.75" customHeight="1">
      <c r="A7" s="26">
        <f>IFERROR(__xludf.DUMMYFUNCTION("""COMPUTED_VALUE"""),45839.0)</f>
        <v>45839</v>
      </c>
      <c r="B7" s="77">
        <f>IFERROR(__xludf.DUMMYFUNCTION("""COMPUTED_VALUE"""),5253773.0)</f>
        <v>5253773</v>
      </c>
      <c r="C7" s="77" t="str">
        <f>IFERROR(__xludf.DUMMYFUNCTION("""COMPUTED_VALUE"""),"Ivan BV")</f>
        <v>Ivan BV</v>
      </c>
      <c r="D7" s="29">
        <f>IFERROR(__xludf.DUMMYFUNCTION("""COMPUTED_VALUE"""),0.21)</f>
        <v>0.21</v>
      </c>
      <c r="E7" s="17">
        <f>IFERROR(__xludf.DUMMYFUNCTION("""COMPUTED_VALUE"""),514.0)</f>
        <v>514</v>
      </c>
      <c r="F7" s="17">
        <f>IFERROR(__xludf.DUMMYFUNCTION("""COMPUTED_VALUE"""),136.0)</f>
        <v>136</v>
      </c>
      <c r="G7" s="17">
        <f>IFERROR(__xludf.DUMMYFUNCTION("""COMPUTED_VALUE"""),86.0)</f>
        <v>86</v>
      </c>
      <c r="H7" s="17">
        <f>IFERROR(__xludf.DUMMYFUNCTION("""COMPUTED_VALUE"""),292.0)</f>
        <v>292</v>
      </c>
      <c r="I7" s="28" t="str">
        <f>IFERROR(__xludf.DUMMYFUNCTION("""COMPUTED_VALUE"""),"T1-R2-N1")</f>
        <v>T1-R2-N1</v>
      </c>
      <c r="J7" s="30">
        <f>IFERROR(__xludf.DUMMYFUNCTION("""COMPUTED_VALUE"""),217.7287)</f>
        <v>217.7287</v>
      </c>
      <c r="K7" s="30">
        <f>IFERROR(__xludf.DUMMYFUNCTION("""COMPUTED_VALUE"""),217.7287)</f>
        <v>217.7287</v>
      </c>
      <c r="L7" s="30">
        <f>IFERROR(__xludf.DUMMYFUNCTION("""COMPUTED_VALUE"""),217.7287)</f>
        <v>217.7287</v>
      </c>
      <c r="M7" s="15">
        <f>IFERROR(__xludf.DUMMYFUNCTION("""COMPUTED_VALUE"""),148.2)</f>
        <v>148.2</v>
      </c>
      <c r="N7" s="17">
        <f>IFERROR(__xludf.DUMMYFUNCTION("""COMPUTED_VALUE"""),662.2)</f>
        <v>662.2</v>
      </c>
      <c r="O7" s="31">
        <f>IFERROR(__xludf.DUMMYFUNCTION("""COMPUTED_VALUE"""),111912.5518)</f>
        <v>111912.5518</v>
      </c>
      <c r="P7" s="20">
        <f>IFERROR(__xludf.DUMMYFUNCTION("""COMPUTED_VALUE"""),1280.0)</f>
        <v>1280</v>
      </c>
      <c r="Q7" s="181">
        <f>IFERROR(__xludf.DUMMYFUNCTION("""COMPUTED_VALUE"""),25.208901046875)</f>
        <v>25.20890105</v>
      </c>
      <c r="R7" s="32">
        <f>IFERROR(__xludf.DUMMYFUNCTION("""COMPUTED_VALUE"""),32267.39334)</f>
        <v>32267.39334</v>
      </c>
      <c r="S7" s="84">
        <f>IFERROR(__xludf.DUMMYFUNCTION("""COMPUTED_VALUE"""),1465.0)</f>
        <v>1465</v>
      </c>
      <c r="T7" s="34">
        <f>IFERROR(__xludf.DUMMYFUNCTION("""COMPUTED_VALUE"""),44686.55844074296)</f>
        <v>44686.55844</v>
      </c>
      <c r="U7" s="35">
        <f>IFERROR(__xludf.DUMMYFUNCTION("""COMPUTED_VALUE"""),29.64)</f>
        <v>29.64</v>
      </c>
      <c r="V7" s="36">
        <f>IFERROR(__xludf.DUMMYFUNCTION("""COMPUTED_VALUE"""),1.3472727272727274)</f>
        <v>1.347272727</v>
      </c>
      <c r="W7" s="37">
        <f>IFERROR(__xludf.DUMMYFUNCTION("""COMPUTED_VALUE"""),0.22379945635759588)</f>
        <v>0.2237994564</v>
      </c>
      <c r="X7" s="31">
        <f>IFERROR(__xludf.DUMMYFUNCTION("""COMPUTED_VALUE"""),144179.94514)</f>
        <v>144179.9451</v>
      </c>
      <c r="Y7" s="165"/>
      <c r="Z7" s="187"/>
      <c r="AA7" s="188"/>
      <c r="AB7" s="188"/>
      <c r="AC7" s="202"/>
      <c r="AD7" s="189"/>
      <c r="AE7" s="189"/>
      <c r="AF7" s="189"/>
      <c r="AG7" s="189"/>
      <c r="AH7" s="189"/>
      <c r="AI7" s="189"/>
      <c r="AJ7" s="189"/>
      <c r="AK7" s="189"/>
      <c r="AL7" s="189"/>
      <c r="AM7" s="189"/>
      <c r="AN7" s="189"/>
      <c r="AO7" s="189"/>
      <c r="AP7" s="189"/>
      <c r="AQ7" s="189"/>
      <c r="AR7" s="189"/>
      <c r="AS7" s="189"/>
      <c r="AT7" s="189"/>
      <c r="AU7" s="189"/>
      <c r="AV7" s="189"/>
    </row>
    <row r="8" ht="15.75" customHeight="1">
      <c r="A8" s="26">
        <f>IFERROR(__xludf.DUMMYFUNCTION("""COMPUTED_VALUE"""),45809.0)</f>
        <v>45809</v>
      </c>
      <c r="B8" s="77">
        <f>IFERROR(__xludf.DUMMYFUNCTION("""COMPUTED_VALUE"""),5253773.0)</f>
        <v>5253773</v>
      </c>
      <c r="C8" s="77" t="str">
        <f>IFERROR(__xludf.DUMMYFUNCTION("""COMPUTED_VALUE"""),"Ivan BV")</f>
        <v>Ivan BV</v>
      </c>
      <c r="D8" s="29">
        <f>IFERROR(__xludf.DUMMYFUNCTION("""COMPUTED_VALUE"""),0.21)</f>
        <v>0.21</v>
      </c>
      <c r="E8" s="17">
        <f>IFERROR(__xludf.DUMMYFUNCTION("""COMPUTED_VALUE"""),711.0)</f>
        <v>711</v>
      </c>
      <c r="F8" s="17">
        <f>IFERROR(__xludf.DUMMYFUNCTION("""COMPUTED_VALUE"""),240.0)</f>
        <v>240</v>
      </c>
      <c r="G8" s="17">
        <f>IFERROR(__xludf.DUMMYFUNCTION("""COMPUTED_VALUE"""),103.0)</f>
        <v>103</v>
      </c>
      <c r="H8" s="17">
        <f>IFERROR(__xludf.DUMMYFUNCTION("""COMPUTED_VALUE"""),368.0)</f>
        <v>368</v>
      </c>
      <c r="I8" s="28" t="str">
        <f>IFERROR(__xludf.DUMMYFUNCTION("""COMPUTED_VALUE"""),"T1-R2-N1")</f>
        <v>T1-R2-N1</v>
      </c>
      <c r="J8" s="30">
        <f>IFERROR(__xludf.DUMMYFUNCTION("""COMPUTED_VALUE"""),227.4219)</f>
        <v>227.4219</v>
      </c>
      <c r="K8" s="30">
        <f>IFERROR(__xludf.DUMMYFUNCTION("""COMPUTED_VALUE"""),227.4219)</f>
        <v>227.4219</v>
      </c>
      <c r="L8" s="30">
        <f>IFERROR(__xludf.DUMMYFUNCTION("""COMPUTED_VALUE"""),227.4219)</f>
        <v>227.4219</v>
      </c>
      <c r="M8" s="15">
        <f>IFERROR(__xludf.DUMMYFUNCTION("""COMPUTED_VALUE"""),174.2)</f>
        <v>174.2</v>
      </c>
      <c r="N8" s="17">
        <f>IFERROR(__xludf.DUMMYFUNCTION("""COMPUTED_VALUE"""),885.2)</f>
        <v>885.2</v>
      </c>
      <c r="O8" s="31">
        <f>IFERROR(__xludf.DUMMYFUNCTION("""COMPUTED_VALUE"""),161696.97090000001)</f>
        <v>161696.9709</v>
      </c>
      <c r="P8" s="20">
        <f>IFERROR(__xludf.DUMMYFUNCTION("""COMPUTED_VALUE"""),1280.0)</f>
        <v>1280</v>
      </c>
      <c r="Q8" s="181">
        <f>IFERROR(__xludf.DUMMYFUNCTION("""COMPUTED_VALUE"""),30.950699203124998)</f>
        <v>30.9506992</v>
      </c>
      <c r="R8" s="32">
        <f>IFERROR(__xludf.DUMMYFUNCTION("""COMPUTED_VALUE"""),39616.89498)</f>
        <v>39616.89498</v>
      </c>
      <c r="S8" s="84">
        <f>IFERROR(__xludf.DUMMYFUNCTION("""COMPUTED_VALUE"""),1465.0)</f>
        <v>1465</v>
      </c>
      <c r="T8" s="34">
        <f>IFERROR(__xludf.DUMMYFUNCTION("""COMPUTED_VALUE"""),54864.756942419524)</f>
        <v>54864.75694</v>
      </c>
      <c r="U8" s="35">
        <f>IFERROR(__xludf.DUMMYFUNCTION("""COMPUTED_VALUE"""),34.839999999999996)</f>
        <v>34.84</v>
      </c>
      <c r="V8" s="36">
        <f>IFERROR(__xludf.DUMMYFUNCTION("""COMPUTED_VALUE"""),1.5836363636363635)</f>
        <v>1.583636364</v>
      </c>
      <c r="W8" s="37">
        <f>IFERROR(__xludf.DUMMYFUNCTION("""COMPUTED_VALUE"""),0.19679168549480341)</f>
        <v>0.1967916855</v>
      </c>
      <c r="X8" s="31">
        <f>IFERROR(__xludf.DUMMYFUNCTION("""COMPUTED_VALUE"""),201313.86588)</f>
        <v>201313.8659</v>
      </c>
      <c r="Y8" s="165"/>
      <c r="Z8" s="187"/>
      <c r="AA8" s="188"/>
      <c r="AB8" s="188"/>
      <c r="AC8" s="202"/>
      <c r="AD8" s="189"/>
      <c r="AE8" s="189"/>
      <c r="AF8" s="189"/>
      <c r="AG8" s="189"/>
      <c r="AH8" s="189"/>
      <c r="AI8" s="189"/>
      <c r="AJ8" s="189"/>
      <c r="AK8" s="189"/>
      <c r="AL8" s="189"/>
      <c r="AM8" s="189"/>
      <c r="AN8" s="189"/>
      <c r="AO8" s="189"/>
      <c r="AP8" s="189"/>
      <c r="AQ8" s="189"/>
      <c r="AR8" s="189"/>
      <c r="AS8" s="189"/>
      <c r="AT8" s="189"/>
      <c r="AU8" s="189"/>
      <c r="AV8" s="189"/>
    </row>
    <row r="9" ht="15.75" customHeight="1">
      <c r="A9" s="26">
        <f>IFERROR(__xludf.DUMMYFUNCTION("""COMPUTED_VALUE"""),45778.0)</f>
        <v>45778</v>
      </c>
      <c r="B9" s="77">
        <f>IFERROR(__xludf.DUMMYFUNCTION("""COMPUTED_VALUE"""),5253773.0)</f>
        <v>5253773</v>
      </c>
      <c r="C9" s="77" t="str">
        <f>IFERROR(__xludf.DUMMYFUNCTION("""COMPUTED_VALUE"""),"Ivan BV")</f>
        <v>Ivan BV</v>
      </c>
      <c r="D9" s="29">
        <f>IFERROR(__xludf.DUMMYFUNCTION("""COMPUTED_VALUE"""),0.21)</f>
        <v>0.21</v>
      </c>
      <c r="E9" s="17">
        <f>IFERROR(__xludf.DUMMYFUNCTION("""COMPUTED_VALUE"""),632.0)</f>
        <v>632</v>
      </c>
      <c r="F9" s="17">
        <f>IFERROR(__xludf.DUMMYFUNCTION("""COMPUTED_VALUE"""),200.0)</f>
        <v>200</v>
      </c>
      <c r="G9" s="17">
        <f>IFERROR(__xludf.DUMMYFUNCTION("""COMPUTED_VALUE"""),84.0)</f>
        <v>84</v>
      </c>
      <c r="H9" s="17">
        <f>IFERROR(__xludf.DUMMYFUNCTION("""COMPUTED_VALUE"""),348.0)</f>
        <v>348</v>
      </c>
      <c r="I9" s="28" t="str">
        <f>IFERROR(__xludf.DUMMYFUNCTION("""COMPUTED_VALUE"""),"T1-R2-N1")</f>
        <v>T1-R2-N1</v>
      </c>
      <c r="J9" s="30">
        <f>IFERROR(__xludf.DUMMYFUNCTION("""COMPUTED_VALUE"""),214.955)</f>
        <v>214.955</v>
      </c>
      <c r="K9" s="30">
        <f>IFERROR(__xludf.DUMMYFUNCTION("""COMPUTED_VALUE"""),214.96)</f>
        <v>214.96</v>
      </c>
      <c r="L9" s="30">
        <f>IFERROR(__xludf.DUMMYFUNCTION("""COMPUTED_VALUE"""),214.96)</f>
        <v>214.96</v>
      </c>
      <c r="M9" s="15">
        <f>IFERROR(__xludf.DUMMYFUNCTION("""COMPUTED_VALUE"""),176.3)</f>
        <v>176.3</v>
      </c>
      <c r="N9" s="17">
        <f>IFERROR(__xludf.DUMMYFUNCTION("""COMPUTED_VALUE"""),808.3)</f>
        <v>808.3</v>
      </c>
      <c r="O9" s="31">
        <f>IFERROR(__xludf.DUMMYFUNCTION("""COMPUTED_VALUE"""),135853.72)</f>
        <v>135853.72</v>
      </c>
      <c r="P9" s="20">
        <f>IFERROR(__xludf.DUMMYFUNCTION("""COMPUTED_VALUE"""),1200.0)</f>
        <v>1200</v>
      </c>
      <c r="Q9" s="181">
        <f>IFERROR(__xludf.DUMMYFUNCTION("""COMPUTED_VALUE"""),31.58120666666667)</f>
        <v>31.58120667</v>
      </c>
      <c r="R9" s="32">
        <f>IFERROR(__xludf.DUMMYFUNCTION("""COMPUTED_VALUE"""),37897.448000000004)</f>
        <v>37897.448</v>
      </c>
      <c r="S9" s="84">
        <f>IFERROR(__xludf.DUMMYFUNCTION("""COMPUTED_VALUE"""),1465.0)</f>
        <v>1465</v>
      </c>
      <c r="T9" s="34">
        <f>IFERROR(__xludf.DUMMYFUNCTION("""COMPUTED_VALUE"""),55982.425997666665)</f>
        <v>55982.426</v>
      </c>
      <c r="U9" s="35">
        <f>IFERROR(__xludf.DUMMYFUNCTION("""COMPUTED_VALUE"""),35.260000000000005)</f>
        <v>35.26</v>
      </c>
      <c r="V9" s="36">
        <f>IFERROR(__xludf.DUMMYFUNCTION("""COMPUTED_VALUE"""),1.602727272727273)</f>
        <v>1.602727273</v>
      </c>
      <c r="W9" s="37">
        <f>IFERROR(__xludf.DUMMYFUNCTION("""COMPUTED_VALUE"""),0.2181133424093011)</f>
        <v>0.2181133424</v>
      </c>
      <c r="X9" s="31">
        <f>IFERROR(__xludf.DUMMYFUNCTION("""COMPUTED_VALUE"""),173751.168)</f>
        <v>173751.168</v>
      </c>
      <c r="Y9" s="165"/>
      <c r="Z9" s="187"/>
      <c r="AA9" s="188"/>
      <c r="AB9" s="188"/>
      <c r="AC9" s="202"/>
      <c r="AD9" s="189"/>
      <c r="AE9" s="189"/>
      <c r="AF9" s="189"/>
      <c r="AG9" s="189"/>
      <c r="AH9" s="189"/>
      <c r="AI9" s="189"/>
      <c r="AJ9" s="189"/>
      <c r="AK9" s="189"/>
      <c r="AL9" s="189"/>
      <c r="AM9" s="189"/>
      <c r="AN9" s="189"/>
      <c r="AO9" s="189"/>
      <c r="AP9" s="189"/>
      <c r="AQ9" s="189"/>
      <c r="AR9" s="189"/>
      <c r="AS9" s="189"/>
      <c r="AT9" s="189"/>
      <c r="AU9" s="189"/>
      <c r="AV9" s="189"/>
    </row>
    <row r="10" ht="15.75" customHeight="1">
      <c r="A10" s="26">
        <f>IFERROR(__xludf.DUMMYFUNCTION("""COMPUTED_VALUE"""),45748.0)</f>
        <v>45748</v>
      </c>
      <c r="B10" s="77">
        <f>IFERROR(__xludf.DUMMYFUNCTION("""COMPUTED_VALUE"""),5253773.0)</f>
        <v>5253773</v>
      </c>
      <c r="C10" s="77" t="str">
        <f>IFERROR(__xludf.DUMMYFUNCTION("""COMPUTED_VALUE"""),"Ivan BV")</f>
        <v>Ivan BV</v>
      </c>
      <c r="D10" s="29">
        <f>IFERROR(__xludf.DUMMYFUNCTION("""COMPUTED_VALUE"""),0.21)</f>
        <v>0.21</v>
      </c>
      <c r="E10" s="17">
        <f>IFERROR(__xludf.DUMMYFUNCTION("""COMPUTED_VALUE"""),611.0)</f>
        <v>611</v>
      </c>
      <c r="F10" s="17">
        <f>IFERROR(__xludf.DUMMYFUNCTION("""COMPUTED_VALUE"""),214.0)</f>
        <v>214</v>
      </c>
      <c r="G10" s="17">
        <f>IFERROR(__xludf.DUMMYFUNCTION("""COMPUTED_VALUE"""),109.0)</f>
        <v>109</v>
      </c>
      <c r="H10" s="17">
        <f>IFERROR(__xludf.DUMMYFUNCTION("""COMPUTED_VALUE"""),288.0)</f>
        <v>288</v>
      </c>
      <c r="I10" s="28" t="str">
        <f>IFERROR(__xludf.DUMMYFUNCTION("""COMPUTED_VALUE"""),"T1-R2-N1")</f>
        <v>T1-R2-N1</v>
      </c>
      <c r="J10" s="30">
        <f>IFERROR(__xludf.DUMMYFUNCTION("""COMPUTED_VALUE"""),219.4496)</f>
        <v>219.4496</v>
      </c>
      <c r="K10" s="30">
        <f>IFERROR(__xludf.DUMMYFUNCTION("""COMPUTED_VALUE"""),219.45)</f>
        <v>219.45</v>
      </c>
      <c r="L10" s="30">
        <f>IFERROR(__xludf.DUMMYFUNCTION("""COMPUTED_VALUE"""),219.45)</f>
        <v>219.45</v>
      </c>
      <c r="M10" s="15">
        <f>IFERROR(__xludf.DUMMYFUNCTION("""COMPUTED_VALUE"""),227.7)</f>
        <v>227.7</v>
      </c>
      <c r="N10" s="17">
        <f>IFERROR(__xludf.DUMMYFUNCTION("""COMPUTED_VALUE"""),838.7)</f>
        <v>838.7</v>
      </c>
      <c r="O10" s="31">
        <f>IFERROR(__xludf.DUMMYFUNCTION("""COMPUTED_VALUE"""),134083.8644)</f>
        <v>134083.8644</v>
      </c>
      <c r="P10" s="20">
        <f>IFERROR(__xludf.DUMMYFUNCTION("""COMPUTED_VALUE"""),1140.0)</f>
        <v>1140</v>
      </c>
      <c r="Q10" s="181">
        <f>IFERROR(__xludf.DUMMYFUNCTION("""COMPUTED_VALUE"""),43.832249999999995)</f>
        <v>43.83225</v>
      </c>
      <c r="R10" s="32">
        <f>IFERROR(__xludf.DUMMYFUNCTION("""COMPUTED_VALUE"""),49968.76499999999)</f>
        <v>49968.765</v>
      </c>
      <c r="S10" s="84">
        <f>IFERROR(__xludf.DUMMYFUNCTION("""COMPUTED_VALUE"""),1465.0)</f>
        <v>1465</v>
      </c>
      <c r="T10" s="34">
        <f>IFERROR(__xludf.DUMMYFUNCTION("""COMPUTED_VALUE"""),77699.23796249999)</f>
        <v>77699.23796</v>
      </c>
      <c r="U10" s="35">
        <f>IFERROR(__xludf.DUMMYFUNCTION("""COMPUTED_VALUE"""),45.54)</f>
        <v>45.54</v>
      </c>
      <c r="V10" s="36">
        <f>IFERROR(__xludf.DUMMYFUNCTION("""COMPUTED_VALUE"""),2.07)</f>
        <v>2.07</v>
      </c>
      <c r="W10" s="37">
        <f>IFERROR(__xludf.DUMMYFUNCTION("""COMPUTED_VALUE"""),0.2714917204002737)</f>
        <v>0.2714917204</v>
      </c>
      <c r="X10" s="31">
        <f>IFERROR(__xludf.DUMMYFUNCTION("""COMPUTED_VALUE"""),184052.62939999998)</f>
        <v>184052.6294</v>
      </c>
      <c r="Y10" s="165"/>
      <c r="Z10" s="187"/>
      <c r="AA10" s="188"/>
      <c r="AB10" s="188"/>
      <c r="AC10" s="202"/>
      <c r="AD10" s="189"/>
      <c r="AE10" s="189"/>
      <c r="AF10" s="189"/>
      <c r="AG10" s="189"/>
      <c r="AH10" s="189"/>
      <c r="AI10" s="189"/>
      <c r="AJ10" s="189"/>
      <c r="AK10" s="189"/>
      <c r="AL10" s="189"/>
      <c r="AM10" s="189"/>
      <c r="AN10" s="189"/>
      <c r="AO10" s="189"/>
      <c r="AP10" s="189"/>
      <c r="AQ10" s="189"/>
      <c r="AR10" s="189"/>
      <c r="AS10" s="189"/>
      <c r="AT10" s="189"/>
      <c r="AU10" s="189"/>
      <c r="AV10" s="189"/>
    </row>
    <row r="11" ht="15.75" customHeight="1">
      <c r="A11" s="26">
        <f>IFERROR(__xludf.DUMMYFUNCTION("""COMPUTED_VALUE"""),45717.0)</f>
        <v>45717</v>
      </c>
      <c r="B11" s="77">
        <f>IFERROR(__xludf.DUMMYFUNCTION("""COMPUTED_VALUE"""),5253773.0)</f>
        <v>5253773</v>
      </c>
      <c r="C11" s="77" t="str">
        <f>IFERROR(__xludf.DUMMYFUNCTION("""COMPUTED_VALUE"""),"Ivan BV")</f>
        <v>Ivan BV</v>
      </c>
      <c r="D11" s="29">
        <f>IFERROR(__xludf.DUMMYFUNCTION("""COMPUTED_VALUE"""),0.21)</f>
        <v>0.21</v>
      </c>
      <c r="E11" s="17">
        <f>IFERROR(__xludf.DUMMYFUNCTION("""COMPUTED_VALUE"""),730.0)</f>
        <v>730</v>
      </c>
      <c r="F11" s="17">
        <f>IFERROR(__xludf.DUMMYFUNCTION("""COMPUTED_VALUE"""),228.0)</f>
        <v>228</v>
      </c>
      <c r="G11" s="17">
        <f>IFERROR(__xludf.DUMMYFUNCTION("""COMPUTED_VALUE"""),98.0)</f>
        <v>98</v>
      </c>
      <c r="H11" s="17">
        <f>IFERROR(__xludf.DUMMYFUNCTION("""COMPUTED_VALUE"""),404.0)</f>
        <v>404</v>
      </c>
      <c r="I11" s="28" t="str">
        <f>IFERROR(__xludf.DUMMYFUNCTION("""COMPUTED_VALUE"""),"T1-R2-N1")</f>
        <v>T1-R2-N1</v>
      </c>
      <c r="J11" s="30">
        <f>IFERROR(__xludf.DUMMYFUNCTION("""COMPUTED_VALUE"""),217.6991)</f>
        <v>217.6991</v>
      </c>
      <c r="K11" s="30">
        <f>IFERROR(__xludf.DUMMYFUNCTION("""COMPUTED_VALUE"""),217.6991)</f>
        <v>217.6991</v>
      </c>
      <c r="L11" s="30">
        <f>IFERROR(__xludf.DUMMYFUNCTION("""COMPUTED_VALUE"""),217.6991)</f>
        <v>217.6991</v>
      </c>
      <c r="M11" s="15">
        <f>IFERROR(__xludf.DUMMYFUNCTION("""COMPUTED_VALUE"""),287.3)</f>
        <v>287.3</v>
      </c>
      <c r="N11" s="17">
        <f>IFERROR(__xludf.DUMMYFUNCTION("""COMPUTED_VALUE"""),1017.3)</f>
        <v>1017.3</v>
      </c>
      <c r="O11" s="31">
        <f>IFERROR(__xludf.DUMMYFUNCTION("""COMPUTED_VALUE"""),158920.343)</f>
        <v>158920.343</v>
      </c>
      <c r="P11" s="20">
        <f>IFERROR(__xludf.DUMMYFUNCTION("""COMPUTED_VALUE"""),1095.75)</f>
        <v>1095.75</v>
      </c>
      <c r="Q11" s="181">
        <f>IFERROR(__xludf.DUMMYFUNCTION("""COMPUTED_VALUE"""),57.07958150125485)</f>
        <v>57.0795815</v>
      </c>
      <c r="R11" s="32">
        <f>IFERROR(__xludf.DUMMYFUNCTION("""COMPUTED_VALUE"""),62544.95143)</f>
        <v>62544.95143</v>
      </c>
      <c r="S11" s="84">
        <f>IFERROR(__xludf.DUMMYFUNCTION("""COMPUTED_VALUE"""),1465.0)</f>
        <v>1465</v>
      </c>
      <c r="T11" s="34">
        <f>IFERROR(__xludf.DUMMYFUNCTION("""COMPUTED_VALUE"""),101182.12014819939)</f>
        <v>101182.1201</v>
      </c>
      <c r="U11" s="35">
        <f>IFERROR(__xludf.DUMMYFUNCTION("""COMPUTED_VALUE"""),57.46000000000001)</f>
        <v>57.46</v>
      </c>
      <c r="V11" s="36">
        <f>IFERROR(__xludf.DUMMYFUNCTION("""COMPUTED_VALUE"""),2.6118181818181823)</f>
        <v>2.611818182</v>
      </c>
      <c r="W11" s="37">
        <f>IFERROR(__xludf.DUMMYFUNCTION("""COMPUTED_VALUE"""),0.2824142337560208)</f>
        <v>0.2824142338</v>
      </c>
      <c r="X11" s="31">
        <f>IFERROR(__xludf.DUMMYFUNCTION("""COMPUTED_VALUE"""),221465.29443)</f>
        <v>221465.2944</v>
      </c>
      <c r="Y11" s="165"/>
      <c r="Z11" s="187"/>
      <c r="AA11" s="188"/>
      <c r="AB11" s="188"/>
      <c r="AC11" s="202"/>
      <c r="AD11" s="189"/>
      <c r="AE11" s="189"/>
      <c r="AF11" s="189"/>
      <c r="AG11" s="189"/>
      <c r="AH11" s="189"/>
      <c r="AI11" s="189"/>
      <c r="AJ11" s="189"/>
      <c r="AK11" s="189"/>
      <c r="AL11" s="189"/>
      <c r="AM11" s="189"/>
      <c r="AN11" s="189"/>
      <c r="AO11" s="189"/>
      <c r="AP11" s="189"/>
      <c r="AQ11" s="189"/>
      <c r="AR11" s="189"/>
      <c r="AS11" s="189"/>
      <c r="AT11" s="189"/>
      <c r="AU11" s="189"/>
      <c r="AV11" s="189"/>
    </row>
    <row r="12" ht="15.75" customHeight="1">
      <c r="A12" s="26">
        <f>IFERROR(__xludf.DUMMYFUNCTION("""COMPUTED_VALUE"""),45713.0)</f>
        <v>45713</v>
      </c>
      <c r="B12" s="77">
        <f>IFERROR(__xludf.DUMMYFUNCTION("""COMPUTED_VALUE"""),5253773.0)</f>
        <v>5253773</v>
      </c>
      <c r="C12" s="77" t="str">
        <f>IFERROR(__xludf.DUMMYFUNCTION("""COMPUTED_VALUE"""),"Ivan BV")</f>
        <v>Ivan BV</v>
      </c>
      <c r="D12" s="29">
        <f>IFERROR(__xludf.DUMMYFUNCTION("""COMPUTED_VALUE"""),0.21)</f>
        <v>0.21</v>
      </c>
      <c r="E12" s="17">
        <f>IFERROR(__xludf.DUMMYFUNCTION("""COMPUTED_VALUE"""),611.0)</f>
        <v>611</v>
      </c>
      <c r="F12" s="17">
        <f>IFERROR(__xludf.DUMMYFUNCTION("""COMPUTED_VALUE"""),214.0)</f>
        <v>214</v>
      </c>
      <c r="G12" s="17">
        <f>IFERROR(__xludf.DUMMYFUNCTION("""COMPUTED_VALUE"""),109.0)</f>
        <v>109</v>
      </c>
      <c r="H12" s="17">
        <f>IFERROR(__xludf.DUMMYFUNCTION("""COMPUTED_VALUE"""),288.0)</f>
        <v>288</v>
      </c>
      <c r="I12" s="28" t="str">
        <f>IFERROR(__xludf.DUMMYFUNCTION("""COMPUTED_VALUE"""),"T1-R2-N1")</f>
        <v>T1-R2-N1</v>
      </c>
      <c r="J12" s="30">
        <f>IFERROR(__xludf.DUMMYFUNCTION("""COMPUTED_VALUE"""),204.2284)</f>
        <v>204.2284</v>
      </c>
      <c r="K12" s="30">
        <f>IFERROR(__xludf.DUMMYFUNCTION("""COMPUTED_VALUE"""),204.2284)</f>
        <v>204.2284</v>
      </c>
      <c r="L12" s="30">
        <f>IFERROR(__xludf.DUMMYFUNCTION("""COMPUTED_VALUE"""),204.2284)</f>
        <v>204.2284</v>
      </c>
      <c r="M12" s="15">
        <f>IFERROR(__xludf.DUMMYFUNCTION("""COMPUTED_VALUE"""),359.1)</f>
        <v>359.1</v>
      </c>
      <c r="N12" s="17">
        <f>IFERROR(__xludf.DUMMYFUNCTION("""COMPUTED_VALUE"""),970.1)</f>
        <v>970.1</v>
      </c>
      <c r="O12" s="31">
        <f>IFERROR(__xludf.DUMMYFUNCTION("""COMPUTED_VALUE"""),124783.55239999999)</f>
        <v>124783.5524</v>
      </c>
      <c r="P12" s="20">
        <f>IFERROR(__xludf.DUMMYFUNCTION("""COMPUTED_VALUE"""),1086.0)</f>
        <v>1086</v>
      </c>
      <c r="Q12" s="181">
        <f>IFERROR(__xludf.DUMMYFUNCTION("""COMPUTED_VALUE"""),67.5307720441989)</f>
        <v>67.53077204</v>
      </c>
      <c r="R12" s="32">
        <f>IFERROR(__xludf.DUMMYFUNCTION("""COMPUTED_VALUE"""),73338.41844000001)</f>
        <v>73338.41844</v>
      </c>
      <c r="S12" s="84">
        <f>IFERROR(__xludf.DUMMYFUNCTION("""COMPUTED_VALUE"""),1465.0)</f>
        <v>1465</v>
      </c>
      <c r="T12" s="34">
        <f>IFERROR(__xludf.DUMMYFUNCTION("""COMPUTED_VALUE"""),119708.42306414916)</f>
        <v>119708.4231</v>
      </c>
      <c r="U12" s="35">
        <f>IFERROR(__xludf.DUMMYFUNCTION("""COMPUTED_VALUE"""),71.82000000000001)</f>
        <v>71.82</v>
      </c>
      <c r="V12" s="36">
        <f>IFERROR(__xludf.DUMMYFUNCTION("""COMPUTED_VALUE"""),3.264545454545455)</f>
        <v>3.264545455</v>
      </c>
      <c r="W12" s="37">
        <f>IFERROR(__xludf.DUMMYFUNCTION("""COMPUTED_VALUE"""),0.3701680239150604)</f>
        <v>0.3701680239</v>
      </c>
      <c r="X12" s="31">
        <f>IFERROR(__xludf.DUMMYFUNCTION("""COMPUTED_VALUE"""),198121.97084)</f>
        <v>198121.9708</v>
      </c>
      <c r="Y12" s="165"/>
      <c r="Z12" s="187"/>
      <c r="AA12" s="188"/>
      <c r="AB12" s="188"/>
      <c r="AC12" s="202"/>
      <c r="AD12" s="189"/>
      <c r="AE12" s="189"/>
      <c r="AF12" s="189"/>
      <c r="AG12" s="189"/>
      <c r="AH12" s="189"/>
      <c r="AI12" s="189"/>
      <c r="AJ12" s="189"/>
      <c r="AK12" s="189"/>
      <c r="AL12" s="189"/>
      <c r="AM12" s="189"/>
      <c r="AN12" s="189"/>
      <c r="AO12" s="189"/>
      <c r="AP12" s="189"/>
      <c r="AQ12" s="189"/>
      <c r="AR12" s="189"/>
      <c r="AS12" s="189"/>
      <c r="AT12" s="189"/>
      <c r="AU12" s="189"/>
      <c r="AV12" s="189"/>
    </row>
    <row r="13" ht="15.75" customHeight="1">
      <c r="A13" s="26">
        <f>IFERROR(__xludf.DUMMYFUNCTION("""COMPUTED_VALUE"""),45682.0)</f>
        <v>45682</v>
      </c>
      <c r="B13" s="77">
        <f>IFERROR(__xludf.DUMMYFUNCTION("""COMPUTED_VALUE"""),5253773.0)</f>
        <v>5253773</v>
      </c>
      <c r="C13" s="77" t="str">
        <f>IFERROR(__xludf.DUMMYFUNCTION("""COMPUTED_VALUE"""),"Ivan BV")</f>
        <v>Ivan BV</v>
      </c>
      <c r="D13" s="29">
        <f>IFERROR(__xludf.DUMMYFUNCTION("""COMPUTED_VALUE"""),0.21)</f>
        <v>0.21</v>
      </c>
      <c r="E13" s="17">
        <f>IFERROR(__xludf.DUMMYFUNCTION("""COMPUTED_VALUE"""),393.0)</f>
        <v>393</v>
      </c>
      <c r="F13" s="17">
        <f>IFERROR(__xludf.DUMMYFUNCTION("""COMPUTED_VALUE"""),106.0)</f>
        <v>106</v>
      </c>
      <c r="G13" s="17">
        <f>IFERROR(__xludf.DUMMYFUNCTION("""COMPUTED_VALUE"""),94.0)</f>
        <v>94</v>
      </c>
      <c r="H13" s="17">
        <f>IFERROR(__xludf.DUMMYFUNCTION("""COMPUTED_VALUE"""),193.0)</f>
        <v>193</v>
      </c>
      <c r="I13" s="28" t="str">
        <f>IFERROR(__xludf.DUMMYFUNCTION("""COMPUTED_VALUE"""),"T1-R2-N1")</f>
        <v>T1-R2-N1</v>
      </c>
      <c r="J13" s="30">
        <f>IFERROR(__xludf.DUMMYFUNCTION("""COMPUTED_VALUE"""),190.9258)</f>
        <v>190.9258</v>
      </c>
      <c r="K13" s="30">
        <f>IFERROR(__xludf.DUMMYFUNCTION("""COMPUTED_VALUE"""),190.9258)</f>
        <v>190.9258</v>
      </c>
      <c r="L13" s="30">
        <f>IFERROR(__xludf.DUMMYFUNCTION("""COMPUTED_VALUE"""),190.9258)</f>
        <v>190.9258</v>
      </c>
      <c r="M13" s="15">
        <f>IFERROR(__xludf.DUMMYFUNCTION("""COMPUTED_VALUE"""),305.4)</f>
        <v>305.4</v>
      </c>
      <c r="N13" s="17">
        <f>IFERROR(__xludf.DUMMYFUNCTION("""COMPUTED_VALUE"""),698.4)</f>
        <v>698.4</v>
      </c>
      <c r="O13" s="31">
        <f>IFERROR(__xludf.DUMMYFUNCTION("""COMPUTED_VALUE"""),75033.8394)</f>
        <v>75033.8394</v>
      </c>
      <c r="P13" s="20">
        <f>IFERROR(__xludf.DUMMYFUNCTION("""COMPUTED_VALUE"""),1075.5)</f>
        <v>1075.5</v>
      </c>
      <c r="Q13" s="181">
        <f>IFERROR(__xludf.DUMMYFUNCTION("""COMPUTED_VALUE"""),54.215471241283126)</f>
        <v>54.21547124</v>
      </c>
      <c r="R13" s="32">
        <f>IFERROR(__xludf.DUMMYFUNCTION("""COMPUTED_VALUE"""),58308.73932)</f>
        <v>58308.73932</v>
      </c>
      <c r="S13" s="84">
        <f>IFERROR(__xludf.DUMMYFUNCTION("""COMPUTED_VALUE"""),1465.0)</f>
        <v>1465</v>
      </c>
      <c r="T13" s="34">
        <f>IFERROR(__xludf.DUMMYFUNCTION("""COMPUTED_VALUE"""),96105.05509586053)</f>
        <v>96105.0551</v>
      </c>
      <c r="U13" s="35">
        <f>IFERROR(__xludf.DUMMYFUNCTION("""COMPUTED_VALUE"""),61.08)</f>
        <v>61.08</v>
      </c>
      <c r="V13" s="36">
        <f>IFERROR(__xludf.DUMMYFUNCTION("""COMPUTED_VALUE"""),2.7763636363636364)</f>
        <v>2.776363636</v>
      </c>
      <c r="W13" s="37">
        <f>IFERROR(__xludf.DUMMYFUNCTION("""COMPUTED_VALUE"""),0.43728522336769765)</f>
        <v>0.4372852234</v>
      </c>
      <c r="X13" s="31">
        <f>IFERROR(__xludf.DUMMYFUNCTION("""COMPUTED_VALUE"""),133342.57872)</f>
        <v>133342.5787</v>
      </c>
      <c r="Y13" s="165"/>
      <c r="Z13" s="187"/>
      <c r="AA13" s="188"/>
      <c r="AB13" s="188"/>
      <c r="AC13" s="202"/>
      <c r="AD13" s="189"/>
      <c r="AE13" s="189"/>
      <c r="AF13" s="189"/>
      <c r="AG13" s="189"/>
      <c r="AH13" s="189"/>
      <c r="AI13" s="189"/>
      <c r="AJ13" s="189"/>
      <c r="AK13" s="189"/>
      <c r="AL13" s="189"/>
      <c r="AM13" s="189"/>
      <c r="AN13" s="189"/>
      <c r="AO13" s="189"/>
      <c r="AP13" s="189"/>
      <c r="AQ13" s="189"/>
      <c r="AR13" s="189"/>
      <c r="AS13" s="189"/>
      <c r="AT13" s="189"/>
      <c r="AU13" s="189"/>
      <c r="AV13" s="189"/>
    </row>
    <row r="14" ht="15.75" customHeight="1">
      <c r="A14" s="26">
        <f>IFERROR(__xludf.DUMMYFUNCTION("""COMPUTED_VALUE"""),45627.0)</f>
        <v>45627</v>
      </c>
      <c r="B14" s="77">
        <f>IFERROR(__xludf.DUMMYFUNCTION("""COMPUTED_VALUE"""),5253773.0)</f>
        <v>5253773</v>
      </c>
      <c r="C14" s="77" t="str">
        <f>IFERROR(__xludf.DUMMYFUNCTION("""COMPUTED_VALUE"""),"Ivan BV")</f>
        <v>Ivan BV</v>
      </c>
      <c r="D14" s="29">
        <f>IFERROR(__xludf.DUMMYFUNCTION("""COMPUTED_VALUE"""),0.21)</f>
        <v>0.21</v>
      </c>
      <c r="E14" s="17">
        <f>IFERROR(__xludf.DUMMYFUNCTION("""COMPUTED_VALUE"""),695.0)</f>
        <v>695</v>
      </c>
      <c r="F14" s="17">
        <f>IFERROR(__xludf.DUMMYFUNCTION("""COMPUTED_VALUE"""),255.0)</f>
        <v>255</v>
      </c>
      <c r="G14" s="17">
        <f>IFERROR(__xludf.DUMMYFUNCTION("""COMPUTED_VALUE"""),114.0)</f>
        <v>114</v>
      </c>
      <c r="H14" s="17">
        <f>IFERROR(__xludf.DUMMYFUNCTION("""COMPUTED_VALUE"""),326.0)</f>
        <v>326</v>
      </c>
      <c r="I14" s="28" t="str">
        <f>IFERROR(__xludf.DUMMYFUNCTION("""COMPUTED_VALUE"""),"T1-R2-N1")</f>
        <v>T1-R2-N1</v>
      </c>
      <c r="J14" s="30">
        <f>IFERROR(__xludf.DUMMYFUNCTION("""COMPUTED_VALUE"""),198.9647)</f>
        <v>198.9647</v>
      </c>
      <c r="K14" s="30">
        <f>IFERROR(__xludf.DUMMYFUNCTION("""COMPUTED_VALUE"""),198.9647)</f>
        <v>198.9647</v>
      </c>
      <c r="L14" s="30">
        <f>IFERROR(__xludf.DUMMYFUNCTION("""COMPUTED_VALUE"""),198.9647)</f>
        <v>198.9647</v>
      </c>
      <c r="M14" s="15">
        <f>IFERROR(__xludf.DUMMYFUNCTION("""COMPUTED_VALUE"""),336.5)</f>
        <v>336.5</v>
      </c>
      <c r="N14" s="17">
        <f>IFERROR(__xludf.DUMMYFUNCTION("""COMPUTED_VALUE"""),1031.5)</f>
        <v>1031.5</v>
      </c>
      <c r="O14" s="31">
        <f>IFERROR(__xludf.DUMMYFUNCTION("""COMPUTED_VALUE"""),138280.4665)</f>
        <v>138280.4665</v>
      </c>
      <c r="P14" s="20">
        <f>IFERROR(__xludf.DUMMYFUNCTION("""COMPUTED_VALUE"""),1055.0)</f>
        <v>1055</v>
      </c>
      <c r="Q14" s="181">
        <f>IFERROR(__xludf.DUMMYFUNCTION("""COMPUTED_VALUE"""),63.461252654028435)</f>
        <v>63.46125265</v>
      </c>
      <c r="R14" s="32">
        <f>IFERROR(__xludf.DUMMYFUNCTION("""COMPUTED_VALUE"""),66951.62155)</f>
        <v>66951.62155</v>
      </c>
      <c r="S14" s="84">
        <f>IFERROR(__xludf.DUMMYFUNCTION("""COMPUTED_VALUE"""),1465.0)</f>
        <v>1465</v>
      </c>
      <c r="T14" s="34">
        <f>IFERROR(__xludf.DUMMYFUNCTION("""COMPUTED_VALUE"""),112494.5895171635)</f>
        <v>112494.5895</v>
      </c>
      <c r="U14" s="35">
        <f>IFERROR(__xludf.DUMMYFUNCTION("""COMPUTED_VALUE"""),67.3)</f>
        <v>67.3</v>
      </c>
      <c r="V14" s="36">
        <f>IFERROR(__xludf.DUMMYFUNCTION("""COMPUTED_VALUE"""),3.059090909090909)</f>
        <v>3.059090909</v>
      </c>
      <c r="W14" s="37">
        <f>IFERROR(__xludf.DUMMYFUNCTION("""COMPUTED_VALUE"""),0.3262239457101309)</f>
        <v>0.3262239457</v>
      </c>
      <c r="X14" s="31">
        <f>IFERROR(__xludf.DUMMYFUNCTION("""COMPUTED_VALUE"""),205232.08805000002)</f>
        <v>205232.0881</v>
      </c>
      <c r="Y14" s="165"/>
      <c r="Z14" s="187"/>
      <c r="AA14" s="188"/>
      <c r="AB14" s="188"/>
      <c r="AC14" s="202"/>
      <c r="AD14" s="189"/>
      <c r="AE14" s="189"/>
      <c r="AF14" s="189"/>
      <c r="AG14" s="189"/>
      <c r="AH14" s="189"/>
      <c r="AI14" s="189"/>
      <c r="AJ14" s="189"/>
      <c r="AK14" s="189"/>
      <c r="AL14" s="189"/>
      <c r="AM14" s="189"/>
      <c r="AN14" s="189"/>
      <c r="AO14" s="189"/>
      <c r="AP14" s="189"/>
      <c r="AQ14" s="189"/>
      <c r="AR14" s="189"/>
      <c r="AS14" s="189"/>
      <c r="AT14" s="189"/>
      <c r="AU14" s="189"/>
      <c r="AV14" s="189"/>
    </row>
    <row r="15" ht="15.75" customHeight="1">
      <c r="A15" s="26">
        <f>IFERROR(__xludf.DUMMYFUNCTION("""COMPUTED_VALUE"""),45597.0)</f>
        <v>45597</v>
      </c>
      <c r="B15" s="77">
        <f>IFERROR(__xludf.DUMMYFUNCTION("""COMPUTED_VALUE"""),5253773.0)</f>
        <v>5253773</v>
      </c>
      <c r="C15" s="77" t="str">
        <f>IFERROR(__xludf.DUMMYFUNCTION("""COMPUTED_VALUE"""),"Ivan BV")</f>
        <v>Ivan BV</v>
      </c>
      <c r="D15" s="29">
        <f>IFERROR(__xludf.DUMMYFUNCTION("""COMPUTED_VALUE"""),0.21)</f>
        <v>0.21</v>
      </c>
      <c r="E15" s="17">
        <f>IFERROR(__xludf.DUMMYFUNCTION("""COMPUTED_VALUE"""),699.0)</f>
        <v>699</v>
      </c>
      <c r="F15" s="17">
        <f>IFERROR(__xludf.DUMMYFUNCTION("""COMPUTED_VALUE"""),275.0)</f>
        <v>275</v>
      </c>
      <c r="G15" s="17">
        <f>IFERROR(__xludf.DUMMYFUNCTION("""COMPUTED_VALUE"""),98.0)</f>
        <v>98</v>
      </c>
      <c r="H15" s="17">
        <f>IFERROR(__xludf.DUMMYFUNCTION("""COMPUTED_VALUE"""),326.0)</f>
        <v>326</v>
      </c>
      <c r="I15" s="28" t="str">
        <f>IFERROR(__xludf.DUMMYFUNCTION("""COMPUTED_VALUE"""),"T1-R2-N1")</f>
        <v>T1-R2-N1</v>
      </c>
      <c r="J15" s="30">
        <f>IFERROR(__xludf.DUMMYFUNCTION("""COMPUTED_VALUE"""),195.6098)</f>
        <v>195.6098</v>
      </c>
      <c r="K15" s="30">
        <f>IFERROR(__xludf.DUMMYFUNCTION("""COMPUTED_VALUE"""),195.6098)</f>
        <v>195.6098</v>
      </c>
      <c r="L15" s="30">
        <f>IFERROR(__xludf.DUMMYFUNCTION("""COMPUTED_VALUE"""),195.6098)</f>
        <v>195.6098</v>
      </c>
      <c r="M15" s="15">
        <f>IFERROR(__xludf.DUMMYFUNCTION("""COMPUTED_VALUE"""),309.3)</f>
        <v>309.3</v>
      </c>
      <c r="N15" s="17">
        <f>IFERROR(__xludf.DUMMYFUNCTION("""COMPUTED_VALUE"""),1008.3)</f>
        <v>1008.3</v>
      </c>
      <c r="O15" s="31">
        <f>IFERROR(__xludf.DUMMYFUNCTION("""COMPUTED_VALUE"""),136731.2502)</f>
        <v>136731.2502</v>
      </c>
      <c r="P15" s="20">
        <f>IFERROR(__xludf.DUMMYFUNCTION("""COMPUTED_VALUE"""),1032.5)</f>
        <v>1032.5</v>
      </c>
      <c r="Q15" s="181">
        <f>IFERROR(__xludf.DUMMYFUNCTION("""COMPUTED_VALUE"""),58.597686334140434)</f>
        <v>58.59768633</v>
      </c>
      <c r="R15" s="32">
        <f>IFERROR(__xludf.DUMMYFUNCTION("""COMPUTED_VALUE"""),60502.11114)</f>
        <v>60502.11114</v>
      </c>
      <c r="S15" s="84">
        <f>IFERROR(__xludf.DUMMYFUNCTION("""COMPUTED_VALUE"""),1465.0)</f>
        <v>1465</v>
      </c>
      <c r="T15" s="34">
        <f>IFERROR(__xludf.DUMMYFUNCTION("""COMPUTED_VALUE"""),103873.18868021404)</f>
        <v>103873.1887</v>
      </c>
      <c r="U15" s="35">
        <f>IFERROR(__xludf.DUMMYFUNCTION("""COMPUTED_VALUE"""),61.86000000000001)</f>
        <v>61.86</v>
      </c>
      <c r="V15" s="36">
        <f>IFERROR(__xludf.DUMMYFUNCTION("""COMPUTED_VALUE"""),2.811818181818182)</f>
        <v>2.811818182</v>
      </c>
      <c r="W15" s="37">
        <f>IFERROR(__xludf.DUMMYFUNCTION("""COMPUTED_VALUE"""),0.3067539422790836)</f>
        <v>0.3067539423</v>
      </c>
      <c r="X15" s="31">
        <f>IFERROR(__xludf.DUMMYFUNCTION("""COMPUTED_VALUE"""),197233.36134)</f>
        <v>197233.3613</v>
      </c>
      <c r="Y15" s="165"/>
      <c r="Z15" s="187"/>
      <c r="AA15" s="188"/>
      <c r="AB15" s="188"/>
      <c r="AC15" s="202"/>
      <c r="AD15" s="189"/>
      <c r="AE15" s="189"/>
      <c r="AF15" s="189"/>
      <c r="AG15" s="189"/>
      <c r="AH15" s="189"/>
      <c r="AI15" s="189"/>
      <c r="AJ15" s="189"/>
      <c r="AK15" s="189"/>
      <c r="AL15" s="189"/>
      <c r="AM15" s="189"/>
      <c r="AN15" s="189"/>
      <c r="AO15" s="189"/>
      <c r="AP15" s="189"/>
      <c r="AQ15" s="189"/>
      <c r="AR15" s="189"/>
      <c r="AS15" s="189"/>
      <c r="AT15" s="189"/>
      <c r="AU15" s="189"/>
      <c r="AV15" s="189"/>
    </row>
    <row r="16" ht="15.75" customHeight="1">
      <c r="A16" s="26">
        <f>IFERROR(__xludf.DUMMYFUNCTION("""COMPUTED_VALUE"""),45589.0)</f>
        <v>45589</v>
      </c>
      <c r="B16" s="77">
        <f>IFERROR(__xludf.DUMMYFUNCTION("""COMPUTED_VALUE"""),5253773.0)</f>
        <v>5253773</v>
      </c>
      <c r="C16" s="77" t="str">
        <f>IFERROR(__xludf.DUMMYFUNCTION("""COMPUTED_VALUE"""),"Ivan BV")</f>
        <v>Ivan BV</v>
      </c>
      <c r="D16" s="29">
        <f>IFERROR(__xludf.DUMMYFUNCTION("""COMPUTED_VALUE"""),0.21)</f>
        <v>0.21</v>
      </c>
      <c r="E16" s="17">
        <f>IFERROR(__xludf.DUMMYFUNCTION("""COMPUTED_VALUE"""),616.0)</f>
        <v>616</v>
      </c>
      <c r="F16" s="17">
        <f>IFERROR(__xludf.DUMMYFUNCTION("""COMPUTED_VALUE"""),251.0)</f>
        <v>251</v>
      </c>
      <c r="G16" s="17">
        <f>IFERROR(__xludf.DUMMYFUNCTION("""COMPUTED_VALUE"""),98.0)</f>
        <v>98</v>
      </c>
      <c r="H16" s="17">
        <f>IFERROR(__xludf.DUMMYFUNCTION("""COMPUTED_VALUE"""),267.0)</f>
        <v>267</v>
      </c>
      <c r="I16" s="28" t="str">
        <f>IFERROR(__xludf.DUMMYFUNCTION("""COMPUTED_VALUE"""),"T1-R2-N1")</f>
        <v>T1-R2-N1</v>
      </c>
      <c r="J16" s="30">
        <f>IFERROR(__xludf.DUMMYFUNCTION("""COMPUTED_VALUE"""),191.5508)</f>
        <v>191.5508</v>
      </c>
      <c r="K16" s="30">
        <f>IFERROR(__xludf.DUMMYFUNCTION("""COMPUTED_VALUE"""),191.5508)</f>
        <v>191.5508</v>
      </c>
      <c r="L16" s="30">
        <f>IFERROR(__xludf.DUMMYFUNCTION("""COMPUTED_VALUE"""),191.5508)</f>
        <v>191.5508</v>
      </c>
      <c r="M16" s="15">
        <f>IFERROR(__xludf.DUMMYFUNCTION("""COMPUTED_VALUE"""),327.1)</f>
        <v>327.1</v>
      </c>
      <c r="N16" s="17">
        <f>IFERROR(__xludf.DUMMYFUNCTION("""COMPUTED_VALUE"""),943.1)</f>
        <v>943.1</v>
      </c>
      <c r="O16" s="31">
        <f>IFERROR(__xludf.DUMMYFUNCTION("""COMPUTED_VALUE"""),117995.2928)</f>
        <v>117995.2928</v>
      </c>
      <c r="P16" s="20">
        <f>IFERROR(__xludf.DUMMYFUNCTION("""COMPUTED_VALUE"""),1013.0)</f>
        <v>1013</v>
      </c>
      <c r="Q16" s="181">
        <f>IFERROR(__xludf.DUMMYFUNCTION("""COMPUTED_VALUE"""),61.85218823297138)</f>
        <v>61.85218823</v>
      </c>
      <c r="R16" s="32">
        <f>IFERROR(__xludf.DUMMYFUNCTION("""COMPUTED_VALUE"""),62656.26668000001)</f>
        <v>62656.26668</v>
      </c>
      <c r="S16" s="84">
        <f>IFERROR(__xludf.DUMMYFUNCTION("""COMPUTED_VALUE"""),1465.0)</f>
        <v>1465</v>
      </c>
      <c r="T16" s="34">
        <f>IFERROR(__xludf.DUMMYFUNCTION("""COMPUTED_VALUE"""),109642.28147117671)</f>
        <v>109642.2815</v>
      </c>
      <c r="U16" s="35">
        <f>IFERROR(__xludf.DUMMYFUNCTION("""COMPUTED_VALUE"""),65.42)</f>
        <v>65.42</v>
      </c>
      <c r="V16" s="36">
        <f>IFERROR(__xludf.DUMMYFUNCTION("""COMPUTED_VALUE"""),2.9736363636363636)</f>
        <v>2.973636364</v>
      </c>
      <c r="W16" s="37">
        <f>IFERROR(__xludf.DUMMYFUNCTION("""COMPUTED_VALUE"""),0.3468349061605344)</f>
        <v>0.3468349062</v>
      </c>
      <c r="X16" s="31">
        <f>IFERROR(__xludf.DUMMYFUNCTION("""COMPUTED_VALUE"""),180651.55948)</f>
        <v>180651.5595</v>
      </c>
      <c r="Y16" s="165"/>
      <c r="Z16" s="187"/>
      <c r="AA16" s="188"/>
      <c r="AB16" s="188"/>
      <c r="AC16" s="202"/>
      <c r="AD16" s="189"/>
      <c r="AE16" s="189"/>
      <c r="AF16" s="189"/>
      <c r="AG16" s="189"/>
      <c r="AH16" s="189"/>
      <c r="AI16" s="189"/>
      <c r="AJ16" s="189"/>
      <c r="AK16" s="189"/>
      <c r="AL16" s="189"/>
      <c r="AM16" s="189"/>
      <c r="AN16" s="189"/>
      <c r="AO16" s="189"/>
      <c r="AP16" s="189"/>
      <c r="AQ16" s="189"/>
      <c r="AR16" s="189"/>
      <c r="AS16" s="189"/>
      <c r="AT16" s="189"/>
      <c r="AU16" s="189"/>
      <c r="AV16" s="189"/>
    </row>
    <row r="17" ht="15.75" customHeight="1">
      <c r="A17" s="26">
        <f>IFERROR(__xludf.DUMMYFUNCTION("""COMPUTED_VALUE"""),45565.0)</f>
        <v>45565</v>
      </c>
      <c r="B17" s="77">
        <f>IFERROR(__xludf.DUMMYFUNCTION("""COMPUTED_VALUE"""),5253773.0)</f>
        <v>5253773</v>
      </c>
      <c r="C17" s="77" t="str">
        <f>IFERROR(__xludf.DUMMYFUNCTION("""COMPUTED_VALUE"""),"Ivan BV")</f>
        <v>Ivan BV</v>
      </c>
      <c r="D17" s="29">
        <f>IFERROR(__xludf.DUMMYFUNCTION("""COMPUTED_VALUE"""),0.21)</f>
        <v>0.21</v>
      </c>
      <c r="E17" s="17">
        <f>IFERROR(__xludf.DUMMYFUNCTION("""COMPUTED_VALUE"""),544.0)</f>
        <v>544</v>
      </c>
      <c r="F17" s="17">
        <f>IFERROR(__xludf.DUMMYFUNCTION("""COMPUTED_VALUE"""),222.0)</f>
        <v>222</v>
      </c>
      <c r="G17" s="17">
        <f>IFERROR(__xludf.DUMMYFUNCTION("""COMPUTED_VALUE"""),109.0)</f>
        <v>109</v>
      </c>
      <c r="H17" s="17">
        <f>IFERROR(__xludf.DUMMYFUNCTION("""COMPUTED_VALUE"""),213.0)</f>
        <v>213</v>
      </c>
      <c r="I17" s="28" t="str">
        <f>IFERROR(__xludf.DUMMYFUNCTION("""COMPUTED_VALUE"""),"T1-R2-N1")</f>
        <v>T1-R2-N1</v>
      </c>
      <c r="J17" s="30">
        <f>IFERROR(__xludf.DUMMYFUNCTION("""COMPUTED_VALUE"""),185.7798)</f>
        <v>185.7798</v>
      </c>
      <c r="K17" s="30">
        <f>IFERROR(__xludf.DUMMYFUNCTION("""COMPUTED_VALUE"""),185.7798)</f>
        <v>185.7798</v>
      </c>
      <c r="L17" s="30">
        <f>IFERROR(__xludf.DUMMYFUNCTION("""COMPUTED_VALUE"""),185.7798)</f>
        <v>185.7798</v>
      </c>
      <c r="M17" s="15">
        <f>IFERROR(__xludf.DUMMYFUNCTION("""COMPUTED_VALUE"""),263.7)</f>
        <v>263.7</v>
      </c>
      <c r="N17" s="17">
        <f>IFERROR(__xludf.DUMMYFUNCTION("""COMPUTED_VALUE"""),807.7)</f>
        <v>807.7</v>
      </c>
      <c r="O17" s="31">
        <f>IFERROR(__xludf.DUMMYFUNCTION("""COMPUTED_VALUE"""),101064.21119999999)</f>
        <v>101064.2112</v>
      </c>
      <c r="P17" s="20">
        <f>IFERROR(__xludf.DUMMYFUNCTION("""COMPUTED_VALUE"""),992.5)</f>
        <v>992.5</v>
      </c>
      <c r="Q17" s="181">
        <f>IFERROR(__xludf.DUMMYFUNCTION("""COMPUTED_VALUE"""),49.36033577833753)</f>
        <v>49.36033578</v>
      </c>
      <c r="R17" s="32">
        <f>IFERROR(__xludf.DUMMYFUNCTION("""COMPUTED_VALUE"""),48990.133259999995)</f>
        <v>48990.13326</v>
      </c>
      <c r="S17" s="84">
        <f>IFERROR(__xludf.DUMMYFUNCTION("""COMPUTED_VALUE"""),1465.0)</f>
        <v>1465</v>
      </c>
      <c r="T17" s="34">
        <f>IFERROR(__xludf.DUMMYFUNCTION("""COMPUTED_VALUE"""),87498.59921747002)</f>
        <v>87498.59922</v>
      </c>
      <c r="U17" s="35">
        <f>IFERROR(__xludf.DUMMYFUNCTION("""COMPUTED_VALUE"""),52.74)</f>
        <v>52.74</v>
      </c>
      <c r="V17" s="36">
        <f>IFERROR(__xludf.DUMMYFUNCTION("""COMPUTED_VALUE"""),2.3972727272727274)</f>
        <v>2.397272727</v>
      </c>
      <c r="W17" s="37">
        <f>IFERROR(__xludf.DUMMYFUNCTION("""COMPUTED_VALUE"""),0.3264826049275721)</f>
        <v>0.3264826049</v>
      </c>
      <c r="X17" s="31">
        <f>IFERROR(__xludf.DUMMYFUNCTION("""COMPUTED_VALUE"""),150054.34446)</f>
        <v>150054.3445</v>
      </c>
      <c r="Y17" s="165"/>
      <c r="Z17" s="187"/>
      <c r="AA17" s="188"/>
      <c r="AB17" s="188"/>
      <c r="AC17" s="202"/>
      <c r="AD17" s="189"/>
      <c r="AE17" s="189"/>
      <c r="AF17" s="189"/>
      <c r="AG17" s="189"/>
      <c r="AH17" s="189"/>
      <c r="AI17" s="189"/>
      <c r="AJ17" s="189"/>
      <c r="AK17" s="189"/>
      <c r="AL17" s="189"/>
      <c r="AM17" s="189"/>
      <c r="AN17" s="189"/>
      <c r="AO17" s="189"/>
      <c r="AP17" s="189"/>
      <c r="AQ17" s="189"/>
      <c r="AR17" s="189"/>
      <c r="AS17" s="189"/>
      <c r="AT17" s="189"/>
      <c r="AU17" s="189"/>
      <c r="AV17" s="189"/>
    </row>
    <row r="18" ht="15.75" customHeight="1">
      <c r="A18" s="26">
        <f>IFERROR(__xludf.DUMMYFUNCTION("""COMPUTED_VALUE"""),45528.0)</f>
        <v>45528</v>
      </c>
      <c r="B18" s="77">
        <f>IFERROR(__xludf.DUMMYFUNCTION("""COMPUTED_VALUE"""),5253773.0)</f>
        <v>5253773</v>
      </c>
      <c r="C18" s="77" t="str">
        <f>IFERROR(__xludf.DUMMYFUNCTION("""COMPUTED_VALUE"""),"Ivan BV")</f>
        <v>Ivan BV</v>
      </c>
      <c r="D18" s="29">
        <f>IFERROR(__xludf.DUMMYFUNCTION("""COMPUTED_VALUE"""),0.21)</f>
        <v>0.21</v>
      </c>
      <c r="E18" s="17">
        <f>IFERROR(__xludf.DUMMYFUNCTION("""COMPUTED_VALUE"""),646.0)</f>
        <v>646</v>
      </c>
      <c r="F18" s="17">
        <f>IFERROR(__xludf.DUMMYFUNCTION("""COMPUTED_VALUE"""),242.0)</f>
        <v>242</v>
      </c>
      <c r="G18" s="17">
        <f>IFERROR(__xludf.DUMMYFUNCTION("""COMPUTED_VALUE"""),131.0)</f>
        <v>131</v>
      </c>
      <c r="H18" s="17">
        <f>IFERROR(__xludf.DUMMYFUNCTION("""COMPUTED_VALUE"""),273.0)</f>
        <v>273</v>
      </c>
      <c r="I18" s="28" t="str">
        <f>IFERROR(__xludf.DUMMYFUNCTION("""COMPUTED_VALUE"""),"T1-R2-N1")</f>
        <v>T1-R2-N1</v>
      </c>
      <c r="J18" s="30">
        <f>IFERROR(__xludf.DUMMYFUNCTION("""COMPUTED_VALUE"""),175.6135)</f>
        <v>175.6135</v>
      </c>
      <c r="K18" s="30">
        <f>IFERROR(__xludf.DUMMYFUNCTION("""COMPUTED_VALUE"""),175.6135)</f>
        <v>175.6135</v>
      </c>
      <c r="L18" s="30">
        <f>IFERROR(__xludf.DUMMYFUNCTION("""COMPUTED_VALUE"""),175.6135)</f>
        <v>175.6135</v>
      </c>
      <c r="M18" s="15">
        <f>IFERROR(__xludf.DUMMYFUNCTION("""COMPUTED_VALUE"""),202.4)</f>
        <v>202.4</v>
      </c>
      <c r="N18" s="17">
        <f>IFERROR(__xludf.DUMMYFUNCTION("""COMPUTED_VALUE"""),848.4)</f>
        <v>848.4</v>
      </c>
      <c r="O18" s="31">
        <f>IFERROR(__xludf.DUMMYFUNCTION("""COMPUTED_VALUE"""),113446.321)</f>
        <v>113446.321</v>
      </c>
      <c r="P18" s="20">
        <f>IFERROR(__xludf.DUMMYFUNCTION("""COMPUTED_VALUE"""),973.5)</f>
        <v>973.5</v>
      </c>
      <c r="Q18" s="181">
        <f>IFERROR(__xludf.DUMMYFUNCTION("""COMPUTED_VALUE"""),36.51173333333333)</f>
        <v>36.51173333</v>
      </c>
      <c r="R18" s="32">
        <f>IFERROR(__xludf.DUMMYFUNCTION("""COMPUTED_VALUE"""),35544.172399999996)</f>
        <v>35544.1724</v>
      </c>
      <c r="S18" s="84">
        <f>IFERROR(__xludf.DUMMYFUNCTION("""COMPUTED_VALUE"""),1465.0)</f>
        <v>1465</v>
      </c>
      <c r="T18" s="34">
        <f>IFERROR(__xludf.DUMMYFUNCTION("""COMPUTED_VALUE"""),64722.524093333326)</f>
        <v>64722.52409</v>
      </c>
      <c r="U18" s="35">
        <f>IFERROR(__xludf.DUMMYFUNCTION("""COMPUTED_VALUE"""),40.480000000000004)</f>
        <v>40.48</v>
      </c>
      <c r="V18" s="36">
        <f>IFERROR(__xludf.DUMMYFUNCTION("""COMPUTED_VALUE"""),1.84)</f>
        <v>1.84</v>
      </c>
      <c r="W18" s="37">
        <f>IFERROR(__xludf.DUMMYFUNCTION("""COMPUTED_VALUE"""),0.23856671381423858)</f>
        <v>0.2385667138</v>
      </c>
      <c r="X18" s="31">
        <f>IFERROR(__xludf.DUMMYFUNCTION("""COMPUTED_VALUE"""),148990.49339999998)</f>
        <v>148990.4934</v>
      </c>
      <c r="Y18" s="165"/>
      <c r="Z18" s="187"/>
      <c r="AA18" s="188"/>
      <c r="AB18" s="188"/>
      <c r="AC18" s="202"/>
      <c r="AD18" s="189"/>
      <c r="AE18" s="189"/>
      <c r="AF18" s="189"/>
      <c r="AG18" s="189"/>
      <c r="AH18" s="189"/>
      <c r="AI18" s="189"/>
      <c r="AJ18" s="189"/>
      <c r="AK18" s="189"/>
      <c r="AL18" s="189"/>
      <c r="AM18" s="189"/>
      <c r="AN18" s="189"/>
      <c r="AO18" s="189"/>
      <c r="AP18" s="189"/>
      <c r="AQ18" s="189"/>
      <c r="AR18" s="189"/>
      <c r="AS18" s="189"/>
      <c r="AT18" s="189"/>
      <c r="AU18" s="189"/>
      <c r="AV18" s="189"/>
    </row>
    <row r="19" ht="15.75" customHeight="1">
      <c r="A19" s="26">
        <f>IFERROR(__xludf.DUMMYFUNCTION("""COMPUTED_VALUE"""),45497.0)</f>
        <v>45497</v>
      </c>
      <c r="B19" s="77">
        <f>IFERROR(__xludf.DUMMYFUNCTION("""COMPUTED_VALUE"""),5253773.0)</f>
        <v>5253773</v>
      </c>
      <c r="C19" s="77" t="str">
        <f>IFERROR(__xludf.DUMMYFUNCTION("""COMPUTED_VALUE"""),"Ivan BV")</f>
        <v>Ivan BV</v>
      </c>
      <c r="D19" s="29">
        <f>IFERROR(__xludf.DUMMYFUNCTION("""COMPUTED_VALUE"""),0.21)</f>
        <v>0.21</v>
      </c>
      <c r="E19" s="17">
        <f>IFERROR(__xludf.DUMMYFUNCTION("""COMPUTED_VALUE"""),590.0)</f>
        <v>590</v>
      </c>
      <c r="F19" s="17">
        <f>IFERROR(__xludf.DUMMYFUNCTION("""COMPUTED_VALUE"""),217.0)</f>
        <v>217</v>
      </c>
      <c r="G19" s="17">
        <f>IFERROR(__xludf.DUMMYFUNCTION("""COMPUTED_VALUE"""),130.0)</f>
        <v>130</v>
      </c>
      <c r="H19" s="17">
        <f>IFERROR(__xludf.DUMMYFUNCTION("""COMPUTED_VALUE"""),243.0)</f>
        <v>243</v>
      </c>
      <c r="I19" s="28" t="str">
        <f>IFERROR(__xludf.DUMMYFUNCTION("""COMPUTED_VALUE"""),"T1-R2-N1")</f>
        <v>T1-R2-N1</v>
      </c>
      <c r="J19" s="30">
        <f>IFERROR(__xludf.DUMMYFUNCTION("""COMPUTED_VALUE"""),158.1521)</f>
        <v>158.1521</v>
      </c>
      <c r="K19" s="30">
        <f>IFERROR(__xludf.DUMMYFUNCTION("""COMPUTED_VALUE"""),158.1521)</f>
        <v>158.1521</v>
      </c>
      <c r="L19" s="30">
        <f>IFERROR(__xludf.DUMMYFUNCTION("""COMPUTED_VALUE"""),158.1521)</f>
        <v>158.1521</v>
      </c>
      <c r="M19" s="15">
        <f>IFERROR(__xludf.DUMMYFUNCTION("""COMPUTED_VALUE"""),167.1)</f>
        <v>167.1</v>
      </c>
      <c r="N19" s="17">
        <f>IFERROR(__xludf.DUMMYFUNCTION("""COMPUTED_VALUE"""),757.1)</f>
        <v>757.1</v>
      </c>
      <c r="O19" s="31">
        <f>IFERROR(__xludf.DUMMYFUNCTION("""COMPUTED_VALUE"""),93309.739)</f>
        <v>93309.739</v>
      </c>
      <c r="P19" s="20">
        <f>IFERROR(__xludf.DUMMYFUNCTION("""COMPUTED_VALUE"""),954.0)</f>
        <v>954</v>
      </c>
      <c r="Q19" s="181">
        <f>IFERROR(__xludf.DUMMYFUNCTION("""COMPUTED_VALUE"""),27.701484182389937)</f>
        <v>27.70148418</v>
      </c>
      <c r="R19" s="32">
        <f>IFERROR(__xludf.DUMMYFUNCTION("""COMPUTED_VALUE"""),26427.21591)</f>
        <v>26427.21591</v>
      </c>
      <c r="S19" s="84">
        <f>IFERROR(__xludf.DUMMYFUNCTION("""COMPUTED_VALUE"""),1465.0)</f>
        <v>1465</v>
      </c>
      <c r="T19" s="34">
        <f>IFERROR(__xludf.DUMMYFUNCTION("""COMPUTED_VALUE"""),49105.035935913525)</f>
        <v>49105.03594</v>
      </c>
      <c r="U19" s="35">
        <f>IFERROR(__xludf.DUMMYFUNCTION("""COMPUTED_VALUE"""),33.42)</f>
        <v>33.42</v>
      </c>
      <c r="V19" s="36">
        <f>IFERROR(__xludf.DUMMYFUNCTION("""COMPUTED_VALUE"""),1.5190909090909093)</f>
        <v>1.519090909</v>
      </c>
      <c r="W19" s="37">
        <f>IFERROR(__xludf.DUMMYFUNCTION("""COMPUTED_VALUE"""),0.22071060626073175)</f>
        <v>0.2207106063</v>
      </c>
      <c r="X19" s="31">
        <f>IFERROR(__xludf.DUMMYFUNCTION("""COMPUTED_VALUE"""),119736.95491)</f>
        <v>119736.9549</v>
      </c>
      <c r="Y19" s="165"/>
      <c r="Z19" s="187"/>
      <c r="AA19" s="188"/>
      <c r="AB19" s="188"/>
      <c r="AC19" s="202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189"/>
      <c r="AP19" s="189"/>
      <c r="AQ19" s="189"/>
      <c r="AR19" s="189"/>
      <c r="AS19" s="189"/>
      <c r="AT19" s="189"/>
      <c r="AU19" s="189"/>
      <c r="AV19" s="189"/>
    </row>
    <row r="20" ht="15.75" customHeight="1">
      <c r="A20" s="26">
        <f>IFERROR(__xludf.DUMMYFUNCTION("""COMPUTED_VALUE"""),45444.0)</f>
        <v>45444</v>
      </c>
      <c r="B20" s="77">
        <f>IFERROR(__xludf.DUMMYFUNCTION("""COMPUTED_VALUE"""),5253773.0)</f>
        <v>5253773</v>
      </c>
      <c r="C20" s="77" t="str">
        <f>IFERROR(__xludf.DUMMYFUNCTION("""COMPUTED_VALUE"""),"Ivan BV")</f>
        <v>Ivan BV</v>
      </c>
      <c r="D20" s="29">
        <f>IFERROR(__xludf.DUMMYFUNCTION("""COMPUTED_VALUE"""),0.21)</f>
        <v>0.21</v>
      </c>
      <c r="E20" s="17">
        <f>IFERROR(__xludf.DUMMYFUNCTION("""COMPUTED_VALUE"""),543.0)</f>
        <v>543</v>
      </c>
      <c r="F20" s="17">
        <f>IFERROR(__xludf.DUMMYFUNCTION("""COMPUTED_VALUE"""),205.0)</f>
        <v>205</v>
      </c>
      <c r="G20" s="17">
        <f>IFERROR(__xludf.DUMMYFUNCTION("""COMPUTED_VALUE"""),122.0)</f>
        <v>122</v>
      </c>
      <c r="H20" s="17">
        <f>IFERROR(__xludf.DUMMYFUNCTION("""COMPUTED_VALUE"""),216.0)</f>
        <v>216</v>
      </c>
      <c r="I20" s="28" t="str">
        <f>IFERROR(__xludf.DUMMYFUNCTION("""COMPUTED_VALUE"""),"T1-R2-N1")</f>
        <v>T1-R2-N1</v>
      </c>
      <c r="J20" s="30">
        <f>IFERROR(__xludf.DUMMYFUNCTION("""COMPUTED_VALUE"""),148.1356)</f>
        <v>148.1356</v>
      </c>
      <c r="K20" s="30">
        <f>IFERROR(__xludf.DUMMYFUNCTION("""COMPUTED_VALUE"""),148.1356)</f>
        <v>148.1356</v>
      </c>
      <c r="L20" s="30">
        <f>IFERROR(__xludf.DUMMYFUNCTION("""COMPUTED_VALUE"""),148.1356)</f>
        <v>148.1356</v>
      </c>
      <c r="M20" s="15">
        <f>IFERROR(__xludf.DUMMYFUNCTION("""COMPUTED_VALUE"""),188.0)</f>
        <v>188</v>
      </c>
      <c r="N20" s="17">
        <f>IFERROR(__xludf.DUMMYFUNCTION("""COMPUTED_VALUE"""),731.0)</f>
        <v>731</v>
      </c>
      <c r="O20" s="31">
        <f>IFERROR(__xludf.DUMMYFUNCTION("""COMPUTED_VALUE"""),80437.63080000001)</f>
        <v>80437.6308</v>
      </c>
      <c r="P20" s="20">
        <f>IFERROR(__xludf.DUMMYFUNCTION("""COMPUTED_VALUE"""),934.0)</f>
        <v>934</v>
      </c>
      <c r="Q20" s="181">
        <f>IFERROR(__xludf.DUMMYFUNCTION("""COMPUTED_VALUE"""),29.81744411134904)</f>
        <v>29.81744411</v>
      </c>
      <c r="R20" s="32">
        <f>IFERROR(__xludf.DUMMYFUNCTION("""COMPUTED_VALUE"""),27849.492800000004)</f>
        <v>27849.4928</v>
      </c>
      <c r="S20" s="84">
        <f>IFERROR(__xludf.DUMMYFUNCTION("""COMPUTED_VALUE"""),1465.0)</f>
        <v>1465</v>
      </c>
      <c r="T20" s="34">
        <f>IFERROR(__xludf.DUMMYFUNCTION("""COMPUTED_VALUE"""),52855.89230398288)</f>
        <v>52855.8923</v>
      </c>
      <c r="U20" s="35">
        <f>IFERROR(__xludf.DUMMYFUNCTION("""COMPUTED_VALUE"""),37.6)</f>
        <v>37.6</v>
      </c>
      <c r="V20" s="36">
        <f>IFERROR(__xludf.DUMMYFUNCTION("""COMPUTED_VALUE"""),1.7090909090909092)</f>
        <v>1.709090909</v>
      </c>
      <c r="W20" s="37">
        <f>IFERROR(__xludf.DUMMYFUNCTION("""COMPUTED_VALUE"""),0.25718194254445964)</f>
        <v>0.2571819425</v>
      </c>
      <c r="X20" s="31">
        <f>IFERROR(__xludf.DUMMYFUNCTION("""COMPUTED_VALUE"""),108287.12360000002)</f>
        <v>108287.1236</v>
      </c>
      <c r="Y20" s="165"/>
      <c r="Z20" s="187"/>
      <c r="AA20" s="188"/>
      <c r="AB20" s="188"/>
      <c r="AC20" s="202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189"/>
      <c r="AP20" s="189"/>
      <c r="AQ20" s="189"/>
      <c r="AR20" s="189"/>
      <c r="AS20" s="189"/>
      <c r="AT20" s="189"/>
      <c r="AU20" s="189"/>
      <c r="AV20" s="189"/>
    </row>
    <row r="21" ht="15.75" customHeight="1">
      <c r="A21" s="26">
        <f>IFERROR(__xludf.DUMMYFUNCTION("""COMPUTED_VALUE"""),45417.0)</f>
        <v>45417</v>
      </c>
      <c r="B21" s="77">
        <f>IFERROR(__xludf.DUMMYFUNCTION("""COMPUTED_VALUE"""),5253773.0)</f>
        <v>5253773</v>
      </c>
      <c r="C21" s="77" t="str">
        <f>IFERROR(__xludf.DUMMYFUNCTION("""COMPUTED_VALUE"""),"Ivan BV")</f>
        <v>Ivan BV</v>
      </c>
      <c r="D21" s="29">
        <f>IFERROR(__xludf.DUMMYFUNCTION("""COMPUTED_VALUE"""),0.21)</f>
        <v>0.21</v>
      </c>
      <c r="E21" s="17">
        <f>IFERROR(__xludf.DUMMYFUNCTION("""COMPUTED_VALUE"""),787.0)</f>
        <v>787</v>
      </c>
      <c r="F21" s="17">
        <f>IFERROR(__xludf.DUMMYFUNCTION("""COMPUTED_VALUE"""),283.0)</f>
        <v>283</v>
      </c>
      <c r="G21" s="17">
        <f>IFERROR(__xludf.DUMMYFUNCTION("""COMPUTED_VALUE"""),139.0)</f>
        <v>139</v>
      </c>
      <c r="H21" s="17">
        <f>IFERROR(__xludf.DUMMYFUNCTION("""COMPUTED_VALUE"""),365.0)</f>
        <v>365</v>
      </c>
      <c r="I21" s="28" t="str">
        <f>IFERROR(__xludf.DUMMYFUNCTION("""COMPUTED_VALUE"""),"T1-R2-N1")</f>
        <v>T1-R2-N1</v>
      </c>
      <c r="J21" s="30">
        <f>IFERROR(__xludf.DUMMYFUNCTION("""COMPUTED_VALUE"""),137.19)</f>
        <v>137.19</v>
      </c>
      <c r="K21" s="30">
        <f>IFERROR(__xludf.DUMMYFUNCTION("""COMPUTED_VALUE"""),137.19)</f>
        <v>137.19</v>
      </c>
      <c r="L21" s="30">
        <f>IFERROR(__xludf.DUMMYFUNCTION("""COMPUTED_VALUE"""),137.19)</f>
        <v>137.19</v>
      </c>
      <c r="M21" s="15">
        <f>IFERROR(__xludf.DUMMYFUNCTION("""COMPUTED_VALUE"""),167.7)</f>
        <v>167.7</v>
      </c>
      <c r="N21" s="17">
        <f>IFERROR(__xludf.DUMMYFUNCTION("""COMPUTED_VALUE"""),954.7)</f>
        <v>954.7</v>
      </c>
      <c r="O21" s="31">
        <f>IFERROR(__xludf.DUMMYFUNCTION("""COMPUTED_VALUE"""),107968.53)</f>
        <v>107968.53</v>
      </c>
      <c r="P21" s="20">
        <f>IFERROR(__xludf.DUMMYFUNCTION("""COMPUTED_VALUE"""),918.0)</f>
        <v>918</v>
      </c>
      <c r="Q21" s="181">
        <f>IFERROR(__xludf.DUMMYFUNCTION("""COMPUTED_VALUE"""),25.061833333333333)</f>
        <v>25.06183333</v>
      </c>
      <c r="R21" s="32">
        <f>IFERROR(__xludf.DUMMYFUNCTION("""COMPUTED_VALUE"""),23006.763)</f>
        <v>23006.763</v>
      </c>
      <c r="S21" s="84">
        <f>IFERROR(__xludf.DUMMYFUNCTION("""COMPUTED_VALUE"""),1465.0)</f>
        <v>1465</v>
      </c>
      <c r="T21" s="34">
        <f>IFERROR(__xludf.DUMMYFUNCTION("""COMPUTED_VALUE"""),44425.858858333326)</f>
        <v>44425.85886</v>
      </c>
      <c r="U21" s="35">
        <f>IFERROR(__xludf.DUMMYFUNCTION("""COMPUTED_VALUE"""),33.54)</f>
        <v>33.54</v>
      </c>
      <c r="V21" s="36">
        <f>IFERROR(__xludf.DUMMYFUNCTION("""COMPUTED_VALUE"""),1.5245454545454544)</f>
        <v>1.524545455</v>
      </c>
      <c r="W21" s="37">
        <f>IFERROR(__xludf.DUMMYFUNCTION("""COMPUTED_VALUE"""),0.1756572745365036)</f>
        <v>0.1756572745</v>
      </c>
      <c r="X21" s="31">
        <f>IFERROR(__xludf.DUMMYFUNCTION("""COMPUTED_VALUE"""),130975.293)</f>
        <v>130975.293</v>
      </c>
      <c r="Y21" s="165"/>
      <c r="Z21" s="187"/>
      <c r="AA21" s="188"/>
      <c r="AB21" s="188"/>
      <c r="AC21" s="202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189"/>
      <c r="AP21" s="189"/>
      <c r="AQ21" s="189"/>
      <c r="AR21" s="189"/>
      <c r="AS21" s="189"/>
      <c r="AT21" s="189"/>
      <c r="AU21" s="189"/>
      <c r="AV21" s="189"/>
    </row>
    <row r="22" ht="15.75" customHeight="1">
      <c r="A22" s="26">
        <f>IFERROR(__xludf.DUMMYFUNCTION("""COMPUTED_VALUE"""),45383.0)</f>
        <v>45383</v>
      </c>
      <c r="B22" s="77">
        <f>IFERROR(__xludf.DUMMYFUNCTION("""COMPUTED_VALUE"""),5253773.0)</f>
        <v>5253773</v>
      </c>
      <c r="C22" s="77" t="str">
        <f>IFERROR(__xludf.DUMMYFUNCTION("""COMPUTED_VALUE"""),"Ivan BV")</f>
        <v>Ivan BV</v>
      </c>
      <c r="D22" s="29">
        <f>IFERROR(__xludf.DUMMYFUNCTION("""COMPUTED_VALUE"""),0.21)</f>
        <v>0.21</v>
      </c>
      <c r="E22" s="17">
        <f>IFERROR(__xludf.DUMMYFUNCTION("""COMPUTED_VALUE"""),692.0)</f>
        <v>692</v>
      </c>
      <c r="F22" s="17">
        <f>IFERROR(__xludf.DUMMYFUNCTION("""COMPUTED_VALUE"""),249.0)</f>
        <v>249</v>
      </c>
      <c r="G22" s="17">
        <f>IFERROR(__xludf.DUMMYFUNCTION("""COMPUTED_VALUE"""),108.0)</f>
        <v>108</v>
      </c>
      <c r="H22" s="17">
        <f>IFERROR(__xludf.DUMMYFUNCTION("""COMPUTED_VALUE"""),335.0)</f>
        <v>335</v>
      </c>
      <c r="I22" s="28" t="str">
        <f>IFERROR(__xludf.DUMMYFUNCTION("""COMPUTED_VALUE"""),"T1-R1-N1")</f>
        <v>T1-R1-N1</v>
      </c>
      <c r="J22" s="30">
        <f>IFERROR(__xludf.DUMMYFUNCTION("""COMPUTED_VALUE"""),132.9634)</f>
        <v>132.9634</v>
      </c>
      <c r="K22" s="30">
        <f>IFERROR(__xludf.DUMMYFUNCTION("""COMPUTED_VALUE"""),132.9634)</f>
        <v>132.9634</v>
      </c>
      <c r="L22" s="30">
        <f>IFERROR(__xludf.DUMMYFUNCTION("""COMPUTED_VALUE"""),132.9634)</f>
        <v>132.9634</v>
      </c>
      <c r="M22" s="15">
        <f>IFERROR(__xludf.DUMMYFUNCTION("""COMPUTED_VALUE"""),240.4)</f>
        <v>240.4</v>
      </c>
      <c r="N22" s="17">
        <f>IFERROR(__xludf.DUMMYFUNCTION("""COMPUTED_VALUE"""),932.4)</f>
        <v>932.4</v>
      </c>
      <c r="O22" s="31">
        <f>IFERROR(__xludf.DUMMYFUNCTION("""COMPUTED_VALUE"""),92010.6728)</f>
        <v>92010.6728</v>
      </c>
      <c r="P22" s="20">
        <f>IFERROR(__xludf.DUMMYFUNCTION("""COMPUTED_VALUE"""),899.0)</f>
        <v>899</v>
      </c>
      <c r="Q22" s="181">
        <f>IFERROR(__xludf.DUMMYFUNCTION("""COMPUTED_VALUE"""),35.55550763070078)</f>
        <v>35.55550763</v>
      </c>
      <c r="R22" s="32">
        <f>IFERROR(__xludf.DUMMYFUNCTION("""COMPUTED_VALUE"""),31964.401360000003)</f>
        <v>31964.40136</v>
      </c>
      <c r="S22" s="84">
        <f>IFERROR(__xludf.DUMMYFUNCTION("""COMPUTED_VALUE"""),1465.0)</f>
        <v>1465</v>
      </c>
      <c r="T22" s="34">
        <f>IFERROR(__xludf.DUMMYFUNCTION("""COMPUTED_VALUE"""),63027.470601561734)</f>
        <v>63027.4706</v>
      </c>
      <c r="U22" s="35">
        <f>IFERROR(__xludf.DUMMYFUNCTION("""COMPUTED_VALUE"""),48.080000000000005)</f>
        <v>48.08</v>
      </c>
      <c r="V22" s="36">
        <f>IFERROR(__xludf.DUMMYFUNCTION("""COMPUTED_VALUE"""),2.1854545454545455)</f>
        <v>2.185454545</v>
      </c>
      <c r="W22" s="37">
        <f>IFERROR(__xludf.DUMMYFUNCTION("""COMPUTED_VALUE"""),0.2578292578292578)</f>
        <v>0.2578292578</v>
      </c>
      <c r="X22" s="31">
        <f>IFERROR(__xludf.DUMMYFUNCTION("""COMPUTED_VALUE"""),123975.07416)</f>
        <v>123975.0742</v>
      </c>
      <c r="Y22" s="165"/>
      <c r="Z22" s="187"/>
      <c r="AA22" s="188"/>
      <c r="AB22" s="188"/>
      <c r="AC22" s="202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189"/>
      <c r="AP22" s="189"/>
      <c r="AQ22" s="189"/>
      <c r="AR22" s="189"/>
      <c r="AS22" s="189"/>
      <c r="AT22" s="189"/>
      <c r="AU22" s="189"/>
      <c r="AV22" s="189"/>
    </row>
    <row r="23" ht="15.75" customHeight="1">
      <c r="A23" s="26">
        <f>IFERROR(__xludf.DUMMYFUNCTION("""COMPUTED_VALUE"""),45352.0)</f>
        <v>45352</v>
      </c>
      <c r="B23" s="77">
        <f>IFERROR(__xludf.DUMMYFUNCTION("""COMPUTED_VALUE"""),5253773.0)</f>
        <v>5253773</v>
      </c>
      <c r="C23" s="77" t="str">
        <f>IFERROR(__xludf.DUMMYFUNCTION("""COMPUTED_VALUE"""),"Ivan BV")</f>
        <v>Ivan BV</v>
      </c>
      <c r="D23" s="29">
        <f>IFERROR(__xludf.DUMMYFUNCTION("""COMPUTED_VALUE"""),0.21)</f>
        <v>0.21</v>
      </c>
      <c r="E23" s="17">
        <f>IFERROR(__xludf.DUMMYFUNCTION("""COMPUTED_VALUE"""),896.0)</f>
        <v>896</v>
      </c>
      <c r="F23" s="17">
        <f>IFERROR(__xludf.DUMMYFUNCTION("""COMPUTED_VALUE"""),313.0)</f>
        <v>313</v>
      </c>
      <c r="G23" s="17">
        <f>IFERROR(__xludf.DUMMYFUNCTION("""COMPUTED_VALUE"""),154.0)</f>
        <v>154</v>
      </c>
      <c r="H23" s="17">
        <f>IFERROR(__xludf.DUMMYFUNCTION("""COMPUTED_VALUE"""),429.0)</f>
        <v>429</v>
      </c>
      <c r="I23" s="28" t="str">
        <f>IFERROR(__xludf.DUMMYFUNCTION("""COMPUTED_VALUE"""),"T1-R1-N1")</f>
        <v>T1-R1-N1</v>
      </c>
      <c r="J23" s="30">
        <f>IFERROR(__xludf.DUMMYFUNCTION("""COMPUTED_VALUE"""),137.1907)</f>
        <v>137.1907</v>
      </c>
      <c r="K23" s="30">
        <f>IFERROR(__xludf.DUMMYFUNCTION("""COMPUTED_VALUE"""),137.1907)</f>
        <v>137.1907</v>
      </c>
      <c r="L23" s="30">
        <f>IFERROR(__xludf.DUMMYFUNCTION("""COMPUTED_VALUE"""),137.1907)</f>
        <v>137.1907</v>
      </c>
      <c r="M23" s="15">
        <f>IFERROR(__xludf.DUMMYFUNCTION("""COMPUTED_VALUE"""),361.8)</f>
        <v>361.8</v>
      </c>
      <c r="N23" s="17">
        <f>IFERROR(__xludf.DUMMYFUNCTION("""COMPUTED_VALUE"""),1257.8)</f>
        <v>1257.8</v>
      </c>
      <c r="O23" s="31">
        <f>IFERROR(__xludf.DUMMYFUNCTION("""COMPUTED_VALUE"""),122922.8672)</f>
        <v>122922.8672</v>
      </c>
      <c r="P23" s="20">
        <f>IFERROR(__xludf.DUMMYFUNCTION("""COMPUTED_VALUE"""),881.5)</f>
        <v>881.5</v>
      </c>
      <c r="Q23" s="181">
        <f>IFERROR(__xludf.DUMMYFUNCTION("""COMPUTED_VALUE"""),56.30810579693704)</f>
        <v>56.3081058</v>
      </c>
      <c r="R23" s="32">
        <f>IFERROR(__xludf.DUMMYFUNCTION("""COMPUTED_VALUE"""),49635.59526)</f>
        <v>49635.59526</v>
      </c>
      <c r="S23" s="84">
        <f>IFERROR(__xludf.DUMMYFUNCTION("""COMPUTED_VALUE"""),1465.0)</f>
        <v>1465</v>
      </c>
      <c r="T23" s="34">
        <f>IFERROR(__xludf.DUMMYFUNCTION("""COMPUTED_VALUE"""),99814.56374094044)</f>
        <v>99814.56374</v>
      </c>
      <c r="U23" s="35">
        <f>IFERROR(__xludf.DUMMYFUNCTION("""COMPUTED_VALUE"""),72.36)</f>
        <v>72.36</v>
      </c>
      <c r="V23" s="36">
        <f>IFERROR(__xludf.DUMMYFUNCTION("""COMPUTED_VALUE"""),3.289090909090909)</f>
        <v>3.289090909</v>
      </c>
      <c r="W23" s="37">
        <f>IFERROR(__xludf.DUMMYFUNCTION("""COMPUTED_VALUE"""),0.28764509460963594)</f>
        <v>0.2876450946</v>
      </c>
      <c r="X23" s="31">
        <f>IFERROR(__xludf.DUMMYFUNCTION("""COMPUTED_VALUE"""),172558.46246)</f>
        <v>172558.4625</v>
      </c>
      <c r="Y23" s="165"/>
      <c r="Z23" s="187"/>
      <c r="AA23" s="188"/>
      <c r="AB23" s="188"/>
      <c r="AC23" s="202"/>
      <c r="AD23" s="189"/>
      <c r="AE23" s="189"/>
      <c r="AF23" s="189"/>
      <c r="AG23" s="189"/>
      <c r="AH23" s="189"/>
      <c r="AI23" s="189"/>
      <c r="AJ23" s="189"/>
      <c r="AK23" s="189"/>
      <c r="AL23" s="189"/>
      <c r="AM23" s="189"/>
      <c r="AN23" s="189"/>
      <c r="AO23" s="189"/>
      <c r="AP23" s="189"/>
      <c r="AQ23" s="189"/>
      <c r="AR23" s="189"/>
      <c r="AS23" s="189"/>
      <c r="AT23" s="189"/>
      <c r="AU23" s="189"/>
      <c r="AV23" s="189"/>
    </row>
    <row r="24" ht="15.75" customHeight="1">
      <c r="A24" s="26">
        <f>IFERROR(__xludf.DUMMYFUNCTION("""COMPUTED_VALUE"""),45323.0)</f>
        <v>45323</v>
      </c>
      <c r="B24" s="77">
        <f>IFERROR(__xludf.DUMMYFUNCTION("""COMPUTED_VALUE"""),5253773.0)</f>
        <v>5253773</v>
      </c>
      <c r="C24" s="77" t="str">
        <f>IFERROR(__xludf.DUMMYFUNCTION("""COMPUTED_VALUE"""),"Ivan BV")</f>
        <v>Ivan BV</v>
      </c>
      <c r="D24" s="29">
        <f>IFERROR(__xludf.DUMMYFUNCTION("""COMPUTED_VALUE"""),0.21)</f>
        <v>0.21</v>
      </c>
      <c r="E24" s="17">
        <f>IFERROR(__xludf.DUMMYFUNCTION("""COMPUTED_VALUE"""),505.0)</f>
        <v>505</v>
      </c>
      <c r="F24" s="17">
        <f>IFERROR(__xludf.DUMMYFUNCTION("""COMPUTED_VALUE"""),182.0)</f>
        <v>182</v>
      </c>
      <c r="G24" s="17">
        <f>IFERROR(__xludf.DUMMYFUNCTION("""COMPUTED_VALUE"""),106.0)</f>
        <v>106</v>
      </c>
      <c r="H24" s="17">
        <f>IFERROR(__xludf.DUMMYFUNCTION("""COMPUTED_VALUE"""),217.0)</f>
        <v>217</v>
      </c>
      <c r="I24" s="28" t="str">
        <f>IFERROR(__xludf.DUMMYFUNCTION("""COMPUTED_VALUE"""),"T1-R1-N1")</f>
        <v>T1-R1-N1</v>
      </c>
      <c r="J24" s="30">
        <f>IFERROR(__xludf.DUMMYFUNCTION("""COMPUTED_VALUE"""),132.9634)</f>
        <v>132.9634</v>
      </c>
      <c r="K24" s="30">
        <f>IFERROR(__xludf.DUMMYFUNCTION("""COMPUTED_VALUE"""),132.9634)</f>
        <v>132.9634</v>
      </c>
      <c r="L24" s="30">
        <f>IFERROR(__xludf.DUMMYFUNCTION("""COMPUTED_VALUE"""),132.9634)</f>
        <v>132.9634</v>
      </c>
      <c r="M24" s="15">
        <f>IFERROR(__xludf.DUMMYFUNCTION("""COMPUTED_VALUE"""),237.7)</f>
        <v>237.7</v>
      </c>
      <c r="N24" s="17">
        <f>IFERROR(__xludf.DUMMYFUNCTION("""COMPUTED_VALUE"""),742.7)</f>
        <v>742.7</v>
      </c>
      <c r="O24" s="31">
        <f>IFERROR(__xludf.DUMMYFUNCTION("""COMPUTED_VALUE"""),67146.517)</f>
        <v>67146.517</v>
      </c>
      <c r="P24" s="20">
        <f>IFERROR(__xludf.DUMMYFUNCTION("""COMPUTED_VALUE"""),863.0)</f>
        <v>863</v>
      </c>
      <c r="Q24" s="181">
        <f>IFERROR(__xludf.DUMMYFUNCTION("""COMPUTED_VALUE"""),36.622711680185404)</f>
        <v>36.62271168</v>
      </c>
      <c r="R24" s="32">
        <f>IFERROR(__xludf.DUMMYFUNCTION("""COMPUTED_VALUE"""),31605.400180000004)</f>
        <v>31605.40018</v>
      </c>
      <c r="S24" s="84">
        <f>IFERROR(__xludf.DUMMYFUNCTION("""COMPUTED_VALUE"""),1465.0)</f>
        <v>1465</v>
      </c>
      <c r="T24" s="34">
        <f>IFERROR(__xludf.DUMMYFUNCTION("""COMPUTED_VALUE"""),64919.24985988065)</f>
        <v>64919.24986</v>
      </c>
      <c r="U24" s="35">
        <f>IFERROR(__xludf.DUMMYFUNCTION("""COMPUTED_VALUE"""),47.54)</f>
        <v>47.54</v>
      </c>
      <c r="V24" s="36">
        <f>IFERROR(__xludf.DUMMYFUNCTION("""COMPUTED_VALUE"""),2.1609090909090907)</f>
        <v>2.160909091</v>
      </c>
      <c r="W24" s="37">
        <f>IFERROR(__xludf.DUMMYFUNCTION("""COMPUTED_VALUE"""),0.3200484717921099)</f>
        <v>0.3200484718</v>
      </c>
      <c r="X24" s="31">
        <f>IFERROR(__xludf.DUMMYFUNCTION("""COMPUTED_VALUE"""),98751.91718)</f>
        <v>98751.91718</v>
      </c>
      <c r="Y24" s="165"/>
      <c r="Z24" s="187"/>
      <c r="AA24" s="188"/>
      <c r="AB24" s="188"/>
      <c r="AC24" s="202"/>
      <c r="AD24" s="189"/>
      <c r="AE24" s="189"/>
      <c r="AF24" s="189"/>
      <c r="AG24" s="189"/>
      <c r="AH24" s="189"/>
      <c r="AI24" s="189"/>
      <c r="AJ24" s="189"/>
      <c r="AK24" s="189"/>
      <c r="AL24" s="189"/>
      <c r="AM24" s="189"/>
      <c r="AN24" s="189"/>
      <c r="AO24" s="189"/>
      <c r="AP24" s="189"/>
      <c r="AQ24" s="189"/>
      <c r="AR24" s="189"/>
      <c r="AS24" s="189"/>
      <c r="AT24" s="189"/>
      <c r="AU24" s="189"/>
      <c r="AV24" s="189"/>
    </row>
    <row r="25" ht="15.75" customHeight="1">
      <c r="A25" s="26">
        <f>IFERROR(__xludf.DUMMYFUNCTION("""COMPUTED_VALUE"""),45292.0)</f>
        <v>45292</v>
      </c>
      <c r="B25" s="77">
        <f>IFERROR(__xludf.DUMMYFUNCTION("""COMPUTED_VALUE"""),5253773.0)</f>
        <v>5253773</v>
      </c>
      <c r="C25" s="77" t="str">
        <f>IFERROR(__xludf.DUMMYFUNCTION("""COMPUTED_VALUE"""),"Ivan BV")</f>
        <v>Ivan BV</v>
      </c>
      <c r="D25" s="29">
        <f>IFERROR(__xludf.DUMMYFUNCTION("""COMPUTED_VALUE"""),0.21)</f>
        <v>0.21</v>
      </c>
      <c r="E25" s="17">
        <f>IFERROR(__xludf.DUMMYFUNCTION("""COMPUTED_VALUE"""),448.0)</f>
        <v>448</v>
      </c>
      <c r="F25" s="17">
        <f>IFERROR(__xludf.DUMMYFUNCTION("""COMPUTED_VALUE"""),141.0)</f>
        <v>141</v>
      </c>
      <c r="G25" s="17">
        <f>IFERROR(__xludf.DUMMYFUNCTION("""COMPUTED_VALUE"""),97.0)</f>
        <v>97</v>
      </c>
      <c r="H25" s="17">
        <f>IFERROR(__xludf.DUMMYFUNCTION("""COMPUTED_VALUE"""),210.0)</f>
        <v>210</v>
      </c>
      <c r="I25" s="28" t="str">
        <f>IFERROR(__xludf.DUMMYFUNCTION("""COMPUTED_VALUE"""),"T1-R1-N1")</f>
        <v>T1-R1-N1</v>
      </c>
      <c r="J25" s="30">
        <f>IFERROR(__xludf.DUMMYFUNCTION("""COMPUTED_VALUE"""),54.3484)</f>
        <v>54.3484</v>
      </c>
      <c r="K25" s="30">
        <f>IFERROR(__xludf.DUMMYFUNCTION("""COMPUTED_VALUE"""),54.3484)</f>
        <v>54.3484</v>
      </c>
      <c r="L25" s="30">
        <f>IFERROR(__xludf.DUMMYFUNCTION("""COMPUTED_VALUE"""),54.3484)</f>
        <v>54.3484</v>
      </c>
      <c r="M25" s="15">
        <f>IFERROR(__xludf.DUMMYFUNCTION("""COMPUTED_VALUE"""),237.6)</f>
        <v>237.6</v>
      </c>
      <c r="N25" s="17">
        <f>IFERROR(__xludf.DUMMYFUNCTION("""COMPUTED_VALUE"""),685.6)</f>
        <v>685.6</v>
      </c>
      <c r="O25" s="31">
        <f>IFERROR(__xludf.DUMMYFUNCTION("""COMPUTED_VALUE"""),24348.0832)</f>
        <v>24348.0832</v>
      </c>
      <c r="P25" s="20">
        <f>IFERROR(__xludf.DUMMYFUNCTION("""COMPUTED_VALUE"""),848.0)</f>
        <v>848</v>
      </c>
      <c r="Q25" s="181">
        <f>IFERROR(__xludf.DUMMYFUNCTION("""COMPUTED_VALUE"""),15.227806415094339)</f>
        <v>15.22780642</v>
      </c>
      <c r="R25" s="32">
        <f>IFERROR(__xludf.DUMMYFUNCTION("""COMPUTED_VALUE"""),12913.179839999999)</f>
        <v>12913.17984</v>
      </c>
      <c r="S25" s="84">
        <f>IFERROR(__xludf.DUMMYFUNCTION("""COMPUTED_VALUE"""),1465.0)</f>
        <v>1465</v>
      </c>
      <c r="T25" s="34">
        <f>IFERROR(__xludf.DUMMYFUNCTION("""COMPUTED_VALUE"""),26993.57104171698)</f>
        <v>26993.57104</v>
      </c>
      <c r="U25" s="35">
        <f>IFERROR(__xludf.DUMMYFUNCTION("""COMPUTED_VALUE"""),47.52)</f>
        <v>47.52</v>
      </c>
      <c r="V25" s="36">
        <f>IFERROR(__xludf.DUMMYFUNCTION("""COMPUTED_VALUE"""),2.16)</f>
        <v>2.16</v>
      </c>
      <c r="W25" s="37">
        <f>IFERROR(__xludf.DUMMYFUNCTION("""COMPUTED_VALUE"""),0.3465577596266044)</f>
        <v>0.3465577596</v>
      </c>
      <c r="X25" s="31">
        <f>IFERROR(__xludf.DUMMYFUNCTION("""COMPUTED_VALUE"""),37261.26304)</f>
        <v>37261.26304</v>
      </c>
      <c r="Y25" s="165"/>
      <c r="Z25" s="187"/>
      <c r="AA25" s="188"/>
      <c r="AB25" s="188"/>
      <c r="AC25" s="202"/>
      <c r="AD25" s="189"/>
      <c r="AE25" s="189"/>
      <c r="AF25" s="189"/>
      <c r="AG25" s="189"/>
      <c r="AH25" s="189"/>
      <c r="AI25" s="189"/>
      <c r="AJ25" s="189"/>
      <c r="AK25" s="189"/>
      <c r="AL25" s="189"/>
      <c r="AM25" s="189"/>
      <c r="AN25" s="189"/>
      <c r="AO25" s="189"/>
      <c r="AP25" s="189"/>
      <c r="AQ25" s="189"/>
      <c r="AR25" s="189"/>
      <c r="AS25" s="189"/>
      <c r="AT25" s="189"/>
      <c r="AU25" s="189"/>
      <c r="AV25" s="189"/>
    </row>
    <row r="26" ht="15.75" customHeight="1">
      <c r="A26" s="26">
        <f>IFERROR(__xludf.DUMMYFUNCTION("""COMPUTED_VALUE"""),45261.0)</f>
        <v>45261</v>
      </c>
      <c r="B26" s="77">
        <f>IFERROR(__xludf.DUMMYFUNCTION("""COMPUTED_VALUE"""),5253773.0)</f>
        <v>5253773</v>
      </c>
      <c r="C26" s="77" t="str">
        <f>IFERROR(__xludf.DUMMYFUNCTION("""COMPUTED_VALUE"""),"Ivan BV")</f>
        <v>Ivan BV</v>
      </c>
      <c r="D26" s="29">
        <f>IFERROR(__xludf.DUMMYFUNCTION("""COMPUTED_VALUE"""),0.21)</f>
        <v>0.21</v>
      </c>
      <c r="E26" s="17">
        <f>IFERROR(__xludf.DUMMYFUNCTION("""COMPUTED_VALUE"""),966.0)</f>
        <v>966</v>
      </c>
      <c r="F26" s="17">
        <f>IFERROR(__xludf.DUMMYFUNCTION("""COMPUTED_VALUE"""),265.0)</f>
        <v>265</v>
      </c>
      <c r="G26" s="17">
        <f>IFERROR(__xludf.DUMMYFUNCTION("""COMPUTED_VALUE"""),157.0)</f>
        <v>157</v>
      </c>
      <c r="H26" s="17">
        <f>IFERROR(__xludf.DUMMYFUNCTION("""COMPUTED_VALUE"""),544.0)</f>
        <v>544</v>
      </c>
      <c r="I26" s="28" t="str">
        <f>IFERROR(__xludf.DUMMYFUNCTION("""COMPUTED_VALUE"""),"T1-R1-N1")</f>
        <v>T1-R1-N1</v>
      </c>
      <c r="J26" s="30">
        <f>IFERROR(__xludf.DUMMYFUNCTION("""COMPUTED_VALUE"""),59.3017)</f>
        <v>59.3017</v>
      </c>
      <c r="K26" s="30">
        <f>IFERROR(__xludf.DUMMYFUNCTION("""COMPUTED_VALUE"""),59.3017)</f>
        <v>59.3017</v>
      </c>
      <c r="L26" s="30">
        <f>IFERROR(__xludf.DUMMYFUNCTION("""COMPUTED_VALUE"""),59.3017)</f>
        <v>59.3017</v>
      </c>
      <c r="M26" s="15">
        <f>IFERROR(__xludf.DUMMYFUNCTION("""COMPUTED_VALUE"""),203.6)</f>
        <v>203.6</v>
      </c>
      <c r="N26" s="17">
        <f>IFERROR(__xludf.DUMMYFUNCTION("""COMPUTED_VALUE"""),1169.6)</f>
        <v>1169.6</v>
      </c>
      <c r="O26" s="31">
        <f>IFERROR(__xludf.DUMMYFUNCTION("""COMPUTED_VALUE"""),57285.4422)</f>
        <v>57285.4422</v>
      </c>
      <c r="P26" s="20">
        <f>IFERROR(__xludf.DUMMYFUNCTION("""COMPUTED_VALUE"""),831.0)</f>
        <v>831</v>
      </c>
      <c r="Q26" s="181">
        <f>IFERROR(__xludf.DUMMYFUNCTION("""COMPUTED_VALUE"""),14.529273309265944)</f>
        <v>14.52927331</v>
      </c>
      <c r="R26" s="32">
        <f>IFERROR(__xludf.DUMMYFUNCTION("""COMPUTED_VALUE"""),12073.82612)</f>
        <v>12073.82612</v>
      </c>
      <c r="S26" s="84">
        <f>IFERROR(__xludf.DUMMYFUNCTION("""COMPUTED_VALUE"""),1465.0)</f>
        <v>1465</v>
      </c>
      <c r="T26" s="34">
        <f>IFERROR(__xludf.DUMMYFUNCTION("""COMPUTED_VALUE"""),25755.316331670278)</f>
        <v>25755.31633</v>
      </c>
      <c r="U26" s="35">
        <f>IFERROR(__xludf.DUMMYFUNCTION("""COMPUTED_VALUE"""),40.72)</f>
        <v>40.72</v>
      </c>
      <c r="V26" s="36">
        <f>IFERROR(__xludf.DUMMYFUNCTION("""COMPUTED_VALUE"""),1.8509090909090908)</f>
        <v>1.850909091</v>
      </c>
      <c r="W26" s="37">
        <f>IFERROR(__xludf.DUMMYFUNCTION("""COMPUTED_VALUE"""),0.1740766073871409)</f>
        <v>0.1740766074</v>
      </c>
      <c r="X26" s="31">
        <f>IFERROR(__xludf.DUMMYFUNCTION("""COMPUTED_VALUE"""),69359.26832)</f>
        <v>69359.26832</v>
      </c>
      <c r="Y26" s="165"/>
      <c r="Z26" s="187"/>
      <c r="AA26" s="188"/>
      <c r="AB26" s="188"/>
      <c r="AC26" s="202"/>
      <c r="AD26" s="189"/>
      <c r="AE26" s="189"/>
      <c r="AF26" s="189"/>
      <c r="AG26" s="189"/>
      <c r="AH26" s="189"/>
      <c r="AI26" s="189"/>
      <c r="AJ26" s="189"/>
      <c r="AK26" s="189"/>
      <c r="AL26" s="189"/>
      <c r="AM26" s="189"/>
      <c r="AN26" s="189"/>
      <c r="AO26" s="189"/>
      <c r="AP26" s="189"/>
      <c r="AQ26" s="189"/>
      <c r="AR26" s="189"/>
      <c r="AS26" s="189"/>
      <c r="AT26" s="189"/>
      <c r="AU26" s="189"/>
      <c r="AV26" s="189"/>
    </row>
    <row r="27" ht="15.75" customHeight="1">
      <c r="A27" s="192">
        <f>IFERROR(__xludf.DUMMYFUNCTION("""COMPUTED_VALUE"""),45231.0)</f>
        <v>45231</v>
      </c>
      <c r="B27" s="193">
        <f>IFERROR(__xludf.DUMMYFUNCTION("""COMPUTED_VALUE"""),5253773.0)</f>
        <v>5253773</v>
      </c>
      <c r="C27" s="194" t="str">
        <f>IFERROR(__xludf.DUMMYFUNCTION("""COMPUTED_VALUE"""),"Ivan BV")</f>
        <v>Ivan BV</v>
      </c>
      <c r="D27" s="152">
        <f>IFERROR(__xludf.DUMMYFUNCTION("""COMPUTED_VALUE"""),0.21)</f>
        <v>0.21</v>
      </c>
      <c r="E27" s="153">
        <f>IFERROR(__xludf.DUMMYFUNCTION("""COMPUTED_VALUE"""),876.0)</f>
        <v>876</v>
      </c>
      <c r="F27" s="153">
        <f>IFERROR(__xludf.DUMMYFUNCTION("""COMPUTED_VALUE"""),304.0)</f>
        <v>304</v>
      </c>
      <c r="G27" s="153">
        <f>IFERROR(__xludf.DUMMYFUNCTION("""COMPUTED_VALUE"""),146.0)</f>
        <v>146</v>
      </c>
      <c r="H27" s="153">
        <f>IFERROR(__xludf.DUMMYFUNCTION("""COMPUTED_VALUE"""),426.0)</f>
        <v>426</v>
      </c>
      <c r="I27" s="151" t="str">
        <f>IFERROR(__xludf.DUMMYFUNCTION("""COMPUTED_VALUE"""),"T1-R1-N1")</f>
        <v>T1-R1-N1</v>
      </c>
      <c r="J27" s="154">
        <f>IFERROR(__xludf.DUMMYFUNCTION("""COMPUTED_VALUE"""),53.4671)</f>
        <v>53.4671</v>
      </c>
      <c r="K27" s="154">
        <f>IFERROR(__xludf.DUMMYFUNCTION("""COMPUTED_VALUE"""),53.4671)</f>
        <v>53.4671</v>
      </c>
      <c r="L27" s="154">
        <f>IFERROR(__xludf.DUMMYFUNCTION("""COMPUTED_VALUE"""),53.4671)</f>
        <v>53.4671</v>
      </c>
      <c r="M27" s="152">
        <f>IFERROR(__xludf.DUMMYFUNCTION("""COMPUTED_VALUE"""),247.5)</f>
        <v>247.5</v>
      </c>
      <c r="N27" s="152">
        <f>IFERROR(__xludf.DUMMYFUNCTION("""COMPUTED_VALUE"""),1123.5)</f>
        <v>1123.5</v>
      </c>
      <c r="O27" s="154">
        <f>IFERROR(__xludf.DUMMYFUNCTION("""COMPUTED_VALUE"""),46837.1796)</f>
        <v>46837.1796</v>
      </c>
      <c r="P27" s="154">
        <f>IFERROR(__xludf.DUMMYFUNCTION("""COMPUTED_VALUE"""),378.0)</f>
        <v>378</v>
      </c>
      <c r="Q27" s="195">
        <f>IFERROR(__xludf.DUMMYFUNCTION("""COMPUTED_VALUE"""),35.00822023809524)</f>
        <v>35.00822024</v>
      </c>
      <c r="R27" s="154">
        <f>IFERROR(__xludf.DUMMYFUNCTION("""COMPUTED_VALUE"""),13233.107250000001)</f>
        <v>13233.10725</v>
      </c>
      <c r="S27" s="196">
        <f>IFERROR(__xludf.DUMMYFUNCTION("""COMPUTED_VALUE"""),1465.0)</f>
        <v>1465</v>
      </c>
      <c r="T27" s="196">
        <f>IFERROR(__xludf.DUMMYFUNCTION("""COMPUTED_VALUE"""),62057.32160505952)</f>
        <v>62057.32161</v>
      </c>
      <c r="U27" s="152">
        <f>IFERROR(__xludf.DUMMYFUNCTION("""COMPUTED_VALUE"""),49.5)</f>
        <v>49.5</v>
      </c>
      <c r="V27" s="152">
        <f>IFERROR(__xludf.DUMMYFUNCTION("""COMPUTED_VALUE"""),2.25)</f>
        <v>2.25</v>
      </c>
      <c r="W27" s="157">
        <f>IFERROR(__xludf.DUMMYFUNCTION("""COMPUTED_VALUE"""),0.22029372496662217)</f>
        <v>0.220293725</v>
      </c>
      <c r="X27" s="197">
        <f>IFERROR(__xludf.DUMMYFUNCTION("""COMPUTED_VALUE"""),60070.286850000004)</f>
        <v>60070.28685</v>
      </c>
      <c r="Y27" s="156"/>
    </row>
    <row r="28" ht="15.75" customHeight="1">
      <c r="A28" s="192">
        <f>IFERROR(__xludf.DUMMYFUNCTION("""COMPUTED_VALUE"""),45200.0)</f>
        <v>45200</v>
      </c>
      <c r="B28" s="193">
        <f>IFERROR(__xludf.DUMMYFUNCTION("""COMPUTED_VALUE"""),5253773.0)</f>
        <v>5253773</v>
      </c>
      <c r="C28" s="194" t="str">
        <f>IFERROR(__xludf.DUMMYFUNCTION("""COMPUTED_VALUE"""),"Ivan BV")</f>
        <v>Ivan BV</v>
      </c>
      <c r="D28" s="152">
        <f>IFERROR(__xludf.DUMMYFUNCTION("""COMPUTED_VALUE"""),0.21)</f>
        <v>0.21</v>
      </c>
      <c r="E28" s="153">
        <f>IFERROR(__xludf.DUMMYFUNCTION("""COMPUTED_VALUE"""),623.0)</f>
        <v>623</v>
      </c>
      <c r="F28" s="153">
        <f>IFERROR(__xludf.DUMMYFUNCTION("""COMPUTED_VALUE"""),253.0)</f>
        <v>253</v>
      </c>
      <c r="G28" s="153">
        <f>IFERROR(__xludf.DUMMYFUNCTION("""COMPUTED_VALUE"""),109.0)</f>
        <v>109</v>
      </c>
      <c r="H28" s="153">
        <f>IFERROR(__xludf.DUMMYFUNCTION("""COMPUTED_VALUE"""),261.0)</f>
        <v>261</v>
      </c>
      <c r="I28" s="151" t="str">
        <f>IFERROR(__xludf.DUMMYFUNCTION("""COMPUTED_VALUE"""),"T1-R1-N1")</f>
        <v>T1-R1-N1</v>
      </c>
      <c r="J28" s="154">
        <f>IFERROR(__xludf.DUMMYFUNCTION("""COMPUTED_VALUE"""),47.1833)</f>
        <v>47.1833</v>
      </c>
      <c r="K28" s="154">
        <f>IFERROR(__xludf.DUMMYFUNCTION("""COMPUTED_VALUE"""),47.1833)</f>
        <v>47.1833</v>
      </c>
      <c r="L28" s="154">
        <f>IFERROR(__xludf.DUMMYFUNCTION("""COMPUTED_VALUE"""),47.1833)</f>
        <v>47.1833</v>
      </c>
      <c r="M28" s="152">
        <f>IFERROR(__xludf.DUMMYFUNCTION("""COMPUTED_VALUE"""),279.2)</f>
        <v>279.2</v>
      </c>
      <c r="N28" s="152">
        <f>IFERROR(__xludf.DUMMYFUNCTION("""COMPUTED_VALUE"""),902.2)</f>
        <v>902.2</v>
      </c>
      <c r="O28" s="154">
        <f>IFERROR(__xludf.DUMMYFUNCTION("""COMPUTED_VALUE"""),29395.1959)</f>
        <v>29395.1959</v>
      </c>
      <c r="P28" s="154">
        <f>IFERROR(__xludf.DUMMYFUNCTION("""COMPUTED_VALUE"""),365.5)</f>
        <v>365.5</v>
      </c>
      <c r="Q28" s="195">
        <f>IFERROR(__xludf.DUMMYFUNCTION("""COMPUTED_VALUE"""),36.04261931600547)</f>
        <v>36.04261932</v>
      </c>
      <c r="R28" s="154">
        <f>IFERROR(__xludf.DUMMYFUNCTION("""COMPUTED_VALUE"""),13173.57736)</f>
        <v>13173.57736</v>
      </c>
      <c r="S28" s="196">
        <f>IFERROR(__xludf.DUMMYFUNCTION("""COMPUTED_VALUE"""),1465.0)</f>
        <v>1465</v>
      </c>
      <c r="T28" s="196">
        <f>IFERROR(__xludf.DUMMYFUNCTION("""COMPUTED_VALUE"""),63890.949130517096)</f>
        <v>63890.94913</v>
      </c>
      <c r="U28" s="152">
        <f>IFERROR(__xludf.DUMMYFUNCTION("""COMPUTED_VALUE"""),55.84)</f>
        <v>55.84</v>
      </c>
      <c r="V28" s="152">
        <f>IFERROR(__xludf.DUMMYFUNCTION("""COMPUTED_VALUE"""),2.5381818181818185)</f>
        <v>2.538181818</v>
      </c>
      <c r="W28" s="157">
        <f>IFERROR(__xludf.DUMMYFUNCTION("""COMPUTED_VALUE"""),0.30946575038794055)</f>
        <v>0.3094657504</v>
      </c>
      <c r="X28" s="197">
        <f>IFERROR(__xludf.DUMMYFUNCTION("""COMPUTED_VALUE"""),42568.77326)</f>
        <v>42568.77326</v>
      </c>
      <c r="Y28" s="156"/>
    </row>
    <row r="29" ht="15.75" customHeight="1">
      <c r="A29" s="189"/>
      <c r="B29" s="193"/>
      <c r="C29" s="194"/>
      <c r="N29" s="152"/>
      <c r="Q29" s="195"/>
      <c r="S29" s="196"/>
      <c r="T29" s="196"/>
      <c r="U29" s="152"/>
      <c r="V29" s="152"/>
      <c r="W29" s="157"/>
      <c r="X29" s="197"/>
      <c r="Y29" s="156"/>
    </row>
    <row r="30" ht="15.75" customHeight="1">
      <c r="A30" s="189"/>
      <c r="B30" s="193"/>
      <c r="C30" s="194"/>
      <c r="N30" s="152"/>
      <c r="Q30" s="195"/>
      <c r="S30" s="196"/>
      <c r="T30" s="196"/>
      <c r="U30" s="152"/>
      <c r="V30" s="152"/>
      <c r="W30" s="157"/>
      <c r="X30" s="197"/>
      <c r="Y30" s="156"/>
    </row>
    <row r="31" ht="15.75" customHeight="1">
      <c r="A31" s="189"/>
      <c r="B31" s="193"/>
      <c r="C31" s="194"/>
      <c r="N31" s="152"/>
      <c r="Q31" s="195"/>
      <c r="S31" s="196"/>
      <c r="T31" s="196"/>
      <c r="U31" s="152"/>
      <c r="V31" s="152"/>
      <c r="W31" s="157"/>
      <c r="X31" s="197"/>
      <c r="Y31" s="156"/>
    </row>
    <row r="32" ht="15.75" customHeight="1">
      <c r="A32" s="189"/>
      <c r="B32" s="193"/>
      <c r="C32" s="194"/>
      <c r="N32" s="152"/>
      <c r="Q32" s="195"/>
      <c r="S32" s="196"/>
      <c r="T32" s="196"/>
      <c r="U32" s="152"/>
      <c r="V32" s="152"/>
      <c r="W32" s="157"/>
      <c r="X32" s="197"/>
      <c r="Y32" s="156"/>
    </row>
    <row r="33" ht="15.75" customHeight="1">
      <c r="A33" s="189"/>
      <c r="B33" s="193"/>
      <c r="C33" s="194"/>
      <c r="N33" s="152"/>
      <c r="Q33" s="195"/>
      <c r="S33" s="196"/>
      <c r="T33" s="196"/>
      <c r="U33" s="152"/>
      <c r="V33" s="152"/>
      <c r="W33" s="157"/>
      <c r="X33" s="197"/>
      <c r="Y33" s="156"/>
    </row>
    <row r="34" ht="15.75" customHeight="1">
      <c r="A34" s="189"/>
      <c r="B34" s="193"/>
      <c r="C34" s="194"/>
      <c r="N34" s="152"/>
      <c r="Q34" s="195"/>
      <c r="S34" s="196"/>
      <c r="T34" s="196"/>
      <c r="U34" s="152"/>
      <c r="V34" s="152"/>
      <c r="W34" s="157"/>
      <c r="X34" s="197"/>
      <c r="Y34" s="156"/>
    </row>
    <row r="35" ht="15.75" customHeight="1">
      <c r="A35" s="189"/>
      <c r="B35" s="193"/>
      <c r="C35" s="194"/>
      <c r="N35" s="152"/>
      <c r="Q35" s="195"/>
      <c r="S35" s="196"/>
      <c r="T35" s="196"/>
      <c r="U35" s="152"/>
      <c r="V35" s="152"/>
      <c r="W35" s="157"/>
      <c r="X35" s="197"/>
      <c r="Y35" s="156"/>
    </row>
    <row r="36" ht="15.75" customHeight="1">
      <c r="A36" s="189"/>
      <c r="B36" s="193"/>
      <c r="C36" s="194"/>
      <c r="N36" s="152"/>
      <c r="Q36" s="195"/>
      <c r="S36" s="196"/>
      <c r="T36" s="196"/>
      <c r="U36" s="152"/>
      <c r="V36" s="152"/>
      <c r="W36" s="157"/>
      <c r="X36" s="197"/>
      <c r="Y36" s="156"/>
    </row>
    <row r="37" ht="15.75" customHeight="1">
      <c r="A37" s="189"/>
      <c r="B37" s="193"/>
      <c r="C37" s="194"/>
      <c r="N37" s="152"/>
      <c r="Q37" s="195"/>
      <c r="S37" s="196"/>
      <c r="T37" s="196"/>
      <c r="U37" s="152"/>
      <c r="V37" s="152"/>
      <c r="W37" s="157"/>
      <c r="X37" s="197"/>
      <c r="Y37" s="156"/>
    </row>
    <row r="38" ht="15.75" customHeight="1">
      <c r="A38" s="189"/>
      <c r="B38" s="193"/>
      <c r="C38" s="194"/>
      <c r="N38" s="152"/>
      <c r="Q38" s="195"/>
      <c r="S38" s="196"/>
      <c r="T38" s="196"/>
      <c r="U38" s="152"/>
      <c r="V38" s="152"/>
      <c r="W38" s="157"/>
      <c r="X38" s="197"/>
      <c r="Y38" s="156"/>
    </row>
    <row r="39" ht="15.75" customHeight="1">
      <c r="A39" s="189"/>
      <c r="B39" s="193"/>
      <c r="C39" s="194"/>
      <c r="N39" s="152"/>
      <c r="Q39" s="195"/>
      <c r="S39" s="196"/>
      <c r="T39" s="196"/>
      <c r="U39" s="152"/>
      <c r="V39" s="152"/>
      <c r="W39" s="157"/>
      <c r="X39" s="197"/>
      <c r="Y39" s="156"/>
    </row>
    <row r="40" ht="15.75" customHeight="1">
      <c r="A40" s="189"/>
      <c r="B40" s="193"/>
      <c r="C40" s="194"/>
      <c r="N40" s="152"/>
      <c r="Q40" s="195"/>
      <c r="S40" s="196"/>
      <c r="T40" s="196"/>
      <c r="U40" s="152"/>
      <c r="V40" s="152"/>
      <c r="W40" s="157"/>
      <c r="X40" s="197"/>
      <c r="Y40" s="156"/>
    </row>
    <row r="41" ht="15.75" customHeight="1">
      <c r="A41" s="189"/>
      <c r="B41" s="193"/>
      <c r="C41" s="194"/>
      <c r="N41" s="152"/>
      <c r="Q41" s="195"/>
      <c r="S41" s="196"/>
      <c r="T41" s="196"/>
      <c r="U41" s="152"/>
      <c r="V41" s="152"/>
      <c r="W41" s="157"/>
      <c r="X41" s="197"/>
      <c r="Y41" s="156"/>
    </row>
    <row r="42" ht="15.75" customHeight="1">
      <c r="A42" s="189"/>
      <c r="B42" s="193"/>
      <c r="C42" s="194"/>
      <c r="N42" s="152"/>
      <c r="Q42" s="195"/>
      <c r="S42" s="196"/>
      <c r="T42" s="196"/>
      <c r="U42" s="152"/>
      <c r="V42" s="152"/>
      <c r="W42" s="157"/>
      <c r="X42" s="197"/>
      <c r="Y42" s="156"/>
    </row>
    <row r="43" ht="15.75" customHeight="1">
      <c r="A43" s="189"/>
      <c r="B43" s="193"/>
      <c r="C43" s="194"/>
      <c r="N43" s="152"/>
      <c r="Q43" s="195"/>
      <c r="S43" s="196"/>
      <c r="T43" s="196"/>
      <c r="U43" s="152"/>
      <c r="V43" s="152"/>
      <c r="W43" s="157"/>
      <c r="X43" s="197"/>
      <c r="Y43" s="156"/>
    </row>
    <row r="44" ht="15.75" customHeight="1">
      <c r="A44" s="189"/>
      <c r="B44" s="193"/>
      <c r="C44" s="194"/>
      <c r="N44" s="152"/>
      <c r="Q44" s="195"/>
      <c r="S44" s="196"/>
      <c r="T44" s="196"/>
      <c r="U44" s="152"/>
      <c r="V44" s="152"/>
      <c r="W44" s="157"/>
      <c r="X44" s="197"/>
      <c r="Y44" s="156"/>
    </row>
    <row r="45" ht="15.75" customHeight="1">
      <c r="A45" s="189"/>
      <c r="B45" s="193"/>
      <c r="C45" s="194"/>
      <c r="N45" s="152"/>
      <c r="Q45" s="195"/>
      <c r="S45" s="196"/>
      <c r="T45" s="196"/>
      <c r="U45" s="152"/>
      <c r="V45" s="152"/>
      <c r="W45" s="157"/>
      <c r="X45" s="197"/>
      <c r="Y45" s="156"/>
    </row>
    <row r="46" ht="15.75" customHeight="1">
      <c r="A46" s="189"/>
      <c r="B46" s="193"/>
      <c r="C46" s="194"/>
      <c r="N46" s="152"/>
      <c r="Q46" s="195"/>
      <c r="S46" s="196"/>
      <c r="T46" s="196"/>
      <c r="U46" s="152"/>
      <c r="V46" s="152"/>
      <c r="W46" s="157"/>
      <c r="X46" s="197"/>
      <c r="Y46" s="156"/>
    </row>
    <row r="47" ht="15.75" customHeight="1">
      <c r="A47" s="189"/>
      <c r="B47" s="193"/>
      <c r="C47" s="194"/>
      <c r="N47" s="152"/>
      <c r="Q47" s="195"/>
      <c r="S47" s="196"/>
      <c r="T47" s="196"/>
      <c r="U47" s="152"/>
      <c r="V47" s="152"/>
      <c r="W47" s="157"/>
      <c r="X47" s="197"/>
      <c r="Y47" s="156"/>
    </row>
    <row r="48" ht="15.75" customHeight="1">
      <c r="A48" s="189"/>
      <c r="B48" s="193"/>
      <c r="C48" s="194"/>
      <c r="N48" s="152"/>
      <c r="Q48" s="195"/>
      <c r="S48" s="196"/>
      <c r="T48" s="196"/>
      <c r="U48" s="152"/>
      <c r="V48" s="152"/>
      <c r="W48" s="157"/>
      <c r="X48" s="197"/>
      <c r="Y48" s="156"/>
    </row>
    <row r="49" ht="15.75" customHeight="1">
      <c r="A49" s="189"/>
      <c r="B49" s="193"/>
      <c r="C49" s="194"/>
      <c r="N49" s="152"/>
      <c r="Q49" s="195"/>
      <c r="S49" s="196"/>
      <c r="T49" s="196"/>
      <c r="U49" s="152"/>
      <c r="V49" s="152"/>
      <c r="W49" s="157"/>
      <c r="X49" s="197"/>
      <c r="Y49" s="156"/>
    </row>
    <row r="50" ht="15.75" customHeight="1">
      <c r="A50" s="189"/>
      <c r="B50" s="193"/>
      <c r="C50" s="194"/>
      <c r="N50" s="152"/>
      <c r="Q50" s="195"/>
      <c r="S50" s="196"/>
      <c r="T50" s="196"/>
      <c r="U50" s="152"/>
      <c r="V50" s="152"/>
      <c r="W50" s="157"/>
      <c r="X50" s="197"/>
      <c r="Y50" s="156"/>
    </row>
    <row r="51" ht="15.75" customHeight="1">
      <c r="A51" s="189"/>
      <c r="B51" s="193"/>
      <c r="C51" s="194"/>
      <c r="N51" s="152"/>
      <c r="Q51" s="195"/>
      <c r="S51" s="196"/>
      <c r="T51" s="196"/>
      <c r="U51" s="152"/>
      <c r="V51" s="152"/>
      <c r="W51" s="157"/>
      <c r="X51" s="197"/>
      <c r="Y51" s="156"/>
    </row>
    <row r="52" ht="15.75" customHeight="1">
      <c r="A52" s="189"/>
      <c r="B52" s="193"/>
      <c r="C52" s="194"/>
      <c r="N52" s="152"/>
      <c r="Q52" s="195"/>
      <c r="S52" s="196"/>
      <c r="T52" s="196"/>
      <c r="U52" s="152"/>
      <c r="V52" s="152"/>
      <c r="W52" s="157"/>
      <c r="X52" s="197"/>
      <c r="Y52" s="156"/>
    </row>
    <row r="53" ht="15.75" customHeight="1">
      <c r="A53" s="189"/>
      <c r="B53" s="193"/>
      <c r="C53" s="194"/>
      <c r="N53" s="152"/>
      <c r="Q53" s="195"/>
      <c r="S53" s="196"/>
      <c r="T53" s="196"/>
      <c r="U53" s="152"/>
      <c r="V53" s="152"/>
      <c r="W53" s="157"/>
      <c r="X53" s="197"/>
      <c r="Y53" s="156"/>
    </row>
    <row r="54" ht="15.75" customHeight="1">
      <c r="A54" s="189"/>
      <c r="B54" s="193"/>
      <c r="C54" s="194"/>
      <c r="N54" s="152"/>
      <c r="Q54" s="195"/>
      <c r="S54" s="196"/>
      <c r="T54" s="196"/>
      <c r="U54" s="152"/>
      <c r="V54" s="152"/>
      <c r="W54" s="157"/>
      <c r="X54" s="197"/>
      <c r="Y54" s="156"/>
    </row>
    <row r="55" ht="15.75" customHeight="1">
      <c r="A55" s="189"/>
      <c r="B55" s="193"/>
      <c r="C55" s="194"/>
      <c r="N55" s="152"/>
      <c r="Q55" s="195"/>
      <c r="S55" s="196"/>
      <c r="T55" s="196"/>
      <c r="U55" s="152"/>
      <c r="V55" s="152"/>
      <c r="W55" s="157"/>
      <c r="X55" s="197"/>
      <c r="Y55" s="156"/>
    </row>
    <row r="56" ht="15.75" customHeight="1">
      <c r="A56" s="189"/>
      <c r="B56" s="193"/>
      <c r="C56" s="194"/>
      <c r="N56" s="152"/>
      <c r="Q56" s="195"/>
      <c r="S56" s="196"/>
      <c r="T56" s="196"/>
      <c r="U56" s="152"/>
      <c r="V56" s="152"/>
      <c r="W56" s="157"/>
      <c r="X56" s="197"/>
      <c r="Y56" s="156"/>
    </row>
    <row r="57" ht="15.75" customHeight="1">
      <c r="A57" s="189"/>
      <c r="B57" s="193"/>
      <c r="C57" s="194"/>
      <c r="N57" s="152"/>
      <c r="Q57" s="195"/>
      <c r="S57" s="196"/>
      <c r="T57" s="196"/>
      <c r="U57" s="152"/>
      <c r="V57" s="152"/>
      <c r="W57" s="157"/>
      <c r="X57" s="197"/>
      <c r="Y57" s="156"/>
    </row>
    <row r="58" ht="15.75" customHeight="1">
      <c r="A58" s="189"/>
      <c r="B58" s="193"/>
      <c r="C58" s="194"/>
      <c r="N58" s="152"/>
      <c r="Q58" s="195"/>
      <c r="S58" s="196"/>
      <c r="T58" s="196"/>
      <c r="U58" s="152"/>
      <c r="V58" s="152"/>
      <c r="W58" s="157"/>
      <c r="X58" s="197"/>
      <c r="Y58" s="156"/>
    </row>
    <row r="59" ht="15.75" customHeight="1">
      <c r="A59" s="189"/>
      <c r="B59" s="193"/>
      <c r="C59" s="194"/>
      <c r="N59" s="152"/>
      <c r="Q59" s="195"/>
      <c r="S59" s="196"/>
      <c r="T59" s="196"/>
      <c r="U59" s="152"/>
      <c r="V59" s="152"/>
      <c r="W59" s="157"/>
      <c r="X59" s="197"/>
      <c r="Y59" s="156"/>
    </row>
    <row r="60" ht="15.75" customHeight="1">
      <c r="A60" s="189"/>
      <c r="B60" s="193"/>
      <c r="C60" s="194"/>
      <c r="N60" s="152"/>
      <c r="Q60" s="195"/>
      <c r="S60" s="196"/>
      <c r="T60" s="196"/>
      <c r="U60" s="152"/>
      <c r="V60" s="152"/>
      <c r="W60" s="157"/>
      <c r="X60" s="197"/>
      <c r="Y60" s="156"/>
    </row>
    <row r="61" ht="15.75" customHeight="1">
      <c r="A61" s="189"/>
      <c r="B61" s="193"/>
      <c r="C61" s="194"/>
      <c r="N61" s="152"/>
      <c r="Q61" s="195"/>
      <c r="S61" s="196"/>
      <c r="T61" s="196"/>
      <c r="U61" s="152"/>
      <c r="V61" s="152"/>
      <c r="W61" s="157"/>
      <c r="X61" s="197"/>
      <c r="Y61" s="156"/>
    </row>
    <row r="62" ht="15.75" customHeight="1">
      <c r="A62" s="189"/>
      <c r="B62" s="193"/>
      <c r="C62" s="194"/>
      <c r="N62" s="152"/>
      <c r="Q62" s="195"/>
      <c r="S62" s="196"/>
      <c r="T62" s="196"/>
      <c r="U62" s="152"/>
      <c r="V62" s="152"/>
      <c r="W62" s="157"/>
      <c r="X62" s="197"/>
      <c r="Y62" s="156"/>
    </row>
    <row r="63" ht="15.75" customHeight="1">
      <c r="A63" s="189"/>
      <c r="B63" s="193"/>
      <c r="C63" s="194"/>
      <c r="N63" s="152"/>
      <c r="Q63" s="195"/>
      <c r="S63" s="196"/>
      <c r="T63" s="196"/>
      <c r="U63" s="152"/>
      <c r="V63" s="152"/>
      <c r="W63" s="157"/>
      <c r="X63" s="197"/>
      <c r="Y63" s="156"/>
    </row>
    <row r="64" ht="15.75" customHeight="1">
      <c r="A64" s="189"/>
      <c r="B64" s="193"/>
      <c r="C64" s="194"/>
      <c r="N64" s="152"/>
      <c r="Q64" s="195"/>
      <c r="S64" s="196"/>
      <c r="T64" s="196"/>
      <c r="U64" s="152"/>
      <c r="V64" s="152"/>
      <c r="W64" s="157"/>
      <c r="X64" s="197"/>
      <c r="Y64" s="156"/>
    </row>
    <row r="65" ht="15.75" customHeight="1">
      <c r="A65" s="189"/>
      <c r="B65" s="193"/>
      <c r="C65" s="194"/>
      <c r="N65" s="152"/>
      <c r="Q65" s="195"/>
      <c r="S65" s="196"/>
      <c r="T65" s="196"/>
      <c r="U65" s="152"/>
      <c r="V65" s="152"/>
      <c r="W65" s="157"/>
      <c r="X65" s="197"/>
      <c r="Y65" s="156"/>
    </row>
    <row r="66" ht="15.75" customHeight="1">
      <c r="A66" s="189"/>
      <c r="B66" s="193"/>
      <c r="C66" s="194"/>
      <c r="N66" s="152"/>
      <c r="Q66" s="195"/>
      <c r="S66" s="196"/>
      <c r="T66" s="196"/>
      <c r="U66" s="152"/>
      <c r="V66" s="152"/>
      <c r="W66" s="157"/>
      <c r="X66" s="197"/>
      <c r="Y66" s="156"/>
    </row>
    <row r="67" ht="15.75" customHeight="1">
      <c r="A67" s="189"/>
      <c r="B67" s="193"/>
      <c r="C67" s="194"/>
      <c r="N67" s="152"/>
      <c r="Q67" s="195"/>
      <c r="S67" s="196"/>
      <c r="T67" s="196"/>
      <c r="U67" s="152"/>
      <c r="V67" s="152"/>
      <c r="W67" s="157"/>
      <c r="X67" s="197"/>
      <c r="Y67" s="156"/>
    </row>
    <row r="68" ht="15.75" customHeight="1">
      <c r="A68" s="189"/>
      <c r="B68" s="193"/>
      <c r="C68" s="194"/>
      <c r="N68" s="152"/>
      <c r="Q68" s="195"/>
      <c r="S68" s="196"/>
      <c r="T68" s="196"/>
      <c r="U68" s="152"/>
      <c r="V68" s="152"/>
      <c r="W68" s="157"/>
      <c r="X68" s="197"/>
      <c r="Y68" s="156"/>
    </row>
    <row r="69" ht="15.75" customHeight="1">
      <c r="A69" s="189"/>
      <c r="B69" s="193"/>
      <c r="C69" s="194"/>
      <c r="N69" s="152"/>
      <c r="Q69" s="195"/>
      <c r="S69" s="196"/>
      <c r="T69" s="196"/>
      <c r="U69" s="152"/>
      <c r="V69" s="152"/>
      <c r="W69" s="157"/>
      <c r="X69" s="197"/>
      <c r="Y69" s="156"/>
    </row>
    <row r="70" ht="15.75" customHeight="1">
      <c r="A70" s="189"/>
      <c r="B70" s="193"/>
      <c r="C70" s="194"/>
      <c r="N70" s="152"/>
      <c r="Q70" s="195"/>
      <c r="S70" s="196"/>
      <c r="T70" s="196"/>
      <c r="U70" s="152"/>
      <c r="V70" s="152"/>
      <c r="W70" s="157"/>
      <c r="X70" s="197"/>
      <c r="Y70" s="156"/>
    </row>
    <row r="71" ht="15.75" customHeight="1">
      <c r="A71" s="189"/>
      <c r="B71" s="193"/>
      <c r="C71" s="194"/>
      <c r="N71" s="152"/>
      <c r="Q71" s="195"/>
      <c r="S71" s="196"/>
      <c r="T71" s="196"/>
      <c r="U71" s="152"/>
      <c r="V71" s="152"/>
      <c r="W71" s="157"/>
      <c r="X71" s="197"/>
      <c r="Y71" s="156"/>
    </row>
    <row r="72" ht="15.75" customHeight="1">
      <c r="A72" s="189"/>
      <c r="B72" s="193"/>
      <c r="C72" s="194"/>
      <c r="N72" s="152"/>
      <c r="Q72" s="195"/>
      <c r="S72" s="196"/>
      <c r="T72" s="196"/>
      <c r="U72" s="152"/>
      <c r="V72" s="152"/>
      <c r="W72" s="157"/>
      <c r="X72" s="197"/>
      <c r="Y72" s="156"/>
    </row>
    <row r="73" ht="15.75" customHeight="1">
      <c r="A73" s="189"/>
      <c r="B73" s="193"/>
      <c r="C73" s="194"/>
      <c r="N73" s="152"/>
      <c r="Q73" s="195"/>
      <c r="S73" s="196"/>
      <c r="T73" s="196"/>
      <c r="U73" s="152"/>
      <c r="V73" s="152"/>
      <c r="W73" s="157"/>
      <c r="X73" s="197"/>
      <c r="Y73" s="156"/>
    </row>
    <row r="74" ht="15.75" customHeight="1">
      <c r="A74" s="189"/>
      <c r="B74" s="193"/>
      <c r="C74" s="194"/>
      <c r="N74" s="152"/>
      <c r="Q74" s="195"/>
      <c r="S74" s="196"/>
      <c r="T74" s="196"/>
      <c r="U74" s="152"/>
      <c r="V74" s="152"/>
      <c r="W74" s="157"/>
      <c r="X74" s="197"/>
      <c r="Y74" s="156"/>
    </row>
    <row r="75" ht="15.75" customHeight="1">
      <c r="A75" s="189"/>
      <c r="B75" s="193"/>
      <c r="C75" s="194"/>
      <c r="N75" s="152"/>
      <c r="Q75" s="195"/>
      <c r="S75" s="196"/>
      <c r="T75" s="196"/>
      <c r="U75" s="152"/>
      <c r="V75" s="152"/>
      <c r="W75" s="157"/>
      <c r="X75" s="197"/>
      <c r="Y75" s="156"/>
    </row>
    <row r="76" ht="15.75" customHeight="1">
      <c r="A76" s="189"/>
      <c r="B76" s="193"/>
      <c r="C76" s="194"/>
      <c r="N76" s="152"/>
      <c r="Q76" s="195"/>
      <c r="S76" s="196"/>
      <c r="T76" s="196"/>
      <c r="U76" s="152"/>
      <c r="V76" s="152"/>
      <c r="W76" s="157"/>
      <c r="X76" s="197"/>
      <c r="Y76" s="156"/>
    </row>
    <row r="77" ht="15.75" customHeight="1">
      <c r="A77" s="189"/>
      <c r="B77" s="193"/>
      <c r="C77" s="194"/>
      <c r="N77" s="152"/>
      <c r="Q77" s="195"/>
      <c r="S77" s="196"/>
      <c r="T77" s="196"/>
      <c r="U77" s="152"/>
      <c r="V77" s="152"/>
      <c r="W77" s="157"/>
      <c r="X77" s="197"/>
      <c r="Y77" s="156"/>
    </row>
    <row r="78" ht="15.75" customHeight="1">
      <c r="A78" s="189"/>
      <c r="B78" s="193"/>
      <c r="C78" s="194"/>
      <c r="N78" s="152"/>
      <c r="Q78" s="195"/>
      <c r="S78" s="196"/>
      <c r="T78" s="196"/>
      <c r="U78" s="152"/>
      <c r="V78" s="152"/>
      <c r="W78" s="157"/>
      <c r="X78" s="197"/>
      <c r="Y78" s="156"/>
    </row>
    <row r="79" ht="15.75" customHeight="1">
      <c r="A79" s="189"/>
      <c r="B79" s="193"/>
      <c r="C79" s="194"/>
      <c r="N79" s="152"/>
      <c r="Q79" s="195"/>
      <c r="S79" s="196"/>
      <c r="T79" s="196"/>
      <c r="U79" s="152"/>
      <c r="V79" s="152"/>
      <c r="W79" s="157"/>
      <c r="X79" s="197"/>
      <c r="Y79" s="156"/>
    </row>
    <row r="80" ht="15.75" customHeight="1">
      <c r="A80" s="189"/>
      <c r="B80" s="193"/>
      <c r="C80" s="194"/>
      <c r="N80" s="152"/>
      <c r="Q80" s="195"/>
      <c r="S80" s="196"/>
      <c r="T80" s="196"/>
      <c r="U80" s="152"/>
      <c r="V80" s="152"/>
      <c r="W80" s="157"/>
      <c r="X80" s="197"/>
      <c r="Y80" s="156"/>
    </row>
    <row r="81" ht="15.75" customHeight="1">
      <c r="A81" s="189"/>
      <c r="B81" s="193"/>
      <c r="C81" s="194"/>
      <c r="N81" s="152"/>
      <c r="Q81" s="195"/>
      <c r="S81" s="196"/>
      <c r="T81" s="196"/>
      <c r="U81" s="152"/>
      <c r="V81" s="152"/>
      <c r="W81" s="157"/>
      <c r="X81" s="197"/>
      <c r="Y81" s="156"/>
    </row>
    <row r="82" ht="15.75" customHeight="1">
      <c r="A82" s="189"/>
      <c r="B82" s="193"/>
      <c r="C82" s="194"/>
      <c r="N82" s="152"/>
      <c r="Q82" s="195"/>
      <c r="S82" s="196"/>
      <c r="T82" s="196"/>
      <c r="U82" s="152"/>
      <c r="V82" s="152"/>
      <c r="W82" s="157"/>
      <c r="X82" s="197"/>
      <c r="Y82" s="156"/>
    </row>
    <row r="83" ht="15.75" customHeight="1">
      <c r="A83" s="189"/>
      <c r="B83" s="193"/>
      <c r="C83" s="194"/>
      <c r="N83" s="152"/>
      <c r="Q83" s="195"/>
      <c r="S83" s="196"/>
      <c r="T83" s="196"/>
      <c r="U83" s="152"/>
      <c r="V83" s="152"/>
      <c r="W83" s="157"/>
      <c r="X83" s="197"/>
      <c r="Y83" s="156"/>
    </row>
    <row r="84" ht="15.75" customHeight="1">
      <c r="A84" s="189"/>
      <c r="B84" s="193"/>
      <c r="C84" s="194"/>
      <c r="N84" s="152"/>
      <c r="Q84" s="195"/>
      <c r="S84" s="196"/>
      <c r="T84" s="196"/>
      <c r="U84" s="152"/>
      <c r="V84" s="152"/>
      <c r="W84" s="157"/>
      <c r="X84" s="197"/>
      <c r="Y84" s="156"/>
    </row>
    <row r="85" ht="15.75" customHeight="1">
      <c r="A85" s="189"/>
      <c r="B85" s="193"/>
      <c r="C85" s="194"/>
      <c r="N85" s="152"/>
      <c r="Q85" s="195"/>
      <c r="S85" s="196"/>
      <c r="T85" s="196"/>
      <c r="U85" s="152"/>
      <c r="V85" s="152"/>
      <c r="W85" s="157"/>
      <c r="X85" s="197"/>
      <c r="Y85" s="156"/>
    </row>
    <row r="86" ht="15.75" customHeight="1">
      <c r="A86" s="189"/>
      <c r="B86" s="193"/>
      <c r="C86" s="194"/>
      <c r="N86" s="152"/>
      <c r="Q86" s="195"/>
      <c r="S86" s="196"/>
      <c r="T86" s="196"/>
      <c r="U86" s="152"/>
      <c r="V86" s="152"/>
      <c r="W86" s="157"/>
      <c r="X86" s="197"/>
      <c r="Y86" s="156"/>
    </row>
    <row r="87" ht="15.75" customHeight="1">
      <c r="A87" s="189"/>
      <c r="B87" s="193"/>
      <c r="C87" s="194"/>
      <c r="N87" s="152"/>
      <c r="Q87" s="195"/>
      <c r="S87" s="196"/>
      <c r="T87" s="196"/>
      <c r="U87" s="152"/>
      <c r="V87" s="152"/>
      <c r="W87" s="157"/>
      <c r="X87" s="197"/>
      <c r="Y87" s="156"/>
    </row>
    <row r="88" ht="15.75" customHeight="1">
      <c r="A88" s="189"/>
      <c r="B88" s="193"/>
      <c r="C88" s="194"/>
      <c r="N88" s="152"/>
      <c r="Q88" s="195"/>
      <c r="S88" s="196"/>
      <c r="T88" s="196"/>
      <c r="U88" s="152"/>
      <c r="V88" s="152"/>
      <c r="W88" s="157"/>
      <c r="X88" s="197"/>
      <c r="Y88" s="156"/>
    </row>
    <row r="89" ht="15.75" customHeight="1">
      <c r="A89" s="189"/>
      <c r="B89" s="193"/>
      <c r="C89" s="194"/>
      <c r="N89" s="152"/>
      <c r="Q89" s="195"/>
      <c r="S89" s="196"/>
      <c r="T89" s="196"/>
      <c r="U89" s="152"/>
      <c r="V89" s="152"/>
      <c r="W89" s="157"/>
      <c r="X89" s="197"/>
      <c r="Y89" s="156"/>
    </row>
    <row r="90" ht="15.75" customHeight="1">
      <c r="A90" s="189"/>
      <c r="B90" s="193"/>
      <c r="C90" s="194"/>
      <c r="N90" s="152"/>
      <c r="Q90" s="195"/>
      <c r="S90" s="196"/>
      <c r="T90" s="196"/>
      <c r="U90" s="152"/>
      <c r="V90" s="152"/>
      <c r="W90" s="157"/>
      <c r="X90" s="197"/>
      <c r="Y90" s="156"/>
    </row>
    <row r="91" ht="15.75" customHeight="1">
      <c r="A91" s="189"/>
      <c r="B91" s="193"/>
      <c r="C91" s="194"/>
      <c r="N91" s="152"/>
      <c r="Q91" s="195"/>
      <c r="S91" s="196"/>
      <c r="T91" s="196"/>
      <c r="U91" s="152"/>
      <c r="V91" s="152"/>
      <c r="W91" s="157"/>
      <c r="X91" s="197"/>
      <c r="Y91" s="156"/>
    </row>
    <row r="92" ht="15.75" customHeight="1">
      <c r="A92" s="189"/>
      <c r="B92" s="193"/>
      <c r="C92" s="194"/>
      <c r="N92" s="152"/>
      <c r="Q92" s="195"/>
      <c r="S92" s="196"/>
      <c r="T92" s="196"/>
      <c r="U92" s="152"/>
      <c r="V92" s="152"/>
      <c r="W92" s="157"/>
      <c r="X92" s="197"/>
      <c r="Y92" s="156"/>
    </row>
    <row r="93" ht="15.75" customHeight="1">
      <c r="A93" s="189"/>
      <c r="B93" s="193"/>
      <c r="C93" s="194"/>
      <c r="N93" s="152"/>
      <c r="Q93" s="195"/>
      <c r="S93" s="196"/>
      <c r="T93" s="196"/>
      <c r="U93" s="152"/>
      <c r="V93" s="152"/>
      <c r="W93" s="157"/>
      <c r="X93" s="197"/>
      <c r="Y93" s="156"/>
    </row>
    <row r="94" ht="15.75" customHeight="1">
      <c r="A94" s="189"/>
      <c r="B94" s="193"/>
      <c r="C94" s="194"/>
      <c r="N94" s="152"/>
      <c r="Q94" s="195"/>
      <c r="S94" s="196"/>
      <c r="T94" s="196"/>
      <c r="U94" s="152"/>
      <c r="V94" s="152"/>
      <c r="W94" s="157"/>
      <c r="X94" s="197"/>
      <c r="Y94" s="156"/>
    </row>
    <row r="95" ht="15.75" customHeight="1">
      <c r="A95" s="189"/>
      <c r="B95" s="193"/>
      <c r="C95" s="194"/>
      <c r="N95" s="152"/>
      <c r="Q95" s="195"/>
      <c r="S95" s="196"/>
      <c r="T95" s="196"/>
      <c r="U95" s="152"/>
      <c r="V95" s="152"/>
      <c r="W95" s="157"/>
      <c r="X95" s="197"/>
      <c r="Y95" s="156"/>
    </row>
    <row r="96" ht="15.75" customHeight="1">
      <c r="A96" s="189"/>
      <c r="B96" s="193"/>
      <c r="C96" s="194"/>
      <c r="N96" s="152"/>
      <c r="Q96" s="195"/>
      <c r="S96" s="196"/>
      <c r="T96" s="196"/>
      <c r="U96" s="152"/>
      <c r="V96" s="152"/>
      <c r="W96" s="157"/>
      <c r="X96" s="197"/>
      <c r="Y96" s="156"/>
    </row>
    <row r="97" ht="15.75" customHeight="1">
      <c r="A97" s="189"/>
      <c r="B97" s="193"/>
      <c r="C97" s="194"/>
      <c r="N97" s="152"/>
      <c r="Q97" s="195"/>
      <c r="S97" s="196"/>
      <c r="T97" s="196"/>
      <c r="U97" s="152"/>
      <c r="V97" s="152"/>
      <c r="W97" s="157"/>
      <c r="X97" s="197"/>
      <c r="Y97" s="156"/>
    </row>
    <row r="98" ht="15.75" customHeight="1">
      <c r="A98" s="189"/>
      <c r="B98" s="193"/>
      <c r="C98" s="194"/>
      <c r="N98" s="152"/>
      <c r="Q98" s="195"/>
      <c r="S98" s="196"/>
      <c r="T98" s="196"/>
      <c r="U98" s="152"/>
      <c r="V98" s="152"/>
      <c r="W98" s="157"/>
      <c r="X98" s="197"/>
      <c r="Y98" s="156"/>
    </row>
    <row r="99" ht="15.75" customHeight="1">
      <c r="A99" s="189"/>
      <c r="B99" s="193"/>
      <c r="C99" s="194"/>
      <c r="N99" s="152"/>
      <c r="Q99" s="195"/>
      <c r="S99" s="196"/>
      <c r="T99" s="196"/>
      <c r="U99" s="152"/>
      <c r="V99" s="152"/>
      <c r="W99" s="157"/>
      <c r="X99" s="197"/>
      <c r="Y99" s="156"/>
    </row>
    <row r="100" ht="15.75" customHeight="1">
      <c r="A100" s="189"/>
      <c r="B100" s="193"/>
      <c r="C100" s="194"/>
      <c r="N100" s="152"/>
      <c r="Q100" s="195"/>
      <c r="S100" s="196"/>
      <c r="T100" s="196"/>
      <c r="U100" s="152"/>
      <c r="V100" s="152"/>
      <c r="W100" s="157"/>
      <c r="X100" s="197"/>
      <c r="Y100" s="156"/>
    </row>
    <row r="101" ht="15.75" customHeight="1">
      <c r="A101" s="189"/>
      <c r="B101" s="193"/>
      <c r="C101" s="194"/>
      <c r="N101" s="152"/>
      <c r="Q101" s="195"/>
      <c r="S101" s="196"/>
      <c r="T101" s="196"/>
      <c r="U101" s="152"/>
      <c r="V101" s="152"/>
      <c r="W101" s="157"/>
      <c r="X101" s="197"/>
      <c r="Y101" s="156"/>
    </row>
    <row r="102" ht="15.75" customHeight="1">
      <c r="A102" s="189"/>
      <c r="B102" s="193"/>
      <c r="C102" s="194"/>
      <c r="N102" s="152"/>
      <c r="Q102" s="195"/>
      <c r="S102" s="196"/>
      <c r="T102" s="196"/>
      <c r="U102" s="152"/>
      <c r="V102" s="152"/>
      <c r="W102" s="157"/>
      <c r="X102" s="197"/>
      <c r="Y102" s="156"/>
    </row>
    <row r="103" ht="15.75" customHeight="1">
      <c r="A103" s="189"/>
      <c r="B103" s="193"/>
      <c r="C103" s="194"/>
      <c r="N103" s="152"/>
      <c r="Q103" s="195"/>
      <c r="S103" s="196"/>
      <c r="T103" s="196"/>
      <c r="U103" s="152"/>
      <c r="V103" s="152"/>
      <c r="W103" s="157"/>
      <c r="X103" s="197"/>
      <c r="Y103" s="156"/>
    </row>
    <row r="104" ht="15.75" customHeight="1">
      <c r="A104" s="189"/>
      <c r="B104" s="193"/>
      <c r="C104" s="194"/>
      <c r="N104" s="152"/>
      <c r="Q104" s="195"/>
      <c r="S104" s="196"/>
      <c r="T104" s="196"/>
      <c r="U104" s="152"/>
      <c r="V104" s="152"/>
      <c r="W104" s="157"/>
      <c r="X104" s="197"/>
      <c r="Y104" s="156"/>
    </row>
    <row r="105" ht="15.75" customHeight="1">
      <c r="A105" s="189"/>
      <c r="B105" s="193"/>
      <c r="C105" s="194"/>
      <c r="N105" s="152"/>
      <c r="Q105" s="195"/>
      <c r="S105" s="196"/>
      <c r="T105" s="196"/>
      <c r="U105" s="152"/>
      <c r="V105" s="152"/>
      <c r="W105" s="157"/>
      <c r="X105" s="197"/>
      <c r="Y105" s="156"/>
    </row>
    <row r="106" ht="15.75" customHeight="1">
      <c r="A106" s="189"/>
      <c r="B106" s="193"/>
      <c r="C106" s="194"/>
      <c r="N106" s="152"/>
      <c r="Q106" s="195"/>
      <c r="S106" s="196"/>
      <c r="T106" s="196"/>
      <c r="U106" s="152"/>
      <c r="V106" s="152"/>
      <c r="W106" s="157"/>
      <c r="X106" s="197"/>
      <c r="Y106" s="156"/>
    </row>
    <row r="107" ht="15.75" customHeight="1">
      <c r="A107" s="189"/>
      <c r="B107" s="193"/>
      <c r="C107" s="194"/>
      <c r="N107" s="152"/>
      <c r="Q107" s="195"/>
      <c r="S107" s="196"/>
      <c r="T107" s="196"/>
      <c r="U107" s="152"/>
      <c r="V107" s="152"/>
      <c r="W107" s="157"/>
      <c r="X107" s="197"/>
      <c r="Y107" s="156"/>
    </row>
    <row r="108" ht="15.75" customHeight="1">
      <c r="A108" s="189"/>
      <c r="B108" s="193"/>
      <c r="C108" s="194"/>
      <c r="N108" s="152"/>
      <c r="Q108" s="195"/>
      <c r="S108" s="196"/>
      <c r="T108" s="196"/>
      <c r="U108" s="152"/>
      <c r="V108" s="152"/>
      <c r="W108" s="157"/>
      <c r="X108" s="197"/>
      <c r="Y108" s="156"/>
    </row>
    <row r="109" ht="15.75" customHeight="1">
      <c r="A109" s="189"/>
      <c r="B109" s="193"/>
      <c r="C109" s="194"/>
      <c r="N109" s="152"/>
      <c r="Q109" s="195"/>
      <c r="S109" s="196"/>
      <c r="T109" s="196"/>
      <c r="U109" s="152"/>
      <c r="V109" s="152"/>
      <c r="W109" s="157"/>
      <c r="X109" s="197"/>
      <c r="Y109" s="156"/>
    </row>
    <row r="110" ht="15.75" customHeight="1">
      <c r="A110" s="189"/>
      <c r="B110" s="193"/>
      <c r="C110" s="194"/>
      <c r="N110" s="152"/>
      <c r="Q110" s="195"/>
      <c r="S110" s="196"/>
      <c r="T110" s="196"/>
      <c r="U110" s="152"/>
      <c r="V110" s="152"/>
      <c r="W110" s="157"/>
      <c r="X110" s="197"/>
      <c r="Y110" s="156"/>
    </row>
    <row r="111" ht="15.75" customHeight="1">
      <c r="A111" s="189"/>
      <c r="B111" s="193"/>
      <c r="C111" s="194"/>
      <c r="N111" s="152"/>
      <c r="Q111" s="195"/>
      <c r="S111" s="196"/>
      <c r="T111" s="196"/>
      <c r="U111" s="152"/>
      <c r="V111" s="152"/>
      <c r="W111" s="157"/>
      <c r="X111" s="197"/>
      <c r="Y111" s="156"/>
    </row>
    <row r="112" ht="15.75" customHeight="1">
      <c r="A112" s="189"/>
      <c r="B112" s="193"/>
      <c r="C112" s="194"/>
      <c r="N112" s="152"/>
      <c r="Q112" s="195"/>
      <c r="S112" s="196"/>
      <c r="T112" s="196"/>
      <c r="U112" s="152"/>
      <c r="V112" s="152"/>
      <c r="W112" s="157"/>
      <c r="X112" s="197"/>
      <c r="Y112" s="156"/>
    </row>
    <row r="113" ht="15.75" customHeight="1">
      <c r="A113" s="189"/>
      <c r="B113" s="193"/>
      <c r="C113" s="194"/>
      <c r="N113" s="152"/>
      <c r="Q113" s="195"/>
      <c r="S113" s="196"/>
      <c r="T113" s="196"/>
      <c r="U113" s="152"/>
      <c r="V113" s="152"/>
      <c r="W113" s="157"/>
      <c r="X113" s="197"/>
      <c r="Y113" s="156"/>
    </row>
    <row r="114" ht="15.75" customHeight="1">
      <c r="A114" s="189"/>
      <c r="B114" s="193"/>
      <c r="C114" s="194"/>
      <c r="N114" s="152"/>
      <c r="Q114" s="195"/>
      <c r="S114" s="196"/>
      <c r="T114" s="196"/>
      <c r="U114" s="152"/>
      <c r="V114" s="152"/>
      <c r="W114" s="157"/>
      <c r="X114" s="197"/>
      <c r="Y114" s="156"/>
    </row>
    <row r="115" ht="15.75" customHeight="1">
      <c r="A115" s="189"/>
      <c r="B115" s="193"/>
      <c r="C115" s="194"/>
      <c r="N115" s="152"/>
      <c r="Q115" s="195"/>
      <c r="S115" s="196"/>
      <c r="T115" s="196"/>
      <c r="U115" s="152"/>
      <c r="V115" s="152"/>
      <c r="W115" s="157"/>
      <c r="X115" s="197"/>
      <c r="Y115" s="156"/>
    </row>
    <row r="116" ht="15.75" customHeight="1">
      <c r="A116" s="189"/>
      <c r="B116" s="193"/>
      <c r="C116" s="194"/>
      <c r="N116" s="152"/>
      <c r="Q116" s="195"/>
      <c r="S116" s="196"/>
      <c r="T116" s="196"/>
      <c r="U116" s="152"/>
      <c r="V116" s="152"/>
      <c r="W116" s="157"/>
      <c r="X116" s="197"/>
      <c r="Y116" s="156"/>
    </row>
    <row r="117" ht="15.75" customHeight="1">
      <c r="A117" s="189"/>
      <c r="B117" s="193"/>
      <c r="C117" s="194"/>
      <c r="N117" s="152"/>
      <c r="Q117" s="195"/>
      <c r="S117" s="196"/>
      <c r="T117" s="196"/>
      <c r="U117" s="152"/>
      <c r="V117" s="152"/>
      <c r="W117" s="157"/>
      <c r="X117" s="197"/>
      <c r="Y117" s="156"/>
    </row>
    <row r="118" ht="15.75" customHeight="1">
      <c r="A118" s="189"/>
      <c r="B118" s="193"/>
      <c r="C118" s="194"/>
      <c r="N118" s="152"/>
      <c r="Q118" s="195"/>
      <c r="S118" s="196"/>
      <c r="T118" s="196"/>
      <c r="U118" s="152"/>
      <c r="V118" s="152"/>
      <c r="W118" s="157"/>
      <c r="X118" s="197"/>
      <c r="Y118" s="156"/>
    </row>
    <row r="119" ht="15.75" customHeight="1">
      <c r="A119" s="189"/>
      <c r="B119" s="193"/>
      <c r="C119" s="194"/>
      <c r="N119" s="152"/>
      <c r="Q119" s="195"/>
      <c r="S119" s="196"/>
      <c r="T119" s="196"/>
      <c r="U119" s="152"/>
      <c r="V119" s="152"/>
      <c r="W119" s="157"/>
      <c r="X119" s="197"/>
      <c r="Y119" s="156"/>
    </row>
    <row r="120" ht="15.75" customHeight="1">
      <c r="A120" s="189"/>
      <c r="B120" s="193"/>
      <c r="C120" s="194"/>
      <c r="N120" s="152"/>
      <c r="Q120" s="195"/>
      <c r="S120" s="196"/>
      <c r="T120" s="196"/>
      <c r="U120" s="152"/>
      <c r="V120" s="152"/>
      <c r="W120" s="157"/>
      <c r="X120" s="197"/>
      <c r="Y120" s="156"/>
    </row>
    <row r="121" ht="15.75" customHeight="1">
      <c r="A121" s="189"/>
      <c r="B121" s="193"/>
      <c r="C121" s="194"/>
      <c r="N121" s="152"/>
      <c r="Q121" s="195"/>
      <c r="S121" s="196"/>
      <c r="T121" s="196"/>
      <c r="U121" s="152"/>
      <c r="V121" s="152"/>
      <c r="W121" s="157"/>
      <c r="X121" s="197"/>
      <c r="Y121" s="156"/>
    </row>
    <row r="122" ht="15.75" customHeight="1">
      <c r="A122" s="189"/>
      <c r="B122" s="193"/>
      <c r="C122" s="194"/>
      <c r="N122" s="152"/>
      <c r="Q122" s="195"/>
      <c r="S122" s="196"/>
      <c r="T122" s="196"/>
      <c r="U122" s="152"/>
      <c r="V122" s="152"/>
      <c r="W122" s="157"/>
      <c r="X122" s="197"/>
      <c r="Y122" s="156"/>
    </row>
    <row r="123" ht="15.75" customHeight="1">
      <c r="A123" s="189"/>
      <c r="B123" s="193"/>
      <c r="C123" s="194"/>
      <c r="N123" s="152"/>
      <c r="Q123" s="195"/>
      <c r="S123" s="196"/>
      <c r="T123" s="196"/>
      <c r="U123" s="152"/>
      <c r="V123" s="152"/>
      <c r="W123" s="157"/>
      <c r="X123" s="197"/>
      <c r="Y123" s="156"/>
    </row>
    <row r="124" ht="15.75" customHeight="1">
      <c r="A124" s="189"/>
      <c r="B124" s="193"/>
      <c r="C124" s="194"/>
      <c r="N124" s="152"/>
      <c r="Q124" s="195"/>
      <c r="S124" s="196"/>
      <c r="T124" s="196"/>
      <c r="U124" s="152"/>
      <c r="V124" s="152"/>
      <c r="W124" s="157"/>
      <c r="X124" s="197"/>
      <c r="Y124" s="156"/>
    </row>
    <row r="125" ht="15.75" customHeight="1">
      <c r="A125" s="189"/>
      <c r="B125" s="193"/>
      <c r="C125" s="194"/>
      <c r="N125" s="152"/>
      <c r="Q125" s="195"/>
      <c r="S125" s="196"/>
      <c r="T125" s="196"/>
      <c r="U125" s="152"/>
      <c r="V125" s="152"/>
      <c r="W125" s="157"/>
      <c r="X125" s="197"/>
      <c r="Y125" s="156"/>
    </row>
    <row r="126" ht="15.75" customHeight="1">
      <c r="A126" s="189"/>
      <c r="B126" s="193"/>
      <c r="C126" s="194"/>
      <c r="N126" s="152"/>
      <c r="Q126" s="195"/>
      <c r="S126" s="196"/>
      <c r="T126" s="196"/>
      <c r="U126" s="152"/>
      <c r="V126" s="152"/>
      <c r="W126" s="157"/>
      <c r="X126" s="197"/>
      <c r="Y126" s="156"/>
    </row>
    <row r="127" ht="15.75" customHeight="1">
      <c r="A127" s="189"/>
      <c r="B127" s="193"/>
      <c r="C127" s="194"/>
      <c r="N127" s="152"/>
      <c r="Q127" s="195"/>
      <c r="S127" s="196"/>
      <c r="T127" s="196"/>
      <c r="U127" s="152"/>
      <c r="V127" s="152"/>
      <c r="W127" s="157"/>
      <c r="X127" s="197"/>
      <c r="Y127" s="156"/>
    </row>
    <row r="128" ht="15.75" customHeight="1">
      <c r="A128" s="189"/>
      <c r="B128" s="193"/>
      <c r="C128" s="194"/>
      <c r="N128" s="152"/>
      <c r="Q128" s="195"/>
      <c r="S128" s="196"/>
      <c r="T128" s="196"/>
      <c r="U128" s="152"/>
      <c r="V128" s="152"/>
      <c r="W128" s="157"/>
      <c r="X128" s="197"/>
      <c r="Y128" s="156"/>
    </row>
    <row r="129" ht="15.75" customHeight="1">
      <c r="A129" s="189"/>
      <c r="B129" s="193"/>
      <c r="C129" s="194"/>
      <c r="N129" s="152"/>
      <c r="Q129" s="195"/>
      <c r="S129" s="196"/>
      <c r="T129" s="196"/>
      <c r="U129" s="152"/>
      <c r="V129" s="152"/>
      <c r="W129" s="157"/>
      <c r="X129" s="197"/>
      <c r="Y129" s="156"/>
    </row>
    <row r="130" ht="15.75" customHeight="1">
      <c r="A130" s="189"/>
      <c r="B130" s="193"/>
      <c r="C130" s="194"/>
      <c r="N130" s="152"/>
      <c r="Q130" s="195"/>
      <c r="S130" s="196"/>
      <c r="T130" s="196"/>
      <c r="U130" s="152"/>
      <c r="V130" s="152"/>
      <c r="W130" s="157"/>
      <c r="X130" s="197"/>
      <c r="Y130" s="156"/>
    </row>
    <row r="131" ht="15.75" customHeight="1">
      <c r="A131" s="189"/>
      <c r="B131" s="193"/>
      <c r="C131" s="194"/>
      <c r="N131" s="152"/>
      <c r="Q131" s="195"/>
      <c r="S131" s="196"/>
      <c r="T131" s="196"/>
      <c r="U131" s="152"/>
      <c r="V131" s="152"/>
      <c r="W131" s="157"/>
      <c r="X131" s="197"/>
      <c r="Y131" s="156"/>
    </row>
    <row r="132" ht="15.75" customHeight="1">
      <c r="A132" s="189"/>
      <c r="B132" s="193"/>
      <c r="C132" s="194"/>
      <c r="N132" s="152"/>
      <c r="Q132" s="195"/>
      <c r="S132" s="196"/>
      <c r="T132" s="196"/>
      <c r="U132" s="152"/>
      <c r="V132" s="152"/>
      <c r="W132" s="157"/>
      <c r="X132" s="197"/>
      <c r="Y132" s="156"/>
    </row>
    <row r="133" ht="15.75" customHeight="1">
      <c r="A133" s="189"/>
      <c r="B133" s="193"/>
      <c r="C133" s="194"/>
      <c r="N133" s="152"/>
      <c r="Q133" s="195"/>
      <c r="S133" s="196"/>
      <c r="T133" s="196"/>
      <c r="U133" s="152"/>
      <c r="V133" s="152"/>
      <c r="W133" s="157"/>
      <c r="X133" s="197"/>
      <c r="Y133" s="156"/>
    </row>
    <row r="134" ht="15.75" customHeight="1">
      <c r="A134" s="189"/>
      <c r="B134" s="193"/>
      <c r="C134" s="194"/>
      <c r="N134" s="152"/>
      <c r="Q134" s="195"/>
      <c r="S134" s="196"/>
      <c r="T134" s="196"/>
      <c r="U134" s="152"/>
      <c r="V134" s="152"/>
      <c r="W134" s="157"/>
      <c r="X134" s="197"/>
      <c r="Y134" s="156"/>
    </row>
    <row r="135" ht="15.75" customHeight="1">
      <c r="A135" s="189"/>
      <c r="B135" s="193"/>
      <c r="C135" s="194"/>
      <c r="N135" s="152"/>
      <c r="Q135" s="195"/>
      <c r="S135" s="196"/>
      <c r="T135" s="196"/>
      <c r="U135" s="152"/>
      <c r="V135" s="152"/>
      <c r="W135" s="157"/>
      <c r="X135" s="197"/>
      <c r="Y135" s="156"/>
    </row>
    <row r="136" ht="15.75" customHeight="1">
      <c r="A136" s="189"/>
      <c r="B136" s="193"/>
      <c r="C136" s="194"/>
      <c r="N136" s="152"/>
      <c r="Q136" s="195"/>
      <c r="S136" s="196"/>
      <c r="T136" s="196"/>
      <c r="U136" s="152"/>
      <c r="V136" s="152"/>
      <c r="W136" s="157"/>
      <c r="X136" s="197"/>
      <c r="Y136" s="156"/>
    </row>
    <row r="137" ht="15.75" customHeight="1">
      <c r="A137" s="189"/>
      <c r="B137" s="193"/>
      <c r="C137" s="194"/>
      <c r="N137" s="152"/>
      <c r="Q137" s="195"/>
      <c r="S137" s="196"/>
      <c r="T137" s="196"/>
      <c r="U137" s="152"/>
      <c r="V137" s="152"/>
      <c r="W137" s="157"/>
      <c r="X137" s="197"/>
      <c r="Y137" s="156"/>
    </row>
    <row r="138" ht="15.75" customHeight="1">
      <c r="A138" s="189"/>
      <c r="B138" s="193"/>
      <c r="C138" s="194"/>
      <c r="N138" s="152"/>
      <c r="Q138" s="195"/>
      <c r="S138" s="196"/>
      <c r="T138" s="196"/>
      <c r="U138" s="152"/>
      <c r="V138" s="152"/>
      <c r="W138" s="157"/>
      <c r="X138" s="197"/>
      <c r="Y138" s="156"/>
    </row>
    <row r="139" ht="15.75" customHeight="1">
      <c r="A139" s="189"/>
      <c r="B139" s="193"/>
      <c r="C139" s="194"/>
      <c r="N139" s="152"/>
      <c r="Q139" s="195"/>
      <c r="S139" s="196"/>
      <c r="T139" s="196"/>
      <c r="U139" s="152"/>
      <c r="V139" s="152"/>
      <c r="W139" s="157"/>
      <c r="X139" s="197"/>
      <c r="Y139" s="156"/>
    </row>
    <row r="140" ht="15.75" customHeight="1">
      <c r="A140" s="189"/>
      <c r="B140" s="193"/>
      <c r="C140" s="194"/>
      <c r="N140" s="152"/>
      <c r="Q140" s="195"/>
      <c r="S140" s="196"/>
      <c r="T140" s="196"/>
      <c r="U140" s="152"/>
      <c r="V140" s="152"/>
      <c r="W140" s="157"/>
      <c r="X140" s="197"/>
      <c r="Y140" s="156"/>
    </row>
    <row r="141" ht="15.75" customHeight="1">
      <c r="A141" s="189"/>
      <c r="B141" s="193"/>
      <c r="C141" s="194"/>
      <c r="N141" s="152"/>
      <c r="Q141" s="195"/>
      <c r="S141" s="196"/>
      <c r="T141" s="196"/>
      <c r="U141" s="152"/>
      <c r="V141" s="152"/>
      <c r="W141" s="157"/>
      <c r="X141" s="197"/>
      <c r="Y141" s="156"/>
    </row>
    <row r="142" ht="15.75" customHeight="1">
      <c r="A142" s="189"/>
      <c r="B142" s="193"/>
      <c r="C142" s="194"/>
      <c r="N142" s="152"/>
      <c r="Q142" s="195"/>
      <c r="S142" s="196"/>
      <c r="T142" s="196"/>
      <c r="U142" s="152"/>
      <c r="V142" s="152"/>
      <c r="W142" s="157"/>
      <c r="X142" s="197"/>
      <c r="Y142" s="156"/>
    </row>
    <row r="143" ht="15.75" customHeight="1">
      <c r="A143" s="189"/>
      <c r="B143" s="193"/>
      <c r="C143" s="194"/>
      <c r="N143" s="152"/>
      <c r="Q143" s="195"/>
      <c r="S143" s="196"/>
      <c r="T143" s="196"/>
      <c r="U143" s="152"/>
      <c r="V143" s="152"/>
      <c r="W143" s="157"/>
      <c r="X143" s="197"/>
      <c r="Y143" s="156"/>
    </row>
    <row r="144" ht="15.75" customHeight="1">
      <c r="A144" s="189"/>
      <c r="B144" s="193"/>
      <c r="C144" s="194"/>
      <c r="N144" s="152"/>
      <c r="Q144" s="195"/>
      <c r="S144" s="196"/>
      <c r="T144" s="196"/>
      <c r="U144" s="152"/>
      <c r="V144" s="152"/>
      <c r="W144" s="157"/>
      <c r="X144" s="197"/>
      <c r="Y144" s="156"/>
    </row>
    <row r="145" ht="15.75" customHeight="1">
      <c r="A145" s="189"/>
      <c r="B145" s="193"/>
      <c r="C145" s="194"/>
      <c r="N145" s="152"/>
      <c r="Q145" s="195"/>
      <c r="S145" s="196"/>
      <c r="T145" s="196"/>
      <c r="U145" s="152"/>
      <c r="V145" s="152"/>
      <c r="W145" s="157"/>
      <c r="X145" s="197"/>
      <c r="Y145" s="156"/>
    </row>
    <row r="146" ht="15.75" customHeight="1">
      <c r="A146" s="189"/>
      <c r="B146" s="193"/>
      <c r="C146" s="194"/>
      <c r="N146" s="152"/>
      <c r="Q146" s="195"/>
      <c r="S146" s="196"/>
      <c r="T146" s="196"/>
      <c r="U146" s="152"/>
      <c r="V146" s="152"/>
      <c r="W146" s="157"/>
      <c r="X146" s="197"/>
      <c r="Y146" s="156"/>
    </row>
    <row r="147" ht="15.75" customHeight="1">
      <c r="A147" s="189"/>
      <c r="B147" s="193"/>
      <c r="C147" s="194"/>
      <c r="N147" s="152"/>
      <c r="Q147" s="195"/>
      <c r="S147" s="196"/>
      <c r="T147" s="196"/>
      <c r="U147" s="152"/>
      <c r="V147" s="152"/>
      <c r="W147" s="157"/>
      <c r="X147" s="197"/>
      <c r="Y147" s="156"/>
    </row>
    <row r="148" ht="15.75" customHeight="1">
      <c r="A148" s="189"/>
      <c r="B148" s="193"/>
      <c r="C148" s="194"/>
      <c r="N148" s="152"/>
      <c r="Q148" s="195"/>
      <c r="S148" s="196"/>
      <c r="T148" s="196"/>
      <c r="U148" s="152"/>
      <c r="V148" s="152"/>
      <c r="W148" s="157"/>
      <c r="X148" s="197"/>
      <c r="Y148" s="156"/>
    </row>
    <row r="149" ht="15.75" customHeight="1">
      <c r="A149" s="189"/>
      <c r="B149" s="193"/>
      <c r="C149" s="194"/>
      <c r="N149" s="152"/>
      <c r="Q149" s="195"/>
      <c r="S149" s="196"/>
      <c r="T149" s="196"/>
      <c r="U149" s="152"/>
      <c r="V149" s="152"/>
      <c r="W149" s="157"/>
      <c r="X149" s="197"/>
      <c r="Y149" s="156"/>
    </row>
    <row r="150" ht="15.75" customHeight="1">
      <c r="A150" s="189"/>
      <c r="B150" s="193"/>
      <c r="C150" s="194"/>
      <c r="N150" s="152"/>
      <c r="Q150" s="195"/>
      <c r="S150" s="196"/>
      <c r="T150" s="196"/>
      <c r="U150" s="152"/>
      <c r="V150" s="152"/>
      <c r="W150" s="157"/>
      <c r="X150" s="197"/>
      <c r="Y150" s="156"/>
    </row>
    <row r="151" ht="15.75" customHeight="1">
      <c r="A151" s="189"/>
      <c r="B151" s="193"/>
      <c r="C151" s="194"/>
      <c r="N151" s="152"/>
      <c r="Q151" s="195"/>
      <c r="S151" s="196"/>
      <c r="T151" s="196"/>
      <c r="U151" s="152"/>
      <c r="V151" s="152"/>
      <c r="W151" s="157"/>
      <c r="X151" s="197"/>
      <c r="Y151" s="156"/>
    </row>
    <row r="152" ht="15.75" customHeight="1">
      <c r="A152" s="189"/>
      <c r="B152" s="193"/>
      <c r="C152" s="194"/>
      <c r="N152" s="152"/>
      <c r="Q152" s="195"/>
      <c r="S152" s="196"/>
      <c r="T152" s="196"/>
      <c r="U152" s="152"/>
      <c r="V152" s="152"/>
      <c r="W152" s="157"/>
      <c r="X152" s="197"/>
      <c r="Y152" s="156"/>
    </row>
    <row r="153" ht="15.75" customHeight="1">
      <c r="A153" s="189"/>
      <c r="B153" s="193"/>
      <c r="C153" s="194"/>
      <c r="N153" s="152"/>
      <c r="Q153" s="195"/>
      <c r="S153" s="196"/>
      <c r="T153" s="196"/>
      <c r="U153" s="152"/>
      <c r="V153" s="152"/>
      <c r="W153" s="157"/>
      <c r="X153" s="197"/>
      <c r="Y153" s="156"/>
    </row>
    <row r="154" ht="15.75" customHeight="1">
      <c r="A154" s="189"/>
      <c r="B154" s="193"/>
      <c r="C154" s="194"/>
      <c r="N154" s="152"/>
      <c r="Q154" s="195"/>
      <c r="S154" s="196"/>
      <c r="T154" s="196"/>
      <c r="U154" s="152"/>
      <c r="V154" s="152"/>
      <c r="W154" s="157"/>
      <c r="X154" s="197"/>
      <c r="Y154" s="156"/>
    </row>
    <row r="155" ht="15.75" customHeight="1">
      <c r="A155" s="189"/>
      <c r="B155" s="193"/>
      <c r="C155" s="194"/>
      <c r="N155" s="152"/>
      <c r="Q155" s="195"/>
      <c r="S155" s="196"/>
      <c r="T155" s="196"/>
      <c r="U155" s="152"/>
      <c r="V155" s="152"/>
      <c r="W155" s="157"/>
      <c r="X155" s="197"/>
      <c r="Y155" s="156"/>
    </row>
    <row r="156" ht="15.75" customHeight="1">
      <c r="A156" s="189"/>
      <c r="B156" s="193"/>
      <c r="C156" s="194"/>
      <c r="N156" s="152"/>
      <c r="Q156" s="195"/>
      <c r="S156" s="196"/>
      <c r="T156" s="196"/>
      <c r="U156" s="152"/>
      <c r="V156" s="152"/>
      <c r="W156" s="157"/>
      <c r="X156" s="197"/>
      <c r="Y156" s="156"/>
    </row>
    <row r="157" ht="15.75" customHeight="1">
      <c r="A157" s="189"/>
      <c r="B157" s="193"/>
      <c r="C157" s="194"/>
      <c r="N157" s="152"/>
      <c r="Q157" s="195"/>
      <c r="S157" s="196"/>
      <c r="T157" s="196"/>
      <c r="U157" s="152"/>
      <c r="V157" s="152"/>
      <c r="W157" s="157"/>
      <c r="X157" s="197"/>
      <c r="Y157" s="156"/>
    </row>
    <row r="158" ht="15.75" customHeight="1">
      <c r="A158" s="189"/>
      <c r="B158" s="193"/>
      <c r="C158" s="194"/>
      <c r="N158" s="152"/>
      <c r="Q158" s="195"/>
      <c r="S158" s="196"/>
      <c r="T158" s="196"/>
      <c r="U158" s="152"/>
      <c r="V158" s="152"/>
      <c r="W158" s="157"/>
      <c r="X158" s="197"/>
      <c r="Y158" s="156"/>
    </row>
    <row r="159" ht="15.75" customHeight="1">
      <c r="A159" s="189"/>
      <c r="B159" s="193"/>
      <c r="C159" s="194"/>
      <c r="N159" s="152"/>
      <c r="Q159" s="195"/>
      <c r="S159" s="196"/>
      <c r="T159" s="196"/>
      <c r="U159" s="152"/>
      <c r="V159" s="152"/>
      <c r="W159" s="157"/>
      <c r="X159" s="197"/>
      <c r="Y159" s="156"/>
    </row>
    <row r="160" ht="15.75" customHeight="1">
      <c r="A160" s="189"/>
      <c r="B160" s="193"/>
      <c r="C160" s="194"/>
      <c r="N160" s="152"/>
      <c r="Q160" s="195"/>
      <c r="S160" s="196"/>
      <c r="T160" s="196"/>
      <c r="U160" s="152"/>
      <c r="V160" s="152"/>
      <c r="W160" s="157"/>
      <c r="X160" s="197"/>
      <c r="Y160" s="156"/>
    </row>
    <row r="161" ht="15.75" customHeight="1">
      <c r="A161" s="189"/>
      <c r="B161" s="193"/>
      <c r="C161" s="194"/>
      <c r="N161" s="152"/>
      <c r="Q161" s="195"/>
      <c r="S161" s="196"/>
      <c r="T161" s="196"/>
      <c r="U161" s="152"/>
      <c r="V161" s="152"/>
      <c r="W161" s="157"/>
      <c r="X161" s="197"/>
      <c r="Y161" s="156"/>
    </row>
    <row r="162" ht="15.75" customHeight="1">
      <c r="A162" s="189"/>
      <c r="B162" s="193"/>
      <c r="C162" s="194"/>
      <c r="N162" s="152"/>
      <c r="Q162" s="195"/>
      <c r="S162" s="196"/>
      <c r="T162" s="196"/>
      <c r="U162" s="152"/>
      <c r="V162" s="152"/>
      <c r="W162" s="157"/>
      <c r="X162" s="197"/>
      <c r="Y162" s="156"/>
    </row>
    <row r="163" ht="15.75" customHeight="1">
      <c r="A163" s="189"/>
      <c r="B163" s="193"/>
      <c r="C163" s="194"/>
      <c r="N163" s="152"/>
      <c r="Q163" s="195"/>
      <c r="S163" s="196"/>
      <c r="T163" s="196"/>
      <c r="U163" s="152"/>
      <c r="V163" s="152"/>
      <c r="W163" s="157"/>
      <c r="X163" s="197"/>
      <c r="Y163" s="156"/>
    </row>
    <row r="164" ht="15.75" customHeight="1">
      <c r="A164" s="189"/>
      <c r="B164" s="193"/>
      <c r="C164" s="194"/>
      <c r="N164" s="152"/>
      <c r="Q164" s="195"/>
      <c r="S164" s="196"/>
      <c r="T164" s="196"/>
      <c r="U164" s="152"/>
      <c r="V164" s="152"/>
      <c r="W164" s="157"/>
      <c r="X164" s="197"/>
      <c r="Y164" s="156"/>
    </row>
    <row r="165" ht="15.75" customHeight="1">
      <c r="A165" s="189"/>
      <c r="B165" s="193"/>
      <c r="C165" s="194"/>
      <c r="N165" s="152"/>
      <c r="Q165" s="195"/>
      <c r="S165" s="196"/>
      <c r="T165" s="196"/>
      <c r="U165" s="152"/>
      <c r="V165" s="152"/>
      <c r="W165" s="157"/>
      <c r="X165" s="197"/>
      <c r="Y165" s="156"/>
    </row>
    <row r="166" ht="15.75" customHeight="1">
      <c r="A166" s="189"/>
      <c r="B166" s="193"/>
      <c r="C166" s="194"/>
      <c r="N166" s="152"/>
      <c r="Q166" s="195"/>
      <c r="S166" s="196"/>
      <c r="T166" s="196"/>
      <c r="U166" s="152"/>
      <c r="V166" s="152"/>
      <c r="W166" s="157"/>
      <c r="X166" s="197"/>
      <c r="Y166" s="156"/>
    </row>
    <row r="167" ht="15.75" customHeight="1">
      <c r="A167" s="189"/>
      <c r="B167" s="193"/>
      <c r="C167" s="194"/>
      <c r="N167" s="152"/>
      <c r="Q167" s="195"/>
      <c r="S167" s="196"/>
      <c r="T167" s="196"/>
      <c r="U167" s="152"/>
      <c r="V167" s="152"/>
      <c r="W167" s="157"/>
      <c r="X167" s="197"/>
      <c r="Y167" s="156"/>
    </row>
    <row r="168" ht="15.75" customHeight="1">
      <c r="A168" s="189"/>
      <c r="B168" s="193"/>
      <c r="C168" s="194"/>
      <c r="N168" s="152"/>
      <c r="Q168" s="195"/>
      <c r="S168" s="196"/>
      <c r="T168" s="196"/>
      <c r="U168" s="152"/>
      <c r="V168" s="152"/>
      <c r="W168" s="157"/>
      <c r="X168" s="197"/>
      <c r="Y168" s="156"/>
    </row>
    <row r="169" ht="15.75" customHeight="1">
      <c r="A169" s="189"/>
      <c r="B169" s="193"/>
      <c r="C169" s="194"/>
      <c r="N169" s="152"/>
      <c r="Q169" s="195"/>
      <c r="S169" s="196"/>
      <c r="T169" s="196"/>
      <c r="U169" s="152"/>
      <c r="V169" s="152"/>
      <c r="W169" s="157"/>
      <c r="X169" s="197"/>
      <c r="Y169" s="156"/>
    </row>
    <row r="170" ht="15.75" customHeight="1">
      <c r="A170" s="189"/>
      <c r="B170" s="193"/>
      <c r="C170" s="194"/>
      <c r="N170" s="152"/>
      <c r="Q170" s="195"/>
      <c r="S170" s="196"/>
      <c r="T170" s="196"/>
      <c r="U170" s="152"/>
      <c r="V170" s="152"/>
      <c r="W170" s="157"/>
      <c r="X170" s="197"/>
      <c r="Y170" s="156"/>
    </row>
    <row r="171" ht="15.75" customHeight="1">
      <c r="A171" s="189"/>
      <c r="B171" s="193"/>
      <c r="C171" s="194"/>
      <c r="N171" s="152"/>
      <c r="Q171" s="195"/>
      <c r="S171" s="196"/>
      <c r="T171" s="196"/>
      <c r="U171" s="152"/>
      <c r="V171" s="152"/>
      <c r="W171" s="157"/>
      <c r="X171" s="197"/>
      <c r="Y171" s="156"/>
    </row>
    <row r="172" ht="15.75" customHeight="1">
      <c r="A172" s="189"/>
      <c r="B172" s="193"/>
      <c r="C172" s="194"/>
      <c r="N172" s="152"/>
      <c r="Q172" s="195"/>
      <c r="S172" s="196"/>
      <c r="T172" s="196"/>
      <c r="U172" s="152"/>
      <c r="V172" s="152"/>
      <c r="W172" s="157"/>
      <c r="X172" s="197"/>
      <c r="Y172" s="156"/>
    </row>
    <row r="173" ht="15.75" customHeight="1">
      <c r="A173" s="189"/>
      <c r="B173" s="193"/>
      <c r="C173" s="194"/>
      <c r="N173" s="152"/>
      <c r="Q173" s="195"/>
      <c r="S173" s="196"/>
      <c r="T173" s="196"/>
      <c r="U173" s="152"/>
      <c r="V173" s="152"/>
      <c r="W173" s="157"/>
      <c r="X173" s="197"/>
      <c r="Y173" s="156"/>
    </row>
    <row r="174" ht="15.75" customHeight="1">
      <c r="A174" s="189"/>
      <c r="B174" s="193"/>
      <c r="C174" s="194"/>
      <c r="N174" s="152"/>
      <c r="Q174" s="195"/>
      <c r="S174" s="196"/>
      <c r="T174" s="196"/>
      <c r="U174" s="152"/>
      <c r="V174" s="152"/>
      <c r="W174" s="157"/>
      <c r="X174" s="197"/>
      <c r="Y174" s="156"/>
    </row>
    <row r="175" ht="15.75" customHeight="1">
      <c r="A175" s="189"/>
      <c r="B175" s="193"/>
      <c r="C175" s="194"/>
      <c r="N175" s="152"/>
      <c r="Q175" s="195"/>
      <c r="S175" s="196"/>
      <c r="T175" s="196"/>
      <c r="U175" s="152"/>
      <c r="V175" s="152"/>
      <c r="W175" s="157"/>
      <c r="X175" s="197"/>
      <c r="Y175" s="156"/>
    </row>
    <row r="176" ht="15.75" customHeight="1">
      <c r="A176" s="189"/>
      <c r="B176" s="193"/>
      <c r="C176" s="194"/>
      <c r="N176" s="152"/>
      <c r="Q176" s="195"/>
      <c r="S176" s="196"/>
      <c r="T176" s="196"/>
      <c r="U176" s="152"/>
      <c r="V176" s="152"/>
      <c r="W176" s="157"/>
      <c r="X176" s="197"/>
      <c r="Y176" s="156"/>
    </row>
    <row r="177" ht="15.75" customHeight="1">
      <c r="A177" s="189"/>
      <c r="B177" s="193"/>
      <c r="C177" s="194"/>
      <c r="N177" s="152"/>
      <c r="Q177" s="195"/>
      <c r="S177" s="196"/>
      <c r="T177" s="196"/>
      <c r="U177" s="152"/>
      <c r="V177" s="152"/>
      <c r="W177" s="157"/>
      <c r="X177" s="197"/>
      <c r="Y177" s="156"/>
    </row>
    <row r="178" ht="15.75" customHeight="1">
      <c r="A178" s="189"/>
      <c r="B178" s="193"/>
      <c r="C178" s="194"/>
      <c r="N178" s="152"/>
      <c r="Q178" s="195"/>
      <c r="S178" s="196"/>
      <c r="T178" s="196"/>
      <c r="U178" s="152"/>
      <c r="V178" s="152"/>
      <c r="W178" s="157"/>
      <c r="X178" s="197"/>
      <c r="Y178" s="156"/>
    </row>
    <row r="179" ht="15.75" customHeight="1">
      <c r="A179" s="189"/>
      <c r="B179" s="193"/>
      <c r="C179" s="194"/>
      <c r="N179" s="152"/>
      <c r="Q179" s="195"/>
      <c r="S179" s="196"/>
      <c r="T179" s="196"/>
      <c r="U179" s="152"/>
      <c r="V179" s="152"/>
      <c r="W179" s="157"/>
      <c r="X179" s="197"/>
      <c r="Y179" s="156"/>
    </row>
    <row r="180" ht="15.75" customHeight="1">
      <c r="A180" s="189"/>
      <c r="B180" s="193"/>
      <c r="C180" s="194"/>
      <c r="N180" s="152"/>
      <c r="Q180" s="195"/>
      <c r="S180" s="196"/>
      <c r="T180" s="196"/>
      <c r="U180" s="152"/>
      <c r="V180" s="152"/>
      <c r="W180" s="157"/>
      <c r="X180" s="197"/>
      <c r="Y180" s="156"/>
    </row>
    <row r="181" ht="15.75" customHeight="1">
      <c r="A181" s="189"/>
      <c r="B181" s="193"/>
      <c r="C181" s="194"/>
      <c r="N181" s="152"/>
      <c r="Q181" s="195"/>
      <c r="S181" s="196"/>
      <c r="T181" s="196"/>
      <c r="U181" s="152"/>
      <c r="V181" s="152"/>
      <c r="W181" s="157"/>
      <c r="X181" s="197"/>
      <c r="Y181" s="156"/>
    </row>
    <row r="182" ht="15.75" customHeight="1">
      <c r="A182" s="189"/>
      <c r="B182" s="193"/>
      <c r="C182" s="194"/>
      <c r="N182" s="152"/>
      <c r="Q182" s="195"/>
      <c r="S182" s="196"/>
      <c r="T182" s="196"/>
      <c r="U182" s="152"/>
      <c r="V182" s="152"/>
      <c r="W182" s="157"/>
      <c r="X182" s="197"/>
      <c r="Y182" s="156"/>
    </row>
    <row r="183" ht="15.75" customHeight="1">
      <c r="A183" s="189"/>
      <c r="B183" s="193"/>
      <c r="C183" s="194"/>
      <c r="N183" s="152"/>
      <c r="Q183" s="195"/>
      <c r="S183" s="196"/>
      <c r="T183" s="196"/>
      <c r="U183" s="152"/>
      <c r="V183" s="152"/>
      <c r="W183" s="157"/>
      <c r="X183" s="197"/>
      <c r="Y183" s="156"/>
    </row>
    <row r="184" ht="15.75" customHeight="1">
      <c r="A184" s="189"/>
      <c r="B184" s="193"/>
      <c r="C184" s="194"/>
      <c r="N184" s="152"/>
      <c r="Q184" s="195"/>
      <c r="S184" s="196"/>
      <c r="T184" s="196"/>
      <c r="U184" s="152"/>
      <c r="V184" s="152"/>
      <c r="W184" s="157"/>
      <c r="X184" s="197"/>
      <c r="Y184" s="156"/>
    </row>
    <row r="185" ht="15.75" customHeight="1">
      <c r="A185" s="189"/>
      <c r="B185" s="193"/>
      <c r="C185" s="194"/>
      <c r="N185" s="152"/>
      <c r="Q185" s="195"/>
      <c r="S185" s="196"/>
      <c r="T185" s="196"/>
      <c r="U185" s="152"/>
      <c r="V185" s="152"/>
      <c r="W185" s="157"/>
      <c r="X185" s="197"/>
      <c r="Y185" s="156"/>
    </row>
    <row r="186" ht="15.75" customHeight="1">
      <c r="A186" s="189"/>
      <c r="B186" s="193"/>
      <c r="C186" s="194"/>
      <c r="N186" s="152"/>
      <c r="Q186" s="195"/>
      <c r="S186" s="196"/>
      <c r="T186" s="196"/>
      <c r="U186" s="152"/>
      <c r="V186" s="152"/>
      <c r="W186" s="157"/>
      <c r="X186" s="197"/>
      <c r="Y186" s="156"/>
    </row>
    <row r="187" ht="15.75" customHeight="1">
      <c r="A187" s="189"/>
      <c r="B187" s="193"/>
      <c r="C187" s="194"/>
      <c r="N187" s="152"/>
      <c r="Q187" s="195"/>
      <c r="S187" s="196"/>
      <c r="T187" s="196"/>
      <c r="U187" s="152"/>
      <c r="V187" s="152"/>
      <c r="W187" s="157"/>
      <c r="X187" s="197"/>
      <c r="Y187" s="156"/>
    </row>
    <row r="188" ht="15.75" customHeight="1">
      <c r="A188" s="189"/>
      <c r="B188" s="193"/>
      <c r="C188" s="194"/>
      <c r="N188" s="152"/>
      <c r="Q188" s="195"/>
      <c r="S188" s="196"/>
      <c r="T188" s="196"/>
      <c r="U188" s="152"/>
      <c r="V188" s="152"/>
      <c r="W188" s="157"/>
      <c r="X188" s="197"/>
      <c r="Y188" s="156"/>
    </row>
    <row r="189" ht="15.75" customHeight="1">
      <c r="A189" s="189"/>
      <c r="B189" s="193"/>
      <c r="C189" s="194"/>
      <c r="N189" s="152"/>
      <c r="Q189" s="195"/>
      <c r="S189" s="196"/>
      <c r="T189" s="196"/>
      <c r="U189" s="152"/>
      <c r="V189" s="152"/>
      <c r="W189" s="157"/>
      <c r="X189" s="197"/>
      <c r="Y189" s="156"/>
    </row>
    <row r="190" ht="15.75" customHeight="1">
      <c r="A190" s="189"/>
      <c r="B190" s="193"/>
      <c r="C190" s="194"/>
      <c r="N190" s="152"/>
      <c r="Q190" s="195"/>
      <c r="S190" s="196"/>
      <c r="T190" s="196"/>
      <c r="U190" s="152"/>
      <c r="V190" s="152"/>
      <c r="W190" s="157"/>
      <c r="X190" s="197"/>
      <c r="Y190" s="156"/>
    </row>
    <row r="191" ht="15.75" customHeight="1">
      <c r="A191" s="189"/>
      <c r="B191" s="193"/>
      <c r="C191" s="194"/>
      <c r="N191" s="152"/>
      <c r="Q191" s="195"/>
      <c r="S191" s="196"/>
      <c r="T191" s="196"/>
      <c r="U191" s="152"/>
      <c r="V191" s="152"/>
      <c r="W191" s="157"/>
      <c r="X191" s="197"/>
      <c r="Y191" s="156"/>
    </row>
    <row r="192" ht="15.75" customHeight="1">
      <c r="A192" s="189"/>
      <c r="B192" s="193"/>
      <c r="C192" s="194"/>
      <c r="N192" s="152"/>
      <c r="Q192" s="195"/>
      <c r="S192" s="196"/>
      <c r="T192" s="196"/>
      <c r="U192" s="152"/>
      <c r="V192" s="152"/>
      <c r="W192" s="157"/>
      <c r="X192" s="197"/>
      <c r="Y192" s="156"/>
    </row>
    <row r="193" ht="15.75" customHeight="1">
      <c r="A193" s="189"/>
      <c r="B193" s="193"/>
      <c r="C193" s="194"/>
      <c r="N193" s="152"/>
      <c r="Q193" s="195"/>
      <c r="S193" s="196"/>
      <c r="T193" s="196"/>
      <c r="U193" s="152"/>
      <c r="V193" s="152"/>
      <c r="W193" s="157"/>
      <c r="X193" s="197"/>
      <c r="Y193" s="156"/>
    </row>
    <row r="194" ht="15.75" customHeight="1">
      <c r="A194" s="189"/>
      <c r="B194" s="193"/>
      <c r="C194" s="194"/>
      <c r="N194" s="152"/>
      <c r="Q194" s="195"/>
      <c r="S194" s="196"/>
      <c r="T194" s="196"/>
      <c r="U194" s="152"/>
      <c r="V194" s="152"/>
      <c r="W194" s="157"/>
      <c r="X194" s="197"/>
      <c r="Y194" s="156"/>
    </row>
    <row r="195" ht="15.75" customHeight="1">
      <c r="A195" s="189"/>
      <c r="B195" s="193"/>
      <c r="C195" s="194"/>
      <c r="N195" s="152"/>
      <c r="Q195" s="195"/>
      <c r="S195" s="196"/>
      <c r="T195" s="196"/>
      <c r="U195" s="152"/>
      <c r="V195" s="152"/>
      <c r="W195" s="157"/>
      <c r="X195" s="197"/>
      <c r="Y195" s="156"/>
    </row>
    <row r="196" ht="15.75" customHeight="1">
      <c r="A196" s="189"/>
      <c r="B196" s="193"/>
      <c r="C196" s="194"/>
      <c r="N196" s="152"/>
      <c r="Q196" s="195"/>
      <c r="S196" s="196"/>
      <c r="T196" s="196"/>
      <c r="U196" s="152"/>
      <c r="V196" s="152"/>
      <c r="W196" s="157"/>
      <c r="X196" s="197"/>
      <c r="Y196" s="156"/>
    </row>
    <row r="197" ht="15.75" customHeight="1">
      <c r="A197" s="189"/>
      <c r="B197" s="193"/>
      <c r="C197" s="194"/>
      <c r="N197" s="152"/>
      <c r="Q197" s="195"/>
      <c r="S197" s="196"/>
      <c r="T197" s="196"/>
      <c r="U197" s="152"/>
      <c r="V197" s="152"/>
      <c r="W197" s="157"/>
      <c r="X197" s="197"/>
      <c r="Y197" s="156"/>
    </row>
    <row r="198" ht="15.75" customHeight="1">
      <c r="A198" s="189"/>
      <c r="B198" s="193"/>
      <c r="C198" s="194"/>
      <c r="N198" s="152"/>
      <c r="Q198" s="195"/>
      <c r="S198" s="196"/>
      <c r="T198" s="196"/>
      <c r="U198" s="152"/>
      <c r="V198" s="152"/>
      <c r="W198" s="157"/>
      <c r="X198" s="197"/>
      <c r="Y198" s="156"/>
    </row>
    <row r="199" ht="15.75" customHeight="1">
      <c r="A199" s="189"/>
      <c r="B199" s="193"/>
      <c r="C199" s="194"/>
      <c r="N199" s="152"/>
      <c r="Q199" s="195"/>
      <c r="S199" s="196"/>
      <c r="T199" s="196"/>
      <c r="U199" s="152"/>
      <c r="V199" s="152"/>
      <c r="W199" s="157"/>
      <c r="X199" s="197"/>
      <c r="Y199" s="156"/>
    </row>
    <row r="200" ht="15.75" customHeight="1">
      <c r="A200" s="189"/>
      <c r="B200" s="193"/>
      <c r="C200" s="194"/>
      <c r="N200" s="152"/>
      <c r="Q200" s="195"/>
      <c r="S200" s="196"/>
      <c r="T200" s="196"/>
      <c r="U200" s="152"/>
      <c r="V200" s="152"/>
      <c r="W200" s="157"/>
      <c r="X200" s="197"/>
      <c r="Y200" s="156"/>
    </row>
    <row r="201" ht="15.75" customHeight="1">
      <c r="A201" s="189"/>
      <c r="B201" s="193"/>
      <c r="C201" s="194"/>
      <c r="N201" s="152"/>
      <c r="Q201" s="195"/>
      <c r="S201" s="196"/>
      <c r="T201" s="196"/>
      <c r="U201" s="152"/>
      <c r="V201" s="152"/>
      <c r="W201" s="157"/>
      <c r="X201" s="197"/>
      <c r="Y201" s="156"/>
    </row>
    <row r="202" ht="15.75" customHeight="1">
      <c r="A202" s="189"/>
      <c r="B202" s="193"/>
      <c r="C202" s="194"/>
      <c r="N202" s="152"/>
      <c r="Q202" s="195"/>
      <c r="S202" s="196"/>
      <c r="T202" s="196"/>
      <c r="U202" s="152"/>
      <c r="V202" s="152"/>
      <c r="W202" s="157"/>
      <c r="X202" s="197"/>
      <c r="Y202" s="156"/>
    </row>
    <row r="203" ht="15.75" customHeight="1">
      <c r="A203" s="189"/>
      <c r="B203" s="193"/>
      <c r="C203" s="194"/>
      <c r="N203" s="152"/>
      <c r="Q203" s="195"/>
      <c r="S203" s="196"/>
      <c r="T203" s="196"/>
      <c r="U203" s="152"/>
      <c r="V203" s="152"/>
      <c r="W203" s="157"/>
      <c r="X203" s="197"/>
      <c r="Y203" s="156"/>
    </row>
    <row r="204" ht="15.75" customHeight="1">
      <c r="A204" s="189"/>
      <c r="B204" s="193"/>
      <c r="C204" s="194"/>
      <c r="N204" s="152"/>
      <c r="Q204" s="195"/>
      <c r="S204" s="196"/>
      <c r="T204" s="196"/>
      <c r="U204" s="152"/>
      <c r="V204" s="152"/>
      <c r="W204" s="157"/>
      <c r="X204" s="197"/>
      <c r="Y204" s="156"/>
    </row>
    <row r="205" ht="15.75" customHeight="1">
      <c r="A205" s="189"/>
      <c r="B205" s="193"/>
      <c r="C205" s="194"/>
      <c r="N205" s="152"/>
      <c r="Q205" s="195"/>
      <c r="S205" s="196"/>
      <c r="T205" s="196"/>
      <c r="U205" s="152"/>
      <c r="V205" s="152"/>
      <c r="W205" s="157"/>
      <c r="X205" s="197"/>
      <c r="Y205" s="156"/>
    </row>
    <row r="206" ht="15.75" customHeight="1">
      <c r="A206" s="189"/>
      <c r="B206" s="193"/>
      <c r="C206" s="194"/>
      <c r="N206" s="152"/>
      <c r="Q206" s="195"/>
      <c r="S206" s="196"/>
      <c r="T206" s="196"/>
      <c r="U206" s="152"/>
      <c r="V206" s="152"/>
      <c r="W206" s="157"/>
      <c r="X206" s="197"/>
      <c r="Y206" s="156"/>
    </row>
    <row r="207" ht="15.75" customHeight="1">
      <c r="A207" s="189"/>
      <c r="B207" s="193"/>
      <c r="C207" s="194"/>
      <c r="N207" s="152"/>
      <c r="Q207" s="195"/>
      <c r="S207" s="196"/>
      <c r="T207" s="196"/>
      <c r="U207" s="152"/>
      <c r="V207" s="152"/>
      <c r="W207" s="157"/>
      <c r="X207" s="197"/>
      <c r="Y207" s="156"/>
    </row>
    <row r="208" ht="15.75" customHeight="1">
      <c r="A208" s="189"/>
      <c r="B208" s="193"/>
      <c r="C208" s="194"/>
      <c r="N208" s="152"/>
      <c r="Q208" s="195"/>
      <c r="S208" s="196"/>
      <c r="T208" s="196"/>
      <c r="U208" s="152"/>
      <c r="V208" s="152"/>
      <c r="W208" s="157"/>
      <c r="X208" s="197"/>
      <c r="Y208" s="156"/>
    </row>
    <row r="209" ht="15.75" customHeight="1">
      <c r="A209" s="189"/>
      <c r="B209" s="193"/>
      <c r="C209" s="194"/>
      <c r="N209" s="152"/>
      <c r="Q209" s="195"/>
      <c r="S209" s="196"/>
      <c r="T209" s="196"/>
      <c r="U209" s="152"/>
      <c r="V209" s="152"/>
      <c r="W209" s="157"/>
      <c r="X209" s="197"/>
      <c r="Y209" s="156"/>
    </row>
    <row r="210" ht="15.75" customHeight="1">
      <c r="A210" s="189"/>
      <c r="B210" s="193"/>
      <c r="C210" s="194"/>
      <c r="N210" s="152"/>
      <c r="Q210" s="195"/>
      <c r="S210" s="196"/>
      <c r="T210" s="196"/>
      <c r="U210" s="152"/>
      <c r="V210" s="152"/>
      <c r="W210" s="157"/>
      <c r="X210" s="197"/>
      <c r="Y210" s="156"/>
    </row>
    <row r="211" ht="15.75" customHeight="1">
      <c r="A211" s="189"/>
      <c r="B211" s="193"/>
      <c r="C211" s="194"/>
      <c r="N211" s="152"/>
      <c r="Q211" s="195"/>
      <c r="S211" s="196"/>
      <c r="T211" s="196"/>
      <c r="U211" s="152"/>
      <c r="V211" s="152"/>
      <c r="W211" s="157"/>
      <c r="X211" s="197"/>
      <c r="Y211" s="156"/>
    </row>
    <row r="212" ht="15.75" customHeight="1">
      <c r="A212" s="189"/>
      <c r="B212" s="193"/>
      <c r="C212" s="194"/>
      <c r="N212" s="152"/>
      <c r="Q212" s="195"/>
      <c r="S212" s="196"/>
      <c r="T212" s="196"/>
      <c r="U212" s="152"/>
      <c r="V212" s="152"/>
      <c r="W212" s="157"/>
      <c r="X212" s="197"/>
      <c r="Y212" s="156"/>
    </row>
    <row r="213" ht="15.75" customHeight="1">
      <c r="A213" s="189"/>
      <c r="B213" s="193"/>
      <c r="C213" s="194"/>
      <c r="N213" s="152"/>
      <c r="Q213" s="195"/>
      <c r="S213" s="196"/>
      <c r="T213" s="196"/>
      <c r="U213" s="152"/>
      <c r="V213" s="152"/>
      <c r="W213" s="157"/>
      <c r="X213" s="197"/>
      <c r="Y213" s="156"/>
    </row>
    <row r="214" ht="15.75" customHeight="1">
      <c r="A214" s="189"/>
      <c r="B214" s="193"/>
      <c r="C214" s="194"/>
      <c r="N214" s="152"/>
      <c r="Q214" s="195"/>
      <c r="S214" s="196"/>
      <c r="T214" s="196"/>
      <c r="U214" s="152"/>
      <c r="V214" s="152"/>
      <c r="W214" s="157"/>
      <c r="X214" s="197"/>
      <c r="Y214" s="156"/>
    </row>
    <row r="215" ht="15.75" customHeight="1">
      <c r="A215" s="189"/>
      <c r="B215" s="193"/>
      <c r="C215" s="194"/>
      <c r="N215" s="152"/>
      <c r="Q215" s="195"/>
      <c r="S215" s="196"/>
      <c r="T215" s="196"/>
      <c r="U215" s="152"/>
      <c r="V215" s="152"/>
      <c r="W215" s="157"/>
      <c r="X215" s="197"/>
      <c r="Y215" s="156"/>
    </row>
    <row r="216" ht="15.75" customHeight="1">
      <c r="A216" s="189"/>
      <c r="B216" s="193"/>
      <c r="C216" s="194"/>
      <c r="N216" s="152"/>
      <c r="Q216" s="195"/>
      <c r="S216" s="196"/>
      <c r="T216" s="196"/>
      <c r="U216" s="152"/>
      <c r="V216" s="152"/>
      <c r="W216" s="157"/>
      <c r="X216" s="197"/>
      <c r="Y216" s="156"/>
    </row>
    <row r="217" ht="15.75" customHeight="1">
      <c r="A217" s="189"/>
      <c r="B217" s="193"/>
      <c r="C217" s="194"/>
      <c r="N217" s="152"/>
      <c r="Q217" s="195"/>
      <c r="S217" s="196"/>
      <c r="T217" s="196"/>
      <c r="U217" s="152"/>
      <c r="V217" s="152"/>
      <c r="W217" s="157"/>
      <c r="X217" s="197"/>
      <c r="Y217" s="156"/>
    </row>
    <row r="218" ht="15.75" customHeight="1">
      <c r="A218" s="189"/>
      <c r="B218" s="193"/>
      <c r="C218" s="194"/>
      <c r="N218" s="152"/>
      <c r="Q218" s="195"/>
      <c r="S218" s="196"/>
      <c r="T218" s="196"/>
      <c r="U218" s="152"/>
      <c r="V218" s="152"/>
      <c r="W218" s="157"/>
      <c r="X218" s="197"/>
      <c r="Y218" s="156"/>
    </row>
    <row r="219" ht="15.75" customHeight="1">
      <c r="A219" s="189"/>
      <c r="B219" s="193"/>
      <c r="C219" s="194"/>
      <c r="N219" s="152"/>
      <c r="Q219" s="195"/>
      <c r="S219" s="196"/>
      <c r="T219" s="196"/>
      <c r="U219" s="152"/>
      <c r="V219" s="152"/>
      <c r="W219" s="157"/>
      <c r="X219" s="197"/>
      <c r="Y219" s="156"/>
    </row>
    <row r="220" ht="15.75" customHeight="1">
      <c r="A220" s="189"/>
      <c r="B220" s="193"/>
      <c r="C220" s="194"/>
      <c r="N220" s="152"/>
      <c r="Q220" s="195"/>
      <c r="S220" s="196"/>
      <c r="T220" s="196"/>
      <c r="U220" s="152"/>
      <c r="V220" s="152"/>
      <c r="W220" s="157"/>
      <c r="X220" s="197"/>
      <c r="Y220" s="156"/>
    </row>
    <row r="221" ht="15.75" customHeight="1">
      <c r="B221" s="199"/>
      <c r="N221" s="152"/>
      <c r="Q221" s="195"/>
      <c r="S221" s="200"/>
      <c r="T221" s="200"/>
      <c r="U221" s="152"/>
      <c r="V221" s="152"/>
      <c r="W221" s="157"/>
      <c r="X221" s="197"/>
      <c r="Y221" s="156"/>
    </row>
    <row r="222" ht="15.75" customHeight="1">
      <c r="B222" s="199"/>
      <c r="N222" s="152"/>
      <c r="Q222" s="195"/>
      <c r="S222" s="200"/>
      <c r="T222" s="200"/>
      <c r="U222" s="152"/>
      <c r="V222" s="152"/>
      <c r="W222" s="157"/>
      <c r="X222" s="197"/>
      <c r="Y222" s="156"/>
    </row>
    <row r="223" ht="15.75" customHeight="1">
      <c r="B223" s="199"/>
      <c r="N223" s="152"/>
      <c r="Q223" s="195"/>
      <c r="S223" s="200"/>
      <c r="T223" s="200"/>
      <c r="U223" s="152"/>
      <c r="V223" s="152"/>
      <c r="W223" s="157"/>
      <c r="X223" s="197"/>
      <c r="Y223" s="156"/>
    </row>
    <row r="224" ht="15.75" customHeight="1">
      <c r="B224" s="199"/>
      <c r="N224" s="152"/>
      <c r="Q224" s="195"/>
      <c r="S224" s="200"/>
      <c r="T224" s="200"/>
      <c r="U224" s="152"/>
      <c r="V224" s="152"/>
      <c r="W224" s="157"/>
      <c r="X224" s="197"/>
      <c r="Y224" s="156"/>
    </row>
    <row r="225" ht="15.75" customHeight="1">
      <c r="B225" s="199"/>
      <c r="N225" s="152"/>
      <c r="Q225" s="195"/>
      <c r="S225" s="200"/>
      <c r="T225" s="200"/>
      <c r="U225" s="152"/>
      <c r="V225" s="152"/>
      <c r="W225" s="157"/>
      <c r="X225" s="197"/>
      <c r="Y225" s="156"/>
    </row>
    <row r="226" ht="15.75" customHeight="1">
      <c r="B226" s="199"/>
      <c r="N226" s="152"/>
      <c r="Q226" s="195"/>
      <c r="S226" s="200"/>
      <c r="T226" s="200"/>
      <c r="U226" s="152"/>
      <c r="V226" s="152"/>
      <c r="W226" s="157"/>
      <c r="X226" s="197"/>
      <c r="Y226" s="156"/>
    </row>
    <row r="227" ht="15.75" customHeight="1">
      <c r="B227" s="199"/>
      <c r="N227" s="152"/>
      <c r="Q227" s="195"/>
      <c r="S227" s="200"/>
      <c r="T227" s="200"/>
      <c r="U227" s="152"/>
      <c r="V227" s="152"/>
      <c r="W227" s="157"/>
      <c r="X227" s="197"/>
      <c r="Y227" s="156"/>
    </row>
    <row r="228" ht="15.75" customHeight="1">
      <c r="B228" s="199"/>
      <c r="N228" s="152"/>
      <c r="Q228" s="195"/>
      <c r="S228" s="200"/>
      <c r="T228" s="200"/>
      <c r="U228" s="152"/>
      <c r="V228" s="152"/>
      <c r="W228" s="157"/>
      <c r="X228" s="197"/>
      <c r="Y228" s="156"/>
    </row>
    <row r="229" ht="15.75" customHeight="1">
      <c r="B229" s="199"/>
      <c r="N229" s="152"/>
      <c r="Q229" s="195"/>
      <c r="S229" s="200"/>
      <c r="T229" s="200"/>
      <c r="U229" s="152"/>
      <c r="V229" s="152"/>
      <c r="W229" s="157"/>
      <c r="X229" s="197"/>
      <c r="Y229" s="156"/>
    </row>
    <row r="230" ht="15.75" customHeight="1">
      <c r="B230" s="199"/>
      <c r="N230" s="152"/>
      <c r="Q230" s="195"/>
      <c r="S230" s="200"/>
      <c r="T230" s="200"/>
      <c r="U230" s="152"/>
      <c r="V230" s="152"/>
      <c r="W230" s="157"/>
      <c r="X230" s="197"/>
      <c r="Y230" s="156"/>
    </row>
    <row r="231" ht="15.75" customHeight="1">
      <c r="B231" s="199"/>
      <c r="N231" s="152"/>
      <c r="Q231" s="195"/>
      <c r="S231" s="200"/>
      <c r="T231" s="200"/>
      <c r="U231" s="152"/>
      <c r="V231" s="152"/>
      <c r="W231" s="157"/>
      <c r="X231" s="197"/>
      <c r="Y231" s="156"/>
    </row>
    <row r="232" ht="15.75" customHeight="1">
      <c r="B232" s="199"/>
      <c r="N232" s="152"/>
      <c r="Q232" s="195"/>
      <c r="S232" s="200"/>
      <c r="T232" s="200"/>
      <c r="U232" s="152"/>
      <c r="V232" s="152"/>
      <c r="W232" s="157"/>
      <c r="X232" s="197"/>
      <c r="Y232" s="156"/>
    </row>
    <row r="233" ht="15.75" customHeight="1">
      <c r="B233" s="199"/>
      <c r="N233" s="152"/>
      <c r="Q233" s="195"/>
      <c r="S233" s="200"/>
      <c r="T233" s="200"/>
      <c r="U233" s="152"/>
      <c r="V233" s="152"/>
      <c r="W233" s="157"/>
      <c r="X233" s="197"/>
      <c r="Y233" s="156"/>
    </row>
    <row r="234" ht="15.75" customHeight="1">
      <c r="B234" s="199"/>
      <c r="N234" s="152"/>
      <c r="Q234" s="195"/>
      <c r="S234" s="200"/>
      <c r="T234" s="200"/>
      <c r="U234" s="152"/>
      <c r="V234" s="152"/>
      <c r="W234" s="157"/>
      <c r="X234" s="197"/>
      <c r="Y234" s="156"/>
    </row>
    <row r="235" ht="15.75" customHeight="1">
      <c r="B235" s="199"/>
      <c r="N235" s="152"/>
      <c r="Q235" s="195"/>
      <c r="S235" s="200"/>
      <c r="T235" s="200"/>
      <c r="U235" s="152"/>
      <c r="V235" s="152"/>
      <c r="W235" s="157"/>
      <c r="X235" s="197"/>
      <c r="Y235" s="156"/>
    </row>
    <row r="236" ht="15.75" customHeight="1">
      <c r="B236" s="199"/>
      <c r="N236" s="152"/>
      <c r="Q236" s="195"/>
      <c r="S236" s="200"/>
      <c r="T236" s="200"/>
      <c r="U236" s="152"/>
      <c r="V236" s="152"/>
      <c r="W236" s="157"/>
      <c r="X236" s="197"/>
      <c r="Y236" s="156"/>
    </row>
    <row r="237" ht="15.75" customHeight="1">
      <c r="B237" s="199"/>
      <c r="N237" s="152"/>
      <c r="Q237" s="195"/>
      <c r="S237" s="200"/>
      <c r="T237" s="200"/>
      <c r="U237" s="152"/>
      <c r="V237" s="152"/>
      <c r="W237" s="157"/>
      <c r="X237" s="197"/>
      <c r="Y237" s="156"/>
    </row>
    <row r="238" ht="15.75" customHeight="1">
      <c r="B238" s="199"/>
      <c r="N238" s="152"/>
      <c r="Q238" s="195"/>
      <c r="S238" s="200"/>
      <c r="T238" s="200"/>
      <c r="U238" s="152"/>
      <c r="V238" s="152"/>
      <c r="W238" s="157"/>
      <c r="X238" s="197"/>
      <c r="Y238" s="156"/>
    </row>
    <row r="239" ht="15.75" customHeight="1">
      <c r="B239" s="199"/>
      <c r="N239" s="152"/>
      <c r="Q239" s="195"/>
      <c r="S239" s="200"/>
      <c r="T239" s="200"/>
      <c r="U239" s="152"/>
      <c r="V239" s="152"/>
      <c r="W239" s="157"/>
      <c r="X239" s="197"/>
      <c r="Y239" s="156"/>
    </row>
    <row r="240" ht="15.75" customHeight="1">
      <c r="B240" s="199"/>
      <c r="N240" s="152"/>
      <c r="Q240" s="195"/>
      <c r="S240" s="200"/>
      <c r="T240" s="200"/>
      <c r="U240" s="152"/>
      <c r="V240" s="152"/>
      <c r="W240" s="157"/>
      <c r="X240" s="197"/>
      <c r="Y240" s="156"/>
    </row>
    <row r="241" ht="15.75" customHeight="1">
      <c r="B241" s="199"/>
      <c r="N241" s="152"/>
      <c r="Q241" s="195"/>
      <c r="S241" s="200"/>
      <c r="T241" s="200"/>
      <c r="U241" s="152"/>
      <c r="V241" s="152"/>
      <c r="W241" s="157"/>
      <c r="X241" s="197"/>
      <c r="Y241" s="156"/>
    </row>
    <row r="242" ht="15.75" customHeight="1">
      <c r="B242" s="199"/>
      <c r="N242" s="152"/>
      <c r="Q242" s="195"/>
      <c r="S242" s="200"/>
      <c r="T242" s="200"/>
      <c r="U242" s="152"/>
      <c r="V242" s="152"/>
      <c r="W242" s="157"/>
      <c r="X242" s="197"/>
      <c r="Y242" s="156"/>
    </row>
    <row r="243" ht="15.75" customHeight="1">
      <c r="B243" s="199"/>
      <c r="N243" s="152"/>
      <c r="Q243" s="195"/>
      <c r="S243" s="200"/>
      <c r="T243" s="200"/>
      <c r="U243" s="152"/>
      <c r="V243" s="152"/>
      <c r="W243" s="157"/>
      <c r="X243" s="197"/>
      <c r="Y243" s="156"/>
    </row>
    <row r="244" ht="15.75" customHeight="1">
      <c r="B244" s="199"/>
      <c r="N244" s="152"/>
      <c r="Q244" s="195"/>
      <c r="S244" s="200"/>
      <c r="T244" s="200"/>
      <c r="U244" s="152"/>
      <c r="V244" s="152"/>
      <c r="W244" s="157"/>
      <c r="X244" s="197"/>
      <c r="Y244" s="156"/>
    </row>
    <row r="245" ht="15.75" customHeight="1">
      <c r="B245" s="199"/>
      <c r="N245" s="152"/>
      <c r="Q245" s="195"/>
      <c r="S245" s="200"/>
      <c r="T245" s="200"/>
      <c r="U245" s="152"/>
      <c r="V245" s="152"/>
      <c r="W245" s="157"/>
      <c r="X245" s="197"/>
      <c r="Y245" s="156"/>
    </row>
    <row r="246" ht="15.75" customHeight="1">
      <c r="B246" s="199"/>
      <c r="N246" s="152"/>
      <c r="Q246" s="195"/>
      <c r="S246" s="200"/>
      <c r="T246" s="200"/>
      <c r="U246" s="152"/>
      <c r="V246" s="152"/>
      <c r="W246" s="157"/>
      <c r="X246" s="197"/>
      <c r="Y246" s="156"/>
    </row>
    <row r="247" ht="15.75" customHeight="1">
      <c r="B247" s="199"/>
      <c r="N247" s="152"/>
      <c r="Q247" s="195"/>
      <c r="S247" s="200"/>
      <c r="T247" s="200"/>
      <c r="U247" s="152"/>
      <c r="V247" s="152"/>
      <c r="W247" s="157"/>
      <c r="X247" s="197"/>
      <c r="Y247" s="156"/>
    </row>
    <row r="248" ht="15.75" customHeight="1">
      <c r="B248" s="199"/>
      <c r="N248" s="152"/>
      <c r="Q248" s="195"/>
      <c r="S248" s="200"/>
      <c r="T248" s="200"/>
      <c r="U248" s="152"/>
      <c r="V248" s="152"/>
      <c r="W248" s="157"/>
      <c r="X248" s="197"/>
      <c r="Y248" s="156"/>
    </row>
    <row r="249" ht="15.75" customHeight="1">
      <c r="B249" s="199"/>
      <c r="N249" s="152"/>
      <c r="Q249" s="195"/>
      <c r="S249" s="200"/>
      <c r="T249" s="200"/>
      <c r="U249" s="152"/>
      <c r="V249" s="152"/>
      <c r="W249" s="157"/>
      <c r="X249" s="197"/>
      <c r="Y249" s="156"/>
    </row>
    <row r="250" ht="15.75" customHeight="1">
      <c r="B250" s="199"/>
      <c r="N250" s="152"/>
      <c r="Q250" s="195"/>
      <c r="S250" s="200"/>
      <c r="T250" s="200"/>
      <c r="U250" s="152"/>
      <c r="V250" s="152"/>
      <c r="W250" s="157"/>
      <c r="X250" s="197"/>
      <c r="Y250" s="156"/>
    </row>
    <row r="251" ht="15.75" customHeight="1">
      <c r="B251" s="199"/>
      <c r="N251" s="152"/>
      <c r="Q251" s="195"/>
      <c r="S251" s="200"/>
      <c r="T251" s="200"/>
      <c r="U251" s="152"/>
      <c r="V251" s="152"/>
      <c r="W251" s="157"/>
      <c r="X251" s="197"/>
      <c r="Y251" s="156"/>
    </row>
    <row r="252" ht="15.75" customHeight="1">
      <c r="B252" s="199"/>
      <c r="N252" s="152"/>
      <c r="Q252" s="195"/>
      <c r="S252" s="200"/>
      <c r="T252" s="200"/>
      <c r="U252" s="152"/>
      <c r="V252" s="152"/>
      <c r="W252" s="157"/>
      <c r="X252" s="197"/>
      <c r="Y252" s="156"/>
    </row>
    <row r="253" ht="15.75" customHeight="1">
      <c r="B253" s="199"/>
      <c r="N253" s="152"/>
      <c r="Q253" s="195"/>
      <c r="S253" s="200"/>
      <c r="T253" s="200"/>
      <c r="U253" s="152"/>
      <c r="V253" s="152"/>
      <c r="W253" s="157"/>
      <c r="X253" s="197"/>
      <c r="Y253" s="156"/>
    </row>
    <row r="254" ht="15.75" customHeight="1">
      <c r="B254" s="199"/>
      <c r="N254" s="152"/>
      <c r="Q254" s="195"/>
      <c r="S254" s="200"/>
      <c r="T254" s="200"/>
      <c r="U254" s="152"/>
      <c r="V254" s="152"/>
      <c r="W254" s="157"/>
      <c r="X254" s="197"/>
      <c r="Y254" s="156"/>
    </row>
    <row r="255" ht="15.75" customHeight="1">
      <c r="B255" s="199"/>
      <c r="N255" s="152"/>
      <c r="Q255" s="195"/>
      <c r="S255" s="200"/>
      <c r="T255" s="200"/>
      <c r="U255" s="152"/>
      <c r="V255" s="152"/>
      <c r="W255" s="157"/>
      <c r="X255" s="197"/>
      <c r="Y255" s="156"/>
    </row>
    <row r="256" ht="15.75" customHeight="1">
      <c r="B256" s="199"/>
      <c r="N256" s="152"/>
      <c r="Q256" s="195"/>
      <c r="S256" s="200"/>
      <c r="T256" s="200"/>
      <c r="U256" s="152"/>
      <c r="V256" s="152"/>
      <c r="W256" s="157"/>
      <c r="X256" s="197"/>
      <c r="Y256" s="156"/>
    </row>
    <row r="257" ht="15.75" customHeight="1">
      <c r="B257" s="199"/>
      <c r="N257" s="152"/>
      <c r="Q257" s="195"/>
      <c r="S257" s="200"/>
      <c r="T257" s="200"/>
      <c r="U257" s="152"/>
      <c r="V257" s="152"/>
      <c r="W257" s="157"/>
      <c r="X257" s="197"/>
      <c r="Y257" s="156"/>
    </row>
    <row r="258" ht="15.75" customHeight="1">
      <c r="B258" s="199"/>
      <c r="N258" s="152"/>
      <c r="Q258" s="195"/>
      <c r="S258" s="200"/>
      <c r="T258" s="200"/>
      <c r="U258" s="152"/>
      <c r="V258" s="152"/>
      <c r="W258" s="157"/>
      <c r="X258" s="197"/>
      <c r="Y258" s="156"/>
    </row>
    <row r="259" ht="15.75" customHeight="1">
      <c r="B259" s="199"/>
      <c r="N259" s="152"/>
      <c r="Q259" s="195"/>
      <c r="S259" s="200"/>
      <c r="T259" s="200"/>
      <c r="U259" s="152"/>
      <c r="V259" s="152"/>
      <c r="W259" s="157"/>
      <c r="X259" s="197"/>
      <c r="Y259" s="156"/>
    </row>
    <row r="260" ht="15.75" customHeight="1">
      <c r="B260" s="199"/>
      <c r="N260" s="152"/>
      <c r="Q260" s="195"/>
      <c r="S260" s="200"/>
      <c r="T260" s="200"/>
      <c r="U260" s="152"/>
      <c r="V260" s="152"/>
      <c r="W260" s="157"/>
      <c r="X260" s="197"/>
      <c r="Y260" s="156"/>
    </row>
    <row r="261" ht="15.75" customHeight="1">
      <c r="B261" s="199"/>
      <c r="N261" s="152"/>
      <c r="Q261" s="195"/>
      <c r="S261" s="200"/>
      <c r="T261" s="200"/>
      <c r="U261" s="152"/>
      <c r="V261" s="152"/>
      <c r="W261" s="157"/>
      <c r="X261" s="197"/>
      <c r="Y261" s="156"/>
    </row>
    <row r="262" ht="15.75" customHeight="1">
      <c r="B262" s="199"/>
      <c r="N262" s="152"/>
      <c r="Q262" s="195"/>
      <c r="S262" s="200"/>
      <c r="T262" s="200"/>
      <c r="U262" s="152"/>
      <c r="V262" s="152"/>
      <c r="W262" s="157"/>
      <c r="X262" s="197"/>
      <c r="Y262" s="156"/>
    </row>
    <row r="263" ht="15.75" customHeight="1">
      <c r="B263" s="199"/>
      <c r="N263" s="152"/>
      <c r="Q263" s="195"/>
      <c r="S263" s="200"/>
      <c r="T263" s="200"/>
      <c r="U263" s="152"/>
      <c r="V263" s="152"/>
      <c r="W263" s="157"/>
      <c r="X263" s="197"/>
      <c r="Y263" s="156"/>
    </row>
    <row r="264" ht="15.75" customHeight="1">
      <c r="B264" s="199"/>
      <c r="N264" s="152"/>
      <c r="Q264" s="195"/>
      <c r="S264" s="200"/>
      <c r="T264" s="200"/>
      <c r="U264" s="152"/>
      <c r="V264" s="152"/>
      <c r="W264" s="157"/>
      <c r="X264" s="197"/>
      <c r="Y264" s="156"/>
    </row>
    <row r="265" ht="15.75" customHeight="1">
      <c r="B265" s="199"/>
      <c r="N265" s="152"/>
      <c r="Q265" s="195"/>
      <c r="S265" s="200"/>
      <c r="T265" s="200"/>
      <c r="U265" s="152"/>
      <c r="V265" s="152"/>
      <c r="W265" s="157"/>
      <c r="X265" s="197"/>
      <c r="Y265" s="156"/>
    </row>
    <row r="266" ht="15.75" customHeight="1">
      <c r="B266" s="199"/>
      <c r="N266" s="152"/>
      <c r="Q266" s="195"/>
      <c r="S266" s="200"/>
      <c r="T266" s="200"/>
      <c r="U266" s="152"/>
      <c r="V266" s="152"/>
      <c r="W266" s="157"/>
      <c r="X266" s="197"/>
      <c r="Y266" s="156"/>
    </row>
    <row r="267" ht="15.75" customHeight="1">
      <c r="B267" s="199"/>
      <c r="N267" s="152"/>
      <c r="Q267" s="195"/>
      <c r="S267" s="200"/>
      <c r="T267" s="200"/>
      <c r="U267" s="152"/>
      <c r="V267" s="152"/>
      <c r="W267" s="157"/>
      <c r="X267" s="197"/>
      <c r="Y267" s="156"/>
    </row>
    <row r="268" ht="15.75" customHeight="1">
      <c r="B268" s="199"/>
      <c r="N268" s="152"/>
      <c r="Q268" s="195"/>
      <c r="S268" s="200"/>
      <c r="T268" s="200"/>
      <c r="U268" s="152"/>
      <c r="V268" s="152"/>
      <c r="W268" s="157"/>
      <c r="X268" s="197"/>
      <c r="Y268" s="156"/>
    </row>
    <row r="269" ht="15.75" customHeight="1">
      <c r="B269" s="199"/>
      <c r="N269" s="152"/>
      <c r="Q269" s="195"/>
      <c r="S269" s="200"/>
      <c r="T269" s="200"/>
      <c r="U269" s="152"/>
      <c r="V269" s="152"/>
      <c r="W269" s="157"/>
      <c r="X269" s="197"/>
      <c r="Y269" s="156"/>
    </row>
    <row r="270" ht="15.75" customHeight="1">
      <c r="B270" s="199"/>
      <c r="N270" s="152"/>
      <c r="Q270" s="195"/>
      <c r="S270" s="200"/>
      <c r="T270" s="200"/>
      <c r="U270" s="152"/>
      <c r="V270" s="152"/>
      <c r="W270" s="157"/>
      <c r="X270" s="197"/>
      <c r="Y270" s="156"/>
    </row>
    <row r="271" ht="15.75" customHeight="1">
      <c r="B271" s="199"/>
      <c r="N271" s="152"/>
      <c r="Q271" s="195"/>
      <c r="S271" s="200"/>
      <c r="T271" s="200"/>
      <c r="U271" s="152"/>
      <c r="V271" s="152"/>
      <c r="W271" s="157"/>
      <c r="X271" s="197"/>
      <c r="Y271" s="156"/>
    </row>
    <row r="272" ht="15.75" customHeight="1">
      <c r="B272" s="199"/>
      <c r="N272" s="152"/>
      <c r="Q272" s="195"/>
      <c r="S272" s="200"/>
      <c r="T272" s="200"/>
      <c r="U272" s="152"/>
      <c r="V272" s="152"/>
      <c r="W272" s="157"/>
      <c r="X272" s="197"/>
      <c r="Y272" s="156"/>
    </row>
    <row r="273" ht="15.75" customHeight="1">
      <c r="B273" s="199"/>
      <c r="N273" s="152"/>
      <c r="Q273" s="195"/>
      <c r="S273" s="200"/>
      <c r="T273" s="200"/>
      <c r="U273" s="152"/>
      <c r="V273" s="152"/>
      <c r="W273" s="157"/>
      <c r="X273" s="197"/>
      <c r="Y273" s="156"/>
    </row>
    <row r="274" ht="15.75" customHeight="1">
      <c r="B274" s="199"/>
      <c r="N274" s="152"/>
      <c r="Q274" s="195"/>
      <c r="S274" s="200"/>
      <c r="T274" s="200"/>
      <c r="U274" s="152"/>
      <c r="V274" s="152"/>
      <c r="W274" s="157"/>
      <c r="X274" s="197"/>
      <c r="Y274" s="156"/>
    </row>
    <row r="275" ht="15.75" customHeight="1">
      <c r="B275" s="199"/>
      <c r="N275" s="152"/>
      <c r="Q275" s="195"/>
      <c r="S275" s="200"/>
      <c r="T275" s="200"/>
      <c r="U275" s="152"/>
      <c r="V275" s="152"/>
      <c r="W275" s="157"/>
      <c r="X275" s="197"/>
      <c r="Y275" s="156"/>
    </row>
    <row r="276" ht="15.75" customHeight="1">
      <c r="B276" s="199"/>
      <c r="N276" s="152"/>
      <c r="Q276" s="195"/>
      <c r="S276" s="200"/>
      <c r="T276" s="200"/>
      <c r="U276" s="152"/>
      <c r="V276" s="152"/>
      <c r="W276" s="157"/>
      <c r="X276" s="197"/>
      <c r="Y276" s="156"/>
    </row>
    <row r="277" ht="15.75" customHeight="1">
      <c r="B277" s="199"/>
      <c r="N277" s="152"/>
      <c r="Q277" s="195"/>
      <c r="S277" s="200"/>
      <c r="T277" s="200"/>
      <c r="U277" s="152"/>
      <c r="V277" s="152"/>
      <c r="W277" s="157"/>
      <c r="X277" s="197"/>
      <c r="Y277" s="156"/>
    </row>
    <row r="278" ht="15.75" customHeight="1">
      <c r="B278" s="199"/>
      <c r="N278" s="152"/>
      <c r="Q278" s="195"/>
      <c r="S278" s="200"/>
      <c r="T278" s="200"/>
      <c r="U278" s="152"/>
      <c r="V278" s="152"/>
      <c r="W278" s="157"/>
      <c r="X278" s="197"/>
      <c r="Y278" s="156"/>
    </row>
    <row r="279" ht="15.75" customHeight="1">
      <c r="B279" s="199"/>
      <c r="N279" s="152"/>
      <c r="Q279" s="195"/>
      <c r="S279" s="200"/>
      <c r="T279" s="200"/>
      <c r="U279" s="152"/>
      <c r="V279" s="152"/>
      <c r="W279" s="157"/>
      <c r="X279" s="197"/>
      <c r="Y279" s="156"/>
    </row>
    <row r="280" ht="15.75" customHeight="1">
      <c r="B280" s="199"/>
      <c r="N280" s="152"/>
      <c r="Q280" s="195"/>
      <c r="S280" s="200"/>
      <c r="T280" s="200"/>
      <c r="U280" s="152"/>
      <c r="V280" s="152"/>
      <c r="W280" s="157"/>
      <c r="X280" s="197"/>
      <c r="Y280" s="156"/>
    </row>
    <row r="281" ht="15.75" customHeight="1">
      <c r="B281" s="199"/>
      <c r="N281" s="152"/>
      <c r="Q281" s="195"/>
      <c r="S281" s="200"/>
      <c r="T281" s="200"/>
      <c r="U281" s="152"/>
      <c r="V281" s="152"/>
      <c r="W281" s="157"/>
      <c r="X281" s="197"/>
      <c r="Y281" s="156"/>
    </row>
    <row r="282" ht="15.75" customHeight="1">
      <c r="B282" s="199"/>
      <c r="N282" s="152"/>
      <c r="Q282" s="195"/>
      <c r="S282" s="200"/>
      <c r="T282" s="200"/>
      <c r="U282" s="152"/>
      <c r="V282" s="152"/>
      <c r="W282" s="157"/>
      <c r="X282" s="197"/>
      <c r="Y282" s="156"/>
    </row>
    <row r="283" ht="15.75" customHeight="1">
      <c r="B283" s="199"/>
      <c r="N283" s="152"/>
      <c r="Q283" s="195"/>
      <c r="S283" s="200"/>
      <c r="T283" s="200"/>
      <c r="U283" s="152"/>
      <c r="V283" s="152"/>
      <c r="W283" s="157"/>
      <c r="X283" s="197"/>
      <c r="Y283" s="156"/>
    </row>
    <row r="284" ht="15.75" customHeight="1">
      <c r="B284" s="199"/>
      <c r="N284" s="152"/>
      <c r="Q284" s="195"/>
      <c r="S284" s="200"/>
      <c r="T284" s="200"/>
      <c r="U284" s="152"/>
      <c r="V284" s="152"/>
      <c r="W284" s="157"/>
      <c r="X284" s="197"/>
      <c r="Y284" s="156"/>
    </row>
    <row r="285" ht="15.75" customHeight="1">
      <c r="B285" s="199"/>
      <c r="N285" s="152"/>
      <c r="Q285" s="195"/>
      <c r="S285" s="200"/>
      <c r="T285" s="200"/>
      <c r="U285" s="152"/>
      <c r="V285" s="152"/>
      <c r="W285" s="157"/>
      <c r="X285" s="197"/>
      <c r="Y285" s="156"/>
    </row>
    <row r="286" ht="15.75" customHeight="1">
      <c r="B286" s="199"/>
      <c r="N286" s="152"/>
      <c r="Q286" s="195"/>
      <c r="S286" s="200"/>
      <c r="T286" s="200"/>
      <c r="U286" s="152"/>
      <c r="V286" s="152"/>
      <c r="W286" s="157"/>
      <c r="X286" s="197"/>
      <c r="Y286" s="156"/>
    </row>
    <row r="287" ht="15.75" customHeight="1">
      <c r="B287" s="199"/>
      <c r="N287" s="152"/>
      <c r="Q287" s="195"/>
      <c r="S287" s="200"/>
      <c r="T287" s="200"/>
      <c r="U287" s="152"/>
      <c r="V287" s="152"/>
      <c r="W287" s="157"/>
      <c r="X287" s="197"/>
      <c r="Y287" s="156"/>
    </row>
    <row r="288" ht="15.75" customHeight="1">
      <c r="B288" s="199"/>
      <c r="N288" s="152"/>
      <c r="Q288" s="195"/>
      <c r="S288" s="200"/>
      <c r="T288" s="200"/>
      <c r="U288" s="152"/>
      <c r="V288" s="152"/>
      <c r="W288" s="157"/>
      <c r="X288" s="197"/>
      <c r="Y288" s="156"/>
    </row>
    <row r="289" ht="15.75" customHeight="1">
      <c r="B289" s="199"/>
      <c r="N289" s="152"/>
      <c r="Q289" s="195"/>
      <c r="S289" s="200"/>
      <c r="T289" s="200"/>
      <c r="U289" s="152"/>
      <c r="V289" s="152"/>
      <c r="W289" s="157"/>
      <c r="X289" s="197"/>
      <c r="Y289" s="156"/>
    </row>
    <row r="290" ht="15.75" customHeight="1">
      <c r="B290" s="199"/>
      <c r="N290" s="152"/>
      <c r="Q290" s="195"/>
      <c r="S290" s="200"/>
      <c r="T290" s="200"/>
      <c r="U290" s="152"/>
      <c r="V290" s="152"/>
      <c r="W290" s="157"/>
      <c r="X290" s="197"/>
      <c r="Y290" s="156"/>
    </row>
    <row r="291" ht="15.75" customHeight="1">
      <c r="B291" s="199"/>
      <c r="N291" s="152"/>
      <c r="Q291" s="195"/>
      <c r="S291" s="200"/>
      <c r="T291" s="200"/>
      <c r="U291" s="152"/>
      <c r="V291" s="152"/>
      <c r="W291" s="157"/>
      <c r="X291" s="197"/>
      <c r="Y291" s="156"/>
    </row>
    <row r="292" ht="15.75" customHeight="1">
      <c r="B292" s="199"/>
      <c r="N292" s="152"/>
      <c r="Q292" s="195"/>
      <c r="S292" s="200"/>
      <c r="T292" s="200"/>
      <c r="U292" s="152"/>
      <c r="V292" s="152"/>
      <c r="W292" s="157"/>
      <c r="X292" s="197"/>
      <c r="Y292" s="156"/>
    </row>
    <row r="293" ht="15.75" customHeight="1">
      <c r="B293" s="199"/>
      <c r="N293" s="152"/>
      <c r="Q293" s="195"/>
      <c r="S293" s="200"/>
      <c r="T293" s="200"/>
      <c r="U293" s="152"/>
      <c r="V293" s="152"/>
      <c r="W293" s="157"/>
      <c r="X293" s="197"/>
      <c r="Y293" s="156"/>
    </row>
    <row r="294" ht="15.75" customHeight="1">
      <c r="B294" s="199"/>
      <c r="N294" s="152"/>
      <c r="Q294" s="195"/>
      <c r="S294" s="200"/>
      <c r="T294" s="200"/>
      <c r="U294" s="152"/>
      <c r="V294" s="152"/>
      <c r="W294" s="157"/>
      <c r="X294" s="197"/>
      <c r="Y294" s="156"/>
    </row>
    <row r="295" ht="15.75" customHeight="1">
      <c r="B295" s="199"/>
      <c r="N295" s="152"/>
      <c r="Q295" s="195"/>
      <c r="S295" s="200"/>
      <c r="T295" s="200"/>
      <c r="U295" s="152"/>
      <c r="V295" s="152"/>
      <c r="W295" s="157"/>
      <c r="X295" s="197"/>
      <c r="Y295" s="156"/>
    </row>
    <row r="296" ht="15.75" customHeight="1">
      <c r="B296" s="199"/>
      <c r="N296" s="152"/>
      <c r="Q296" s="195"/>
      <c r="S296" s="200"/>
      <c r="T296" s="200"/>
      <c r="U296" s="152"/>
      <c r="V296" s="152"/>
      <c r="W296" s="157"/>
      <c r="X296" s="197"/>
      <c r="Y296" s="156"/>
    </row>
    <row r="297" ht="15.75" customHeight="1">
      <c r="B297" s="199"/>
      <c r="N297" s="152"/>
      <c r="Q297" s="195"/>
      <c r="S297" s="200"/>
      <c r="T297" s="200"/>
      <c r="U297" s="152"/>
      <c r="V297" s="152"/>
      <c r="W297" s="157"/>
      <c r="X297" s="197"/>
      <c r="Y297" s="156"/>
    </row>
    <row r="298" ht="15.75" customHeight="1">
      <c r="B298" s="199"/>
      <c r="N298" s="152"/>
      <c r="Q298" s="195"/>
      <c r="S298" s="200"/>
      <c r="T298" s="200"/>
      <c r="U298" s="152"/>
      <c r="V298" s="152"/>
      <c r="W298" s="157"/>
      <c r="X298" s="197"/>
      <c r="Y298" s="156"/>
    </row>
    <row r="299" ht="15.75" customHeight="1">
      <c r="B299" s="199"/>
      <c r="N299" s="152"/>
      <c r="Q299" s="195"/>
      <c r="S299" s="200"/>
      <c r="T299" s="200"/>
      <c r="U299" s="152"/>
      <c r="V299" s="152"/>
      <c r="W299" s="157"/>
      <c r="X299" s="197"/>
      <c r="Y299" s="156"/>
    </row>
    <row r="300" ht="15.75" customHeight="1">
      <c r="B300" s="199"/>
      <c r="N300" s="152"/>
      <c r="Q300" s="195"/>
      <c r="S300" s="200"/>
      <c r="T300" s="200"/>
      <c r="U300" s="152"/>
      <c r="V300" s="152"/>
      <c r="W300" s="157"/>
      <c r="X300" s="197"/>
      <c r="Y300" s="156"/>
    </row>
    <row r="301" ht="15.75" customHeight="1">
      <c r="B301" s="199"/>
      <c r="N301" s="152"/>
      <c r="Q301" s="195"/>
      <c r="S301" s="200"/>
      <c r="T301" s="200"/>
      <c r="U301" s="152"/>
      <c r="V301" s="152"/>
      <c r="W301" s="157"/>
      <c r="X301" s="197"/>
      <c r="Y301" s="156"/>
    </row>
    <row r="302" ht="15.75" customHeight="1">
      <c r="B302" s="199"/>
      <c r="N302" s="152"/>
      <c r="Q302" s="195"/>
      <c r="S302" s="200"/>
      <c r="T302" s="200"/>
      <c r="U302" s="152"/>
      <c r="V302" s="152"/>
      <c r="W302" s="157"/>
      <c r="X302" s="197"/>
      <c r="Y302" s="156"/>
    </row>
    <row r="303" ht="15.75" customHeight="1">
      <c r="B303" s="199"/>
      <c r="N303" s="152"/>
      <c r="Q303" s="195"/>
      <c r="S303" s="200"/>
      <c r="T303" s="200"/>
      <c r="U303" s="152"/>
      <c r="V303" s="152"/>
      <c r="W303" s="157"/>
      <c r="X303" s="197"/>
      <c r="Y303" s="156"/>
    </row>
    <row r="304" ht="15.75" customHeight="1">
      <c r="B304" s="199"/>
      <c r="N304" s="152"/>
      <c r="Q304" s="195"/>
      <c r="S304" s="200"/>
      <c r="T304" s="200"/>
      <c r="U304" s="152"/>
      <c r="V304" s="152"/>
      <c r="W304" s="157"/>
      <c r="X304" s="197"/>
      <c r="Y304" s="156"/>
    </row>
    <row r="305" ht="15.75" customHeight="1">
      <c r="B305" s="199"/>
      <c r="N305" s="152"/>
      <c r="Q305" s="195"/>
      <c r="S305" s="200"/>
      <c r="T305" s="200"/>
      <c r="U305" s="152"/>
      <c r="V305" s="152"/>
      <c r="W305" s="157"/>
      <c r="X305" s="197"/>
      <c r="Y305" s="156"/>
    </row>
    <row r="306" ht="15.75" customHeight="1">
      <c r="B306" s="199"/>
      <c r="N306" s="152"/>
      <c r="Q306" s="195"/>
      <c r="S306" s="200"/>
      <c r="T306" s="200"/>
      <c r="U306" s="152"/>
      <c r="V306" s="152"/>
      <c r="W306" s="157"/>
      <c r="X306" s="197"/>
      <c r="Y306" s="156"/>
    </row>
    <row r="307" ht="15.75" customHeight="1">
      <c r="B307" s="199"/>
      <c r="N307" s="152"/>
      <c r="Q307" s="195"/>
      <c r="S307" s="200"/>
      <c r="T307" s="200"/>
      <c r="U307" s="152"/>
      <c r="V307" s="152"/>
      <c r="W307" s="157"/>
      <c r="X307" s="197"/>
      <c r="Y307" s="156"/>
    </row>
    <row r="308" ht="15.75" customHeight="1">
      <c r="B308" s="199"/>
      <c r="N308" s="152"/>
      <c r="Q308" s="195"/>
      <c r="S308" s="200"/>
      <c r="T308" s="200"/>
      <c r="U308" s="152"/>
      <c r="V308" s="152"/>
      <c r="W308" s="157"/>
      <c r="X308" s="197"/>
      <c r="Y308" s="156"/>
    </row>
    <row r="309" ht="15.75" customHeight="1">
      <c r="B309" s="199"/>
      <c r="N309" s="152"/>
      <c r="Q309" s="195"/>
      <c r="S309" s="200"/>
      <c r="T309" s="200"/>
      <c r="U309" s="152"/>
      <c r="V309" s="152"/>
      <c r="W309" s="157"/>
      <c r="X309" s="197"/>
      <c r="Y309" s="156"/>
    </row>
    <row r="310" ht="15.75" customHeight="1">
      <c r="B310" s="199"/>
      <c r="N310" s="152"/>
      <c r="Q310" s="195"/>
      <c r="S310" s="200"/>
      <c r="T310" s="200"/>
      <c r="U310" s="152"/>
      <c r="V310" s="152"/>
      <c r="W310" s="157"/>
      <c r="X310" s="197"/>
      <c r="Y310" s="156"/>
    </row>
    <row r="311" ht="15.75" customHeight="1">
      <c r="B311" s="199"/>
      <c r="N311" s="152"/>
      <c r="Q311" s="195"/>
      <c r="S311" s="200"/>
      <c r="T311" s="200"/>
      <c r="U311" s="152"/>
      <c r="V311" s="152"/>
      <c r="W311" s="157"/>
      <c r="X311" s="197"/>
      <c r="Y311" s="156"/>
    </row>
    <row r="312" ht="15.75" customHeight="1">
      <c r="B312" s="199"/>
      <c r="N312" s="152"/>
      <c r="Q312" s="195"/>
      <c r="S312" s="200"/>
      <c r="T312" s="200"/>
      <c r="U312" s="152"/>
      <c r="V312" s="152"/>
      <c r="W312" s="157"/>
      <c r="X312" s="197"/>
      <c r="Y312" s="156"/>
    </row>
    <row r="313" ht="15.75" customHeight="1">
      <c r="B313" s="199"/>
      <c r="N313" s="152"/>
      <c r="Q313" s="195"/>
      <c r="S313" s="200"/>
      <c r="T313" s="200"/>
      <c r="U313" s="152"/>
      <c r="V313" s="152"/>
      <c r="W313" s="157"/>
      <c r="X313" s="197"/>
      <c r="Y313" s="156"/>
    </row>
    <row r="314" ht="15.75" customHeight="1">
      <c r="B314" s="199"/>
      <c r="N314" s="152"/>
      <c r="Q314" s="195"/>
      <c r="S314" s="200"/>
      <c r="T314" s="200"/>
      <c r="U314" s="152"/>
      <c r="V314" s="152"/>
      <c r="W314" s="157"/>
      <c r="X314" s="197"/>
      <c r="Y314" s="156"/>
    </row>
    <row r="315" ht="15.75" customHeight="1">
      <c r="B315" s="199"/>
      <c r="N315" s="152"/>
      <c r="Q315" s="195"/>
      <c r="S315" s="200"/>
      <c r="T315" s="200"/>
      <c r="U315" s="152"/>
      <c r="V315" s="152"/>
      <c r="W315" s="157"/>
      <c r="X315" s="197"/>
      <c r="Y315" s="156"/>
    </row>
    <row r="316" ht="15.75" customHeight="1">
      <c r="B316" s="199"/>
      <c r="N316" s="152"/>
      <c r="Q316" s="195"/>
      <c r="S316" s="200"/>
      <c r="T316" s="200"/>
      <c r="U316" s="152"/>
      <c r="V316" s="152"/>
      <c r="W316" s="157"/>
      <c r="X316" s="197"/>
      <c r="Y316" s="156"/>
    </row>
    <row r="317" ht="15.75" customHeight="1">
      <c r="B317" s="199"/>
      <c r="N317" s="152"/>
      <c r="Q317" s="195"/>
      <c r="S317" s="200"/>
      <c r="T317" s="200"/>
      <c r="U317" s="152"/>
      <c r="V317" s="152"/>
      <c r="W317" s="157"/>
      <c r="X317" s="197"/>
      <c r="Y317" s="156"/>
    </row>
    <row r="318" ht="15.75" customHeight="1">
      <c r="B318" s="199"/>
      <c r="N318" s="152"/>
      <c r="Q318" s="195"/>
      <c r="S318" s="200"/>
      <c r="T318" s="200"/>
      <c r="U318" s="152"/>
      <c r="V318" s="152"/>
      <c r="W318" s="157"/>
      <c r="X318" s="197"/>
      <c r="Y318" s="156"/>
    </row>
    <row r="319" ht="15.75" customHeight="1">
      <c r="B319" s="199"/>
      <c r="N319" s="152"/>
      <c r="Q319" s="195"/>
      <c r="S319" s="200"/>
      <c r="T319" s="200"/>
      <c r="U319" s="152"/>
      <c r="V319" s="152"/>
      <c r="W319" s="157"/>
      <c r="X319" s="197"/>
      <c r="Y319" s="156"/>
    </row>
    <row r="320" ht="15.75" customHeight="1">
      <c r="B320" s="199"/>
      <c r="N320" s="152"/>
      <c r="Q320" s="195"/>
      <c r="S320" s="200"/>
      <c r="T320" s="200"/>
      <c r="U320" s="152"/>
      <c r="V320" s="152"/>
      <c r="W320" s="157"/>
      <c r="X320" s="197"/>
      <c r="Y320" s="156"/>
    </row>
    <row r="321" ht="15.75" customHeight="1">
      <c r="B321" s="199"/>
      <c r="N321" s="152"/>
      <c r="Q321" s="195"/>
      <c r="S321" s="200"/>
      <c r="T321" s="200"/>
      <c r="U321" s="152"/>
      <c r="V321" s="152"/>
      <c r="W321" s="157"/>
      <c r="X321" s="197"/>
      <c r="Y321" s="156"/>
    </row>
    <row r="322" ht="15.75" customHeight="1">
      <c r="B322" s="199"/>
      <c r="N322" s="152"/>
      <c r="Q322" s="195"/>
      <c r="S322" s="200"/>
      <c r="T322" s="200"/>
      <c r="U322" s="152"/>
      <c r="V322" s="152"/>
      <c r="W322" s="157"/>
      <c r="X322" s="197"/>
      <c r="Y322" s="156"/>
    </row>
    <row r="323" ht="15.75" customHeight="1">
      <c r="B323" s="199"/>
      <c r="N323" s="152"/>
      <c r="Q323" s="195"/>
      <c r="S323" s="200"/>
      <c r="T323" s="200"/>
      <c r="U323" s="152"/>
      <c r="V323" s="152"/>
      <c r="W323" s="157"/>
      <c r="X323" s="197"/>
      <c r="Y323" s="156"/>
    </row>
    <row r="324" ht="15.75" customHeight="1">
      <c r="B324" s="199"/>
      <c r="N324" s="152"/>
      <c r="Q324" s="195"/>
      <c r="S324" s="200"/>
      <c r="T324" s="200"/>
      <c r="U324" s="152"/>
      <c r="V324" s="152"/>
      <c r="W324" s="157"/>
      <c r="X324" s="197"/>
      <c r="Y324" s="156"/>
    </row>
    <row r="325" ht="15.75" customHeight="1">
      <c r="B325" s="199"/>
      <c r="N325" s="152"/>
      <c r="Q325" s="195"/>
      <c r="S325" s="200"/>
      <c r="T325" s="200"/>
      <c r="U325" s="152"/>
      <c r="V325" s="152"/>
      <c r="W325" s="157"/>
      <c r="X325" s="197"/>
      <c r="Y325" s="156"/>
    </row>
    <row r="326" ht="15.75" customHeight="1">
      <c r="B326" s="199"/>
      <c r="N326" s="152"/>
      <c r="Q326" s="195"/>
      <c r="S326" s="200"/>
      <c r="T326" s="200"/>
      <c r="U326" s="152"/>
      <c r="V326" s="152"/>
      <c r="W326" s="157"/>
      <c r="X326" s="197"/>
      <c r="Y326" s="156"/>
    </row>
    <row r="327" ht="15.75" customHeight="1">
      <c r="B327" s="199"/>
      <c r="N327" s="152"/>
      <c r="Q327" s="195"/>
      <c r="S327" s="200"/>
      <c r="T327" s="200"/>
      <c r="U327" s="152"/>
      <c r="V327" s="152"/>
      <c r="W327" s="157"/>
      <c r="X327" s="197"/>
      <c r="Y327" s="156"/>
    </row>
    <row r="328" ht="15.75" customHeight="1">
      <c r="B328" s="199"/>
      <c r="N328" s="152"/>
      <c r="Q328" s="195"/>
      <c r="S328" s="200"/>
      <c r="T328" s="200"/>
      <c r="U328" s="152"/>
      <c r="V328" s="152"/>
      <c r="W328" s="157"/>
      <c r="X328" s="197"/>
      <c r="Y328" s="156"/>
    </row>
    <row r="329" ht="15.75" customHeight="1">
      <c r="B329" s="199"/>
      <c r="N329" s="152"/>
      <c r="Q329" s="195"/>
      <c r="S329" s="200"/>
      <c r="T329" s="200"/>
      <c r="U329" s="152"/>
      <c r="V329" s="152"/>
      <c r="W329" s="157"/>
      <c r="X329" s="197"/>
      <c r="Y329" s="156"/>
    </row>
    <row r="330" ht="15.75" customHeight="1">
      <c r="B330" s="199"/>
      <c r="N330" s="152"/>
      <c r="Q330" s="195"/>
      <c r="S330" s="200"/>
      <c r="T330" s="200"/>
      <c r="U330" s="152"/>
      <c r="V330" s="152"/>
      <c r="W330" s="157"/>
      <c r="X330" s="197"/>
      <c r="Y330" s="156"/>
    </row>
    <row r="331" ht="15.75" customHeight="1">
      <c r="B331" s="199"/>
      <c r="N331" s="152"/>
      <c r="Q331" s="195"/>
      <c r="S331" s="200"/>
      <c r="T331" s="200"/>
      <c r="U331" s="152"/>
      <c r="V331" s="152"/>
      <c r="W331" s="157"/>
      <c r="X331" s="197"/>
      <c r="Y331" s="156"/>
    </row>
    <row r="332" ht="15.75" customHeight="1">
      <c r="B332" s="199"/>
      <c r="N332" s="152"/>
      <c r="Q332" s="195"/>
      <c r="S332" s="200"/>
      <c r="T332" s="200"/>
      <c r="U332" s="152"/>
      <c r="V332" s="152"/>
      <c r="W332" s="157"/>
      <c r="X332" s="197"/>
      <c r="Y332" s="156"/>
    </row>
    <row r="333" ht="15.75" customHeight="1">
      <c r="B333" s="199"/>
      <c r="N333" s="152"/>
      <c r="Q333" s="195"/>
      <c r="S333" s="200"/>
      <c r="T333" s="200"/>
      <c r="U333" s="152"/>
      <c r="V333" s="152"/>
      <c r="W333" s="157"/>
      <c r="X333" s="197"/>
      <c r="Y333" s="156"/>
    </row>
    <row r="334" ht="15.75" customHeight="1">
      <c r="B334" s="199"/>
      <c r="N334" s="152"/>
      <c r="Q334" s="195"/>
      <c r="S334" s="200"/>
      <c r="T334" s="200"/>
      <c r="U334" s="152"/>
      <c r="V334" s="152"/>
      <c r="W334" s="157"/>
      <c r="X334" s="197"/>
      <c r="Y334" s="156"/>
    </row>
    <row r="335" ht="15.75" customHeight="1">
      <c r="B335" s="199"/>
      <c r="N335" s="152"/>
      <c r="Q335" s="195"/>
      <c r="S335" s="200"/>
      <c r="T335" s="200"/>
      <c r="U335" s="152"/>
      <c r="V335" s="152"/>
      <c r="W335" s="157"/>
      <c r="X335" s="197"/>
      <c r="Y335" s="156"/>
    </row>
    <row r="336" ht="15.75" customHeight="1">
      <c r="B336" s="199"/>
      <c r="N336" s="152"/>
      <c r="Q336" s="195"/>
      <c r="S336" s="200"/>
      <c r="T336" s="200"/>
      <c r="U336" s="152"/>
      <c r="V336" s="152"/>
      <c r="W336" s="157"/>
      <c r="X336" s="197"/>
      <c r="Y336" s="156"/>
    </row>
    <row r="337" ht="15.75" customHeight="1">
      <c r="B337" s="199"/>
      <c r="N337" s="152"/>
      <c r="Q337" s="195"/>
      <c r="S337" s="200"/>
      <c r="T337" s="200"/>
      <c r="U337" s="152"/>
      <c r="V337" s="152"/>
      <c r="W337" s="157"/>
      <c r="X337" s="197"/>
      <c r="Y337" s="156"/>
    </row>
    <row r="338" ht="15.75" customHeight="1">
      <c r="B338" s="199"/>
      <c r="N338" s="152"/>
      <c r="Q338" s="195"/>
      <c r="S338" s="200"/>
      <c r="T338" s="200"/>
      <c r="U338" s="152"/>
      <c r="V338" s="152"/>
      <c r="W338" s="157"/>
      <c r="X338" s="197"/>
      <c r="Y338" s="156"/>
    </row>
    <row r="339" ht="15.75" customHeight="1">
      <c r="B339" s="199"/>
      <c r="N339" s="152"/>
      <c r="Q339" s="195"/>
      <c r="S339" s="200"/>
      <c r="T339" s="200"/>
      <c r="U339" s="152"/>
      <c r="V339" s="152"/>
      <c r="W339" s="157"/>
      <c r="X339" s="197"/>
      <c r="Y339" s="156"/>
    </row>
    <row r="340" ht="15.75" customHeight="1">
      <c r="B340" s="199"/>
      <c r="N340" s="152"/>
      <c r="Q340" s="195"/>
      <c r="S340" s="200"/>
      <c r="T340" s="200"/>
      <c r="U340" s="152"/>
      <c r="V340" s="152"/>
      <c r="W340" s="157"/>
      <c r="X340" s="197"/>
      <c r="Y340" s="156"/>
    </row>
    <row r="341" ht="15.75" customHeight="1">
      <c r="B341" s="199"/>
      <c r="N341" s="152"/>
      <c r="Q341" s="195"/>
      <c r="S341" s="200"/>
      <c r="T341" s="200"/>
      <c r="U341" s="152"/>
      <c r="V341" s="152"/>
      <c r="W341" s="157"/>
      <c r="X341" s="197"/>
      <c r="Y341" s="156"/>
    </row>
    <row r="342" ht="15.75" customHeight="1">
      <c r="B342" s="199"/>
      <c r="N342" s="152"/>
      <c r="Q342" s="195"/>
      <c r="S342" s="200"/>
      <c r="T342" s="200"/>
      <c r="U342" s="152"/>
      <c r="V342" s="152"/>
      <c r="W342" s="157"/>
      <c r="X342" s="197"/>
      <c r="Y342" s="156"/>
    </row>
    <row r="343" ht="15.75" customHeight="1">
      <c r="B343" s="199"/>
      <c r="N343" s="152"/>
      <c r="Q343" s="195"/>
      <c r="S343" s="200"/>
      <c r="T343" s="200"/>
      <c r="U343" s="152"/>
      <c r="V343" s="152"/>
      <c r="W343" s="157"/>
      <c r="X343" s="197"/>
      <c r="Y343" s="156"/>
    </row>
    <row r="344" ht="15.75" customHeight="1">
      <c r="B344" s="199"/>
      <c r="N344" s="152"/>
      <c r="Q344" s="195"/>
      <c r="S344" s="200"/>
      <c r="T344" s="200"/>
      <c r="U344" s="152"/>
      <c r="V344" s="152"/>
      <c r="W344" s="157"/>
      <c r="X344" s="197"/>
      <c r="Y344" s="156"/>
    </row>
    <row r="345" ht="15.75" customHeight="1">
      <c r="B345" s="199"/>
      <c r="N345" s="152"/>
      <c r="Q345" s="195"/>
      <c r="S345" s="200"/>
      <c r="T345" s="200"/>
      <c r="U345" s="152"/>
      <c r="V345" s="152"/>
      <c r="W345" s="157"/>
      <c r="X345" s="197"/>
      <c r="Y345" s="156"/>
    </row>
    <row r="346" ht="15.75" customHeight="1">
      <c r="B346" s="199"/>
      <c r="N346" s="152"/>
      <c r="Q346" s="195"/>
      <c r="S346" s="200"/>
      <c r="T346" s="200"/>
      <c r="U346" s="152"/>
      <c r="V346" s="152"/>
      <c r="W346" s="157"/>
      <c r="X346" s="197"/>
      <c r="Y346" s="156"/>
    </row>
    <row r="347" ht="15.75" customHeight="1">
      <c r="B347" s="199"/>
      <c r="N347" s="152"/>
      <c r="Q347" s="195"/>
      <c r="S347" s="200"/>
      <c r="T347" s="200"/>
      <c r="U347" s="152"/>
      <c r="V347" s="152"/>
      <c r="W347" s="157"/>
      <c r="X347" s="197"/>
      <c r="Y347" s="156"/>
    </row>
    <row r="348" ht="15.75" customHeight="1">
      <c r="B348" s="199"/>
      <c r="N348" s="152"/>
      <c r="Q348" s="195"/>
      <c r="S348" s="200"/>
      <c r="T348" s="200"/>
      <c r="U348" s="152"/>
      <c r="V348" s="152"/>
      <c r="W348" s="157"/>
      <c r="X348" s="197"/>
      <c r="Y348" s="156"/>
    </row>
    <row r="349" ht="15.75" customHeight="1">
      <c r="B349" s="199"/>
      <c r="N349" s="152"/>
      <c r="Q349" s="195"/>
      <c r="S349" s="200"/>
      <c r="T349" s="200"/>
      <c r="U349" s="152"/>
      <c r="V349" s="152"/>
      <c r="W349" s="157"/>
      <c r="X349" s="197"/>
      <c r="Y349" s="156"/>
    </row>
    <row r="350" ht="15.75" customHeight="1">
      <c r="B350" s="199"/>
      <c r="N350" s="152"/>
      <c r="Q350" s="195"/>
      <c r="S350" s="200"/>
      <c r="T350" s="200"/>
      <c r="U350" s="152"/>
      <c r="V350" s="152"/>
      <c r="W350" s="157"/>
      <c r="X350" s="197"/>
      <c r="Y350" s="156"/>
    </row>
    <row r="351" ht="15.75" customHeight="1">
      <c r="B351" s="199"/>
      <c r="N351" s="152"/>
      <c r="Q351" s="195"/>
      <c r="S351" s="200"/>
      <c r="T351" s="200"/>
      <c r="U351" s="152"/>
      <c r="V351" s="152"/>
      <c r="W351" s="157"/>
      <c r="X351" s="197"/>
      <c r="Y351" s="156"/>
    </row>
    <row r="352" ht="15.75" customHeight="1">
      <c r="B352" s="199"/>
      <c r="N352" s="152"/>
      <c r="Q352" s="195"/>
      <c r="S352" s="200"/>
      <c r="T352" s="200"/>
      <c r="U352" s="152"/>
      <c r="V352" s="152"/>
      <c r="W352" s="157"/>
      <c r="X352" s="197"/>
      <c r="Y352" s="156"/>
    </row>
    <row r="353" ht="15.75" customHeight="1">
      <c r="B353" s="199"/>
      <c r="N353" s="152"/>
      <c r="Q353" s="195"/>
      <c r="S353" s="200"/>
      <c r="T353" s="200"/>
      <c r="U353" s="152"/>
      <c r="V353" s="152"/>
      <c r="W353" s="157"/>
      <c r="X353" s="197"/>
      <c r="Y353" s="156"/>
    </row>
    <row r="354" ht="15.75" customHeight="1">
      <c r="B354" s="199"/>
      <c r="N354" s="152"/>
      <c r="Q354" s="195"/>
      <c r="S354" s="200"/>
      <c r="T354" s="200"/>
      <c r="U354" s="152"/>
      <c r="V354" s="152"/>
      <c r="W354" s="157"/>
      <c r="X354" s="197"/>
      <c r="Y354" s="156"/>
    </row>
    <row r="355" ht="15.75" customHeight="1">
      <c r="B355" s="199"/>
      <c r="N355" s="152"/>
      <c r="Q355" s="195"/>
      <c r="S355" s="200"/>
      <c r="T355" s="200"/>
      <c r="U355" s="152"/>
      <c r="V355" s="152"/>
      <c r="W355" s="157"/>
      <c r="X355" s="197"/>
      <c r="Y355" s="156"/>
    </row>
    <row r="356" ht="15.75" customHeight="1">
      <c r="B356" s="199"/>
      <c r="N356" s="152"/>
      <c r="Q356" s="195"/>
      <c r="S356" s="200"/>
      <c r="T356" s="200"/>
      <c r="U356" s="152"/>
      <c r="V356" s="152"/>
      <c r="W356" s="157"/>
      <c r="X356" s="197"/>
      <c r="Y356" s="156"/>
    </row>
    <row r="357" ht="15.75" customHeight="1">
      <c r="B357" s="199"/>
      <c r="N357" s="152"/>
      <c r="Q357" s="195"/>
      <c r="S357" s="200"/>
      <c r="T357" s="200"/>
      <c r="U357" s="152"/>
      <c r="V357" s="152"/>
      <c r="W357" s="157"/>
      <c r="X357" s="197"/>
      <c r="Y357" s="156"/>
    </row>
    <row r="358" ht="15.75" customHeight="1">
      <c r="B358" s="199"/>
      <c r="N358" s="152"/>
      <c r="Q358" s="195"/>
      <c r="S358" s="200"/>
      <c r="T358" s="200"/>
      <c r="U358" s="152"/>
      <c r="V358" s="152"/>
      <c r="W358" s="157"/>
      <c r="X358" s="197"/>
      <c r="Y358" s="156"/>
    </row>
    <row r="359" ht="15.75" customHeight="1">
      <c r="B359" s="199"/>
      <c r="N359" s="152"/>
      <c r="Q359" s="195"/>
      <c r="S359" s="200"/>
      <c r="T359" s="200"/>
      <c r="U359" s="152"/>
      <c r="V359" s="152"/>
      <c r="W359" s="157"/>
      <c r="X359" s="197"/>
      <c r="Y359" s="156"/>
    </row>
    <row r="360" ht="15.75" customHeight="1">
      <c r="B360" s="199"/>
      <c r="N360" s="152"/>
      <c r="Q360" s="195"/>
      <c r="S360" s="200"/>
      <c r="T360" s="200"/>
      <c r="U360" s="152"/>
      <c r="V360" s="152"/>
      <c r="W360" s="157"/>
      <c r="X360" s="197"/>
      <c r="Y360" s="156"/>
    </row>
    <row r="361" ht="15.75" customHeight="1">
      <c r="B361" s="199"/>
      <c r="N361" s="152"/>
      <c r="Q361" s="195"/>
      <c r="S361" s="200"/>
      <c r="T361" s="200"/>
      <c r="U361" s="152"/>
      <c r="V361" s="152"/>
      <c r="W361" s="157"/>
      <c r="X361" s="197"/>
      <c r="Y361" s="156"/>
    </row>
    <row r="362" ht="15.75" customHeight="1">
      <c r="B362" s="199"/>
      <c r="N362" s="152"/>
      <c r="Q362" s="195"/>
      <c r="S362" s="200"/>
      <c r="T362" s="200"/>
      <c r="U362" s="152"/>
      <c r="V362" s="152"/>
      <c r="W362" s="157"/>
      <c r="X362" s="197"/>
      <c r="Y362" s="156"/>
    </row>
    <row r="363" ht="15.75" customHeight="1">
      <c r="B363" s="199"/>
      <c r="N363" s="152"/>
      <c r="Q363" s="195"/>
      <c r="S363" s="200"/>
      <c r="T363" s="200"/>
      <c r="U363" s="152"/>
      <c r="V363" s="152"/>
      <c r="W363" s="157"/>
      <c r="X363" s="197"/>
      <c r="Y363" s="156"/>
    </row>
    <row r="364" ht="15.75" customHeight="1">
      <c r="B364" s="199"/>
      <c r="N364" s="152"/>
      <c r="Q364" s="195"/>
      <c r="S364" s="200"/>
      <c r="T364" s="200"/>
      <c r="U364" s="152"/>
      <c r="V364" s="152"/>
      <c r="W364" s="157"/>
      <c r="X364" s="197"/>
      <c r="Y364" s="156"/>
    </row>
    <row r="365" ht="15.75" customHeight="1">
      <c r="B365" s="199"/>
      <c r="N365" s="152"/>
      <c r="Q365" s="195"/>
      <c r="S365" s="200"/>
      <c r="T365" s="200"/>
      <c r="U365" s="152"/>
      <c r="V365" s="152"/>
      <c r="W365" s="157"/>
      <c r="X365" s="197"/>
      <c r="Y365" s="156"/>
    </row>
    <row r="366" ht="15.75" customHeight="1">
      <c r="B366" s="199"/>
      <c r="N366" s="152"/>
      <c r="Q366" s="195"/>
      <c r="S366" s="200"/>
      <c r="T366" s="200"/>
      <c r="U366" s="152"/>
      <c r="V366" s="152"/>
      <c r="W366" s="157"/>
      <c r="X366" s="197"/>
      <c r="Y366" s="156"/>
    </row>
    <row r="367" ht="15.75" customHeight="1">
      <c r="B367" s="199"/>
      <c r="N367" s="152"/>
      <c r="Q367" s="195"/>
      <c r="S367" s="200"/>
      <c r="T367" s="200"/>
      <c r="U367" s="152"/>
      <c r="V367" s="152"/>
      <c r="W367" s="157"/>
      <c r="X367" s="197"/>
      <c r="Y367" s="156"/>
    </row>
    <row r="368" ht="15.75" customHeight="1">
      <c r="B368" s="199"/>
      <c r="N368" s="152"/>
      <c r="Q368" s="195"/>
      <c r="S368" s="200"/>
      <c r="T368" s="200"/>
      <c r="U368" s="152"/>
      <c r="V368" s="152"/>
      <c r="W368" s="157"/>
      <c r="X368" s="197"/>
      <c r="Y368" s="156"/>
    </row>
    <row r="369" ht="15.75" customHeight="1">
      <c r="B369" s="199"/>
      <c r="N369" s="152"/>
      <c r="Q369" s="195"/>
      <c r="S369" s="200"/>
      <c r="T369" s="200"/>
      <c r="U369" s="152"/>
      <c r="V369" s="152"/>
      <c r="W369" s="157"/>
      <c r="X369" s="197"/>
      <c r="Y369" s="156"/>
    </row>
    <row r="370" ht="15.75" customHeight="1">
      <c r="B370" s="199"/>
      <c r="N370" s="152"/>
      <c r="Q370" s="195"/>
      <c r="S370" s="200"/>
      <c r="T370" s="200"/>
      <c r="U370" s="152"/>
      <c r="V370" s="152"/>
      <c r="W370" s="157"/>
      <c r="X370" s="197"/>
      <c r="Y370" s="156"/>
    </row>
    <row r="371" ht="15.75" customHeight="1">
      <c r="B371" s="199"/>
      <c r="N371" s="152"/>
      <c r="Q371" s="195"/>
      <c r="S371" s="200"/>
      <c r="T371" s="200"/>
      <c r="U371" s="152"/>
      <c r="V371" s="152"/>
      <c r="W371" s="157"/>
      <c r="X371" s="197"/>
      <c r="Y371" s="156"/>
    </row>
    <row r="372" ht="15.75" customHeight="1">
      <c r="B372" s="199"/>
      <c r="N372" s="152"/>
      <c r="Q372" s="195"/>
      <c r="S372" s="200"/>
      <c r="T372" s="200"/>
      <c r="U372" s="152"/>
      <c r="V372" s="152"/>
      <c r="W372" s="157"/>
      <c r="X372" s="197"/>
      <c r="Y372" s="156"/>
    </row>
    <row r="373" ht="15.75" customHeight="1">
      <c r="B373" s="199"/>
      <c r="N373" s="152"/>
      <c r="Q373" s="195"/>
      <c r="S373" s="200"/>
      <c r="T373" s="200"/>
      <c r="U373" s="152"/>
      <c r="V373" s="152"/>
      <c r="W373" s="157"/>
      <c r="X373" s="197"/>
      <c r="Y373" s="156"/>
    </row>
    <row r="374" ht="15.75" customHeight="1">
      <c r="B374" s="199"/>
      <c r="N374" s="152"/>
      <c r="Q374" s="195"/>
      <c r="S374" s="200"/>
      <c r="T374" s="200"/>
      <c r="U374" s="152"/>
      <c r="V374" s="152"/>
      <c r="W374" s="157"/>
      <c r="X374" s="197"/>
      <c r="Y374" s="156"/>
    </row>
    <row r="375" ht="15.75" customHeight="1">
      <c r="B375" s="199"/>
      <c r="N375" s="152"/>
      <c r="Q375" s="195"/>
      <c r="S375" s="200"/>
      <c r="T375" s="200"/>
      <c r="U375" s="152"/>
      <c r="V375" s="152"/>
      <c r="W375" s="157"/>
      <c r="X375" s="197"/>
      <c r="Y375" s="156"/>
    </row>
    <row r="376" ht="15.75" customHeight="1">
      <c r="B376" s="199"/>
      <c r="N376" s="152"/>
      <c r="Q376" s="195"/>
      <c r="S376" s="200"/>
      <c r="T376" s="200"/>
      <c r="U376" s="152"/>
      <c r="V376" s="152"/>
      <c r="W376" s="157"/>
      <c r="X376" s="197"/>
      <c r="Y376" s="156"/>
    </row>
    <row r="377" ht="15.75" customHeight="1">
      <c r="B377" s="199"/>
      <c r="N377" s="152"/>
      <c r="Q377" s="195"/>
      <c r="S377" s="200"/>
      <c r="T377" s="200"/>
      <c r="U377" s="152"/>
      <c r="V377" s="152"/>
      <c r="W377" s="157"/>
      <c r="X377" s="197"/>
      <c r="Y377" s="156"/>
    </row>
    <row r="378" ht="15.75" customHeight="1">
      <c r="B378" s="199"/>
      <c r="N378" s="152"/>
      <c r="Q378" s="195"/>
      <c r="S378" s="200"/>
      <c r="T378" s="200"/>
      <c r="U378" s="152"/>
      <c r="V378" s="152"/>
      <c r="W378" s="157"/>
      <c r="X378" s="197"/>
      <c r="Y378" s="156"/>
    </row>
    <row r="379" ht="15.75" customHeight="1">
      <c r="B379" s="199"/>
      <c r="N379" s="152"/>
      <c r="Q379" s="195"/>
      <c r="S379" s="200"/>
      <c r="T379" s="200"/>
      <c r="U379" s="152"/>
      <c r="V379" s="152"/>
      <c r="W379" s="157"/>
      <c r="X379" s="197"/>
      <c r="Y379" s="156"/>
    </row>
    <row r="380" ht="15.75" customHeight="1">
      <c r="B380" s="199"/>
      <c r="N380" s="152"/>
      <c r="Q380" s="195"/>
      <c r="S380" s="200"/>
      <c r="T380" s="200"/>
      <c r="U380" s="152"/>
      <c r="V380" s="152"/>
      <c r="W380" s="157"/>
      <c r="X380" s="197"/>
      <c r="Y380" s="156"/>
    </row>
    <row r="381" ht="15.75" customHeight="1">
      <c r="B381" s="199"/>
      <c r="N381" s="152"/>
      <c r="Q381" s="195"/>
      <c r="S381" s="200"/>
      <c r="T381" s="200"/>
      <c r="U381" s="152"/>
      <c r="V381" s="152"/>
      <c r="W381" s="157"/>
      <c r="X381" s="197"/>
      <c r="Y381" s="156"/>
    </row>
    <row r="382" ht="15.75" customHeight="1">
      <c r="B382" s="199"/>
      <c r="N382" s="152"/>
      <c r="Q382" s="195"/>
      <c r="S382" s="200"/>
      <c r="T382" s="200"/>
      <c r="U382" s="152"/>
      <c r="V382" s="152"/>
      <c r="W382" s="157"/>
      <c r="X382" s="197"/>
      <c r="Y382" s="156"/>
    </row>
    <row r="383" ht="15.75" customHeight="1">
      <c r="B383" s="199"/>
      <c r="N383" s="152"/>
      <c r="Q383" s="195"/>
      <c r="S383" s="200"/>
      <c r="T383" s="200"/>
      <c r="U383" s="152"/>
      <c r="V383" s="152"/>
      <c r="W383" s="157"/>
      <c r="X383" s="197"/>
      <c r="Y383" s="156"/>
    </row>
    <row r="384" ht="15.75" customHeight="1">
      <c r="B384" s="199"/>
      <c r="N384" s="152"/>
      <c r="Q384" s="195"/>
      <c r="S384" s="200"/>
      <c r="T384" s="200"/>
      <c r="U384" s="152"/>
      <c r="V384" s="152"/>
      <c r="W384" s="157"/>
      <c r="X384" s="197"/>
      <c r="Y384" s="156"/>
    </row>
    <row r="385" ht="15.75" customHeight="1">
      <c r="B385" s="199"/>
      <c r="N385" s="152"/>
      <c r="Q385" s="195"/>
      <c r="S385" s="200"/>
      <c r="T385" s="200"/>
      <c r="U385" s="152"/>
      <c r="V385" s="152"/>
      <c r="W385" s="157"/>
      <c r="X385" s="197"/>
      <c r="Y385" s="156"/>
    </row>
    <row r="386" ht="15.75" customHeight="1">
      <c r="B386" s="199"/>
      <c r="N386" s="152"/>
      <c r="Q386" s="195"/>
      <c r="S386" s="200"/>
      <c r="T386" s="200"/>
      <c r="U386" s="152"/>
      <c r="V386" s="152"/>
      <c r="W386" s="157"/>
      <c r="X386" s="197"/>
      <c r="Y386" s="156"/>
    </row>
    <row r="387" ht="15.75" customHeight="1">
      <c r="B387" s="199"/>
      <c r="N387" s="152"/>
      <c r="Q387" s="195"/>
      <c r="S387" s="200"/>
      <c r="T387" s="200"/>
      <c r="U387" s="152"/>
      <c r="V387" s="152"/>
      <c r="W387" s="157"/>
      <c r="X387" s="197"/>
      <c r="Y387" s="156"/>
    </row>
    <row r="388" ht="15.75" customHeight="1">
      <c r="B388" s="199"/>
      <c r="N388" s="152"/>
      <c r="Q388" s="195"/>
      <c r="S388" s="200"/>
      <c r="T388" s="200"/>
      <c r="U388" s="152"/>
      <c r="V388" s="152"/>
      <c r="W388" s="157"/>
      <c r="X388" s="197"/>
      <c r="Y388" s="156"/>
    </row>
    <row r="389" ht="15.75" customHeight="1">
      <c r="B389" s="199"/>
      <c r="N389" s="152"/>
      <c r="Q389" s="195"/>
      <c r="S389" s="200"/>
      <c r="T389" s="200"/>
      <c r="U389" s="152"/>
      <c r="V389" s="152"/>
      <c r="W389" s="157"/>
      <c r="X389" s="197"/>
      <c r="Y389" s="156"/>
    </row>
    <row r="390" ht="15.75" customHeight="1">
      <c r="B390" s="199"/>
      <c r="N390" s="152"/>
      <c r="Q390" s="195"/>
      <c r="S390" s="200"/>
      <c r="T390" s="200"/>
      <c r="U390" s="152"/>
      <c r="V390" s="152"/>
      <c r="W390" s="157"/>
      <c r="X390" s="197"/>
      <c r="Y390" s="156"/>
    </row>
    <row r="391" ht="15.75" customHeight="1">
      <c r="B391" s="199"/>
      <c r="N391" s="152"/>
      <c r="Q391" s="195"/>
      <c r="S391" s="200"/>
      <c r="T391" s="200"/>
      <c r="U391" s="152"/>
      <c r="V391" s="152"/>
      <c r="W391" s="157"/>
      <c r="X391" s="197"/>
      <c r="Y391" s="156"/>
    </row>
    <row r="392" ht="15.75" customHeight="1">
      <c r="B392" s="199"/>
      <c r="N392" s="152"/>
      <c r="Q392" s="195"/>
      <c r="S392" s="200"/>
      <c r="T392" s="200"/>
      <c r="U392" s="152"/>
      <c r="V392" s="152"/>
      <c r="W392" s="157"/>
      <c r="X392" s="197"/>
      <c r="Y392" s="156"/>
    </row>
    <row r="393" ht="15.75" customHeight="1">
      <c r="B393" s="199"/>
      <c r="N393" s="152"/>
      <c r="Q393" s="195"/>
      <c r="S393" s="200"/>
      <c r="T393" s="200"/>
      <c r="U393" s="152"/>
      <c r="V393" s="152"/>
      <c r="W393" s="157"/>
      <c r="X393" s="197"/>
      <c r="Y393" s="156"/>
    </row>
    <row r="394" ht="15.75" customHeight="1">
      <c r="B394" s="199"/>
      <c r="N394" s="152"/>
      <c r="Q394" s="195"/>
      <c r="S394" s="200"/>
      <c r="T394" s="200"/>
      <c r="U394" s="152"/>
      <c r="V394" s="152"/>
      <c r="W394" s="157"/>
      <c r="X394" s="197"/>
      <c r="Y394" s="156"/>
    </row>
    <row r="395" ht="15.75" customHeight="1">
      <c r="B395" s="199"/>
      <c r="N395" s="152"/>
      <c r="Q395" s="195"/>
      <c r="S395" s="200"/>
      <c r="T395" s="200"/>
      <c r="U395" s="152"/>
      <c r="V395" s="152"/>
      <c r="W395" s="157"/>
      <c r="X395" s="197"/>
      <c r="Y395" s="156"/>
    </row>
    <row r="396" ht="15.75" customHeight="1">
      <c r="B396" s="199"/>
      <c r="N396" s="152"/>
      <c r="Q396" s="195"/>
      <c r="S396" s="200"/>
      <c r="T396" s="200"/>
      <c r="U396" s="152"/>
      <c r="V396" s="152"/>
      <c r="W396" s="157"/>
      <c r="X396" s="197"/>
      <c r="Y396" s="156"/>
    </row>
    <row r="397" ht="15.75" customHeight="1">
      <c r="B397" s="199"/>
      <c r="N397" s="152"/>
      <c r="Q397" s="195"/>
      <c r="S397" s="200"/>
      <c r="T397" s="200"/>
      <c r="U397" s="152"/>
      <c r="V397" s="152"/>
      <c r="W397" s="157"/>
      <c r="X397" s="197"/>
      <c r="Y397" s="156"/>
    </row>
    <row r="398" ht="15.75" customHeight="1">
      <c r="B398" s="199"/>
      <c r="N398" s="152"/>
      <c r="Q398" s="195"/>
      <c r="S398" s="200"/>
      <c r="T398" s="200"/>
      <c r="U398" s="152"/>
      <c r="V398" s="152"/>
      <c r="W398" s="157"/>
      <c r="X398" s="197"/>
      <c r="Y398" s="156"/>
    </row>
    <row r="399" ht="15.75" customHeight="1">
      <c r="B399" s="199"/>
      <c r="N399" s="152"/>
      <c r="Q399" s="195"/>
      <c r="S399" s="200"/>
      <c r="T399" s="200"/>
      <c r="U399" s="152"/>
      <c r="V399" s="152"/>
      <c r="W399" s="157"/>
      <c r="X399" s="197"/>
      <c r="Y399" s="156"/>
    </row>
    <row r="400" ht="15.75" customHeight="1">
      <c r="B400" s="199"/>
      <c r="N400" s="152"/>
      <c r="Q400" s="195"/>
      <c r="S400" s="200"/>
      <c r="T400" s="200"/>
      <c r="U400" s="152"/>
      <c r="V400" s="152"/>
      <c r="W400" s="157"/>
      <c r="X400" s="197"/>
      <c r="Y400" s="156"/>
    </row>
    <row r="401" ht="15.75" customHeight="1">
      <c r="B401" s="199"/>
      <c r="N401" s="152"/>
      <c r="Q401" s="195"/>
      <c r="S401" s="200"/>
      <c r="T401" s="200"/>
      <c r="U401" s="152"/>
      <c r="V401" s="152"/>
      <c r="W401" s="157"/>
      <c r="X401" s="197"/>
      <c r="Y401" s="156"/>
    </row>
    <row r="402" ht="15.75" customHeight="1">
      <c r="B402" s="199"/>
      <c r="N402" s="152"/>
      <c r="Q402" s="195"/>
      <c r="S402" s="200"/>
      <c r="T402" s="200"/>
      <c r="U402" s="152"/>
      <c r="V402" s="152"/>
      <c r="W402" s="157"/>
      <c r="X402" s="197"/>
      <c r="Y402" s="156"/>
    </row>
    <row r="403" ht="15.75" customHeight="1">
      <c r="B403" s="199"/>
      <c r="N403" s="152"/>
      <c r="Q403" s="195"/>
      <c r="S403" s="200"/>
      <c r="T403" s="200"/>
      <c r="U403" s="152"/>
      <c r="V403" s="152"/>
      <c r="W403" s="157"/>
      <c r="X403" s="197"/>
      <c r="Y403" s="156"/>
    </row>
    <row r="404" ht="15.75" customHeight="1">
      <c r="B404" s="199"/>
      <c r="N404" s="152"/>
      <c r="Q404" s="195"/>
      <c r="S404" s="200"/>
      <c r="T404" s="200"/>
      <c r="U404" s="152"/>
      <c r="V404" s="152"/>
      <c r="W404" s="157"/>
      <c r="X404" s="197"/>
      <c r="Y404" s="156"/>
    </row>
    <row r="405" ht="15.75" customHeight="1">
      <c r="B405" s="199"/>
      <c r="N405" s="152"/>
      <c r="Q405" s="195"/>
      <c r="S405" s="200"/>
      <c r="T405" s="200"/>
      <c r="U405" s="152"/>
      <c r="V405" s="152"/>
      <c r="W405" s="157"/>
      <c r="X405" s="197"/>
      <c r="Y405" s="156"/>
    </row>
    <row r="406" ht="15.75" customHeight="1">
      <c r="B406" s="199"/>
      <c r="N406" s="152"/>
      <c r="Q406" s="195"/>
      <c r="S406" s="200"/>
      <c r="T406" s="200"/>
      <c r="U406" s="152"/>
      <c r="V406" s="152"/>
      <c r="W406" s="157"/>
      <c r="X406" s="197"/>
      <c r="Y406" s="156"/>
    </row>
    <row r="407" ht="15.75" customHeight="1">
      <c r="B407" s="199"/>
      <c r="N407" s="152"/>
      <c r="Q407" s="195"/>
      <c r="S407" s="200"/>
      <c r="T407" s="200"/>
      <c r="U407" s="152"/>
      <c r="V407" s="152"/>
      <c r="W407" s="157"/>
      <c r="X407" s="197"/>
      <c r="Y407" s="156"/>
    </row>
    <row r="408" ht="15.75" customHeight="1">
      <c r="B408" s="199"/>
      <c r="N408" s="152"/>
      <c r="Q408" s="195"/>
      <c r="S408" s="200"/>
      <c r="T408" s="200"/>
      <c r="U408" s="152"/>
      <c r="V408" s="152"/>
      <c r="W408" s="157"/>
      <c r="X408" s="197"/>
      <c r="Y408" s="156"/>
    </row>
    <row r="409" ht="15.75" customHeight="1">
      <c r="B409" s="199"/>
      <c r="N409" s="152"/>
      <c r="Q409" s="195"/>
      <c r="S409" s="200"/>
      <c r="T409" s="200"/>
      <c r="U409" s="152"/>
      <c r="V409" s="152"/>
      <c r="W409" s="157"/>
      <c r="X409" s="197"/>
      <c r="Y409" s="156"/>
    </row>
    <row r="410" ht="15.75" customHeight="1">
      <c r="B410" s="199"/>
      <c r="N410" s="152"/>
      <c r="Q410" s="195"/>
      <c r="S410" s="200"/>
      <c r="T410" s="200"/>
      <c r="U410" s="152"/>
      <c r="V410" s="152"/>
      <c r="W410" s="157"/>
      <c r="X410" s="197"/>
      <c r="Y410" s="156"/>
    </row>
    <row r="411" ht="15.75" customHeight="1">
      <c r="B411" s="199"/>
      <c r="N411" s="152"/>
      <c r="Q411" s="195"/>
      <c r="S411" s="200"/>
      <c r="T411" s="200"/>
      <c r="U411" s="152"/>
      <c r="V411" s="152"/>
      <c r="W411" s="157"/>
      <c r="X411" s="197"/>
      <c r="Y411" s="156"/>
    </row>
    <row r="412" ht="15.75" customHeight="1">
      <c r="B412" s="199"/>
      <c r="N412" s="152"/>
      <c r="Q412" s="195"/>
      <c r="S412" s="200"/>
      <c r="T412" s="200"/>
      <c r="U412" s="152"/>
      <c r="V412" s="152"/>
      <c r="W412" s="157"/>
      <c r="X412" s="197"/>
      <c r="Y412" s="156"/>
    </row>
    <row r="413" ht="15.75" customHeight="1">
      <c r="B413" s="199"/>
      <c r="N413" s="152"/>
      <c r="Q413" s="195"/>
      <c r="S413" s="200"/>
      <c r="T413" s="200"/>
      <c r="U413" s="152"/>
      <c r="V413" s="152"/>
      <c r="W413" s="157"/>
      <c r="X413" s="197"/>
      <c r="Y413" s="156"/>
    </row>
    <row r="414" ht="15.75" customHeight="1">
      <c r="B414" s="199"/>
      <c r="N414" s="152"/>
      <c r="Q414" s="195"/>
      <c r="S414" s="200"/>
      <c r="T414" s="200"/>
      <c r="U414" s="152"/>
      <c r="V414" s="152"/>
      <c r="W414" s="157"/>
      <c r="X414" s="197"/>
      <c r="Y414" s="156"/>
    </row>
    <row r="415" ht="15.75" customHeight="1">
      <c r="B415" s="199"/>
      <c r="N415" s="152"/>
      <c r="Q415" s="195"/>
      <c r="S415" s="200"/>
      <c r="T415" s="200"/>
      <c r="U415" s="152"/>
      <c r="V415" s="152"/>
      <c r="W415" s="157"/>
      <c r="X415" s="197"/>
      <c r="Y415" s="156"/>
    </row>
    <row r="416" ht="15.75" customHeight="1">
      <c r="B416" s="199"/>
      <c r="N416" s="152"/>
      <c r="Q416" s="195"/>
      <c r="S416" s="200"/>
      <c r="T416" s="200"/>
      <c r="U416" s="152"/>
      <c r="V416" s="152"/>
      <c r="W416" s="157"/>
      <c r="X416" s="197"/>
      <c r="Y416" s="156"/>
    </row>
    <row r="417" ht="15.75" customHeight="1">
      <c r="B417" s="199"/>
      <c r="N417" s="152"/>
      <c r="Q417" s="195"/>
      <c r="S417" s="200"/>
      <c r="T417" s="200"/>
      <c r="U417" s="152"/>
      <c r="V417" s="152"/>
      <c r="W417" s="157"/>
      <c r="X417" s="197"/>
      <c r="Y417" s="156"/>
    </row>
    <row r="418" ht="15.75" customHeight="1">
      <c r="B418" s="199"/>
      <c r="N418" s="152"/>
      <c r="Q418" s="195"/>
      <c r="S418" s="200"/>
      <c r="T418" s="200"/>
      <c r="U418" s="152"/>
      <c r="V418" s="152"/>
      <c r="W418" s="157"/>
      <c r="X418" s="197"/>
      <c r="Y418" s="156"/>
    </row>
    <row r="419" ht="15.75" customHeight="1">
      <c r="B419" s="199"/>
      <c r="N419" s="152"/>
      <c r="Q419" s="195"/>
      <c r="S419" s="200"/>
      <c r="T419" s="200"/>
      <c r="U419" s="152"/>
      <c r="V419" s="152"/>
      <c r="W419" s="157"/>
      <c r="X419" s="197"/>
      <c r="Y419" s="156"/>
    </row>
    <row r="420" ht="15.75" customHeight="1">
      <c r="B420" s="199"/>
      <c r="N420" s="152"/>
      <c r="Q420" s="195"/>
      <c r="S420" s="200"/>
      <c r="T420" s="200"/>
      <c r="U420" s="152"/>
      <c r="V420" s="152"/>
      <c r="W420" s="157"/>
      <c r="X420" s="197"/>
      <c r="Y420" s="156"/>
    </row>
    <row r="421" ht="15.75" customHeight="1">
      <c r="B421" s="199"/>
      <c r="N421" s="152"/>
      <c r="Q421" s="195"/>
      <c r="S421" s="200"/>
      <c r="T421" s="200"/>
      <c r="U421" s="152"/>
      <c r="V421" s="152"/>
      <c r="W421" s="157"/>
      <c r="X421" s="197"/>
      <c r="Y421" s="156"/>
    </row>
    <row r="422" ht="15.75" customHeight="1">
      <c r="B422" s="199"/>
      <c r="N422" s="152"/>
      <c r="Q422" s="195"/>
      <c r="S422" s="200"/>
      <c r="T422" s="200"/>
      <c r="U422" s="152"/>
      <c r="V422" s="152"/>
      <c r="W422" s="157"/>
      <c r="X422" s="197"/>
      <c r="Y422" s="156"/>
    </row>
    <row r="423" ht="15.75" customHeight="1">
      <c r="B423" s="199"/>
      <c r="N423" s="152"/>
      <c r="Q423" s="195"/>
      <c r="S423" s="200"/>
      <c r="T423" s="200"/>
      <c r="U423" s="152"/>
      <c r="V423" s="152"/>
      <c r="W423" s="157"/>
      <c r="X423" s="197"/>
      <c r="Y423" s="156"/>
    </row>
    <row r="424" ht="15.75" customHeight="1">
      <c r="B424" s="199"/>
      <c r="N424" s="152"/>
      <c r="Q424" s="195"/>
      <c r="S424" s="200"/>
      <c r="T424" s="200"/>
      <c r="U424" s="152"/>
      <c r="V424" s="152"/>
      <c r="W424" s="157"/>
      <c r="X424" s="197"/>
      <c r="Y424" s="156"/>
    </row>
    <row r="425" ht="15.75" customHeight="1">
      <c r="B425" s="199"/>
      <c r="N425" s="152"/>
      <c r="Q425" s="195"/>
      <c r="S425" s="200"/>
      <c r="T425" s="200"/>
      <c r="U425" s="152"/>
      <c r="V425" s="152"/>
      <c r="W425" s="157"/>
      <c r="X425" s="197"/>
      <c r="Y425" s="156"/>
    </row>
    <row r="426" ht="15.75" customHeight="1">
      <c r="B426" s="199"/>
      <c r="N426" s="152"/>
      <c r="Q426" s="195"/>
      <c r="S426" s="200"/>
      <c r="T426" s="200"/>
      <c r="U426" s="152"/>
      <c r="V426" s="152"/>
      <c r="W426" s="157"/>
      <c r="X426" s="197"/>
      <c r="Y426" s="156"/>
    </row>
    <row r="427" ht="15.75" customHeight="1">
      <c r="B427" s="199"/>
      <c r="N427" s="152"/>
      <c r="Q427" s="195"/>
      <c r="S427" s="200"/>
      <c r="T427" s="200"/>
      <c r="U427" s="152"/>
      <c r="V427" s="152"/>
      <c r="W427" s="157"/>
      <c r="X427" s="197"/>
      <c r="Y427" s="156"/>
    </row>
    <row r="428" ht="15.75" customHeight="1">
      <c r="B428" s="199"/>
      <c r="N428" s="152"/>
      <c r="Q428" s="195"/>
      <c r="S428" s="200"/>
      <c r="T428" s="200"/>
      <c r="U428" s="152"/>
      <c r="V428" s="152"/>
      <c r="W428" s="157"/>
      <c r="X428" s="197"/>
      <c r="Y428" s="156"/>
    </row>
    <row r="429" ht="15.75" customHeight="1">
      <c r="B429" s="199"/>
      <c r="N429" s="152"/>
      <c r="Q429" s="195"/>
      <c r="S429" s="200"/>
      <c r="T429" s="200"/>
      <c r="U429" s="152"/>
      <c r="V429" s="152"/>
      <c r="W429" s="157"/>
      <c r="X429" s="197"/>
      <c r="Y429" s="156"/>
    </row>
    <row r="430" ht="15.75" customHeight="1">
      <c r="B430" s="199"/>
      <c r="N430" s="152"/>
      <c r="Q430" s="195"/>
      <c r="S430" s="200"/>
      <c r="T430" s="200"/>
      <c r="U430" s="152"/>
      <c r="V430" s="152"/>
      <c r="W430" s="157"/>
      <c r="X430" s="197"/>
      <c r="Y430" s="156"/>
    </row>
    <row r="431" ht="15.75" customHeight="1">
      <c r="B431" s="199"/>
      <c r="N431" s="152"/>
      <c r="Q431" s="195"/>
      <c r="S431" s="200"/>
      <c r="T431" s="200"/>
      <c r="U431" s="152"/>
      <c r="V431" s="152"/>
      <c r="W431" s="157"/>
      <c r="X431" s="197"/>
      <c r="Y431" s="156"/>
    </row>
    <row r="432" ht="15.75" customHeight="1">
      <c r="B432" s="199"/>
      <c r="N432" s="152"/>
      <c r="Q432" s="195"/>
      <c r="S432" s="200"/>
      <c r="T432" s="200"/>
      <c r="U432" s="152"/>
      <c r="V432" s="152"/>
      <c r="W432" s="157"/>
      <c r="X432" s="197"/>
      <c r="Y432" s="156"/>
    </row>
    <row r="433" ht="15.75" customHeight="1">
      <c r="B433" s="199"/>
      <c r="N433" s="152"/>
      <c r="Q433" s="195"/>
      <c r="S433" s="200"/>
      <c r="T433" s="200"/>
      <c r="U433" s="152"/>
      <c r="V433" s="152"/>
      <c r="W433" s="157"/>
      <c r="X433" s="197"/>
      <c r="Y433" s="156"/>
    </row>
    <row r="434" ht="15.75" customHeight="1">
      <c r="B434" s="199"/>
      <c r="N434" s="152"/>
      <c r="Q434" s="195"/>
      <c r="S434" s="200"/>
      <c r="T434" s="200"/>
      <c r="U434" s="152"/>
      <c r="V434" s="152"/>
      <c r="W434" s="157"/>
      <c r="X434" s="197"/>
      <c r="Y434" s="156"/>
    </row>
    <row r="435" ht="15.75" customHeight="1">
      <c r="B435" s="199"/>
      <c r="N435" s="152"/>
      <c r="Q435" s="195"/>
      <c r="S435" s="200"/>
      <c r="T435" s="200"/>
      <c r="U435" s="152"/>
      <c r="V435" s="152"/>
      <c r="W435" s="157"/>
      <c r="X435" s="197"/>
      <c r="Y435" s="156"/>
    </row>
    <row r="436" ht="15.75" customHeight="1">
      <c r="B436" s="199"/>
      <c r="N436" s="152"/>
      <c r="Q436" s="195"/>
      <c r="S436" s="200"/>
      <c r="T436" s="200"/>
      <c r="U436" s="152"/>
      <c r="V436" s="152"/>
      <c r="W436" s="157"/>
      <c r="X436" s="197"/>
      <c r="Y436" s="156"/>
    </row>
    <row r="437" ht="15.75" customHeight="1">
      <c r="B437" s="199"/>
      <c r="N437" s="152"/>
      <c r="Q437" s="195"/>
      <c r="S437" s="200"/>
      <c r="T437" s="200"/>
      <c r="U437" s="152"/>
      <c r="V437" s="152"/>
      <c r="W437" s="157"/>
      <c r="X437" s="197"/>
      <c r="Y437" s="156"/>
    </row>
    <row r="438" ht="15.75" customHeight="1">
      <c r="B438" s="199"/>
      <c r="N438" s="152"/>
      <c r="Q438" s="195"/>
      <c r="S438" s="200"/>
      <c r="T438" s="200"/>
      <c r="U438" s="152"/>
      <c r="V438" s="152"/>
      <c r="W438" s="157"/>
      <c r="X438" s="197"/>
      <c r="Y438" s="156"/>
    </row>
    <row r="439" ht="15.75" customHeight="1">
      <c r="B439" s="199"/>
      <c r="N439" s="152"/>
      <c r="Q439" s="195"/>
      <c r="S439" s="200"/>
      <c r="T439" s="200"/>
      <c r="U439" s="152"/>
      <c r="V439" s="152"/>
      <c r="W439" s="157"/>
      <c r="X439" s="197"/>
      <c r="Y439" s="156"/>
    </row>
    <row r="440" ht="15.75" customHeight="1">
      <c r="B440" s="199"/>
      <c r="N440" s="152"/>
      <c r="Q440" s="195"/>
      <c r="S440" s="200"/>
      <c r="T440" s="200"/>
      <c r="U440" s="152"/>
      <c r="V440" s="152"/>
      <c r="W440" s="157"/>
      <c r="X440" s="197"/>
      <c r="Y440" s="156"/>
    </row>
    <row r="441" ht="15.75" customHeight="1">
      <c r="B441" s="199"/>
      <c r="N441" s="152"/>
      <c r="Q441" s="195"/>
      <c r="S441" s="200"/>
      <c r="T441" s="200"/>
      <c r="U441" s="152"/>
      <c r="V441" s="152"/>
      <c r="W441" s="157"/>
      <c r="X441" s="197"/>
      <c r="Y441" s="156"/>
    </row>
    <row r="442" ht="15.75" customHeight="1">
      <c r="B442" s="199"/>
      <c r="N442" s="152"/>
      <c r="Q442" s="195"/>
      <c r="S442" s="200"/>
      <c r="T442" s="200"/>
      <c r="U442" s="152"/>
      <c r="V442" s="152"/>
      <c r="W442" s="157"/>
      <c r="X442" s="197"/>
      <c r="Y442" s="156"/>
    </row>
    <row r="443" ht="15.75" customHeight="1">
      <c r="B443" s="199"/>
      <c r="N443" s="152"/>
      <c r="Q443" s="195"/>
      <c r="S443" s="200"/>
      <c r="T443" s="200"/>
      <c r="U443" s="152"/>
      <c r="V443" s="152"/>
      <c r="W443" s="157"/>
      <c r="X443" s="197"/>
      <c r="Y443" s="156"/>
    </row>
    <row r="444" ht="15.75" customHeight="1">
      <c r="B444" s="199"/>
      <c r="N444" s="152"/>
      <c r="Q444" s="195"/>
      <c r="S444" s="200"/>
      <c r="T444" s="200"/>
      <c r="U444" s="152"/>
      <c r="V444" s="152"/>
      <c r="W444" s="157"/>
      <c r="X444" s="197"/>
      <c r="Y444" s="156"/>
    </row>
    <row r="445" ht="15.75" customHeight="1">
      <c r="B445" s="199"/>
      <c r="N445" s="152"/>
      <c r="Q445" s="195"/>
      <c r="S445" s="200"/>
      <c r="T445" s="200"/>
      <c r="U445" s="152"/>
      <c r="V445" s="152"/>
      <c r="W445" s="157"/>
      <c r="X445" s="197"/>
      <c r="Y445" s="156"/>
    </row>
    <row r="446" ht="15.75" customHeight="1">
      <c r="B446" s="199"/>
      <c r="N446" s="152"/>
      <c r="Q446" s="195"/>
      <c r="S446" s="200"/>
      <c r="T446" s="200"/>
      <c r="U446" s="152"/>
      <c r="V446" s="152"/>
      <c r="W446" s="157"/>
      <c r="X446" s="197"/>
      <c r="Y446" s="156"/>
    </row>
    <row r="447" ht="15.75" customHeight="1">
      <c r="B447" s="199"/>
      <c r="N447" s="152"/>
      <c r="Q447" s="195"/>
      <c r="S447" s="200"/>
      <c r="T447" s="200"/>
      <c r="U447" s="152"/>
      <c r="V447" s="152"/>
      <c r="W447" s="157"/>
      <c r="X447" s="197"/>
      <c r="Y447" s="156"/>
    </row>
    <row r="448" ht="15.75" customHeight="1">
      <c r="B448" s="199"/>
      <c r="N448" s="152"/>
      <c r="Q448" s="195"/>
      <c r="S448" s="200"/>
      <c r="T448" s="200"/>
      <c r="U448" s="152"/>
      <c r="V448" s="152"/>
      <c r="W448" s="157"/>
      <c r="X448" s="197"/>
      <c r="Y448" s="156"/>
    </row>
    <row r="449" ht="15.75" customHeight="1">
      <c r="B449" s="199"/>
      <c r="N449" s="152"/>
      <c r="Q449" s="195"/>
      <c r="S449" s="200"/>
      <c r="T449" s="200"/>
      <c r="U449" s="152"/>
      <c r="V449" s="152"/>
      <c r="W449" s="157"/>
      <c r="X449" s="197"/>
      <c r="Y449" s="156"/>
    </row>
    <row r="450" ht="15.75" customHeight="1">
      <c r="B450" s="199"/>
      <c r="N450" s="152"/>
      <c r="Q450" s="195"/>
      <c r="S450" s="200"/>
      <c r="T450" s="200"/>
      <c r="U450" s="152"/>
      <c r="V450" s="152"/>
      <c r="W450" s="157"/>
      <c r="X450" s="197"/>
      <c r="Y450" s="156"/>
    </row>
    <row r="451" ht="15.75" customHeight="1">
      <c r="B451" s="199"/>
      <c r="N451" s="152"/>
      <c r="Q451" s="195"/>
      <c r="S451" s="200"/>
      <c r="T451" s="200"/>
      <c r="U451" s="152"/>
      <c r="V451" s="152"/>
      <c r="W451" s="157"/>
      <c r="X451" s="197"/>
      <c r="Y451" s="156"/>
    </row>
    <row r="452" ht="15.75" customHeight="1">
      <c r="B452" s="199"/>
      <c r="N452" s="152"/>
      <c r="Q452" s="195"/>
      <c r="S452" s="200"/>
      <c r="T452" s="200"/>
      <c r="U452" s="152"/>
      <c r="V452" s="152"/>
      <c r="W452" s="157"/>
      <c r="X452" s="197"/>
      <c r="Y452" s="156"/>
    </row>
    <row r="453" ht="15.75" customHeight="1">
      <c r="B453" s="199"/>
      <c r="N453" s="152"/>
      <c r="Q453" s="195"/>
      <c r="S453" s="200"/>
      <c r="T453" s="200"/>
      <c r="U453" s="152"/>
      <c r="V453" s="152"/>
      <c r="W453" s="157"/>
      <c r="X453" s="197"/>
      <c r="Y453" s="156"/>
    </row>
    <row r="454" ht="15.75" customHeight="1">
      <c r="B454" s="199"/>
      <c r="N454" s="152"/>
      <c r="Q454" s="195"/>
      <c r="S454" s="200"/>
      <c r="T454" s="200"/>
      <c r="U454" s="152"/>
      <c r="V454" s="152"/>
      <c r="W454" s="157"/>
      <c r="X454" s="197"/>
      <c r="Y454" s="156"/>
    </row>
    <row r="455" ht="15.75" customHeight="1">
      <c r="B455" s="199"/>
      <c r="N455" s="152"/>
      <c r="Q455" s="195"/>
      <c r="S455" s="200"/>
      <c r="T455" s="200"/>
      <c r="U455" s="152"/>
      <c r="V455" s="152"/>
      <c r="W455" s="157"/>
      <c r="X455" s="197"/>
      <c r="Y455" s="156"/>
    </row>
    <row r="456" ht="15.75" customHeight="1">
      <c r="B456" s="199"/>
      <c r="N456" s="152"/>
      <c r="Q456" s="195"/>
      <c r="S456" s="200"/>
      <c r="T456" s="200"/>
      <c r="U456" s="152"/>
      <c r="V456" s="152"/>
      <c r="W456" s="157"/>
      <c r="X456" s="197"/>
      <c r="Y456" s="156"/>
    </row>
    <row r="457" ht="15.75" customHeight="1">
      <c r="B457" s="199"/>
      <c r="N457" s="152"/>
      <c r="Q457" s="195"/>
      <c r="S457" s="200"/>
      <c r="T457" s="200"/>
      <c r="U457" s="152"/>
      <c r="V457" s="152"/>
      <c r="W457" s="157"/>
      <c r="X457" s="197"/>
      <c r="Y457" s="156"/>
    </row>
    <row r="458" ht="15.75" customHeight="1">
      <c r="B458" s="199"/>
      <c r="N458" s="152"/>
      <c r="Q458" s="195"/>
      <c r="S458" s="200"/>
      <c r="T458" s="200"/>
      <c r="U458" s="152"/>
      <c r="V458" s="152"/>
      <c r="W458" s="157"/>
      <c r="X458" s="197"/>
      <c r="Y458" s="156"/>
    </row>
    <row r="459" ht="15.75" customHeight="1">
      <c r="B459" s="199"/>
      <c r="N459" s="152"/>
      <c r="Q459" s="195"/>
      <c r="S459" s="200"/>
      <c r="T459" s="200"/>
      <c r="U459" s="152"/>
      <c r="V459" s="152"/>
      <c r="W459" s="157"/>
      <c r="X459" s="197"/>
      <c r="Y459" s="156"/>
    </row>
    <row r="460" ht="15.75" customHeight="1">
      <c r="B460" s="199"/>
      <c r="N460" s="152"/>
      <c r="Q460" s="195"/>
      <c r="S460" s="200"/>
      <c r="T460" s="200"/>
      <c r="U460" s="152"/>
      <c r="V460" s="152"/>
      <c r="W460" s="157"/>
      <c r="X460" s="197"/>
      <c r="Y460" s="156"/>
    </row>
    <row r="461" ht="15.75" customHeight="1">
      <c r="B461" s="199"/>
      <c r="N461" s="152"/>
      <c r="Q461" s="195"/>
      <c r="S461" s="200"/>
      <c r="T461" s="200"/>
      <c r="U461" s="152"/>
      <c r="V461" s="152"/>
      <c r="W461" s="157"/>
      <c r="X461" s="197"/>
      <c r="Y461" s="156"/>
    </row>
    <row r="462" ht="15.75" customHeight="1">
      <c r="B462" s="199"/>
      <c r="N462" s="152"/>
      <c r="Q462" s="195"/>
      <c r="S462" s="200"/>
      <c r="T462" s="200"/>
      <c r="U462" s="152"/>
      <c r="V462" s="152"/>
      <c r="W462" s="157"/>
      <c r="X462" s="197"/>
      <c r="Y462" s="156"/>
    </row>
    <row r="463" ht="15.75" customHeight="1">
      <c r="B463" s="199"/>
      <c r="N463" s="152"/>
      <c r="Q463" s="195"/>
      <c r="S463" s="200"/>
      <c r="T463" s="200"/>
      <c r="U463" s="152"/>
      <c r="V463" s="152"/>
      <c r="W463" s="157"/>
      <c r="X463" s="197"/>
      <c r="Y463" s="156"/>
    </row>
    <row r="464" ht="15.75" customHeight="1">
      <c r="B464" s="199"/>
      <c r="N464" s="152"/>
      <c r="Q464" s="195"/>
      <c r="S464" s="200"/>
      <c r="T464" s="200"/>
      <c r="U464" s="152"/>
      <c r="V464" s="152"/>
      <c r="W464" s="157"/>
      <c r="X464" s="197"/>
      <c r="Y464" s="156"/>
    </row>
    <row r="465" ht="15.75" customHeight="1">
      <c r="B465" s="199"/>
      <c r="N465" s="152"/>
      <c r="Q465" s="195"/>
      <c r="S465" s="200"/>
      <c r="T465" s="200"/>
      <c r="U465" s="152"/>
      <c r="V465" s="152"/>
      <c r="W465" s="157"/>
      <c r="X465" s="197"/>
      <c r="Y465" s="156"/>
    </row>
    <row r="466" ht="15.75" customHeight="1">
      <c r="B466" s="199"/>
      <c r="N466" s="152"/>
      <c r="Q466" s="195"/>
      <c r="S466" s="200"/>
      <c r="T466" s="200"/>
      <c r="U466" s="152"/>
      <c r="V466" s="152"/>
      <c r="W466" s="157"/>
      <c r="X466" s="197"/>
      <c r="Y466" s="156"/>
    </row>
    <row r="467" ht="15.75" customHeight="1">
      <c r="B467" s="199"/>
      <c r="N467" s="152"/>
      <c r="Q467" s="195"/>
      <c r="S467" s="200"/>
      <c r="T467" s="200"/>
      <c r="U467" s="152"/>
      <c r="V467" s="152"/>
      <c r="W467" s="157"/>
      <c r="X467" s="197"/>
      <c r="Y467" s="156"/>
    </row>
    <row r="468" ht="15.75" customHeight="1">
      <c r="B468" s="199"/>
      <c r="N468" s="152"/>
      <c r="Q468" s="195"/>
      <c r="S468" s="200"/>
      <c r="T468" s="200"/>
      <c r="U468" s="152"/>
      <c r="V468" s="152"/>
      <c r="W468" s="157"/>
      <c r="X468" s="197"/>
      <c r="Y468" s="156"/>
    </row>
    <row r="469" ht="15.75" customHeight="1">
      <c r="B469" s="199"/>
      <c r="N469" s="152"/>
      <c r="Q469" s="195"/>
      <c r="S469" s="200"/>
      <c r="T469" s="200"/>
      <c r="U469" s="152"/>
      <c r="V469" s="152"/>
      <c r="W469" s="157"/>
      <c r="X469" s="197"/>
      <c r="Y469" s="156"/>
    </row>
    <row r="470" ht="15.75" customHeight="1">
      <c r="B470" s="199"/>
      <c r="N470" s="152"/>
      <c r="Q470" s="195"/>
      <c r="S470" s="200"/>
      <c r="T470" s="200"/>
      <c r="U470" s="152"/>
      <c r="V470" s="152"/>
      <c r="W470" s="157"/>
      <c r="X470" s="197"/>
      <c r="Y470" s="156"/>
    </row>
    <row r="471" ht="15.75" customHeight="1">
      <c r="B471" s="199"/>
      <c r="N471" s="152"/>
      <c r="Q471" s="195"/>
      <c r="S471" s="200"/>
      <c r="T471" s="200"/>
      <c r="U471" s="152"/>
      <c r="V471" s="152"/>
      <c r="W471" s="157"/>
      <c r="X471" s="197"/>
      <c r="Y471" s="156"/>
    </row>
    <row r="472" ht="15.75" customHeight="1">
      <c r="B472" s="199"/>
      <c r="N472" s="152"/>
      <c r="Q472" s="195"/>
      <c r="S472" s="200"/>
      <c r="T472" s="200"/>
      <c r="U472" s="152"/>
      <c r="V472" s="152"/>
      <c r="W472" s="157"/>
      <c r="X472" s="197"/>
      <c r="Y472" s="156"/>
    </row>
    <row r="473" ht="15.75" customHeight="1">
      <c r="B473" s="199"/>
      <c r="N473" s="152"/>
      <c r="Q473" s="195"/>
      <c r="S473" s="200"/>
      <c r="T473" s="200"/>
      <c r="U473" s="152"/>
      <c r="V473" s="152"/>
      <c r="W473" s="157"/>
      <c r="X473" s="197"/>
      <c r="Y473" s="156"/>
    </row>
    <row r="474" ht="15.75" customHeight="1">
      <c r="B474" s="199"/>
      <c r="N474" s="152"/>
      <c r="Q474" s="195"/>
      <c r="S474" s="200"/>
      <c r="T474" s="200"/>
      <c r="U474" s="152"/>
      <c r="V474" s="152"/>
      <c r="W474" s="157"/>
      <c r="X474" s="197"/>
      <c r="Y474" s="156"/>
    </row>
    <row r="475" ht="15.75" customHeight="1">
      <c r="B475" s="199"/>
      <c r="N475" s="152"/>
      <c r="Q475" s="195"/>
      <c r="S475" s="200"/>
      <c r="T475" s="200"/>
      <c r="U475" s="152"/>
      <c r="V475" s="152"/>
      <c r="W475" s="157"/>
      <c r="X475" s="197"/>
      <c r="Y475" s="156"/>
    </row>
    <row r="476" ht="15.75" customHeight="1">
      <c r="B476" s="199"/>
      <c r="N476" s="152"/>
      <c r="Q476" s="195"/>
      <c r="S476" s="200"/>
      <c r="T476" s="200"/>
      <c r="U476" s="152"/>
      <c r="V476" s="152"/>
      <c r="W476" s="157"/>
      <c r="X476" s="197"/>
      <c r="Y476" s="156"/>
    </row>
    <row r="477" ht="15.75" customHeight="1">
      <c r="B477" s="199"/>
      <c r="N477" s="152"/>
      <c r="Q477" s="195"/>
      <c r="S477" s="200"/>
      <c r="T477" s="200"/>
      <c r="U477" s="152"/>
      <c r="V477" s="152"/>
      <c r="W477" s="157"/>
      <c r="X477" s="197"/>
      <c r="Y477" s="156"/>
    </row>
    <row r="478" ht="15.75" customHeight="1">
      <c r="B478" s="199"/>
      <c r="N478" s="152"/>
      <c r="Q478" s="195"/>
      <c r="S478" s="200"/>
      <c r="T478" s="200"/>
      <c r="U478" s="152"/>
      <c r="V478" s="152"/>
      <c r="W478" s="157"/>
      <c r="X478" s="197"/>
      <c r="Y478" s="156"/>
    </row>
    <row r="479" ht="15.75" customHeight="1">
      <c r="B479" s="199"/>
      <c r="N479" s="152"/>
      <c r="Q479" s="195"/>
      <c r="S479" s="200"/>
      <c r="T479" s="200"/>
      <c r="U479" s="152"/>
      <c r="V479" s="152"/>
      <c r="W479" s="157"/>
      <c r="X479" s="197"/>
      <c r="Y479" s="156"/>
    </row>
    <row r="480" ht="15.75" customHeight="1">
      <c r="B480" s="199"/>
      <c r="N480" s="152"/>
      <c r="Q480" s="195"/>
      <c r="S480" s="200"/>
      <c r="T480" s="200"/>
      <c r="U480" s="152"/>
      <c r="V480" s="152"/>
      <c r="W480" s="157"/>
      <c r="X480" s="197"/>
      <c r="Y480" s="156"/>
    </row>
    <row r="481" ht="15.75" customHeight="1">
      <c r="B481" s="199"/>
      <c r="N481" s="152"/>
      <c r="Q481" s="195"/>
      <c r="S481" s="200"/>
      <c r="T481" s="200"/>
      <c r="U481" s="152"/>
      <c r="V481" s="152"/>
      <c r="W481" s="157"/>
      <c r="X481" s="197"/>
      <c r="Y481" s="156"/>
    </row>
    <row r="482" ht="15.75" customHeight="1">
      <c r="B482" s="199"/>
      <c r="N482" s="152"/>
      <c r="Q482" s="195"/>
      <c r="S482" s="200"/>
      <c r="T482" s="200"/>
      <c r="U482" s="152"/>
      <c r="V482" s="152"/>
      <c r="W482" s="157"/>
      <c r="X482" s="197"/>
      <c r="Y482" s="156"/>
    </row>
    <row r="483" ht="15.75" customHeight="1">
      <c r="B483" s="199"/>
      <c r="N483" s="152"/>
      <c r="Q483" s="195"/>
      <c r="S483" s="200"/>
      <c r="T483" s="200"/>
      <c r="U483" s="152"/>
      <c r="V483" s="152"/>
      <c r="W483" s="157"/>
      <c r="X483" s="197"/>
      <c r="Y483" s="156"/>
    </row>
    <row r="484" ht="15.75" customHeight="1">
      <c r="B484" s="199"/>
      <c r="N484" s="152"/>
      <c r="Q484" s="195"/>
      <c r="S484" s="200"/>
      <c r="T484" s="200"/>
      <c r="U484" s="152"/>
      <c r="V484" s="152"/>
      <c r="W484" s="157"/>
      <c r="X484" s="197"/>
      <c r="Y484" s="156"/>
    </row>
    <row r="485" ht="15.75" customHeight="1">
      <c r="B485" s="199"/>
      <c r="N485" s="152"/>
      <c r="Q485" s="195"/>
      <c r="S485" s="200"/>
      <c r="T485" s="200"/>
      <c r="U485" s="152"/>
      <c r="V485" s="152"/>
      <c r="W485" s="157"/>
      <c r="X485" s="197"/>
      <c r="Y485" s="156"/>
    </row>
    <row r="486" ht="15.75" customHeight="1">
      <c r="B486" s="199"/>
      <c r="N486" s="152"/>
      <c r="Q486" s="195"/>
      <c r="S486" s="200"/>
      <c r="T486" s="200"/>
      <c r="U486" s="152"/>
      <c r="V486" s="152"/>
      <c r="W486" s="157"/>
      <c r="X486" s="197"/>
      <c r="Y486" s="156"/>
    </row>
    <row r="487" ht="15.75" customHeight="1">
      <c r="B487" s="199"/>
      <c r="N487" s="152"/>
      <c r="Q487" s="195"/>
      <c r="S487" s="200"/>
      <c r="T487" s="200"/>
      <c r="U487" s="152"/>
      <c r="V487" s="152"/>
      <c r="W487" s="157"/>
      <c r="X487" s="197"/>
      <c r="Y487" s="156"/>
    </row>
    <row r="488" ht="15.75" customHeight="1">
      <c r="B488" s="199"/>
      <c r="N488" s="152"/>
      <c r="Q488" s="195"/>
      <c r="S488" s="200"/>
      <c r="T488" s="200"/>
      <c r="U488" s="152"/>
      <c r="V488" s="152"/>
      <c r="W488" s="157"/>
      <c r="X488" s="197"/>
      <c r="Y488" s="156"/>
    </row>
    <row r="489" ht="15.75" customHeight="1">
      <c r="B489" s="199"/>
      <c r="N489" s="152"/>
      <c r="Q489" s="195"/>
      <c r="S489" s="200"/>
      <c r="T489" s="200"/>
      <c r="U489" s="152"/>
      <c r="V489" s="152"/>
      <c r="W489" s="157"/>
      <c r="X489" s="197"/>
      <c r="Y489" s="156"/>
    </row>
    <row r="490" ht="15.75" customHeight="1">
      <c r="B490" s="199"/>
      <c r="N490" s="152"/>
      <c r="Q490" s="195"/>
      <c r="S490" s="200"/>
      <c r="T490" s="200"/>
      <c r="U490" s="152"/>
      <c r="V490" s="152"/>
      <c r="W490" s="157"/>
      <c r="X490" s="197"/>
      <c r="Y490" s="156"/>
    </row>
    <row r="491" ht="15.75" customHeight="1">
      <c r="B491" s="199"/>
      <c r="N491" s="152"/>
      <c r="Q491" s="195"/>
      <c r="S491" s="200"/>
      <c r="T491" s="200"/>
      <c r="U491" s="152"/>
      <c r="V491" s="152"/>
      <c r="W491" s="157"/>
      <c r="X491" s="197"/>
      <c r="Y491" s="156"/>
    </row>
    <row r="492" ht="15.75" customHeight="1">
      <c r="B492" s="199"/>
      <c r="N492" s="152"/>
      <c r="Q492" s="195"/>
      <c r="S492" s="200"/>
      <c r="T492" s="200"/>
      <c r="U492" s="152"/>
      <c r="V492" s="152"/>
      <c r="W492" s="157"/>
      <c r="X492" s="197"/>
      <c r="Y492" s="156"/>
    </row>
    <row r="493" ht="15.75" customHeight="1">
      <c r="B493" s="199"/>
      <c r="N493" s="152"/>
      <c r="Q493" s="195"/>
      <c r="S493" s="200"/>
      <c r="T493" s="200"/>
      <c r="U493" s="152"/>
      <c r="V493" s="152"/>
      <c r="W493" s="157"/>
      <c r="X493" s="197"/>
      <c r="Y493" s="156"/>
    </row>
    <row r="494" ht="15.75" customHeight="1">
      <c r="B494" s="199"/>
      <c r="N494" s="152"/>
      <c r="Q494" s="195"/>
      <c r="S494" s="200"/>
      <c r="T494" s="200"/>
      <c r="U494" s="152"/>
      <c r="V494" s="152"/>
      <c r="W494" s="157"/>
      <c r="X494" s="197"/>
      <c r="Y494" s="156"/>
    </row>
    <row r="495" ht="15.75" customHeight="1">
      <c r="B495" s="199"/>
      <c r="N495" s="152"/>
      <c r="Q495" s="195"/>
      <c r="S495" s="200"/>
      <c r="T495" s="200"/>
      <c r="U495" s="152"/>
      <c r="V495" s="152"/>
      <c r="W495" s="157"/>
      <c r="X495" s="197"/>
      <c r="Y495" s="156"/>
    </row>
    <row r="496" ht="15.75" customHeight="1">
      <c r="B496" s="199"/>
      <c r="N496" s="152"/>
      <c r="Q496" s="195"/>
      <c r="S496" s="200"/>
      <c r="T496" s="200"/>
      <c r="U496" s="152"/>
      <c r="V496" s="152"/>
      <c r="W496" s="157"/>
      <c r="X496" s="197"/>
      <c r="Y496" s="156"/>
    </row>
    <row r="497" ht="15.75" customHeight="1">
      <c r="B497" s="199"/>
      <c r="N497" s="152"/>
      <c r="Q497" s="195"/>
      <c r="S497" s="200"/>
      <c r="T497" s="200"/>
      <c r="U497" s="152"/>
      <c r="V497" s="152"/>
      <c r="W497" s="157"/>
      <c r="X497" s="197"/>
      <c r="Y497" s="156"/>
    </row>
    <row r="498" ht="15.75" customHeight="1">
      <c r="B498" s="199"/>
      <c r="N498" s="152"/>
      <c r="Q498" s="195"/>
      <c r="S498" s="200"/>
      <c r="T498" s="200"/>
      <c r="U498" s="152"/>
      <c r="V498" s="152"/>
      <c r="W498" s="157"/>
      <c r="X498" s="197"/>
      <c r="Y498" s="156"/>
    </row>
    <row r="499" ht="15.75" customHeight="1">
      <c r="B499" s="199"/>
      <c r="N499" s="152"/>
      <c r="Q499" s="195"/>
      <c r="S499" s="200"/>
      <c r="T499" s="200"/>
      <c r="U499" s="152"/>
      <c r="V499" s="152"/>
      <c r="W499" s="157"/>
      <c r="X499" s="197"/>
      <c r="Y499" s="156"/>
    </row>
    <row r="500" ht="15.75" customHeight="1">
      <c r="B500" s="199"/>
      <c r="N500" s="152"/>
      <c r="Q500" s="195"/>
      <c r="S500" s="200"/>
      <c r="T500" s="200"/>
      <c r="U500" s="152"/>
      <c r="V500" s="152"/>
      <c r="W500" s="157"/>
      <c r="X500" s="197"/>
      <c r="Y500" s="156"/>
    </row>
    <row r="501" ht="15.75" customHeight="1">
      <c r="B501" s="199"/>
      <c r="N501" s="152"/>
      <c r="Q501" s="195"/>
      <c r="S501" s="200"/>
      <c r="T501" s="200"/>
      <c r="U501" s="152"/>
      <c r="V501" s="152"/>
      <c r="W501" s="157"/>
      <c r="X501" s="197"/>
      <c r="Y501" s="156"/>
    </row>
    <row r="502" ht="15.75" customHeight="1">
      <c r="B502" s="199"/>
      <c r="N502" s="152"/>
      <c r="Q502" s="195"/>
      <c r="S502" s="200"/>
      <c r="T502" s="200"/>
      <c r="U502" s="152"/>
      <c r="V502" s="152"/>
      <c r="W502" s="157"/>
      <c r="X502" s="197"/>
      <c r="Y502" s="156"/>
    </row>
    <row r="503" ht="15.75" customHeight="1">
      <c r="B503" s="199"/>
      <c r="N503" s="152"/>
      <c r="Q503" s="195"/>
      <c r="S503" s="200"/>
      <c r="T503" s="200"/>
      <c r="U503" s="152"/>
      <c r="V503" s="152"/>
      <c r="W503" s="157"/>
      <c r="X503" s="197"/>
      <c r="Y503" s="156"/>
    </row>
    <row r="504" ht="15.75" customHeight="1">
      <c r="B504" s="199"/>
      <c r="N504" s="152"/>
      <c r="Q504" s="195"/>
      <c r="S504" s="200"/>
      <c r="T504" s="200"/>
      <c r="U504" s="152"/>
      <c r="V504" s="152"/>
      <c r="W504" s="157"/>
      <c r="X504" s="197"/>
      <c r="Y504" s="156"/>
    </row>
    <row r="505" ht="15.75" customHeight="1">
      <c r="B505" s="199"/>
      <c r="N505" s="152"/>
      <c r="Q505" s="195"/>
      <c r="S505" s="200"/>
      <c r="T505" s="200"/>
      <c r="U505" s="152"/>
      <c r="V505" s="152"/>
      <c r="W505" s="157"/>
      <c r="X505" s="197"/>
      <c r="Y505" s="156"/>
    </row>
    <row r="506" ht="15.75" customHeight="1">
      <c r="B506" s="199"/>
      <c r="N506" s="152"/>
      <c r="Q506" s="195"/>
      <c r="S506" s="200"/>
      <c r="T506" s="200"/>
      <c r="U506" s="152"/>
      <c r="V506" s="152"/>
      <c r="W506" s="157"/>
      <c r="X506" s="197"/>
      <c r="Y506" s="156"/>
    </row>
    <row r="507" ht="15.75" customHeight="1">
      <c r="B507" s="199"/>
      <c r="N507" s="152"/>
      <c r="Q507" s="195"/>
      <c r="S507" s="200"/>
      <c r="T507" s="200"/>
      <c r="U507" s="152"/>
      <c r="V507" s="152"/>
      <c r="W507" s="157"/>
      <c r="X507" s="197"/>
      <c r="Y507" s="156"/>
    </row>
    <row r="508" ht="15.75" customHeight="1">
      <c r="B508" s="199"/>
      <c r="N508" s="152"/>
      <c r="Q508" s="195"/>
      <c r="S508" s="200"/>
      <c r="T508" s="200"/>
      <c r="U508" s="152"/>
      <c r="V508" s="152"/>
      <c r="W508" s="157"/>
      <c r="X508" s="197"/>
      <c r="Y508" s="156"/>
    </row>
    <row r="509" ht="15.75" customHeight="1">
      <c r="B509" s="199"/>
      <c r="N509" s="152"/>
      <c r="Q509" s="195"/>
      <c r="S509" s="200"/>
      <c r="T509" s="200"/>
      <c r="U509" s="152"/>
      <c r="V509" s="152"/>
      <c r="W509" s="157"/>
      <c r="X509" s="197"/>
      <c r="Y509" s="156"/>
    </row>
    <row r="510" ht="15.75" customHeight="1">
      <c r="B510" s="199"/>
      <c r="N510" s="152"/>
      <c r="Q510" s="195"/>
      <c r="S510" s="200"/>
      <c r="T510" s="200"/>
      <c r="U510" s="152"/>
      <c r="V510" s="152"/>
      <c r="W510" s="157"/>
      <c r="X510" s="197"/>
      <c r="Y510" s="156"/>
    </row>
    <row r="511" ht="15.75" customHeight="1">
      <c r="B511" s="199"/>
      <c r="N511" s="152"/>
      <c r="Q511" s="195"/>
      <c r="S511" s="200"/>
      <c r="T511" s="200"/>
      <c r="U511" s="152"/>
      <c r="V511" s="152"/>
      <c r="W511" s="157"/>
      <c r="X511" s="197"/>
      <c r="Y511" s="156"/>
    </row>
    <row r="512" ht="15.75" customHeight="1">
      <c r="B512" s="199"/>
      <c r="N512" s="152"/>
      <c r="Q512" s="195"/>
      <c r="S512" s="200"/>
      <c r="T512" s="200"/>
      <c r="U512" s="152"/>
      <c r="V512" s="152"/>
      <c r="W512" s="157"/>
      <c r="X512" s="197"/>
      <c r="Y512" s="156"/>
    </row>
    <row r="513" ht="15.75" customHeight="1">
      <c r="B513" s="199"/>
      <c r="N513" s="152"/>
      <c r="Q513" s="195"/>
      <c r="S513" s="200"/>
      <c r="T513" s="200"/>
      <c r="U513" s="152"/>
      <c r="V513" s="152"/>
      <c r="W513" s="157"/>
      <c r="X513" s="197"/>
      <c r="Y513" s="156"/>
    </row>
    <row r="514" ht="15.75" customHeight="1">
      <c r="B514" s="199"/>
      <c r="N514" s="152"/>
      <c r="Q514" s="195"/>
      <c r="S514" s="200"/>
      <c r="T514" s="200"/>
      <c r="U514" s="152"/>
      <c r="V514" s="152"/>
      <c r="W514" s="157"/>
      <c r="X514" s="197"/>
      <c r="Y514" s="156"/>
    </row>
    <row r="515" ht="15.75" customHeight="1">
      <c r="B515" s="199"/>
      <c r="N515" s="152"/>
      <c r="Q515" s="195"/>
      <c r="S515" s="200"/>
      <c r="T515" s="200"/>
      <c r="U515" s="152"/>
      <c r="V515" s="152"/>
      <c r="W515" s="157"/>
      <c r="X515" s="197"/>
      <c r="Y515" s="156"/>
    </row>
    <row r="516" ht="15.75" customHeight="1">
      <c r="B516" s="199"/>
      <c r="N516" s="152"/>
      <c r="Q516" s="195"/>
      <c r="S516" s="200"/>
      <c r="T516" s="200"/>
      <c r="U516" s="152"/>
      <c r="V516" s="152"/>
      <c r="W516" s="157"/>
      <c r="X516" s="197"/>
      <c r="Y516" s="156"/>
    </row>
    <row r="517" ht="15.75" customHeight="1">
      <c r="B517" s="199"/>
      <c r="N517" s="152"/>
      <c r="Q517" s="195"/>
      <c r="S517" s="200"/>
      <c r="T517" s="200"/>
      <c r="U517" s="152"/>
      <c r="V517" s="152"/>
      <c r="W517" s="157"/>
      <c r="X517" s="197"/>
      <c r="Y517" s="156"/>
    </row>
    <row r="518" ht="15.75" customHeight="1">
      <c r="B518" s="199"/>
      <c r="N518" s="152"/>
      <c r="Q518" s="195"/>
      <c r="S518" s="200"/>
      <c r="T518" s="200"/>
      <c r="U518" s="152"/>
      <c r="V518" s="152"/>
      <c r="W518" s="157"/>
      <c r="X518" s="197"/>
      <c r="Y518" s="156"/>
    </row>
    <row r="519" ht="15.75" customHeight="1">
      <c r="B519" s="199"/>
      <c r="N519" s="152"/>
      <c r="Q519" s="195"/>
      <c r="S519" s="200"/>
      <c r="T519" s="200"/>
      <c r="U519" s="152"/>
      <c r="V519" s="152"/>
      <c r="W519" s="157"/>
      <c r="X519" s="197"/>
      <c r="Y519" s="156"/>
    </row>
    <row r="520" ht="15.75" customHeight="1">
      <c r="B520" s="199"/>
      <c r="N520" s="152"/>
      <c r="Q520" s="195"/>
      <c r="S520" s="200"/>
      <c r="T520" s="200"/>
      <c r="U520" s="152"/>
      <c r="V520" s="152"/>
      <c r="W520" s="157"/>
      <c r="X520" s="197"/>
      <c r="Y520" s="156"/>
    </row>
    <row r="521" ht="15.75" customHeight="1">
      <c r="B521" s="199"/>
      <c r="N521" s="152"/>
      <c r="Q521" s="195"/>
      <c r="S521" s="200"/>
      <c r="T521" s="200"/>
      <c r="U521" s="152"/>
      <c r="V521" s="152"/>
      <c r="W521" s="157"/>
      <c r="X521" s="197"/>
      <c r="Y521" s="156"/>
    </row>
    <row r="522" ht="15.75" customHeight="1">
      <c r="B522" s="199"/>
      <c r="N522" s="152"/>
      <c r="Q522" s="195"/>
      <c r="S522" s="200"/>
      <c r="T522" s="200"/>
      <c r="U522" s="152"/>
      <c r="V522" s="152"/>
      <c r="W522" s="157"/>
      <c r="X522" s="197"/>
      <c r="Y522" s="156"/>
    </row>
    <row r="523" ht="15.75" customHeight="1">
      <c r="B523" s="199"/>
      <c r="N523" s="152"/>
      <c r="Q523" s="195"/>
      <c r="S523" s="200"/>
      <c r="T523" s="200"/>
      <c r="U523" s="152"/>
      <c r="V523" s="152"/>
      <c r="W523" s="157"/>
      <c r="X523" s="197"/>
      <c r="Y523" s="156"/>
    </row>
    <row r="524" ht="15.75" customHeight="1">
      <c r="B524" s="199"/>
      <c r="N524" s="152"/>
      <c r="Q524" s="195"/>
      <c r="S524" s="200"/>
      <c r="T524" s="200"/>
      <c r="U524" s="152"/>
      <c r="V524" s="152"/>
      <c r="W524" s="157"/>
      <c r="X524" s="197"/>
      <c r="Y524" s="156"/>
    </row>
    <row r="525" ht="15.75" customHeight="1">
      <c r="B525" s="199"/>
      <c r="N525" s="152"/>
      <c r="Q525" s="195"/>
      <c r="S525" s="200"/>
      <c r="T525" s="200"/>
      <c r="U525" s="152"/>
      <c r="V525" s="152"/>
      <c r="W525" s="157"/>
      <c r="X525" s="197"/>
      <c r="Y525" s="156"/>
    </row>
    <row r="526" ht="15.75" customHeight="1">
      <c r="B526" s="199"/>
      <c r="N526" s="152"/>
      <c r="Q526" s="195"/>
      <c r="S526" s="200"/>
      <c r="T526" s="200"/>
      <c r="U526" s="152"/>
      <c r="V526" s="152"/>
      <c r="W526" s="157"/>
      <c r="X526" s="197"/>
      <c r="Y526" s="156"/>
    </row>
    <row r="527" ht="15.75" customHeight="1">
      <c r="B527" s="199"/>
      <c r="N527" s="152"/>
      <c r="Q527" s="195"/>
      <c r="S527" s="200"/>
      <c r="T527" s="200"/>
      <c r="U527" s="152"/>
      <c r="V527" s="152"/>
      <c r="W527" s="157"/>
      <c r="X527" s="197"/>
      <c r="Y527" s="156"/>
    </row>
    <row r="528" ht="15.75" customHeight="1">
      <c r="B528" s="199"/>
      <c r="N528" s="152"/>
      <c r="Q528" s="195"/>
      <c r="S528" s="200"/>
      <c r="T528" s="200"/>
      <c r="U528" s="152"/>
      <c r="V528" s="152"/>
      <c r="W528" s="157"/>
      <c r="X528" s="197"/>
      <c r="Y528" s="156"/>
    </row>
    <row r="529" ht="15.75" customHeight="1">
      <c r="B529" s="199"/>
      <c r="N529" s="152"/>
      <c r="Q529" s="195"/>
      <c r="S529" s="200"/>
      <c r="T529" s="200"/>
      <c r="U529" s="152"/>
      <c r="V529" s="152"/>
      <c r="W529" s="157"/>
      <c r="X529" s="197"/>
      <c r="Y529" s="156"/>
    </row>
    <row r="530" ht="15.75" customHeight="1">
      <c r="B530" s="199"/>
      <c r="N530" s="152"/>
      <c r="Q530" s="195"/>
      <c r="S530" s="200"/>
      <c r="T530" s="200"/>
      <c r="U530" s="152"/>
      <c r="V530" s="152"/>
      <c r="W530" s="157"/>
      <c r="X530" s="197"/>
      <c r="Y530" s="156"/>
    </row>
    <row r="531" ht="15.75" customHeight="1">
      <c r="B531" s="199"/>
      <c r="N531" s="152"/>
      <c r="Q531" s="195"/>
      <c r="S531" s="200"/>
      <c r="T531" s="200"/>
      <c r="U531" s="152"/>
      <c r="V531" s="152"/>
      <c r="W531" s="157"/>
      <c r="X531" s="197"/>
      <c r="Y531" s="156"/>
    </row>
    <row r="532" ht="15.75" customHeight="1">
      <c r="B532" s="199"/>
      <c r="N532" s="152"/>
      <c r="Q532" s="195"/>
      <c r="S532" s="200"/>
      <c r="T532" s="200"/>
      <c r="U532" s="152"/>
      <c r="V532" s="152"/>
      <c r="W532" s="157"/>
      <c r="X532" s="197"/>
      <c r="Y532" s="156"/>
    </row>
    <row r="533" ht="15.75" customHeight="1">
      <c r="B533" s="199"/>
      <c r="N533" s="152"/>
      <c r="Q533" s="195"/>
      <c r="S533" s="200"/>
      <c r="T533" s="200"/>
      <c r="U533" s="152"/>
      <c r="V533" s="152"/>
      <c r="W533" s="157"/>
      <c r="X533" s="197"/>
      <c r="Y533" s="156"/>
    </row>
    <row r="534" ht="15.75" customHeight="1">
      <c r="B534" s="199"/>
      <c r="N534" s="152"/>
      <c r="Q534" s="195"/>
      <c r="S534" s="200"/>
      <c r="T534" s="200"/>
      <c r="U534" s="152"/>
      <c r="V534" s="152"/>
      <c r="W534" s="157"/>
      <c r="X534" s="197"/>
      <c r="Y534" s="156"/>
    </row>
    <row r="535" ht="15.75" customHeight="1">
      <c r="B535" s="199"/>
      <c r="N535" s="152"/>
      <c r="Q535" s="195"/>
      <c r="S535" s="200"/>
      <c r="T535" s="200"/>
      <c r="U535" s="152"/>
      <c r="V535" s="152"/>
      <c r="W535" s="157"/>
      <c r="X535" s="197"/>
      <c r="Y535" s="156"/>
    </row>
    <row r="536" ht="15.75" customHeight="1">
      <c r="B536" s="199"/>
      <c r="N536" s="152"/>
      <c r="Q536" s="195"/>
      <c r="S536" s="200"/>
      <c r="T536" s="200"/>
      <c r="U536" s="152"/>
      <c r="V536" s="152"/>
      <c r="W536" s="157"/>
      <c r="X536" s="197"/>
      <c r="Y536" s="156"/>
    </row>
    <row r="537" ht="15.75" customHeight="1">
      <c r="B537" s="199"/>
      <c r="N537" s="152"/>
      <c r="Q537" s="195"/>
      <c r="S537" s="200"/>
      <c r="T537" s="200"/>
      <c r="U537" s="152"/>
      <c r="V537" s="152"/>
      <c r="W537" s="157"/>
      <c r="X537" s="197"/>
      <c r="Y537" s="156"/>
    </row>
    <row r="538" ht="15.75" customHeight="1">
      <c r="B538" s="199"/>
      <c r="N538" s="152"/>
      <c r="Q538" s="195"/>
      <c r="S538" s="200"/>
      <c r="T538" s="200"/>
      <c r="U538" s="152"/>
      <c r="V538" s="152"/>
      <c r="W538" s="157"/>
      <c r="X538" s="197"/>
      <c r="Y538" s="156"/>
    </row>
    <row r="539" ht="15.75" customHeight="1">
      <c r="B539" s="199"/>
      <c r="N539" s="152"/>
      <c r="Q539" s="195"/>
      <c r="S539" s="200"/>
      <c r="T539" s="200"/>
      <c r="U539" s="152"/>
      <c r="V539" s="152"/>
      <c r="W539" s="157"/>
      <c r="X539" s="197"/>
      <c r="Y539" s="156"/>
    </row>
    <row r="540" ht="15.75" customHeight="1">
      <c r="B540" s="199"/>
      <c r="N540" s="152"/>
      <c r="Q540" s="195"/>
      <c r="S540" s="200"/>
      <c r="T540" s="200"/>
      <c r="U540" s="152"/>
      <c r="V540" s="152"/>
      <c r="W540" s="157"/>
      <c r="X540" s="197"/>
      <c r="Y540" s="156"/>
    </row>
    <row r="541" ht="15.75" customHeight="1">
      <c r="B541" s="199"/>
      <c r="N541" s="152"/>
      <c r="Q541" s="195"/>
      <c r="S541" s="200"/>
      <c r="T541" s="200"/>
      <c r="U541" s="152"/>
      <c r="V541" s="152"/>
      <c r="W541" s="157"/>
      <c r="X541" s="197"/>
      <c r="Y541" s="156"/>
    </row>
    <row r="542" ht="15.75" customHeight="1">
      <c r="B542" s="199"/>
      <c r="N542" s="152"/>
      <c r="Q542" s="195"/>
      <c r="S542" s="200"/>
      <c r="T542" s="200"/>
      <c r="U542" s="152"/>
      <c r="V542" s="152"/>
      <c r="W542" s="157"/>
      <c r="X542" s="197"/>
      <c r="Y542" s="156"/>
    </row>
    <row r="543" ht="15.75" customHeight="1">
      <c r="B543" s="199"/>
      <c r="N543" s="152"/>
      <c r="Q543" s="195"/>
      <c r="S543" s="200"/>
      <c r="T543" s="200"/>
      <c r="U543" s="152"/>
      <c r="V543" s="152"/>
      <c r="W543" s="157"/>
      <c r="X543" s="197"/>
      <c r="Y543" s="156"/>
    </row>
    <row r="544" ht="15.75" customHeight="1">
      <c r="B544" s="199"/>
      <c r="N544" s="152"/>
      <c r="Q544" s="195"/>
      <c r="S544" s="200"/>
      <c r="T544" s="200"/>
      <c r="U544" s="152"/>
      <c r="V544" s="152"/>
      <c r="W544" s="157"/>
      <c r="X544" s="197"/>
      <c r="Y544" s="156"/>
    </row>
    <row r="545" ht="15.75" customHeight="1">
      <c r="B545" s="199"/>
      <c r="N545" s="152"/>
      <c r="Q545" s="195"/>
      <c r="S545" s="200"/>
      <c r="T545" s="200"/>
      <c r="U545" s="152"/>
      <c r="V545" s="152"/>
      <c r="W545" s="157"/>
      <c r="X545" s="197"/>
      <c r="Y545" s="156"/>
    </row>
    <row r="546" ht="15.75" customHeight="1">
      <c r="B546" s="199"/>
      <c r="N546" s="152"/>
      <c r="Q546" s="195"/>
      <c r="S546" s="200"/>
      <c r="T546" s="200"/>
      <c r="U546" s="152"/>
      <c r="V546" s="152"/>
      <c r="W546" s="157"/>
      <c r="X546" s="197"/>
      <c r="Y546" s="156"/>
    </row>
    <row r="547" ht="15.75" customHeight="1">
      <c r="B547" s="199"/>
      <c r="N547" s="152"/>
      <c r="Q547" s="195"/>
      <c r="S547" s="200"/>
      <c r="T547" s="200"/>
      <c r="U547" s="152"/>
      <c r="V547" s="152"/>
      <c r="W547" s="157"/>
      <c r="X547" s="197"/>
      <c r="Y547" s="156"/>
    </row>
    <row r="548" ht="15.75" customHeight="1">
      <c r="B548" s="199"/>
      <c r="N548" s="152"/>
      <c r="Q548" s="195"/>
      <c r="S548" s="200"/>
      <c r="T548" s="200"/>
      <c r="U548" s="152"/>
      <c r="V548" s="152"/>
      <c r="W548" s="157"/>
      <c r="X548" s="197"/>
      <c r="Y548" s="156"/>
    </row>
    <row r="549" ht="15.75" customHeight="1">
      <c r="B549" s="199"/>
      <c r="N549" s="152"/>
      <c r="Q549" s="195"/>
      <c r="S549" s="200"/>
      <c r="T549" s="200"/>
      <c r="U549" s="152"/>
      <c r="V549" s="152"/>
      <c r="W549" s="157"/>
      <c r="X549" s="197"/>
      <c r="Y549" s="156"/>
    </row>
    <row r="550" ht="15.75" customHeight="1">
      <c r="B550" s="199"/>
      <c r="N550" s="152"/>
      <c r="Q550" s="195"/>
      <c r="S550" s="200"/>
      <c r="T550" s="200"/>
      <c r="U550" s="152"/>
      <c r="V550" s="152"/>
      <c r="W550" s="157"/>
      <c r="X550" s="197"/>
      <c r="Y550" s="156"/>
    </row>
    <row r="551" ht="15.75" customHeight="1">
      <c r="B551" s="199"/>
      <c r="N551" s="152"/>
      <c r="Q551" s="195"/>
      <c r="S551" s="200"/>
      <c r="T551" s="200"/>
      <c r="U551" s="152"/>
      <c r="V551" s="152"/>
      <c r="W551" s="157"/>
      <c r="X551" s="197"/>
      <c r="Y551" s="156"/>
    </row>
    <row r="552" ht="15.75" customHeight="1">
      <c r="B552" s="199"/>
      <c r="N552" s="152"/>
      <c r="Q552" s="195"/>
      <c r="S552" s="200"/>
      <c r="T552" s="200"/>
      <c r="U552" s="152"/>
      <c r="V552" s="152"/>
      <c r="W552" s="157"/>
      <c r="X552" s="197"/>
      <c r="Y552" s="156"/>
    </row>
    <row r="553" ht="15.75" customHeight="1">
      <c r="B553" s="199"/>
      <c r="N553" s="152"/>
      <c r="Q553" s="195"/>
      <c r="S553" s="200"/>
      <c r="T553" s="200"/>
      <c r="U553" s="152"/>
      <c r="V553" s="152"/>
      <c r="W553" s="157"/>
      <c r="X553" s="197"/>
      <c r="Y553" s="156"/>
    </row>
    <row r="554" ht="15.75" customHeight="1">
      <c r="B554" s="199"/>
      <c r="N554" s="152"/>
      <c r="Q554" s="195"/>
      <c r="S554" s="200"/>
      <c r="T554" s="200"/>
      <c r="U554" s="152"/>
      <c r="V554" s="152"/>
      <c r="W554" s="157"/>
      <c r="X554" s="197"/>
      <c r="Y554" s="156"/>
    </row>
    <row r="555" ht="15.75" customHeight="1">
      <c r="B555" s="199"/>
      <c r="N555" s="152"/>
      <c r="Q555" s="195"/>
      <c r="S555" s="200"/>
      <c r="T555" s="200"/>
      <c r="U555" s="152"/>
      <c r="V555" s="152"/>
      <c r="W555" s="157"/>
      <c r="X555" s="197"/>
      <c r="Y555" s="156"/>
    </row>
    <row r="556" ht="15.75" customHeight="1">
      <c r="B556" s="199"/>
      <c r="N556" s="152"/>
      <c r="Q556" s="195"/>
      <c r="S556" s="200"/>
      <c r="T556" s="200"/>
      <c r="U556" s="152"/>
      <c r="V556" s="152"/>
      <c r="W556" s="157"/>
      <c r="X556" s="197"/>
      <c r="Y556" s="156"/>
    </row>
    <row r="557" ht="15.75" customHeight="1">
      <c r="B557" s="199"/>
      <c r="N557" s="152"/>
      <c r="Q557" s="195"/>
      <c r="S557" s="200"/>
      <c r="T557" s="200"/>
      <c r="U557" s="152"/>
      <c r="V557" s="152"/>
      <c r="W557" s="157"/>
      <c r="X557" s="197"/>
      <c r="Y557" s="156"/>
    </row>
    <row r="558" ht="15.75" customHeight="1">
      <c r="B558" s="199"/>
      <c r="N558" s="152"/>
      <c r="Q558" s="195"/>
      <c r="S558" s="200"/>
      <c r="T558" s="200"/>
      <c r="U558" s="152"/>
      <c r="V558" s="152"/>
      <c r="W558" s="157"/>
      <c r="X558" s="197"/>
      <c r="Y558" s="156"/>
    </row>
    <row r="559" ht="15.75" customHeight="1">
      <c r="B559" s="199"/>
      <c r="N559" s="152"/>
      <c r="Q559" s="195"/>
      <c r="S559" s="200"/>
      <c r="T559" s="200"/>
      <c r="U559" s="152"/>
      <c r="V559" s="152"/>
      <c r="W559" s="157"/>
      <c r="X559" s="197"/>
      <c r="Y559" s="156"/>
    </row>
    <row r="560" ht="15.75" customHeight="1">
      <c r="B560" s="199"/>
      <c r="N560" s="152"/>
      <c r="Q560" s="195"/>
      <c r="S560" s="200"/>
      <c r="T560" s="200"/>
      <c r="U560" s="152"/>
      <c r="V560" s="152"/>
      <c r="W560" s="157"/>
      <c r="X560" s="197"/>
      <c r="Y560" s="156"/>
    </row>
    <row r="561" ht="15.75" customHeight="1">
      <c r="B561" s="199"/>
      <c r="N561" s="152"/>
      <c r="Q561" s="195"/>
      <c r="S561" s="200"/>
      <c r="T561" s="200"/>
      <c r="U561" s="152"/>
      <c r="V561" s="152"/>
      <c r="W561" s="157"/>
      <c r="X561" s="197"/>
      <c r="Y561" s="156"/>
    </row>
    <row r="562" ht="15.75" customHeight="1">
      <c r="B562" s="199"/>
      <c r="N562" s="152"/>
      <c r="Q562" s="195"/>
      <c r="S562" s="200"/>
      <c r="T562" s="200"/>
      <c r="U562" s="152"/>
      <c r="V562" s="152"/>
      <c r="W562" s="157"/>
      <c r="X562" s="197"/>
      <c r="Y562" s="156"/>
    </row>
    <row r="563" ht="15.75" customHeight="1">
      <c r="B563" s="199"/>
      <c r="N563" s="152"/>
      <c r="Q563" s="195"/>
      <c r="S563" s="200"/>
      <c r="T563" s="200"/>
      <c r="U563" s="152"/>
      <c r="V563" s="152"/>
      <c r="W563" s="157"/>
      <c r="X563" s="197"/>
      <c r="Y563" s="156"/>
    </row>
    <row r="564" ht="15.75" customHeight="1">
      <c r="B564" s="199"/>
      <c r="N564" s="152"/>
      <c r="Q564" s="195"/>
      <c r="S564" s="200"/>
      <c r="T564" s="200"/>
      <c r="U564" s="152"/>
      <c r="V564" s="152"/>
      <c r="W564" s="157"/>
      <c r="X564" s="197"/>
      <c r="Y564" s="156"/>
    </row>
    <row r="565" ht="15.75" customHeight="1">
      <c r="B565" s="199"/>
      <c r="N565" s="152"/>
      <c r="Q565" s="195"/>
      <c r="S565" s="200"/>
      <c r="T565" s="200"/>
      <c r="U565" s="152"/>
      <c r="V565" s="152"/>
      <c r="W565" s="157"/>
      <c r="X565" s="197"/>
      <c r="Y565" s="156"/>
    </row>
    <row r="566" ht="15.75" customHeight="1">
      <c r="B566" s="199"/>
      <c r="N566" s="152"/>
      <c r="Q566" s="195"/>
      <c r="S566" s="200"/>
      <c r="T566" s="200"/>
      <c r="U566" s="152"/>
      <c r="V566" s="152"/>
      <c r="W566" s="157"/>
      <c r="X566" s="197"/>
      <c r="Y566" s="156"/>
    </row>
    <row r="567" ht="15.75" customHeight="1">
      <c r="B567" s="199"/>
      <c r="N567" s="152"/>
      <c r="Q567" s="195"/>
      <c r="S567" s="200"/>
      <c r="T567" s="200"/>
      <c r="U567" s="152"/>
      <c r="V567" s="152"/>
      <c r="W567" s="157"/>
      <c r="X567" s="197"/>
      <c r="Y567" s="156"/>
    </row>
    <row r="568" ht="15.75" customHeight="1">
      <c r="B568" s="199"/>
      <c r="N568" s="152"/>
      <c r="Q568" s="195"/>
      <c r="S568" s="200"/>
      <c r="T568" s="200"/>
      <c r="U568" s="152"/>
      <c r="V568" s="152"/>
      <c r="W568" s="157"/>
      <c r="X568" s="197"/>
      <c r="Y568" s="156"/>
    </row>
    <row r="569" ht="15.75" customHeight="1">
      <c r="B569" s="199"/>
      <c r="N569" s="152"/>
      <c r="Q569" s="195"/>
      <c r="S569" s="200"/>
      <c r="T569" s="200"/>
      <c r="U569" s="152"/>
      <c r="V569" s="152"/>
      <c r="W569" s="157"/>
      <c r="X569" s="197"/>
      <c r="Y569" s="156"/>
    </row>
    <row r="570" ht="15.75" customHeight="1">
      <c r="B570" s="199"/>
      <c r="N570" s="152"/>
      <c r="Q570" s="195"/>
      <c r="S570" s="200"/>
      <c r="T570" s="200"/>
      <c r="U570" s="152"/>
      <c r="V570" s="152"/>
      <c r="W570" s="157"/>
      <c r="X570" s="197"/>
      <c r="Y570" s="156"/>
    </row>
    <row r="571" ht="15.75" customHeight="1">
      <c r="B571" s="199"/>
      <c r="N571" s="152"/>
      <c r="Q571" s="195"/>
      <c r="S571" s="200"/>
      <c r="T571" s="200"/>
      <c r="U571" s="152"/>
      <c r="V571" s="152"/>
      <c r="W571" s="157"/>
      <c r="X571" s="197"/>
      <c r="Y571" s="156"/>
    </row>
    <row r="572" ht="15.75" customHeight="1">
      <c r="B572" s="199"/>
      <c r="N572" s="152"/>
      <c r="Q572" s="195"/>
      <c r="S572" s="200"/>
      <c r="T572" s="200"/>
      <c r="U572" s="152"/>
      <c r="V572" s="152"/>
      <c r="W572" s="157"/>
      <c r="X572" s="197"/>
      <c r="Y572" s="156"/>
    </row>
    <row r="573" ht="15.75" customHeight="1">
      <c r="B573" s="199"/>
      <c r="N573" s="152"/>
      <c r="Q573" s="195"/>
      <c r="S573" s="200"/>
      <c r="T573" s="200"/>
      <c r="U573" s="152"/>
      <c r="V573" s="152"/>
      <c r="W573" s="157"/>
      <c r="X573" s="197"/>
      <c r="Y573" s="156"/>
    </row>
    <row r="574" ht="15.75" customHeight="1">
      <c r="B574" s="199"/>
      <c r="N574" s="152"/>
      <c r="Q574" s="195"/>
      <c r="S574" s="200"/>
      <c r="T574" s="200"/>
      <c r="U574" s="152"/>
      <c r="V574" s="152"/>
      <c r="W574" s="157"/>
      <c r="X574" s="197"/>
      <c r="Y574" s="156"/>
    </row>
    <row r="575" ht="15.75" customHeight="1">
      <c r="B575" s="199"/>
      <c r="N575" s="152"/>
      <c r="Q575" s="195"/>
      <c r="S575" s="200"/>
      <c r="T575" s="200"/>
      <c r="U575" s="152"/>
      <c r="V575" s="152"/>
      <c r="W575" s="157"/>
      <c r="X575" s="197"/>
      <c r="Y575" s="156"/>
    </row>
    <row r="576" ht="15.75" customHeight="1">
      <c r="B576" s="199"/>
      <c r="N576" s="152"/>
      <c r="Q576" s="195"/>
      <c r="S576" s="200"/>
      <c r="T576" s="200"/>
      <c r="U576" s="152"/>
      <c r="V576" s="152"/>
      <c r="W576" s="157"/>
      <c r="X576" s="197"/>
      <c r="Y576" s="156"/>
    </row>
    <row r="577" ht="15.75" customHeight="1">
      <c r="B577" s="199"/>
      <c r="N577" s="152"/>
      <c r="Q577" s="195"/>
      <c r="S577" s="200"/>
      <c r="T577" s="200"/>
      <c r="U577" s="152"/>
      <c r="V577" s="152"/>
      <c r="W577" s="157"/>
      <c r="X577" s="197"/>
      <c r="Y577" s="156"/>
    </row>
    <row r="578" ht="15.75" customHeight="1">
      <c r="B578" s="199"/>
      <c r="N578" s="152"/>
      <c r="Q578" s="195"/>
      <c r="S578" s="200"/>
      <c r="T578" s="200"/>
      <c r="U578" s="152"/>
      <c r="V578" s="152"/>
      <c r="W578" s="157"/>
      <c r="X578" s="197"/>
      <c r="Y578" s="156"/>
    </row>
    <row r="579" ht="15.75" customHeight="1">
      <c r="B579" s="199"/>
      <c r="N579" s="152"/>
      <c r="Q579" s="195"/>
      <c r="S579" s="200"/>
      <c r="T579" s="200"/>
      <c r="U579" s="152"/>
      <c r="V579" s="152"/>
      <c r="W579" s="157"/>
      <c r="X579" s="197"/>
      <c r="Y579" s="156"/>
    </row>
    <row r="580" ht="15.75" customHeight="1">
      <c r="B580" s="199"/>
      <c r="N580" s="152"/>
      <c r="Q580" s="195"/>
      <c r="S580" s="200"/>
      <c r="T580" s="200"/>
      <c r="U580" s="152"/>
      <c r="V580" s="152"/>
      <c r="W580" s="157"/>
      <c r="X580" s="197"/>
      <c r="Y580" s="156"/>
    </row>
    <row r="581" ht="15.75" customHeight="1">
      <c r="B581" s="199"/>
      <c r="N581" s="152"/>
      <c r="Q581" s="195"/>
      <c r="S581" s="200"/>
      <c r="T581" s="200"/>
      <c r="U581" s="152"/>
      <c r="V581" s="152"/>
      <c r="W581" s="157"/>
      <c r="X581" s="197"/>
      <c r="Y581" s="156"/>
    </row>
    <row r="582" ht="15.75" customHeight="1">
      <c r="B582" s="199"/>
      <c r="N582" s="152"/>
      <c r="Q582" s="195"/>
      <c r="S582" s="200"/>
      <c r="T582" s="200"/>
      <c r="U582" s="152"/>
      <c r="V582" s="152"/>
      <c r="W582" s="157"/>
      <c r="X582" s="197"/>
      <c r="Y582" s="156"/>
    </row>
    <row r="583" ht="15.75" customHeight="1">
      <c r="B583" s="199"/>
      <c r="N583" s="152"/>
      <c r="Q583" s="195"/>
      <c r="S583" s="200"/>
      <c r="T583" s="200"/>
      <c r="U583" s="152"/>
      <c r="V583" s="152"/>
      <c r="W583" s="157"/>
      <c r="X583" s="197"/>
      <c r="Y583" s="156"/>
    </row>
    <row r="584" ht="15.75" customHeight="1">
      <c r="B584" s="199"/>
      <c r="N584" s="152"/>
      <c r="Q584" s="195"/>
      <c r="S584" s="200"/>
      <c r="T584" s="200"/>
      <c r="U584" s="152"/>
      <c r="V584" s="152"/>
      <c r="W584" s="157"/>
      <c r="X584" s="197"/>
      <c r="Y584" s="156"/>
    </row>
    <row r="585" ht="15.75" customHeight="1">
      <c r="B585" s="199"/>
      <c r="N585" s="152"/>
      <c r="Q585" s="195"/>
      <c r="S585" s="200"/>
      <c r="T585" s="200"/>
      <c r="U585" s="152"/>
      <c r="V585" s="152"/>
      <c r="W585" s="157"/>
      <c r="X585" s="197"/>
      <c r="Y585" s="156"/>
    </row>
    <row r="586" ht="15.75" customHeight="1">
      <c r="B586" s="199"/>
      <c r="N586" s="152"/>
      <c r="Q586" s="195"/>
      <c r="S586" s="200"/>
      <c r="T586" s="200"/>
      <c r="U586" s="152"/>
      <c r="V586" s="152"/>
      <c r="W586" s="157"/>
      <c r="X586" s="197"/>
      <c r="Y586" s="156"/>
    </row>
    <row r="587" ht="15.75" customHeight="1">
      <c r="B587" s="199"/>
      <c r="N587" s="152"/>
      <c r="Q587" s="195"/>
      <c r="S587" s="200"/>
      <c r="T587" s="200"/>
      <c r="U587" s="152"/>
      <c r="V587" s="152"/>
      <c r="W587" s="157"/>
      <c r="X587" s="197"/>
      <c r="Y587" s="156"/>
    </row>
    <row r="588" ht="15.75" customHeight="1">
      <c r="B588" s="199"/>
      <c r="N588" s="152"/>
      <c r="Q588" s="195"/>
      <c r="S588" s="200"/>
      <c r="T588" s="200"/>
      <c r="U588" s="152"/>
      <c r="V588" s="152"/>
      <c r="W588" s="157"/>
      <c r="X588" s="197"/>
      <c r="Y588" s="156"/>
    </row>
    <row r="589" ht="15.75" customHeight="1">
      <c r="B589" s="199"/>
      <c r="N589" s="152"/>
      <c r="Q589" s="195"/>
      <c r="S589" s="200"/>
      <c r="T589" s="200"/>
      <c r="U589" s="152"/>
      <c r="V589" s="152"/>
      <c r="W589" s="157"/>
      <c r="X589" s="197"/>
      <c r="Y589" s="156"/>
    </row>
    <row r="590" ht="15.75" customHeight="1">
      <c r="B590" s="199"/>
      <c r="N590" s="152"/>
      <c r="Q590" s="195"/>
      <c r="S590" s="200"/>
      <c r="T590" s="200"/>
      <c r="U590" s="152"/>
      <c r="V590" s="152"/>
      <c r="W590" s="157"/>
      <c r="X590" s="197"/>
      <c r="Y590" s="156"/>
    </row>
    <row r="591" ht="15.75" customHeight="1">
      <c r="B591" s="199"/>
      <c r="N591" s="152"/>
      <c r="Q591" s="195"/>
      <c r="S591" s="200"/>
      <c r="T591" s="200"/>
      <c r="U591" s="152"/>
      <c r="V591" s="152"/>
      <c r="W591" s="157"/>
      <c r="X591" s="197"/>
      <c r="Y591" s="156"/>
    </row>
    <row r="592" ht="15.75" customHeight="1">
      <c r="B592" s="199"/>
      <c r="N592" s="152"/>
      <c r="Q592" s="195"/>
      <c r="S592" s="200"/>
      <c r="T592" s="200"/>
      <c r="U592" s="152"/>
      <c r="V592" s="152"/>
      <c r="W592" s="157"/>
      <c r="X592" s="197"/>
      <c r="Y592" s="156"/>
    </row>
    <row r="593" ht="15.75" customHeight="1">
      <c r="B593" s="199"/>
      <c r="N593" s="152"/>
      <c r="Q593" s="195"/>
      <c r="S593" s="200"/>
      <c r="T593" s="200"/>
      <c r="U593" s="152"/>
      <c r="V593" s="152"/>
      <c r="W593" s="157"/>
      <c r="X593" s="197"/>
      <c r="Y593" s="156"/>
    </row>
    <row r="594" ht="15.75" customHeight="1">
      <c r="B594" s="199"/>
      <c r="N594" s="152"/>
      <c r="Q594" s="195"/>
      <c r="S594" s="200"/>
      <c r="T594" s="200"/>
      <c r="U594" s="152"/>
      <c r="V594" s="152"/>
      <c r="W594" s="157"/>
      <c r="X594" s="197"/>
      <c r="Y594" s="156"/>
    </row>
    <row r="595" ht="15.75" customHeight="1">
      <c r="B595" s="199"/>
      <c r="N595" s="152"/>
      <c r="Q595" s="195"/>
      <c r="S595" s="200"/>
      <c r="T595" s="200"/>
      <c r="U595" s="152"/>
      <c r="V595" s="152"/>
      <c r="W595" s="157"/>
      <c r="X595" s="197"/>
      <c r="Y595" s="156"/>
    </row>
    <row r="596" ht="15.75" customHeight="1">
      <c r="B596" s="199"/>
      <c r="N596" s="152"/>
      <c r="Q596" s="195"/>
      <c r="S596" s="200"/>
      <c r="T596" s="200"/>
      <c r="U596" s="152"/>
      <c r="V596" s="152"/>
      <c r="W596" s="157"/>
      <c r="X596" s="197"/>
      <c r="Y596" s="156"/>
    </row>
    <row r="597" ht="15.75" customHeight="1">
      <c r="B597" s="199"/>
      <c r="N597" s="152"/>
      <c r="Q597" s="195"/>
      <c r="S597" s="200"/>
      <c r="T597" s="200"/>
      <c r="U597" s="152"/>
      <c r="V597" s="152"/>
      <c r="W597" s="157"/>
      <c r="X597" s="197"/>
      <c r="Y597" s="156"/>
    </row>
    <row r="598" ht="15.75" customHeight="1">
      <c r="B598" s="199"/>
      <c r="N598" s="152"/>
      <c r="Q598" s="195"/>
      <c r="S598" s="200"/>
      <c r="T598" s="200"/>
      <c r="U598" s="152"/>
      <c r="V598" s="152"/>
      <c r="W598" s="157"/>
      <c r="X598" s="197"/>
      <c r="Y598" s="156"/>
    </row>
    <row r="599" ht="15.75" customHeight="1">
      <c r="B599" s="199"/>
      <c r="N599" s="152"/>
      <c r="Q599" s="195"/>
      <c r="S599" s="200"/>
      <c r="T599" s="200"/>
      <c r="U599" s="152"/>
      <c r="V599" s="152"/>
      <c r="W599" s="157"/>
      <c r="X599" s="197"/>
      <c r="Y599" s="156"/>
    </row>
    <row r="600" ht="15.75" customHeight="1">
      <c r="B600" s="199"/>
      <c r="N600" s="152"/>
      <c r="Q600" s="195"/>
      <c r="S600" s="200"/>
      <c r="T600" s="200"/>
      <c r="U600" s="152"/>
      <c r="V600" s="152"/>
      <c r="W600" s="157"/>
      <c r="X600" s="197"/>
      <c r="Y600" s="156"/>
    </row>
    <row r="601" ht="15.75" customHeight="1">
      <c r="B601" s="199"/>
      <c r="N601" s="152"/>
      <c r="Q601" s="195"/>
      <c r="S601" s="200"/>
      <c r="T601" s="200"/>
      <c r="U601" s="152"/>
      <c r="V601" s="152"/>
      <c r="W601" s="157"/>
      <c r="X601" s="197"/>
      <c r="Y601" s="156"/>
    </row>
    <row r="602" ht="15.75" customHeight="1">
      <c r="B602" s="199"/>
      <c r="N602" s="152"/>
      <c r="Q602" s="195"/>
      <c r="S602" s="200"/>
      <c r="T602" s="200"/>
      <c r="U602" s="152"/>
      <c r="V602" s="152"/>
      <c r="W602" s="157"/>
      <c r="X602" s="197"/>
      <c r="Y602" s="156"/>
    </row>
    <row r="603" ht="15.75" customHeight="1">
      <c r="B603" s="199"/>
      <c r="N603" s="152"/>
      <c r="Q603" s="195"/>
      <c r="S603" s="200"/>
      <c r="T603" s="200"/>
      <c r="U603" s="152"/>
      <c r="V603" s="152"/>
      <c r="W603" s="157"/>
      <c r="X603" s="197"/>
      <c r="Y603" s="156"/>
    </row>
    <row r="604" ht="15.75" customHeight="1">
      <c r="B604" s="199"/>
      <c r="N604" s="152"/>
      <c r="Q604" s="195"/>
      <c r="S604" s="200"/>
      <c r="T604" s="200"/>
      <c r="U604" s="152"/>
      <c r="V604" s="152"/>
      <c r="W604" s="157"/>
      <c r="X604" s="197"/>
      <c r="Y604" s="156"/>
    </row>
    <row r="605" ht="15.75" customHeight="1">
      <c r="B605" s="199"/>
      <c r="N605" s="152"/>
      <c r="Q605" s="195"/>
      <c r="S605" s="200"/>
      <c r="T605" s="200"/>
      <c r="U605" s="152"/>
      <c r="V605" s="152"/>
      <c r="W605" s="157"/>
      <c r="X605" s="197"/>
      <c r="Y605" s="156"/>
    </row>
    <row r="606" ht="15.75" customHeight="1">
      <c r="B606" s="199"/>
      <c r="N606" s="152"/>
      <c r="Q606" s="195"/>
      <c r="S606" s="200"/>
      <c r="T606" s="200"/>
      <c r="U606" s="152"/>
      <c r="V606" s="152"/>
      <c r="W606" s="157"/>
      <c r="X606" s="197"/>
      <c r="Y606" s="156"/>
    </row>
    <row r="607" ht="15.75" customHeight="1">
      <c r="B607" s="199"/>
      <c r="N607" s="152"/>
      <c r="Q607" s="195"/>
      <c r="S607" s="200"/>
      <c r="T607" s="200"/>
      <c r="U607" s="152"/>
      <c r="V607" s="152"/>
      <c r="W607" s="157"/>
      <c r="X607" s="197"/>
      <c r="Y607" s="156"/>
    </row>
    <row r="608" ht="15.75" customHeight="1">
      <c r="B608" s="199"/>
      <c r="N608" s="152"/>
      <c r="Q608" s="195"/>
      <c r="S608" s="200"/>
      <c r="T608" s="200"/>
      <c r="U608" s="152"/>
      <c r="V608" s="152"/>
      <c r="W608" s="157"/>
      <c r="X608" s="197"/>
      <c r="Y608" s="156"/>
    </row>
    <row r="609" ht="15.75" customHeight="1">
      <c r="B609" s="199"/>
      <c r="N609" s="152"/>
      <c r="Q609" s="195"/>
      <c r="S609" s="200"/>
      <c r="T609" s="200"/>
      <c r="U609" s="152"/>
      <c r="V609" s="152"/>
      <c r="W609" s="157"/>
      <c r="X609" s="197"/>
      <c r="Y609" s="156"/>
    </row>
    <row r="610" ht="15.75" customHeight="1">
      <c r="B610" s="199"/>
      <c r="N610" s="152"/>
      <c r="Q610" s="195"/>
      <c r="S610" s="200"/>
      <c r="T610" s="200"/>
      <c r="U610" s="152"/>
      <c r="V610" s="152"/>
      <c r="W610" s="157"/>
      <c r="X610" s="197"/>
      <c r="Y610" s="156"/>
    </row>
    <row r="611" ht="15.75" customHeight="1">
      <c r="B611" s="199"/>
      <c r="N611" s="152"/>
      <c r="Q611" s="195"/>
      <c r="S611" s="200"/>
      <c r="T611" s="200"/>
      <c r="U611" s="152"/>
      <c r="V611" s="152"/>
      <c r="W611" s="157"/>
      <c r="X611" s="197"/>
      <c r="Y611" s="156"/>
    </row>
    <row r="612" ht="15.75" customHeight="1">
      <c r="B612" s="199"/>
      <c r="N612" s="152"/>
      <c r="Q612" s="195"/>
      <c r="S612" s="200"/>
      <c r="T612" s="200"/>
      <c r="U612" s="152"/>
      <c r="V612" s="152"/>
      <c r="W612" s="157"/>
      <c r="X612" s="197"/>
      <c r="Y612" s="156"/>
    </row>
    <row r="613" ht="15.75" customHeight="1">
      <c r="B613" s="199"/>
      <c r="N613" s="152"/>
      <c r="Q613" s="195"/>
      <c r="S613" s="200"/>
      <c r="T613" s="200"/>
      <c r="U613" s="152"/>
      <c r="V613" s="152"/>
      <c r="W613" s="157"/>
      <c r="X613" s="197"/>
      <c r="Y613" s="156"/>
    </row>
    <row r="614" ht="15.75" customHeight="1">
      <c r="B614" s="199"/>
      <c r="N614" s="152"/>
      <c r="Q614" s="195"/>
      <c r="S614" s="200"/>
      <c r="T614" s="200"/>
      <c r="U614" s="152"/>
      <c r="V614" s="152"/>
      <c r="W614" s="157"/>
      <c r="X614" s="197"/>
      <c r="Y614" s="156"/>
    </row>
    <row r="615" ht="15.75" customHeight="1">
      <c r="B615" s="199"/>
      <c r="N615" s="152"/>
      <c r="Q615" s="195"/>
      <c r="S615" s="200"/>
      <c r="T615" s="200"/>
      <c r="U615" s="152"/>
      <c r="V615" s="152"/>
      <c r="W615" s="157"/>
      <c r="X615" s="197"/>
      <c r="Y615" s="156"/>
    </row>
    <row r="616" ht="15.75" customHeight="1">
      <c r="B616" s="199"/>
      <c r="N616" s="152"/>
      <c r="Q616" s="195"/>
      <c r="S616" s="200"/>
      <c r="T616" s="200"/>
      <c r="U616" s="152"/>
      <c r="V616" s="152"/>
      <c r="W616" s="157"/>
      <c r="X616" s="197"/>
      <c r="Y616" s="156"/>
    </row>
    <row r="617" ht="15.75" customHeight="1">
      <c r="B617" s="199"/>
      <c r="N617" s="152"/>
      <c r="Q617" s="195"/>
      <c r="S617" s="200"/>
      <c r="T617" s="200"/>
      <c r="U617" s="152"/>
      <c r="V617" s="152"/>
      <c r="W617" s="157"/>
      <c r="X617" s="197"/>
      <c r="Y617" s="156"/>
    </row>
    <row r="618" ht="15.75" customHeight="1">
      <c r="B618" s="199"/>
      <c r="N618" s="152"/>
      <c r="Q618" s="195"/>
      <c r="S618" s="200"/>
      <c r="T618" s="200"/>
      <c r="U618" s="152"/>
      <c r="V618" s="152"/>
      <c r="W618" s="157"/>
      <c r="X618" s="197"/>
      <c r="Y618" s="156"/>
    </row>
    <row r="619" ht="15.75" customHeight="1">
      <c r="B619" s="199"/>
      <c r="N619" s="152"/>
      <c r="Q619" s="195"/>
      <c r="S619" s="200"/>
      <c r="T619" s="200"/>
      <c r="U619" s="152"/>
      <c r="V619" s="152"/>
      <c r="W619" s="157"/>
      <c r="X619" s="197"/>
      <c r="Y619" s="156"/>
    </row>
    <row r="620" ht="15.75" customHeight="1">
      <c r="B620" s="199"/>
      <c r="N620" s="152"/>
      <c r="Q620" s="195"/>
      <c r="S620" s="200"/>
      <c r="T620" s="200"/>
      <c r="U620" s="152"/>
      <c r="V620" s="152"/>
      <c r="W620" s="157"/>
      <c r="X620" s="197"/>
      <c r="Y620" s="156"/>
    </row>
    <row r="621" ht="15.75" customHeight="1">
      <c r="B621" s="199"/>
      <c r="N621" s="152"/>
      <c r="Q621" s="195"/>
      <c r="S621" s="200"/>
      <c r="T621" s="200"/>
      <c r="U621" s="152"/>
      <c r="V621" s="152"/>
      <c r="W621" s="157"/>
      <c r="X621" s="197"/>
      <c r="Y621" s="156"/>
    </row>
    <row r="622" ht="15.75" customHeight="1">
      <c r="B622" s="199"/>
      <c r="N622" s="152"/>
      <c r="Q622" s="195"/>
      <c r="S622" s="200"/>
      <c r="T622" s="200"/>
      <c r="U622" s="152"/>
      <c r="V622" s="152"/>
      <c r="W622" s="157"/>
      <c r="X622" s="197"/>
      <c r="Y622" s="156"/>
    </row>
    <row r="623" ht="15.75" customHeight="1">
      <c r="B623" s="199"/>
      <c r="N623" s="152"/>
      <c r="Q623" s="195"/>
      <c r="S623" s="200"/>
      <c r="T623" s="200"/>
      <c r="U623" s="152"/>
      <c r="V623" s="152"/>
      <c r="W623" s="157"/>
      <c r="X623" s="197"/>
      <c r="Y623" s="156"/>
    </row>
    <row r="624" ht="15.75" customHeight="1">
      <c r="B624" s="199"/>
      <c r="N624" s="152"/>
      <c r="Q624" s="195"/>
      <c r="S624" s="200"/>
      <c r="T624" s="200"/>
      <c r="U624" s="152"/>
      <c r="V624" s="152"/>
      <c r="W624" s="157"/>
      <c r="X624" s="197"/>
      <c r="Y624" s="156"/>
    </row>
    <row r="625" ht="15.75" customHeight="1">
      <c r="B625" s="199"/>
      <c r="N625" s="152"/>
      <c r="Q625" s="195"/>
      <c r="S625" s="200"/>
      <c r="T625" s="200"/>
      <c r="U625" s="152"/>
      <c r="V625" s="152"/>
      <c r="W625" s="157"/>
      <c r="X625" s="197"/>
      <c r="Y625" s="156"/>
    </row>
    <row r="626" ht="15.75" customHeight="1">
      <c r="B626" s="199"/>
      <c r="N626" s="152"/>
      <c r="Q626" s="195"/>
      <c r="S626" s="200"/>
      <c r="T626" s="200"/>
      <c r="U626" s="152"/>
      <c r="V626" s="152"/>
      <c r="W626" s="157"/>
      <c r="X626" s="197"/>
      <c r="Y626" s="156"/>
    </row>
    <row r="627" ht="15.75" customHeight="1">
      <c r="B627" s="199"/>
      <c r="N627" s="152"/>
      <c r="Q627" s="195"/>
      <c r="S627" s="200"/>
      <c r="T627" s="200"/>
      <c r="U627" s="152"/>
      <c r="V627" s="152"/>
      <c r="W627" s="157"/>
      <c r="X627" s="197"/>
      <c r="Y627" s="156"/>
    </row>
    <row r="628" ht="15.75" customHeight="1">
      <c r="B628" s="199"/>
      <c r="N628" s="152"/>
      <c r="Q628" s="195"/>
      <c r="S628" s="200"/>
      <c r="T628" s="200"/>
      <c r="U628" s="152"/>
      <c r="V628" s="152"/>
      <c r="W628" s="157"/>
      <c r="X628" s="197"/>
      <c r="Y628" s="156"/>
    </row>
    <row r="629" ht="15.75" customHeight="1">
      <c r="B629" s="199"/>
      <c r="N629" s="152"/>
      <c r="Q629" s="195"/>
      <c r="S629" s="200"/>
      <c r="T629" s="200"/>
      <c r="U629" s="152"/>
      <c r="V629" s="152"/>
      <c r="W629" s="157"/>
      <c r="X629" s="197"/>
      <c r="Y629" s="156"/>
    </row>
    <row r="630" ht="15.75" customHeight="1">
      <c r="B630" s="199"/>
      <c r="N630" s="152"/>
      <c r="Q630" s="195"/>
      <c r="S630" s="200"/>
      <c r="T630" s="200"/>
      <c r="U630" s="152"/>
      <c r="V630" s="152"/>
      <c r="W630" s="157"/>
      <c r="X630" s="197"/>
      <c r="Y630" s="156"/>
    </row>
    <row r="631" ht="15.75" customHeight="1">
      <c r="B631" s="199"/>
      <c r="N631" s="152"/>
      <c r="Q631" s="195"/>
      <c r="S631" s="200"/>
      <c r="T631" s="200"/>
      <c r="U631" s="152"/>
      <c r="V631" s="152"/>
      <c r="W631" s="157"/>
      <c r="X631" s="197"/>
      <c r="Y631" s="156"/>
    </row>
    <row r="632" ht="15.75" customHeight="1">
      <c r="B632" s="199"/>
      <c r="N632" s="152"/>
      <c r="Q632" s="195"/>
      <c r="S632" s="200"/>
      <c r="T632" s="200"/>
      <c r="U632" s="152"/>
      <c r="V632" s="152"/>
      <c r="W632" s="157"/>
      <c r="X632" s="197"/>
      <c r="Y632" s="156"/>
    </row>
    <row r="633" ht="15.75" customHeight="1">
      <c r="B633" s="199"/>
      <c r="N633" s="152"/>
      <c r="Q633" s="195"/>
      <c r="S633" s="200"/>
      <c r="T633" s="200"/>
      <c r="U633" s="152"/>
      <c r="V633" s="152"/>
      <c r="W633" s="157"/>
      <c r="X633" s="197"/>
      <c r="Y633" s="156"/>
    </row>
    <row r="634" ht="15.75" customHeight="1">
      <c r="B634" s="199"/>
      <c r="N634" s="152"/>
      <c r="Q634" s="195"/>
      <c r="S634" s="200"/>
      <c r="T634" s="200"/>
      <c r="U634" s="152"/>
      <c r="V634" s="152"/>
      <c r="W634" s="157"/>
      <c r="X634" s="197"/>
      <c r="Y634" s="156"/>
    </row>
    <row r="635" ht="15.75" customHeight="1">
      <c r="B635" s="199"/>
      <c r="N635" s="152"/>
      <c r="Q635" s="195"/>
      <c r="S635" s="200"/>
      <c r="T635" s="200"/>
      <c r="U635" s="152"/>
      <c r="V635" s="152"/>
      <c r="W635" s="157"/>
      <c r="X635" s="197"/>
      <c r="Y635" s="156"/>
    </row>
    <row r="636" ht="15.75" customHeight="1">
      <c r="B636" s="199"/>
      <c r="N636" s="152"/>
      <c r="Q636" s="195"/>
      <c r="S636" s="200"/>
      <c r="T636" s="200"/>
      <c r="U636" s="152"/>
      <c r="V636" s="152"/>
      <c r="W636" s="157"/>
      <c r="X636" s="197"/>
      <c r="Y636" s="156"/>
    </row>
    <row r="637" ht="15.75" customHeight="1">
      <c r="B637" s="199"/>
      <c r="N637" s="152"/>
      <c r="Q637" s="195"/>
      <c r="S637" s="200"/>
      <c r="T637" s="200"/>
      <c r="U637" s="152"/>
      <c r="V637" s="152"/>
      <c r="W637" s="157"/>
      <c r="X637" s="197"/>
      <c r="Y637" s="156"/>
    </row>
    <row r="638" ht="15.75" customHeight="1">
      <c r="B638" s="199"/>
      <c r="N638" s="152"/>
      <c r="Q638" s="195"/>
      <c r="S638" s="200"/>
      <c r="T638" s="200"/>
      <c r="U638" s="152"/>
      <c r="V638" s="152"/>
      <c r="W638" s="157"/>
      <c r="X638" s="197"/>
      <c r="Y638" s="156"/>
    </row>
    <row r="639" ht="15.75" customHeight="1">
      <c r="B639" s="199"/>
      <c r="N639" s="152"/>
      <c r="Q639" s="195"/>
      <c r="S639" s="200"/>
      <c r="T639" s="200"/>
      <c r="U639" s="152"/>
      <c r="V639" s="152"/>
      <c r="W639" s="157"/>
      <c r="X639" s="197"/>
      <c r="Y639" s="156"/>
    </row>
    <row r="640" ht="15.75" customHeight="1">
      <c r="B640" s="199"/>
      <c r="N640" s="152"/>
      <c r="Q640" s="195"/>
      <c r="S640" s="200"/>
      <c r="T640" s="200"/>
      <c r="U640" s="152"/>
      <c r="V640" s="152"/>
      <c r="W640" s="157"/>
      <c r="X640" s="197"/>
      <c r="Y640" s="156"/>
    </row>
    <row r="641" ht="15.75" customHeight="1">
      <c r="B641" s="199"/>
      <c r="N641" s="152"/>
      <c r="Q641" s="195"/>
      <c r="S641" s="200"/>
      <c r="T641" s="200"/>
      <c r="U641" s="152"/>
      <c r="V641" s="152"/>
      <c r="W641" s="157"/>
      <c r="X641" s="197"/>
      <c r="Y641" s="156"/>
    </row>
    <row r="642" ht="15.75" customHeight="1">
      <c r="B642" s="199"/>
      <c r="N642" s="152"/>
      <c r="Q642" s="195"/>
      <c r="S642" s="200"/>
      <c r="T642" s="200"/>
      <c r="U642" s="152"/>
      <c r="V642" s="152"/>
      <c r="W642" s="157"/>
      <c r="X642" s="197"/>
      <c r="Y642" s="156"/>
    </row>
    <row r="643" ht="15.75" customHeight="1">
      <c r="B643" s="199"/>
      <c r="N643" s="152"/>
      <c r="Q643" s="195"/>
      <c r="S643" s="200"/>
      <c r="T643" s="200"/>
      <c r="U643" s="152"/>
      <c r="V643" s="152"/>
      <c r="W643" s="157"/>
      <c r="X643" s="197"/>
      <c r="Y643" s="156"/>
    </row>
    <row r="644" ht="15.75" customHeight="1">
      <c r="B644" s="199"/>
      <c r="N644" s="152"/>
      <c r="Q644" s="195"/>
      <c r="S644" s="200"/>
      <c r="T644" s="200"/>
      <c r="U644" s="152"/>
      <c r="V644" s="152"/>
      <c r="W644" s="157"/>
      <c r="X644" s="197"/>
      <c r="Y644" s="156"/>
    </row>
    <row r="645" ht="15.75" customHeight="1">
      <c r="B645" s="199"/>
      <c r="N645" s="152"/>
      <c r="Q645" s="195"/>
      <c r="S645" s="200"/>
      <c r="T645" s="200"/>
      <c r="U645" s="152"/>
      <c r="V645" s="152"/>
      <c r="W645" s="157"/>
      <c r="X645" s="197"/>
      <c r="Y645" s="156"/>
    </row>
    <row r="646" ht="15.75" customHeight="1">
      <c r="B646" s="199"/>
      <c r="N646" s="152"/>
      <c r="Q646" s="195"/>
      <c r="S646" s="200"/>
      <c r="T646" s="200"/>
      <c r="U646" s="152"/>
      <c r="V646" s="152"/>
      <c r="W646" s="157"/>
      <c r="X646" s="197"/>
      <c r="Y646" s="156"/>
    </row>
    <row r="647" ht="15.75" customHeight="1">
      <c r="B647" s="199"/>
      <c r="N647" s="152"/>
      <c r="Q647" s="195"/>
      <c r="S647" s="200"/>
      <c r="T647" s="200"/>
      <c r="U647" s="152"/>
      <c r="V647" s="152"/>
      <c r="W647" s="157"/>
      <c r="X647" s="197"/>
      <c r="Y647" s="156"/>
    </row>
    <row r="648" ht="15.75" customHeight="1">
      <c r="B648" s="199"/>
      <c r="N648" s="152"/>
      <c r="Q648" s="195"/>
      <c r="S648" s="200"/>
      <c r="T648" s="200"/>
      <c r="U648" s="152"/>
      <c r="V648" s="152"/>
      <c r="W648" s="157"/>
      <c r="X648" s="197"/>
      <c r="Y648" s="156"/>
    </row>
    <row r="649" ht="15.75" customHeight="1">
      <c r="B649" s="199"/>
      <c r="N649" s="152"/>
      <c r="Q649" s="195"/>
      <c r="S649" s="200"/>
      <c r="T649" s="200"/>
      <c r="U649" s="152"/>
      <c r="V649" s="152"/>
      <c r="W649" s="157"/>
      <c r="X649" s="197"/>
      <c r="Y649" s="156"/>
    </row>
    <row r="650" ht="15.75" customHeight="1">
      <c r="B650" s="199"/>
      <c r="N650" s="152"/>
      <c r="Q650" s="195"/>
      <c r="S650" s="200"/>
      <c r="T650" s="200"/>
      <c r="U650" s="152"/>
      <c r="V650" s="152"/>
      <c r="W650" s="157"/>
      <c r="X650" s="197"/>
      <c r="Y650" s="156"/>
    </row>
    <row r="651" ht="15.75" customHeight="1">
      <c r="B651" s="199"/>
      <c r="N651" s="152"/>
      <c r="Q651" s="195"/>
      <c r="S651" s="200"/>
      <c r="T651" s="200"/>
      <c r="U651" s="152"/>
      <c r="V651" s="152"/>
      <c r="W651" s="157"/>
      <c r="X651" s="197"/>
      <c r="Y651" s="156"/>
    </row>
    <row r="652" ht="15.75" customHeight="1">
      <c r="B652" s="199"/>
      <c r="N652" s="152"/>
      <c r="Q652" s="195"/>
      <c r="S652" s="200"/>
      <c r="T652" s="200"/>
      <c r="U652" s="152"/>
      <c r="V652" s="152"/>
      <c r="W652" s="157"/>
      <c r="X652" s="197"/>
      <c r="Y652" s="156"/>
    </row>
    <row r="653" ht="15.75" customHeight="1">
      <c r="B653" s="199"/>
      <c r="N653" s="152"/>
      <c r="Q653" s="195"/>
      <c r="S653" s="200"/>
      <c r="T653" s="200"/>
      <c r="U653" s="152"/>
      <c r="V653" s="152"/>
      <c r="W653" s="157"/>
      <c r="X653" s="197"/>
      <c r="Y653" s="156"/>
    </row>
    <row r="654" ht="15.75" customHeight="1">
      <c r="B654" s="199"/>
      <c r="N654" s="152"/>
      <c r="Q654" s="195"/>
      <c r="S654" s="200"/>
      <c r="T654" s="200"/>
      <c r="U654" s="152"/>
      <c r="V654" s="152"/>
      <c r="W654" s="157"/>
      <c r="X654" s="197"/>
      <c r="Y654" s="156"/>
    </row>
    <row r="655" ht="15.75" customHeight="1">
      <c r="B655" s="199"/>
      <c r="N655" s="152"/>
      <c r="Q655" s="195"/>
      <c r="S655" s="200"/>
      <c r="T655" s="200"/>
      <c r="U655" s="152"/>
      <c r="V655" s="152"/>
      <c r="W655" s="157"/>
      <c r="X655" s="197"/>
      <c r="Y655" s="156"/>
    </row>
    <row r="656" ht="15.75" customHeight="1">
      <c r="B656" s="199"/>
      <c r="N656" s="152"/>
      <c r="Q656" s="195"/>
      <c r="S656" s="200"/>
      <c r="T656" s="200"/>
      <c r="U656" s="152"/>
      <c r="V656" s="152"/>
      <c r="W656" s="157"/>
      <c r="X656" s="197"/>
      <c r="Y656" s="156"/>
    </row>
    <row r="657" ht="15.75" customHeight="1">
      <c r="B657" s="199"/>
      <c r="N657" s="152"/>
      <c r="Q657" s="195"/>
      <c r="S657" s="200"/>
      <c r="T657" s="200"/>
      <c r="U657" s="152"/>
      <c r="V657" s="152"/>
      <c r="W657" s="157"/>
      <c r="X657" s="197"/>
      <c r="Y657" s="156"/>
    </row>
    <row r="658" ht="15.75" customHeight="1">
      <c r="B658" s="199"/>
      <c r="N658" s="152"/>
      <c r="Q658" s="195"/>
      <c r="S658" s="200"/>
      <c r="T658" s="200"/>
      <c r="U658" s="152"/>
      <c r="V658" s="152"/>
      <c r="W658" s="157"/>
      <c r="X658" s="197"/>
      <c r="Y658" s="156"/>
    </row>
    <row r="659" ht="15.75" customHeight="1">
      <c r="B659" s="199"/>
      <c r="N659" s="152"/>
      <c r="Q659" s="195"/>
      <c r="S659" s="200"/>
      <c r="T659" s="200"/>
      <c r="U659" s="152"/>
      <c r="V659" s="152"/>
      <c r="W659" s="157"/>
      <c r="X659" s="197"/>
      <c r="Y659" s="156"/>
    </row>
    <row r="660" ht="15.75" customHeight="1">
      <c r="B660" s="199"/>
      <c r="N660" s="152"/>
      <c r="Q660" s="195"/>
      <c r="S660" s="200"/>
      <c r="T660" s="200"/>
      <c r="U660" s="152"/>
      <c r="V660" s="152"/>
      <c r="W660" s="157"/>
      <c r="X660" s="197"/>
      <c r="Y660" s="156"/>
    </row>
    <row r="661" ht="15.75" customHeight="1">
      <c r="B661" s="199"/>
      <c r="N661" s="152"/>
      <c r="Q661" s="195"/>
      <c r="S661" s="200"/>
      <c r="T661" s="200"/>
      <c r="U661" s="152"/>
      <c r="V661" s="152"/>
      <c r="W661" s="157"/>
      <c r="X661" s="197"/>
      <c r="Y661" s="156"/>
    </row>
    <row r="662" ht="15.75" customHeight="1">
      <c r="B662" s="199"/>
      <c r="N662" s="152"/>
      <c r="Q662" s="195"/>
      <c r="S662" s="200"/>
      <c r="T662" s="200"/>
      <c r="U662" s="152"/>
      <c r="V662" s="152"/>
      <c r="W662" s="157"/>
      <c r="X662" s="197"/>
      <c r="Y662" s="156"/>
    </row>
    <row r="663" ht="15.75" customHeight="1">
      <c r="B663" s="199"/>
      <c r="N663" s="152"/>
      <c r="Q663" s="195"/>
      <c r="S663" s="200"/>
      <c r="T663" s="200"/>
      <c r="U663" s="152"/>
      <c r="V663" s="152"/>
      <c r="W663" s="157"/>
      <c r="X663" s="197"/>
      <c r="Y663" s="156"/>
    </row>
    <row r="664" ht="15.75" customHeight="1">
      <c r="B664" s="199"/>
      <c r="N664" s="152"/>
      <c r="Q664" s="195"/>
      <c r="S664" s="200"/>
      <c r="T664" s="200"/>
      <c r="U664" s="152"/>
      <c r="V664" s="152"/>
      <c r="W664" s="157"/>
      <c r="X664" s="197"/>
      <c r="Y664" s="156"/>
    </row>
    <row r="665" ht="15.75" customHeight="1">
      <c r="B665" s="199"/>
      <c r="N665" s="152"/>
      <c r="Q665" s="195"/>
      <c r="S665" s="200"/>
      <c r="T665" s="200"/>
      <c r="U665" s="152"/>
      <c r="V665" s="152"/>
      <c r="W665" s="157"/>
      <c r="X665" s="197"/>
      <c r="Y665" s="156"/>
    </row>
    <row r="666" ht="15.75" customHeight="1">
      <c r="B666" s="199"/>
      <c r="N666" s="152"/>
      <c r="Q666" s="195"/>
      <c r="S666" s="200"/>
      <c r="T666" s="200"/>
      <c r="U666" s="152"/>
      <c r="V666" s="152"/>
      <c r="W666" s="157"/>
      <c r="X666" s="197"/>
      <c r="Y666" s="156"/>
    </row>
    <row r="667" ht="15.75" customHeight="1">
      <c r="B667" s="199"/>
      <c r="N667" s="152"/>
      <c r="Q667" s="195"/>
      <c r="S667" s="200"/>
      <c r="T667" s="200"/>
      <c r="U667" s="152"/>
      <c r="V667" s="152"/>
      <c r="W667" s="157"/>
      <c r="X667" s="197"/>
      <c r="Y667" s="156"/>
    </row>
    <row r="668" ht="15.75" customHeight="1">
      <c r="B668" s="199"/>
      <c r="N668" s="152"/>
      <c r="Q668" s="195"/>
      <c r="S668" s="200"/>
      <c r="T668" s="200"/>
      <c r="U668" s="152"/>
      <c r="V668" s="152"/>
      <c r="W668" s="157"/>
      <c r="X668" s="197"/>
      <c r="Y668" s="156"/>
    </row>
    <row r="669" ht="15.75" customHeight="1">
      <c r="B669" s="199"/>
      <c r="N669" s="152"/>
      <c r="Q669" s="195"/>
      <c r="S669" s="200"/>
      <c r="T669" s="200"/>
      <c r="U669" s="152"/>
      <c r="V669" s="152"/>
      <c r="W669" s="157"/>
      <c r="X669" s="197"/>
      <c r="Y669" s="156"/>
    </row>
    <row r="670" ht="15.75" customHeight="1">
      <c r="B670" s="199"/>
      <c r="N670" s="152"/>
      <c r="Q670" s="195"/>
      <c r="S670" s="200"/>
      <c r="T670" s="200"/>
      <c r="U670" s="152"/>
      <c r="V670" s="152"/>
      <c r="W670" s="157"/>
      <c r="X670" s="197"/>
      <c r="Y670" s="156"/>
    </row>
    <row r="671" ht="15.75" customHeight="1">
      <c r="B671" s="199"/>
      <c r="N671" s="152"/>
      <c r="Q671" s="195"/>
      <c r="S671" s="200"/>
      <c r="T671" s="200"/>
      <c r="U671" s="152"/>
      <c r="V671" s="152"/>
      <c r="W671" s="157"/>
      <c r="X671" s="197"/>
      <c r="Y671" s="156"/>
    </row>
    <row r="672" ht="15.75" customHeight="1">
      <c r="B672" s="199"/>
      <c r="N672" s="152"/>
      <c r="Q672" s="195"/>
      <c r="S672" s="200"/>
      <c r="T672" s="200"/>
      <c r="U672" s="152"/>
      <c r="V672" s="152"/>
      <c r="W672" s="157"/>
      <c r="X672" s="197"/>
      <c r="Y672" s="156"/>
    </row>
    <row r="673" ht="15.75" customHeight="1">
      <c r="B673" s="199"/>
      <c r="N673" s="152"/>
      <c r="Q673" s="195"/>
      <c r="S673" s="200"/>
      <c r="T673" s="200"/>
      <c r="U673" s="152"/>
      <c r="V673" s="152"/>
      <c r="W673" s="157"/>
      <c r="X673" s="197"/>
      <c r="Y673" s="156"/>
    </row>
    <row r="674" ht="15.75" customHeight="1">
      <c r="B674" s="199"/>
      <c r="N674" s="152"/>
      <c r="Q674" s="195"/>
      <c r="S674" s="200"/>
      <c r="T674" s="200"/>
      <c r="U674" s="152"/>
      <c r="V674" s="152"/>
      <c r="W674" s="157"/>
      <c r="X674" s="197"/>
      <c r="Y674" s="156"/>
    </row>
    <row r="675" ht="15.75" customHeight="1">
      <c r="B675" s="199"/>
      <c r="N675" s="152"/>
      <c r="Q675" s="195"/>
      <c r="S675" s="200"/>
      <c r="T675" s="200"/>
      <c r="U675" s="152"/>
      <c r="V675" s="152"/>
      <c r="W675" s="157"/>
      <c r="X675" s="197"/>
      <c r="Y675" s="156"/>
    </row>
    <row r="676" ht="15.75" customHeight="1">
      <c r="B676" s="199"/>
      <c r="N676" s="152"/>
      <c r="Q676" s="195"/>
      <c r="S676" s="200"/>
      <c r="T676" s="200"/>
      <c r="U676" s="152"/>
      <c r="V676" s="152"/>
      <c r="W676" s="157"/>
      <c r="X676" s="197"/>
      <c r="Y676" s="156"/>
    </row>
    <row r="677" ht="15.75" customHeight="1">
      <c r="B677" s="199"/>
      <c r="N677" s="152"/>
      <c r="Q677" s="195"/>
      <c r="S677" s="200"/>
      <c r="T677" s="200"/>
      <c r="U677" s="152"/>
      <c r="V677" s="152"/>
      <c r="W677" s="157"/>
      <c r="X677" s="197"/>
      <c r="Y677" s="156"/>
    </row>
    <row r="678" ht="15.75" customHeight="1">
      <c r="B678" s="199"/>
      <c r="N678" s="152"/>
      <c r="Q678" s="195"/>
      <c r="S678" s="200"/>
      <c r="T678" s="200"/>
      <c r="U678" s="152"/>
      <c r="V678" s="152"/>
      <c r="W678" s="157"/>
      <c r="X678" s="197"/>
      <c r="Y678" s="156"/>
    </row>
    <row r="679" ht="15.75" customHeight="1">
      <c r="B679" s="199"/>
      <c r="N679" s="152"/>
      <c r="Q679" s="195"/>
      <c r="S679" s="200"/>
      <c r="T679" s="200"/>
      <c r="U679" s="152"/>
      <c r="V679" s="152"/>
      <c r="W679" s="157"/>
      <c r="X679" s="197"/>
      <c r="Y679" s="156"/>
    </row>
    <row r="680" ht="15.75" customHeight="1">
      <c r="B680" s="199"/>
      <c r="N680" s="152"/>
      <c r="Q680" s="195"/>
      <c r="S680" s="200"/>
      <c r="T680" s="200"/>
      <c r="U680" s="152"/>
      <c r="V680" s="152"/>
      <c r="W680" s="157"/>
      <c r="X680" s="197"/>
      <c r="Y680" s="156"/>
    </row>
    <row r="681" ht="15.75" customHeight="1">
      <c r="B681" s="199"/>
      <c r="N681" s="152"/>
      <c r="Q681" s="195"/>
      <c r="S681" s="200"/>
      <c r="T681" s="200"/>
      <c r="U681" s="152"/>
      <c r="V681" s="152"/>
      <c r="W681" s="157"/>
      <c r="X681" s="197"/>
      <c r="Y681" s="156"/>
    </row>
    <row r="682" ht="15.75" customHeight="1">
      <c r="B682" s="199"/>
      <c r="N682" s="152"/>
      <c r="Q682" s="195"/>
      <c r="S682" s="200"/>
      <c r="T682" s="200"/>
      <c r="U682" s="152"/>
      <c r="V682" s="152"/>
      <c r="W682" s="157"/>
      <c r="X682" s="197"/>
      <c r="Y682" s="156"/>
    </row>
    <row r="683" ht="15.75" customHeight="1">
      <c r="B683" s="199"/>
      <c r="N683" s="152"/>
      <c r="Q683" s="195"/>
      <c r="S683" s="200"/>
      <c r="T683" s="200"/>
      <c r="U683" s="152"/>
      <c r="V683" s="152"/>
      <c r="W683" s="157"/>
      <c r="X683" s="197"/>
      <c r="Y683" s="156"/>
    </row>
    <row r="684" ht="15.75" customHeight="1">
      <c r="B684" s="199"/>
      <c r="N684" s="152"/>
      <c r="Q684" s="195"/>
      <c r="S684" s="200"/>
      <c r="T684" s="200"/>
      <c r="U684" s="152"/>
      <c r="V684" s="152"/>
      <c r="W684" s="157"/>
      <c r="X684" s="197"/>
      <c r="Y684" s="156"/>
    </row>
    <row r="685" ht="15.75" customHeight="1">
      <c r="B685" s="199"/>
      <c r="N685" s="152"/>
      <c r="Q685" s="195"/>
      <c r="S685" s="200"/>
      <c r="T685" s="200"/>
      <c r="U685" s="152"/>
      <c r="V685" s="152"/>
      <c r="W685" s="157"/>
      <c r="X685" s="197"/>
      <c r="Y685" s="156"/>
    </row>
    <row r="686" ht="15.75" customHeight="1">
      <c r="B686" s="199"/>
      <c r="N686" s="152"/>
      <c r="Q686" s="195"/>
      <c r="S686" s="200"/>
      <c r="T686" s="200"/>
      <c r="U686" s="152"/>
      <c r="V686" s="152"/>
      <c r="W686" s="157"/>
      <c r="X686" s="197"/>
      <c r="Y686" s="156"/>
    </row>
    <row r="687" ht="15.75" customHeight="1">
      <c r="B687" s="199"/>
      <c r="N687" s="152"/>
      <c r="Q687" s="195"/>
      <c r="S687" s="200"/>
      <c r="T687" s="200"/>
      <c r="U687" s="152"/>
      <c r="V687" s="152"/>
      <c r="W687" s="157"/>
      <c r="X687" s="197"/>
      <c r="Y687" s="156"/>
    </row>
    <row r="688" ht="15.75" customHeight="1">
      <c r="B688" s="199"/>
      <c r="N688" s="152"/>
      <c r="Q688" s="195"/>
      <c r="S688" s="200"/>
      <c r="T688" s="200"/>
      <c r="U688" s="152"/>
      <c r="V688" s="152"/>
      <c r="W688" s="157"/>
      <c r="X688" s="197"/>
      <c r="Y688" s="156"/>
    </row>
    <row r="689" ht="15.75" customHeight="1">
      <c r="B689" s="199"/>
      <c r="N689" s="152"/>
      <c r="Q689" s="195"/>
      <c r="S689" s="200"/>
      <c r="T689" s="200"/>
      <c r="U689" s="152"/>
      <c r="V689" s="152"/>
      <c r="W689" s="157"/>
      <c r="X689" s="197"/>
      <c r="Y689" s="156"/>
    </row>
    <row r="690" ht="15.75" customHeight="1">
      <c r="B690" s="199"/>
      <c r="N690" s="152"/>
      <c r="Q690" s="195"/>
      <c r="S690" s="200"/>
      <c r="T690" s="200"/>
      <c r="U690" s="152"/>
      <c r="V690" s="152"/>
      <c r="W690" s="157"/>
      <c r="X690" s="197"/>
      <c r="Y690" s="156"/>
    </row>
    <row r="691" ht="15.75" customHeight="1">
      <c r="B691" s="199"/>
      <c r="N691" s="152"/>
      <c r="Q691" s="195"/>
      <c r="S691" s="200"/>
      <c r="T691" s="200"/>
      <c r="U691" s="152"/>
      <c r="V691" s="152"/>
      <c r="W691" s="157"/>
      <c r="X691" s="197"/>
      <c r="Y691" s="156"/>
    </row>
    <row r="692" ht="15.75" customHeight="1">
      <c r="B692" s="199"/>
      <c r="N692" s="152"/>
      <c r="Q692" s="195"/>
      <c r="S692" s="200"/>
      <c r="T692" s="200"/>
      <c r="U692" s="152"/>
      <c r="V692" s="152"/>
      <c r="W692" s="157"/>
      <c r="X692" s="197"/>
      <c r="Y692" s="156"/>
    </row>
    <row r="693" ht="15.75" customHeight="1">
      <c r="B693" s="199"/>
      <c r="N693" s="152"/>
      <c r="Q693" s="195"/>
      <c r="S693" s="200"/>
      <c r="T693" s="200"/>
      <c r="U693" s="152"/>
      <c r="V693" s="152"/>
      <c r="W693" s="157"/>
      <c r="X693" s="197"/>
      <c r="Y693" s="156"/>
    </row>
    <row r="694" ht="15.75" customHeight="1">
      <c r="B694" s="199"/>
      <c r="N694" s="152"/>
      <c r="Q694" s="195"/>
      <c r="S694" s="200"/>
      <c r="T694" s="200"/>
      <c r="U694" s="152"/>
      <c r="V694" s="152"/>
      <c r="W694" s="157"/>
      <c r="X694" s="197"/>
      <c r="Y694" s="156"/>
    </row>
    <row r="695" ht="15.75" customHeight="1">
      <c r="B695" s="199"/>
      <c r="N695" s="152"/>
      <c r="Q695" s="195"/>
      <c r="S695" s="200"/>
      <c r="T695" s="200"/>
      <c r="U695" s="152"/>
      <c r="V695" s="152"/>
      <c r="W695" s="157"/>
      <c r="X695" s="197"/>
      <c r="Y695" s="156"/>
    </row>
    <row r="696" ht="15.75" customHeight="1">
      <c r="B696" s="199"/>
      <c r="N696" s="152"/>
      <c r="Q696" s="195"/>
      <c r="S696" s="200"/>
      <c r="T696" s="200"/>
      <c r="U696" s="152"/>
      <c r="V696" s="152"/>
      <c r="W696" s="157"/>
      <c r="X696" s="197"/>
      <c r="Y696" s="156"/>
    </row>
    <row r="697" ht="15.75" customHeight="1">
      <c r="B697" s="199"/>
      <c r="N697" s="152"/>
      <c r="Q697" s="195"/>
      <c r="S697" s="200"/>
      <c r="T697" s="200"/>
      <c r="U697" s="152"/>
      <c r="V697" s="152"/>
      <c r="W697" s="157"/>
      <c r="X697" s="197"/>
      <c r="Y697" s="156"/>
    </row>
    <row r="698" ht="15.75" customHeight="1">
      <c r="B698" s="199"/>
      <c r="N698" s="152"/>
      <c r="Q698" s="195"/>
      <c r="S698" s="200"/>
      <c r="T698" s="200"/>
      <c r="U698" s="152"/>
      <c r="V698" s="152"/>
      <c r="W698" s="157"/>
      <c r="X698" s="197"/>
      <c r="Y698" s="156"/>
    </row>
    <row r="699" ht="15.75" customHeight="1">
      <c r="B699" s="199"/>
      <c r="N699" s="152"/>
      <c r="Q699" s="195"/>
      <c r="S699" s="200"/>
      <c r="T699" s="200"/>
      <c r="U699" s="152"/>
      <c r="V699" s="152"/>
      <c r="W699" s="157"/>
      <c r="X699" s="197"/>
      <c r="Y699" s="156"/>
    </row>
    <row r="700" ht="15.75" customHeight="1">
      <c r="B700" s="199"/>
      <c r="N700" s="152"/>
      <c r="Q700" s="195"/>
      <c r="S700" s="200"/>
      <c r="T700" s="200"/>
      <c r="U700" s="152"/>
      <c r="V700" s="152"/>
      <c r="W700" s="157"/>
      <c r="X700" s="197"/>
      <c r="Y700" s="156"/>
    </row>
    <row r="701" ht="15.75" customHeight="1">
      <c r="B701" s="199"/>
      <c r="N701" s="152"/>
      <c r="Q701" s="195"/>
      <c r="S701" s="200"/>
      <c r="T701" s="200"/>
      <c r="U701" s="152"/>
      <c r="V701" s="152"/>
      <c r="W701" s="157"/>
      <c r="X701" s="197"/>
      <c r="Y701" s="156"/>
    </row>
    <row r="702" ht="15.75" customHeight="1">
      <c r="B702" s="199"/>
      <c r="N702" s="152"/>
      <c r="Q702" s="195"/>
      <c r="S702" s="200"/>
      <c r="T702" s="200"/>
      <c r="U702" s="152"/>
      <c r="V702" s="152"/>
      <c r="W702" s="157"/>
      <c r="X702" s="197"/>
      <c r="Y702" s="156"/>
    </row>
    <row r="703" ht="15.75" customHeight="1">
      <c r="B703" s="199"/>
      <c r="N703" s="152"/>
      <c r="Q703" s="195"/>
      <c r="S703" s="200"/>
      <c r="T703" s="200"/>
      <c r="U703" s="152"/>
      <c r="V703" s="152"/>
      <c r="W703" s="157"/>
      <c r="X703" s="197"/>
      <c r="Y703" s="156"/>
    </row>
    <row r="704" ht="15.75" customHeight="1">
      <c r="B704" s="199"/>
      <c r="N704" s="152"/>
      <c r="Q704" s="195"/>
      <c r="S704" s="200"/>
      <c r="T704" s="200"/>
      <c r="U704" s="152"/>
      <c r="V704" s="152"/>
      <c r="W704" s="157"/>
      <c r="X704" s="197"/>
      <c r="Y704" s="156"/>
    </row>
    <row r="705" ht="15.75" customHeight="1">
      <c r="B705" s="199"/>
      <c r="N705" s="152"/>
      <c r="Q705" s="195"/>
      <c r="S705" s="200"/>
      <c r="T705" s="200"/>
      <c r="U705" s="152"/>
      <c r="V705" s="152"/>
      <c r="W705" s="157"/>
      <c r="X705" s="197"/>
      <c r="Y705" s="156"/>
    </row>
    <row r="706" ht="15.75" customHeight="1">
      <c r="B706" s="199"/>
      <c r="N706" s="152"/>
      <c r="Q706" s="195"/>
      <c r="S706" s="200"/>
      <c r="T706" s="200"/>
      <c r="U706" s="152"/>
      <c r="V706" s="152"/>
      <c r="W706" s="157"/>
      <c r="X706" s="197"/>
      <c r="Y706" s="156"/>
    </row>
    <row r="707" ht="15.75" customHeight="1">
      <c r="B707" s="199"/>
      <c r="N707" s="152"/>
      <c r="Q707" s="195"/>
      <c r="S707" s="200"/>
      <c r="T707" s="200"/>
      <c r="U707" s="152"/>
      <c r="V707" s="152"/>
      <c r="W707" s="157"/>
      <c r="X707" s="197"/>
      <c r="Y707" s="156"/>
    </row>
    <row r="708" ht="15.75" customHeight="1">
      <c r="B708" s="199"/>
      <c r="N708" s="152"/>
      <c r="Q708" s="195"/>
      <c r="S708" s="200"/>
      <c r="T708" s="200"/>
      <c r="U708" s="152"/>
      <c r="V708" s="152"/>
      <c r="W708" s="157"/>
      <c r="X708" s="197"/>
      <c r="Y708" s="156"/>
    </row>
    <row r="709" ht="15.75" customHeight="1">
      <c r="B709" s="199"/>
      <c r="N709" s="152"/>
      <c r="Q709" s="195"/>
      <c r="S709" s="200"/>
      <c r="T709" s="200"/>
      <c r="U709" s="152"/>
      <c r="V709" s="152"/>
      <c r="W709" s="157"/>
      <c r="X709" s="197"/>
      <c r="Y709" s="156"/>
    </row>
    <row r="710" ht="15.75" customHeight="1">
      <c r="B710" s="199"/>
      <c r="N710" s="152"/>
      <c r="Q710" s="195"/>
      <c r="S710" s="200"/>
      <c r="T710" s="200"/>
      <c r="U710" s="152"/>
      <c r="V710" s="152"/>
      <c r="W710" s="157"/>
      <c r="X710" s="197"/>
      <c r="Y710" s="156"/>
    </row>
    <row r="711" ht="15.75" customHeight="1">
      <c r="B711" s="199"/>
      <c r="N711" s="152"/>
      <c r="Q711" s="195"/>
      <c r="S711" s="200"/>
      <c r="T711" s="200"/>
      <c r="U711" s="152"/>
      <c r="V711" s="152"/>
      <c r="W711" s="157"/>
      <c r="X711" s="197"/>
      <c r="Y711" s="156"/>
    </row>
    <row r="712" ht="15.75" customHeight="1">
      <c r="B712" s="199"/>
      <c r="N712" s="152"/>
      <c r="Q712" s="195"/>
      <c r="S712" s="200"/>
      <c r="T712" s="200"/>
      <c r="U712" s="152"/>
      <c r="V712" s="152"/>
      <c r="W712" s="157"/>
      <c r="X712" s="197"/>
      <c r="Y712" s="156"/>
    </row>
    <row r="713" ht="15.75" customHeight="1">
      <c r="B713" s="199"/>
      <c r="N713" s="152"/>
      <c r="Q713" s="195"/>
      <c r="S713" s="200"/>
      <c r="T713" s="200"/>
      <c r="U713" s="152"/>
      <c r="V713" s="152"/>
      <c r="W713" s="157"/>
      <c r="X713" s="197"/>
      <c r="Y713" s="156"/>
    </row>
    <row r="714" ht="15.75" customHeight="1">
      <c r="B714" s="199"/>
      <c r="N714" s="152"/>
      <c r="Q714" s="195"/>
      <c r="S714" s="200"/>
      <c r="T714" s="200"/>
      <c r="U714" s="152"/>
      <c r="V714" s="152"/>
      <c r="W714" s="157"/>
      <c r="X714" s="197"/>
      <c r="Y714" s="156"/>
    </row>
    <row r="715" ht="15.75" customHeight="1">
      <c r="B715" s="199"/>
      <c r="N715" s="152"/>
      <c r="Q715" s="195"/>
      <c r="S715" s="200"/>
      <c r="T715" s="200"/>
      <c r="U715" s="152"/>
      <c r="V715" s="152"/>
      <c r="W715" s="157"/>
      <c r="X715" s="197"/>
      <c r="Y715" s="156"/>
    </row>
    <row r="716" ht="15.75" customHeight="1">
      <c r="B716" s="199"/>
      <c r="N716" s="152"/>
      <c r="Q716" s="195"/>
      <c r="S716" s="200"/>
      <c r="T716" s="200"/>
      <c r="U716" s="152"/>
      <c r="V716" s="152"/>
      <c r="W716" s="157"/>
      <c r="X716" s="197"/>
      <c r="Y716" s="156"/>
    </row>
    <row r="717" ht="15.75" customHeight="1">
      <c r="B717" s="199"/>
      <c r="N717" s="152"/>
      <c r="Q717" s="195"/>
      <c r="S717" s="200"/>
      <c r="T717" s="200"/>
      <c r="U717" s="152"/>
      <c r="V717" s="152"/>
      <c r="W717" s="157"/>
      <c r="X717" s="197"/>
      <c r="Y717" s="156"/>
    </row>
    <row r="718" ht="15.75" customHeight="1">
      <c r="B718" s="199"/>
      <c r="N718" s="152"/>
      <c r="Q718" s="195"/>
      <c r="S718" s="200"/>
      <c r="T718" s="200"/>
      <c r="U718" s="152"/>
      <c r="V718" s="152"/>
      <c r="W718" s="157"/>
      <c r="X718" s="197"/>
      <c r="Y718" s="156"/>
    </row>
    <row r="719" ht="15.75" customHeight="1">
      <c r="B719" s="199"/>
      <c r="N719" s="152"/>
      <c r="Q719" s="195"/>
      <c r="S719" s="200"/>
      <c r="T719" s="200"/>
      <c r="U719" s="152"/>
      <c r="V719" s="152"/>
      <c r="W719" s="157"/>
      <c r="X719" s="197"/>
      <c r="Y719" s="156"/>
    </row>
    <row r="720" ht="15.75" customHeight="1">
      <c r="B720" s="199"/>
      <c r="N720" s="152"/>
      <c r="Q720" s="195"/>
      <c r="S720" s="200"/>
      <c r="T720" s="200"/>
      <c r="U720" s="152"/>
      <c r="V720" s="152"/>
      <c r="W720" s="157"/>
      <c r="X720" s="197"/>
      <c r="Y720" s="156"/>
    </row>
    <row r="721" ht="15.75" customHeight="1">
      <c r="B721" s="199"/>
      <c r="N721" s="152"/>
      <c r="Q721" s="195"/>
      <c r="S721" s="200"/>
      <c r="T721" s="200"/>
      <c r="U721" s="152"/>
      <c r="V721" s="152"/>
      <c r="W721" s="157"/>
      <c r="X721" s="197"/>
      <c r="Y721" s="156"/>
    </row>
    <row r="722" ht="15.75" customHeight="1">
      <c r="B722" s="199"/>
      <c r="N722" s="152"/>
      <c r="Q722" s="195"/>
      <c r="S722" s="200"/>
      <c r="T722" s="200"/>
      <c r="U722" s="152"/>
      <c r="V722" s="152"/>
      <c r="W722" s="157"/>
      <c r="X722" s="197"/>
      <c r="Y722" s="156"/>
    </row>
    <row r="723" ht="15.75" customHeight="1">
      <c r="B723" s="199"/>
      <c r="N723" s="152"/>
      <c r="Q723" s="195"/>
      <c r="S723" s="200"/>
      <c r="T723" s="200"/>
      <c r="U723" s="152"/>
      <c r="V723" s="152"/>
      <c r="W723" s="157"/>
      <c r="X723" s="197"/>
      <c r="Y723" s="156"/>
    </row>
    <row r="724" ht="15.75" customHeight="1">
      <c r="B724" s="199"/>
      <c r="N724" s="152"/>
      <c r="Q724" s="195"/>
      <c r="S724" s="200"/>
      <c r="T724" s="200"/>
      <c r="U724" s="152"/>
      <c r="V724" s="152"/>
      <c r="W724" s="157"/>
      <c r="X724" s="197"/>
      <c r="Y724" s="156"/>
    </row>
    <row r="725" ht="15.75" customHeight="1">
      <c r="B725" s="199"/>
      <c r="N725" s="152"/>
      <c r="Q725" s="195"/>
      <c r="S725" s="200"/>
      <c r="T725" s="200"/>
      <c r="U725" s="152"/>
      <c r="V725" s="152"/>
      <c r="W725" s="157"/>
      <c r="X725" s="197"/>
      <c r="Y725" s="156"/>
    </row>
    <row r="726" ht="15.75" customHeight="1">
      <c r="B726" s="199"/>
      <c r="N726" s="152"/>
      <c r="Q726" s="195"/>
      <c r="S726" s="200"/>
      <c r="T726" s="200"/>
      <c r="U726" s="152"/>
      <c r="V726" s="152"/>
      <c r="W726" s="157"/>
      <c r="X726" s="197"/>
      <c r="Y726" s="156"/>
    </row>
    <row r="727" ht="15.75" customHeight="1">
      <c r="B727" s="199"/>
      <c r="N727" s="152"/>
      <c r="Q727" s="195"/>
      <c r="S727" s="200"/>
      <c r="T727" s="200"/>
      <c r="U727" s="152"/>
      <c r="V727" s="152"/>
      <c r="W727" s="157"/>
      <c r="X727" s="197"/>
      <c r="Y727" s="156"/>
    </row>
    <row r="728" ht="15.75" customHeight="1">
      <c r="B728" s="199"/>
      <c r="N728" s="152"/>
      <c r="Q728" s="195"/>
      <c r="S728" s="200"/>
      <c r="T728" s="200"/>
      <c r="U728" s="152"/>
      <c r="V728" s="152"/>
      <c r="W728" s="157"/>
      <c r="X728" s="197"/>
      <c r="Y728" s="156"/>
    </row>
    <row r="729" ht="15.75" customHeight="1">
      <c r="B729" s="199"/>
      <c r="N729" s="152"/>
      <c r="Q729" s="195"/>
      <c r="S729" s="200"/>
      <c r="T729" s="200"/>
      <c r="U729" s="152"/>
      <c r="V729" s="152"/>
      <c r="W729" s="157"/>
      <c r="X729" s="197"/>
      <c r="Y729" s="156"/>
    </row>
    <row r="730" ht="15.75" customHeight="1">
      <c r="B730" s="199"/>
      <c r="N730" s="152"/>
      <c r="Q730" s="195"/>
      <c r="S730" s="200"/>
      <c r="T730" s="200"/>
      <c r="U730" s="152"/>
      <c r="V730" s="152"/>
      <c r="W730" s="157"/>
      <c r="X730" s="197"/>
      <c r="Y730" s="156"/>
    </row>
    <row r="731" ht="15.75" customHeight="1">
      <c r="B731" s="199"/>
      <c r="N731" s="152"/>
      <c r="Q731" s="195"/>
      <c r="S731" s="200"/>
      <c r="T731" s="200"/>
      <c r="U731" s="152"/>
      <c r="V731" s="152"/>
      <c r="W731" s="157"/>
      <c r="X731" s="197"/>
      <c r="Y731" s="156"/>
    </row>
    <row r="732" ht="15.75" customHeight="1">
      <c r="B732" s="199"/>
      <c r="N732" s="152"/>
      <c r="Q732" s="195"/>
      <c r="S732" s="200"/>
      <c r="T732" s="200"/>
      <c r="U732" s="152"/>
      <c r="V732" s="152"/>
      <c r="W732" s="157"/>
      <c r="X732" s="197"/>
      <c r="Y732" s="156"/>
    </row>
    <row r="733" ht="15.75" customHeight="1">
      <c r="B733" s="199"/>
      <c r="N733" s="152"/>
      <c r="Q733" s="195"/>
      <c r="S733" s="200"/>
      <c r="T733" s="200"/>
      <c r="U733" s="152"/>
      <c r="V733" s="152"/>
      <c r="W733" s="157"/>
      <c r="X733" s="197"/>
      <c r="Y733" s="156"/>
    </row>
    <row r="734" ht="15.75" customHeight="1">
      <c r="B734" s="199"/>
      <c r="N734" s="152"/>
      <c r="Q734" s="195"/>
      <c r="S734" s="200"/>
      <c r="T734" s="200"/>
      <c r="U734" s="152"/>
      <c r="V734" s="152"/>
      <c r="W734" s="157"/>
      <c r="X734" s="197"/>
      <c r="Y734" s="156"/>
    </row>
    <row r="735" ht="15.75" customHeight="1">
      <c r="B735" s="199"/>
      <c r="N735" s="152"/>
      <c r="Q735" s="195"/>
      <c r="S735" s="200"/>
      <c r="T735" s="200"/>
      <c r="U735" s="152"/>
      <c r="V735" s="152"/>
      <c r="W735" s="157"/>
      <c r="X735" s="197"/>
      <c r="Y735" s="156"/>
    </row>
    <row r="736" ht="15.75" customHeight="1">
      <c r="B736" s="199"/>
      <c r="N736" s="152"/>
      <c r="Q736" s="195"/>
      <c r="S736" s="200"/>
      <c r="T736" s="200"/>
      <c r="U736" s="152"/>
      <c r="V736" s="152"/>
      <c r="W736" s="157"/>
      <c r="X736" s="197"/>
      <c r="Y736" s="156"/>
    </row>
    <row r="737" ht="15.75" customHeight="1">
      <c r="B737" s="199"/>
      <c r="N737" s="152"/>
      <c r="Q737" s="195"/>
      <c r="S737" s="200"/>
      <c r="T737" s="200"/>
      <c r="U737" s="152"/>
      <c r="V737" s="152"/>
      <c r="W737" s="157"/>
      <c r="X737" s="197"/>
      <c r="Y737" s="156"/>
    </row>
    <row r="738" ht="15.75" customHeight="1">
      <c r="B738" s="199"/>
      <c r="N738" s="152"/>
      <c r="Q738" s="195"/>
      <c r="S738" s="200"/>
      <c r="T738" s="200"/>
      <c r="U738" s="152"/>
      <c r="V738" s="152"/>
      <c r="W738" s="157"/>
      <c r="X738" s="197"/>
      <c r="Y738" s="156"/>
    </row>
    <row r="739" ht="15.75" customHeight="1">
      <c r="B739" s="199"/>
      <c r="N739" s="152"/>
      <c r="Q739" s="195"/>
      <c r="S739" s="200"/>
      <c r="T739" s="200"/>
      <c r="U739" s="152"/>
      <c r="V739" s="152"/>
      <c r="W739" s="157"/>
      <c r="X739" s="197"/>
      <c r="Y739" s="156"/>
    </row>
    <row r="740" ht="15.75" customHeight="1">
      <c r="B740" s="199"/>
      <c r="N740" s="152"/>
      <c r="Q740" s="195"/>
      <c r="S740" s="200"/>
      <c r="T740" s="200"/>
      <c r="U740" s="152"/>
      <c r="V740" s="152"/>
      <c r="W740" s="157"/>
      <c r="X740" s="197"/>
      <c r="Y740" s="156"/>
    </row>
    <row r="741" ht="15.75" customHeight="1">
      <c r="B741" s="199"/>
      <c r="N741" s="152"/>
      <c r="Q741" s="195"/>
      <c r="S741" s="200"/>
      <c r="T741" s="200"/>
      <c r="U741" s="152"/>
      <c r="V741" s="152"/>
      <c r="W741" s="157"/>
      <c r="X741" s="197"/>
      <c r="Y741" s="156"/>
    </row>
    <row r="742" ht="15.75" customHeight="1">
      <c r="B742" s="199"/>
      <c r="N742" s="152"/>
      <c r="Q742" s="195"/>
      <c r="S742" s="200"/>
      <c r="T742" s="200"/>
      <c r="U742" s="152"/>
      <c r="V742" s="152"/>
      <c r="W742" s="157"/>
      <c r="X742" s="197"/>
      <c r="Y742" s="156"/>
    </row>
    <row r="743" ht="15.75" customHeight="1">
      <c r="B743" s="199"/>
      <c r="N743" s="152"/>
      <c r="Q743" s="195"/>
      <c r="S743" s="200"/>
      <c r="T743" s="200"/>
      <c r="U743" s="152"/>
      <c r="V743" s="152"/>
      <c r="W743" s="157"/>
      <c r="X743" s="197"/>
      <c r="Y743" s="156"/>
    </row>
    <row r="744" ht="15.75" customHeight="1">
      <c r="B744" s="199"/>
      <c r="N744" s="152"/>
      <c r="Q744" s="195"/>
      <c r="S744" s="200"/>
      <c r="T744" s="200"/>
      <c r="U744" s="152"/>
      <c r="V744" s="152"/>
      <c r="W744" s="157"/>
      <c r="X744" s="197"/>
      <c r="Y744" s="156"/>
    </row>
    <row r="745" ht="15.75" customHeight="1">
      <c r="B745" s="199"/>
      <c r="N745" s="152"/>
      <c r="Q745" s="195"/>
      <c r="S745" s="200"/>
      <c r="T745" s="200"/>
      <c r="U745" s="152"/>
      <c r="V745" s="152"/>
      <c r="W745" s="157"/>
      <c r="X745" s="197"/>
      <c r="Y745" s="156"/>
    </row>
    <row r="746" ht="15.75" customHeight="1">
      <c r="B746" s="199"/>
      <c r="N746" s="152"/>
      <c r="Q746" s="195"/>
      <c r="S746" s="200"/>
      <c r="T746" s="200"/>
      <c r="U746" s="152"/>
      <c r="V746" s="152"/>
      <c r="W746" s="157"/>
      <c r="X746" s="197"/>
      <c r="Y746" s="156"/>
    </row>
    <row r="747" ht="15.75" customHeight="1">
      <c r="B747" s="199"/>
      <c r="N747" s="152"/>
      <c r="Q747" s="195"/>
      <c r="S747" s="200"/>
      <c r="T747" s="200"/>
      <c r="U747" s="152"/>
      <c r="V747" s="152"/>
      <c r="W747" s="157"/>
      <c r="X747" s="197"/>
      <c r="Y747" s="156"/>
    </row>
    <row r="748" ht="15.75" customHeight="1">
      <c r="B748" s="199"/>
      <c r="N748" s="152"/>
      <c r="Q748" s="195"/>
      <c r="S748" s="200"/>
      <c r="T748" s="200"/>
      <c r="U748" s="152"/>
      <c r="V748" s="152"/>
      <c r="W748" s="157"/>
      <c r="X748" s="197"/>
      <c r="Y748" s="156"/>
    </row>
    <row r="749" ht="15.75" customHeight="1">
      <c r="B749" s="199"/>
      <c r="N749" s="152"/>
      <c r="Q749" s="195"/>
      <c r="S749" s="200"/>
      <c r="T749" s="200"/>
      <c r="U749" s="152"/>
      <c r="V749" s="152"/>
      <c r="W749" s="157"/>
      <c r="X749" s="197"/>
      <c r="Y749" s="156"/>
    </row>
    <row r="750" ht="15.75" customHeight="1">
      <c r="B750" s="199"/>
      <c r="N750" s="152"/>
      <c r="Q750" s="195"/>
      <c r="S750" s="200"/>
      <c r="T750" s="200"/>
      <c r="U750" s="152"/>
      <c r="V750" s="152"/>
      <c r="W750" s="157"/>
      <c r="X750" s="197"/>
      <c r="Y750" s="156"/>
    </row>
    <row r="751" ht="15.75" customHeight="1">
      <c r="B751" s="199"/>
      <c r="N751" s="152"/>
      <c r="Q751" s="195"/>
      <c r="S751" s="200"/>
      <c r="T751" s="200"/>
      <c r="U751" s="152"/>
      <c r="V751" s="152"/>
      <c r="W751" s="157"/>
      <c r="X751" s="197"/>
      <c r="Y751" s="156"/>
    </row>
    <row r="752" ht="15.75" customHeight="1">
      <c r="B752" s="199"/>
      <c r="N752" s="152"/>
      <c r="Q752" s="195"/>
      <c r="S752" s="200"/>
      <c r="T752" s="200"/>
      <c r="U752" s="152"/>
      <c r="V752" s="152"/>
      <c r="W752" s="157"/>
      <c r="X752" s="197"/>
      <c r="Y752" s="156"/>
    </row>
    <row r="753" ht="15.75" customHeight="1">
      <c r="B753" s="199"/>
      <c r="N753" s="152"/>
      <c r="Q753" s="195"/>
      <c r="S753" s="200"/>
      <c r="T753" s="200"/>
      <c r="U753" s="152"/>
      <c r="V753" s="152"/>
      <c r="W753" s="157"/>
      <c r="X753" s="197"/>
      <c r="Y753" s="156"/>
    </row>
    <row r="754" ht="15.75" customHeight="1">
      <c r="B754" s="199"/>
      <c r="N754" s="152"/>
      <c r="Q754" s="195"/>
      <c r="S754" s="200"/>
      <c r="T754" s="200"/>
      <c r="U754" s="152"/>
      <c r="V754" s="152"/>
      <c r="W754" s="157"/>
      <c r="X754" s="197"/>
      <c r="Y754" s="156"/>
    </row>
    <row r="755" ht="15.75" customHeight="1">
      <c r="B755" s="199"/>
      <c r="N755" s="152"/>
      <c r="Q755" s="195"/>
      <c r="S755" s="200"/>
      <c r="T755" s="200"/>
      <c r="U755" s="152"/>
      <c r="V755" s="152"/>
      <c r="W755" s="157"/>
      <c r="X755" s="197"/>
      <c r="Y755" s="156"/>
    </row>
    <row r="756" ht="15.75" customHeight="1">
      <c r="B756" s="199"/>
      <c r="N756" s="152"/>
      <c r="Q756" s="195"/>
      <c r="S756" s="200"/>
      <c r="T756" s="200"/>
      <c r="U756" s="152"/>
      <c r="V756" s="152"/>
      <c r="W756" s="157"/>
      <c r="X756" s="197"/>
      <c r="Y756" s="156"/>
    </row>
    <row r="757" ht="15.75" customHeight="1">
      <c r="B757" s="199"/>
      <c r="N757" s="152"/>
      <c r="Q757" s="195"/>
      <c r="S757" s="200"/>
      <c r="T757" s="200"/>
      <c r="U757" s="152"/>
      <c r="V757" s="152"/>
      <c r="W757" s="157"/>
      <c r="X757" s="197"/>
      <c r="Y757" s="156"/>
    </row>
    <row r="758" ht="15.75" customHeight="1">
      <c r="B758" s="199"/>
      <c r="N758" s="152"/>
      <c r="Q758" s="195"/>
      <c r="S758" s="200"/>
      <c r="T758" s="200"/>
      <c r="U758" s="152"/>
      <c r="V758" s="152"/>
      <c r="W758" s="157"/>
      <c r="X758" s="197"/>
      <c r="Y758" s="156"/>
    </row>
    <row r="759" ht="15.75" customHeight="1">
      <c r="B759" s="199"/>
      <c r="N759" s="152"/>
      <c r="Q759" s="195"/>
      <c r="S759" s="200"/>
      <c r="T759" s="200"/>
      <c r="U759" s="152"/>
      <c r="V759" s="152"/>
      <c r="W759" s="157"/>
      <c r="X759" s="197"/>
      <c r="Y759" s="156"/>
    </row>
    <row r="760" ht="15.75" customHeight="1">
      <c r="B760" s="199"/>
      <c r="N760" s="152"/>
      <c r="Q760" s="195"/>
      <c r="S760" s="200"/>
      <c r="T760" s="200"/>
      <c r="U760" s="152"/>
      <c r="V760" s="152"/>
      <c r="W760" s="157"/>
      <c r="X760" s="197"/>
      <c r="Y760" s="156"/>
    </row>
    <row r="761" ht="15.75" customHeight="1">
      <c r="B761" s="199"/>
      <c r="N761" s="152"/>
      <c r="Q761" s="195"/>
      <c r="S761" s="200"/>
      <c r="T761" s="200"/>
      <c r="U761" s="152"/>
      <c r="V761" s="152"/>
      <c r="W761" s="157"/>
      <c r="X761" s="197"/>
      <c r="Y761" s="156"/>
    </row>
    <row r="762" ht="15.75" customHeight="1">
      <c r="B762" s="199"/>
      <c r="N762" s="152"/>
      <c r="Q762" s="195"/>
      <c r="S762" s="200"/>
      <c r="T762" s="200"/>
      <c r="U762" s="152"/>
      <c r="V762" s="152"/>
      <c r="W762" s="157"/>
      <c r="X762" s="197"/>
      <c r="Y762" s="156"/>
    </row>
    <row r="763" ht="15.75" customHeight="1">
      <c r="B763" s="199"/>
      <c r="N763" s="152"/>
      <c r="Q763" s="195"/>
      <c r="S763" s="200"/>
      <c r="T763" s="200"/>
      <c r="U763" s="152"/>
      <c r="V763" s="152"/>
      <c r="W763" s="157"/>
      <c r="X763" s="197"/>
      <c r="Y763" s="156"/>
    </row>
    <row r="764" ht="15.75" customHeight="1">
      <c r="B764" s="199"/>
      <c r="N764" s="152"/>
      <c r="Q764" s="195"/>
      <c r="S764" s="200"/>
      <c r="T764" s="200"/>
      <c r="U764" s="152"/>
      <c r="V764" s="152"/>
      <c r="W764" s="157"/>
      <c r="X764" s="197"/>
      <c r="Y764" s="156"/>
    </row>
    <row r="765" ht="15.75" customHeight="1">
      <c r="B765" s="199"/>
      <c r="N765" s="152"/>
      <c r="Q765" s="195"/>
      <c r="S765" s="200"/>
      <c r="T765" s="200"/>
      <c r="U765" s="152"/>
      <c r="V765" s="152"/>
      <c r="W765" s="157"/>
      <c r="X765" s="197"/>
      <c r="Y765" s="156"/>
    </row>
    <row r="766" ht="15.75" customHeight="1">
      <c r="B766" s="199"/>
      <c r="N766" s="152"/>
      <c r="Q766" s="195"/>
      <c r="S766" s="200"/>
      <c r="T766" s="200"/>
      <c r="U766" s="152"/>
      <c r="V766" s="152"/>
      <c r="W766" s="157"/>
      <c r="X766" s="197"/>
      <c r="Y766" s="156"/>
    </row>
    <row r="767" ht="15.75" customHeight="1">
      <c r="B767" s="199"/>
      <c r="N767" s="152"/>
      <c r="Q767" s="195"/>
      <c r="S767" s="200"/>
      <c r="T767" s="200"/>
      <c r="U767" s="152"/>
      <c r="V767" s="152"/>
      <c r="W767" s="157"/>
      <c r="X767" s="197"/>
      <c r="Y767" s="156"/>
    </row>
    <row r="768" ht="15.75" customHeight="1">
      <c r="B768" s="199"/>
      <c r="N768" s="152"/>
      <c r="Q768" s="195"/>
      <c r="S768" s="200"/>
      <c r="T768" s="200"/>
      <c r="U768" s="152"/>
      <c r="V768" s="152"/>
      <c r="W768" s="157"/>
      <c r="X768" s="197"/>
      <c r="Y768" s="156"/>
    </row>
    <row r="769" ht="15.75" customHeight="1">
      <c r="B769" s="199"/>
      <c r="N769" s="152"/>
      <c r="Q769" s="195"/>
      <c r="S769" s="200"/>
      <c r="T769" s="200"/>
      <c r="U769" s="152"/>
      <c r="V769" s="152"/>
      <c r="W769" s="157"/>
      <c r="X769" s="197"/>
      <c r="Y769" s="156"/>
    </row>
    <row r="770" ht="15.75" customHeight="1">
      <c r="B770" s="199"/>
      <c r="N770" s="152"/>
      <c r="Q770" s="195"/>
      <c r="S770" s="200"/>
      <c r="T770" s="200"/>
      <c r="U770" s="152"/>
      <c r="V770" s="152"/>
      <c r="W770" s="157"/>
      <c r="X770" s="197"/>
      <c r="Y770" s="156"/>
    </row>
    <row r="771" ht="15.75" customHeight="1">
      <c r="B771" s="199"/>
      <c r="N771" s="152"/>
      <c r="Q771" s="195"/>
      <c r="S771" s="200"/>
      <c r="T771" s="200"/>
      <c r="U771" s="152"/>
      <c r="V771" s="152"/>
      <c r="W771" s="157"/>
      <c r="X771" s="197"/>
      <c r="Y771" s="156"/>
    </row>
    <row r="772" ht="15.75" customHeight="1">
      <c r="B772" s="199"/>
      <c r="N772" s="152"/>
      <c r="Q772" s="195"/>
      <c r="S772" s="200"/>
      <c r="T772" s="200"/>
      <c r="U772" s="152"/>
      <c r="V772" s="152"/>
      <c r="W772" s="157"/>
      <c r="X772" s="197"/>
      <c r="Y772" s="156"/>
    </row>
    <row r="773" ht="15.75" customHeight="1">
      <c r="B773" s="199"/>
      <c r="N773" s="152"/>
      <c r="Q773" s="195"/>
      <c r="S773" s="200"/>
      <c r="T773" s="200"/>
      <c r="U773" s="152"/>
      <c r="V773" s="152"/>
      <c r="W773" s="157"/>
      <c r="X773" s="197"/>
      <c r="Y773" s="156"/>
    </row>
    <row r="774" ht="15.75" customHeight="1">
      <c r="B774" s="199"/>
      <c r="N774" s="152"/>
      <c r="Q774" s="195"/>
      <c r="S774" s="200"/>
      <c r="T774" s="200"/>
      <c r="U774" s="152"/>
      <c r="V774" s="152"/>
      <c r="W774" s="157"/>
      <c r="X774" s="197"/>
      <c r="Y774" s="156"/>
    </row>
    <row r="775" ht="15.75" customHeight="1">
      <c r="B775" s="199"/>
      <c r="N775" s="152"/>
      <c r="Q775" s="195"/>
      <c r="S775" s="200"/>
      <c r="T775" s="200"/>
      <c r="U775" s="152"/>
      <c r="V775" s="152"/>
      <c r="W775" s="157"/>
      <c r="X775" s="197"/>
      <c r="Y775" s="156"/>
    </row>
    <row r="776" ht="15.75" customHeight="1">
      <c r="B776" s="199"/>
      <c r="N776" s="152"/>
      <c r="Q776" s="195"/>
      <c r="S776" s="200"/>
      <c r="T776" s="200"/>
      <c r="U776" s="152"/>
      <c r="V776" s="152"/>
      <c r="W776" s="157"/>
      <c r="X776" s="197"/>
      <c r="Y776" s="156"/>
    </row>
    <row r="777" ht="15.75" customHeight="1">
      <c r="B777" s="199"/>
      <c r="N777" s="152"/>
      <c r="Q777" s="195"/>
      <c r="S777" s="200"/>
      <c r="T777" s="200"/>
      <c r="U777" s="152"/>
      <c r="V777" s="152"/>
      <c r="W777" s="157"/>
      <c r="X777" s="197"/>
      <c r="Y777" s="156"/>
    </row>
    <row r="778" ht="15.75" customHeight="1">
      <c r="B778" s="199"/>
      <c r="N778" s="152"/>
      <c r="Q778" s="195"/>
      <c r="S778" s="200"/>
      <c r="T778" s="200"/>
      <c r="U778" s="152"/>
      <c r="V778" s="152"/>
      <c r="W778" s="157"/>
      <c r="X778" s="197"/>
      <c r="Y778" s="156"/>
    </row>
    <row r="779" ht="15.75" customHeight="1">
      <c r="B779" s="199"/>
      <c r="N779" s="152"/>
      <c r="Q779" s="195"/>
      <c r="S779" s="200"/>
      <c r="T779" s="200"/>
      <c r="U779" s="152"/>
      <c r="V779" s="152"/>
      <c r="W779" s="157"/>
      <c r="X779" s="197"/>
      <c r="Y779" s="156"/>
    </row>
    <row r="780" ht="15.75" customHeight="1">
      <c r="B780" s="199"/>
      <c r="N780" s="152"/>
      <c r="Q780" s="195"/>
      <c r="S780" s="200"/>
      <c r="T780" s="200"/>
      <c r="U780" s="152"/>
      <c r="V780" s="152"/>
      <c r="W780" s="157"/>
      <c r="X780" s="197"/>
      <c r="Y780" s="156"/>
    </row>
    <row r="781" ht="15.75" customHeight="1">
      <c r="B781" s="199"/>
      <c r="N781" s="152"/>
      <c r="Q781" s="195"/>
      <c r="S781" s="200"/>
      <c r="T781" s="200"/>
      <c r="U781" s="152"/>
      <c r="V781" s="152"/>
      <c r="W781" s="157"/>
      <c r="X781" s="197"/>
      <c r="Y781" s="156"/>
    </row>
    <row r="782" ht="15.75" customHeight="1">
      <c r="B782" s="199"/>
      <c r="N782" s="152"/>
      <c r="Q782" s="195"/>
      <c r="S782" s="200"/>
      <c r="T782" s="200"/>
      <c r="U782" s="152"/>
      <c r="V782" s="152"/>
      <c r="W782" s="157"/>
      <c r="X782" s="197"/>
      <c r="Y782" s="156"/>
    </row>
    <row r="783" ht="15.75" customHeight="1">
      <c r="B783" s="199"/>
      <c r="N783" s="152"/>
      <c r="Q783" s="195"/>
      <c r="S783" s="200"/>
      <c r="T783" s="200"/>
      <c r="U783" s="152"/>
      <c r="V783" s="152"/>
      <c r="W783" s="157"/>
      <c r="X783" s="197"/>
      <c r="Y783" s="156"/>
    </row>
    <row r="784" ht="15.75" customHeight="1">
      <c r="B784" s="199"/>
      <c r="N784" s="152"/>
      <c r="Q784" s="195"/>
      <c r="S784" s="200"/>
      <c r="T784" s="200"/>
      <c r="U784" s="152"/>
      <c r="V784" s="152"/>
      <c r="W784" s="157"/>
      <c r="X784" s="197"/>
      <c r="Y784" s="156"/>
    </row>
    <row r="785" ht="15.75" customHeight="1">
      <c r="B785" s="199"/>
      <c r="N785" s="152"/>
      <c r="Q785" s="195"/>
      <c r="S785" s="200"/>
      <c r="T785" s="200"/>
      <c r="U785" s="152"/>
      <c r="V785" s="152"/>
      <c r="W785" s="157"/>
      <c r="X785" s="197"/>
      <c r="Y785" s="156"/>
    </row>
    <row r="786" ht="15.75" customHeight="1">
      <c r="B786" s="199"/>
      <c r="N786" s="152"/>
      <c r="Q786" s="195"/>
      <c r="S786" s="200"/>
      <c r="T786" s="200"/>
      <c r="U786" s="152"/>
      <c r="V786" s="152"/>
      <c r="W786" s="157"/>
      <c r="X786" s="197"/>
      <c r="Y786" s="156"/>
    </row>
    <row r="787" ht="15.75" customHeight="1">
      <c r="B787" s="199"/>
      <c r="N787" s="152"/>
      <c r="Q787" s="195"/>
      <c r="S787" s="200"/>
      <c r="T787" s="200"/>
      <c r="U787" s="152"/>
      <c r="V787" s="152"/>
      <c r="W787" s="157"/>
      <c r="X787" s="197"/>
      <c r="Y787" s="156"/>
    </row>
    <row r="788" ht="15.75" customHeight="1">
      <c r="B788" s="199"/>
      <c r="N788" s="152"/>
      <c r="Q788" s="195"/>
      <c r="S788" s="200"/>
      <c r="T788" s="200"/>
      <c r="U788" s="152"/>
      <c r="V788" s="152"/>
      <c r="W788" s="157"/>
      <c r="X788" s="197"/>
      <c r="Y788" s="156"/>
    </row>
    <row r="789" ht="15.75" customHeight="1">
      <c r="B789" s="199"/>
      <c r="N789" s="152"/>
      <c r="Q789" s="195"/>
      <c r="S789" s="200"/>
      <c r="T789" s="200"/>
      <c r="U789" s="152"/>
      <c r="V789" s="152"/>
      <c r="W789" s="157"/>
      <c r="X789" s="197"/>
      <c r="Y789" s="156"/>
    </row>
    <row r="790" ht="15.75" customHeight="1">
      <c r="B790" s="199"/>
      <c r="N790" s="152"/>
      <c r="Q790" s="195"/>
      <c r="S790" s="200"/>
      <c r="T790" s="200"/>
      <c r="U790" s="152"/>
      <c r="V790" s="152"/>
      <c r="W790" s="157"/>
      <c r="X790" s="197"/>
      <c r="Y790" s="156"/>
    </row>
    <row r="791" ht="15.75" customHeight="1">
      <c r="B791" s="199"/>
      <c r="N791" s="152"/>
      <c r="Q791" s="195"/>
      <c r="S791" s="200"/>
      <c r="T791" s="200"/>
      <c r="U791" s="152"/>
      <c r="V791" s="152"/>
      <c r="W791" s="157"/>
      <c r="X791" s="197"/>
      <c r="Y791" s="156"/>
    </row>
    <row r="792" ht="15.75" customHeight="1">
      <c r="B792" s="199"/>
      <c r="N792" s="152"/>
      <c r="Q792" s="195"/>
      <c r="S792" s="200"/>
      <c r="T792" s="200"/>
      <c r="U792" s="152"/>
      <c r="V792" s="152"/>
      <c r="W792" s="157"/>
      <c r="X792" s="197"/>
      <c r="Y792" s="156"/>
    </row>
    <row r="793" ht="15.75" customHeight="1">
      <c r="B793" s="199"/>
      <c r="N793" s="152"/>
      <c r="Q793" s="195"/>
      <c r="S793" s="200"/>
      <c r="T793" s="200"/>
      <c r="U793" s="152"/>
      <c r="V793" s="152"/>
      <c r="W793" s="157"/>
      <c r="X793" s="197"/>
      <c r="Y793" s="156"/>
    </row>
    <row r="794" ht="15.75" customHeight="1">
      <c r="B794" s="199"/>
      <c r="N794" s="152"/>
      <c r="Q794" s="195"/>
      <c r="S794" s="200"/>
      <c r="T794" s="200"/>
      <c r="U794" s="152"/>
      <c r="V794" s="152"/>
      <c r="W794" s="157"/>
      <c r="X794" s="197"/>
      <c r="Y794" s="156"/>
    </row>
    <row r="795" ht="15.75" customHeight="1">
      <c r="B795" s="199"/>
      <c r="N795" s="152"/>
      <c r="Q795" s="195"/>
      <c r="S795" s="200"/>
      <c r="T795" s="200"/>
      <c r="U795" s="152"/>
      <c r="V795" s="152"/>
      <c r="W795" s="157"/>
      <c r="X795" s="197"/>
      <c r="Y795" s="156"/>
    </row>
    <row r="796" ht="15.75" customHeight="1">
      <c r="B796" s="199"/>
      <c r="N796" s="152"/>
      <c r="Q796" s="195"/>
      <c r="S796" s="200"/>
      <c r="T796" s="200"/>
      <c r="U796" s="152"/>
      <c r="V796" s="152"/>
      <c r="W796" s="157"/>
      <c r="X796" s="197"/>
      <c r="Y796" s="156"/>
    </row>
    <row r="797" ht="15.75" customHeight="1">
      <c r="B797" s="199"/>
      <c r="N797" s="152"/>
      <c r="Q797" s="195"/>
      <c r="S797" s="200"/>
      <c r="T797" s="200"/>
      <c r="U797" s="152"/>
      <c r="V797" s="152"/>
      <c r="W797" s="157"/>
      <c r="X797" s="197"/>
      <c r="Y797" s="156"/>
    </row>
    <row r="798" ht="15.75" customHeight="1">
      <c r="B798" s="199"/>
      <c r="N798" s="152"/>
      <c r="Q798" s="195"/>
      <c r="S798" s="200"/>
      <c r="T798" s="200"/>
      <c r="U798" s="152"/>
      <c r="V798" s="152"/>
      <c r="W798" s="157"/>
      <c r="X798" s="197"/>
      <c r="Y798" s="156"/>
    </row>
    <row r="799" ht="15.75" customHeight="1">
      <c r="B799" s="199"/>
      <c r="N799" s="152"/>
      <c r="Q799" s="195"/>
      <c r="S799" s="200"/>
      <c r="T799" s="200"/>
      <c r="U799" s="152"/>
      <c r="V799" s="152"/>
      <c r="W799" s="157"/>
      <c r="X799" s="197"/>
      <c r="Y799" s="156"/>
    </row>
    <row r="800" ht="15.75" customHeight="1">
      <c r="B800" s="199"/>
      <c r="N800" s="152"/>
      <c r="Q800" s="195"/>
      <c r="S800" s="200"/>
      <c r="T800" s="200"/>
      <c r="U800" s="152"/>
      <c r="V800" s="152"/>
      <c r="W800" s="157"/>
      <c r="X800" s="197"/>
      <c r="Y800" s="156"/>
    </row>
    <row r="801" ht="15.75" customHeight="1">
      <c r="B801" s="199"/>
      <c r="N801" s="152"/>
      <c r="Q801" s="195"/>
      <c r="S801" s="200"/>
      <c r="T801" s="200"/>
      <c r="U801" s="152"/>
      <c r="V801" s="152"/>
      <c r="W801" s="157"/>
      <c r="X801" s="197"/>
      <c r="Y801" s="156"/>
    </row>
    <row r="802" ht="15.75" customHeight="1">
      <c r="B802" s="199"/>
      <c r="N802" s="152"/>
      <c r="Q802" s="195"/>
      <c r="S802" s="200"/>
      <c r="T802" s="200"/>
      <c r="U802" s="152"/>
      <c r="V802" s="152"/>
      <c r="W802" s="157"/>
      <c r="X802" s="197"/>
      <c r="Y802" s="156"/>
    </row>
    <row r="803" ht="15.75" customHeight="1">
      <c r="B803" s="199"/>
      <c r="N803" s="152"/>
      <c r="Q803" s="195"/>
      <c r="S803" s="200"/>
      <c r="T803" s="200"/>
      <c r="U803" s="152"/>
      <c r="V803" s="152"/>
      <c r="W803" s="157"/>
      <c r="X803" s="197"/>
      <c r="Y803" s="156"/>
    </row>
    <row r="804" ht="15.75" customHeight="1">
      <c r="B804" s="199"/>
      <c r="N804" s="152"/>
      <c r="Q804" s="195"/>
      <c r="S804" s="200"/>
      <c r="T804" s="200"/>
      <c r="U804" s="152"/>
      <c r="V804" s="152"/>
      <c r="W804" s="157"/>
      <c r="X804" s="197"/>
      <c r="Y804" s="156"/>
    </row>
    <row r="805" ht="15.75" customHeight="1">
      <c r="B805" s="199"/>
      <c r="N805" s="152"/>
      <c r="Q805" s="195"/>
      <c r="S805" s="200"/>
      <c r="T805" s="200"/>
      <c r="U805" s="152"/>
      <c r="V805" s="152"/>
      <c r="W805" s="157"/>
      <c r="X805" s="197"/>
      <c r="Y805" s="156"/>
    </row>
    <row r="806" ht="15.75" customHeight="1">
      <c r="B806" s="199"/>
      <c r="N806" s="152"/>
      <c r="Q806" s="195"/>
      <c r="S806" s="200"/>
      <c r="T806" s="200"/>
      <c r="U806" s="152"/>
      <c r="V806" s="152"/>
      <c r="W806" s="157"/>
      <c r="X806" s="197"/>
      <c r="Y806" s="156"/>
    </row>
    <row r="807" ht="15.75" customHeight="1">
      <c r="B807" s="199"/>
      <c r="N807" s="152"/>
      <c r="Q807" s="195"/>
      <c r="S807" s="200"/>
      <c r="T807" s="200"/>
      <c r="U807" s="152"/>
      <c r="V807" s="152"/>
      <c r="W807" s="157"/>
      <c r="X807" s="197"/>
      <c r="Y807" s="156"/>
    </row>
    <row r="808" ht="15.75" customHeight="1">
      <c r="B808" s="199"/>
      <c r="N808" s="152"/>
      <c r="Q808" s="195"/>
      <c r="S808" s="200"/>
      <c r="T808" s="200"/>
      <c r="U808" s="152"/>
      <c r="V808" s="152"/>
      <c r="W808" s="157"/>
      <c r="X808" s="197"/>
      <c r="Y808" s="156"/>
    </row>
    <row r="809" ht="15.75" customHeight="1">
      <c r="B809" s="199"/>
      <c r="N809" s="152"/>
      <c r="Q809" s="195"/>
      <c r="S809" s="200"/>
      <c r="T809" s="200"/>
      <c r="U809" s="152"/>
      <c r="V809" s="152"/>
      <c r="W809" s="157"/>
      <c r="X809" s="197"/>
      <c r="Y809" s="156"/>
    </row>
    <row r="810" ht="15.75" customHeight="1">
      <c r="B810" s="199"/>
      <c r="N810" s="152"/>
      <c r="Q810" s="195"/>
      <c r="S810" s="200"/>
      <c r="T810" s="200"/>
      <c r="U810" s="152"/>
      <c r="V810" s="152"/>
      <c r="W810" s="157"/>
      <c r="X810" s="197"/>
      <c r="Y810" s="156"/>
    </row>
    <row r="811" ht="15.75" customHeight="1">
      <c r="B811" s="199"/>
      <c r="N811" s="152"/>
      <c r="Q811" s="195"/>
      <c r="S811" s="200"/>
      <c r="T811" s="200"/>
      <c r="U811" s="152"/>
      <c r="V811" s="152"/>
      <c r="W811" s="157"/>
      <c r="X811" s="197"/>
      <c r="Y811" s="156"/>
    </row>
    <row r="812" ht="15.75" customHeight="1">
      <c r="B812" s="199"/>
      <c r="N812" s="152"/>
      <c r="Q812" s="195"/>
      <c r="S812" s="200"/>
      <c r="T812" s="200"/>
      <c r="U812" s="152"/>
      <c r="V812" s="152"/>
      <c r="W812" s="157"/>
      <c r="X812" s="197"/>
      <c r="Y812" s="156"/>
    </row>
    <row r="813" ht="15.75" customHeight="1">
      <c r="B813" s="199"/>
      <c r="N813" s="152"/>
      <c r="Q813" s="195"/>
      <c r="S813" s="200"/>
      <c r="T813" s="200"/>
      <c r="U813" s="152"/>
      <c r="V813" s="152"/>
      <c r="W813" s="157"/>
      <c r="X813" s="197"/>
      <c r="Y813" s="156"/>
    </row>
    <row r="814" ht="15.75" customHeight="1">
      <c r="B814" s="199"/>
      <c r="N814" s="152"/>
      <c r="Q814" s="195"/>
      <c r="S814" s="200"/>
      <c r="T814" s="200"/>
      <c r="U814" s="152"/>
      <c r="V814" s="152"/>
      <c r="W814" s="157"/>
      <c r="X814" s="197"/>
      <c r="Y814" s="156"/>
    </row>
    <row r="815" ht="15.75" customHeight="1">
      <c r="B815" s="199"/>
      <c r="N815" s="152"/>
      <c r="Q815" s="195"/>
      <c r="S815" s="200"/>
      <c r="T815" s="200"/>
      <c r="U815" s="152"/>
      <c r="V815" s="152"/>
      <c r="W815" s="157"/>
      <c r="X815" s="197"/>
      <c r="Y815" s="156"/>
    </row>
    <row r="816" ht="15.75" customHeight="1">
      <c r="B816" s="199"/>
      <c r="N816" s="152"/>
      <c r="Q816" s="195"/>
      <c r="S816" s="200"/>
      <c r="T816" s="200"/>
      <c r="U816" s="152"/>
      <c r="V816" s="152"/>
      <c r="W816" s="157"/>
      <c r="X816" s="197"/>
      <c r="Y816" s="156"/>
    </row>
    <row r="817" ht="15.75" customHeight="1">
      <c r="B817" s="199"/>
      <c r="N817" s="152"/>
      <c r="Q817" s="195"/>
      <c r="S817" s="200"/>
      <c r="T817" s="200"/>
      <c r="U817" s="152"/>
      <c r="V817" s="152"/>
      <c r="W817" s="157"/>
      <c r="X817" s="197"/>
      <c r="Y817" s="156"/>
    </row>
    <row r="818" ht="15.75" customHeight="1">
      <c r="B818" s="199"/>
      <c r="N818" s="152"/>
      <c r="Q818" s="195"/>
      <c r="S818" s="200"/>
      <c r="T818" s="200"/>
      <c r="U818" s="152"/>
      <c r="V818" s="152"/>
      <c r="W818" s="157"/>
      <c r="X818" s="197"/>
      <c r="Y818" s="156"/>
    </row>
    <row r="819" ht="15.75" customHeight="1">
      <c r="B819" s="199"/>
      <c r="N819" s="152"/>
      <c r="Q819" s="195"/>
      <c r="S819" s="200"/>
      <c r="T819" s="200"/>
      <c r="U819" s="152"/>
      <c r="V819" s="152"/>
      <c r="W819" s="157"/>
      <c r="X819" s="197"/>
      <c r="Y819" s="156"/>
    </row>
    <row r="820" ht="15.75" customHeight="1">
      <c r="B820" s="199"/>
      <c r="N820" s="152"/>
      <c r="Q820" s="195"/>
      <c r="S820" s="200"/>
      <c r="T820" s="200"/>
      <c r="U820" s="152"/>
      <c r="V820" s="152"/>
      <c r="W820" s="157"/>
      <c r="X820" s="197"/>
      <c r="Y820" s="156"/>
    </row>
    <row r="821" ht="15.75" customHeight="1">
      <c r="B821" s="199"/>
      <c r="N821" s="152"/>
      <c r="Q821" s="195"/>
      <c r="S821" s="200"/>
      <c r="T821" s="200"/>
      <c r="U821" s="152"/>
      <c r="V821" s="152"/>
      <c r="W821" s="157"/>
      <c r="X821" s="197"/>
      <c r="Y821" s="156"/>
    </row>
    <row r="822" ht="15.75" customHeight="1">
      <c r="B822" s="199"/>
      <c r="N822" s="152"/>
      <c r="Q822" s="195"/>
      <c r="S822" s="200"/>
      <c r="T822" s="200"/>
      <c r="U822" s="152"/>
      <c r="V822" s="152"/>
      <c r="W822" s="157"/>
      <c r="X822" s="197"/>
      <c r="Y822" s="156"/>
    </row>
    <row r="823" ht="15.75" customHeight="1">
      <c r="B823" s="199"/>
      <c r="N823" s="152"/>
      <c r="Q823" s="195"/>
      <c r="S823" s="200"/>
      <c r="T823" s="200"/>
      <c r="U823" s="152"/>
      <c r="V823" s="152"/>
      <c r="W823" s="157"/>
      <c r="X823" s="197"/>
      <c r="Y823" s="156"/>
    </row>
    <row r="824" ht="15.75" customHeight="1">
      <c r="B824" s="199"/>
      <c r="N824" s="152"/>
      <c r="Q824" s="195"/>
      <c r="S824" s="200"/>
      <c r="T824" s="200"/>
      <c r="U824" s="152"/>
      <c r="V824" s="152"/>
      <c r="W824" s="157"/>
      <c r="X824" s="197"/>
      <c r="Y824" s="156"/>
    </row>
    <row r="825" ht="15.75" customHeight="1">
      <c r="B825" s="199"/>
      <c r="N825" s="152"/>
      <c r="Q825" s="195"/>
      <c r="S825" s="200"/>
      <c r="T825" s="200"/>
      <c r="U825" s="152"/>
      <c r="V825" s="152"/>
      <c r="W825" s="157"/>
      <c r="X825" s="197"/>
      <c r="Y825" s="156"/>
    </row>
    <row r="826" ht="15.75" customHeight="1">
      <c r="B826" s="199"/>
      <c r="N826" s="152"/>
      <c r="Q826" s="195"/>
      <c r="S826" s="200"/>
      <c r="T826" s="200"/>
      <c r="U826" s="152"/>
      <c r="V826" s="152"/>
      <c r="W826" s="157"/>
      <c r="X826" s="197"/>
      <c r="Y826" s="156"/>
    </row>
    <row r="827" ht="15.75" customHeight="1">
      <c r="B827" s="199"/>
      <c r="N827" s="152"/>
      <c r="Q827" s="195"/>
      <c r="S827" s="200"/>
      <c r="T827" s="200"/>
      <c r="U827" s="152"/>
      <c r="V827" s="152"/>
      <c r="W827" s="157"/>
      <c r="X827" s="197"/>
      <c r="Y827" s="156"/>
    </row>
    <row r="828" ht="15.75" customHeight="1">
      <c r="B828" s="199"/>
      <c r="N828" s="152"/>
      <c r="Q828" s="195"/>
      <c r="S828" s="200"/>
      <c r="T828" s="200"/>
      <c r="U828" s="152"/>
      <c r="V828" s="152"/>
      <c r="W828" s="157"/>
      <c r="X828" s="197"/>
      <c r="Y828" s="156"/>
    </row>
    <row r="829" ht="15.75" customHeight="1">
      <c r="B829" s="199"/>
      <c r="N829" s="152"/>
      <c r="Q829" s="195"/>
      <c r="S829" s="200"/>
      <c r="T829" s="200"/>
      <c r="U829" s="152"/>
      <c r="V829" s="152"/>
      <c r="W829" s="157"/>
      <c r="X829" s="197"/>
      <c r="Y829" s="156"/>
    </row>
    <row r="830" ht="15.75" customHeight="1">
      <c r="B830" s="199"/>
      <c r="N830" s="152"/>
      <c r="Q830" s="195"/>
      <c r="S830" s="200"/>
      <c r="T830" s="200"/>
      <c r="U830" s="152"/>
      <c r="V830" s="152"/>
      <c r="W830" s="157"/>
      <c r="X830" s="197"/>
      <c r="Y830" s="156"/>
    </row>
    <row r="831" ht="15.75" customHeight="1">
      <c r="B831" s="199"/>
      <c r="N831" s="152"/>
      <c r="Q831" s="195"/>
      <c r="S831" s="200"/>
      <c r="T831" s="200"/>
      <c r="U831" s="152"/>
      <c r="V831" s="152"/>
      <c r="W831" s="157"/>
      <c r="X831" s="197"/>
      <c r="Y831" s="156"/>
    </row>
    <row r="832" ht="15.75" customHeight="1">
      <c r="B832" s="199"/>
      <c r="N832" s="152"/>
      <c r="Q832" s="195"/>
      <c r="S832" s="200"/>
      <c r="T832" s="200"/>
      <c r="U832" s="152"/>
      <c r="V832" s="152"/>
      <c r="W832" s="157"/>
      <c r="X832" s="197"/>
      <c r="Y832" s="156"/>
    </row>
    <row r="833" ht="15.75" customHeight="1">
      <c r="B833" s="199"/>
      <c r="N833" s="152"/>
      <c r="Q833" s="195"/>
      <c r="S833" s="200"/>
      <c r="T833" s="200"/>
      <c r="U833" s="152"/>
      <c r="V833" s="152"/>
      <c r="W833" s="157"/>
      <c r="X833" s="197"/>
      <c r="Y833" s="156"/>
    </row>
    <row r="834" ht="15.75" customHeight="1">
      <c r="B834" s="199"/>
      <c r="N834" s="152"/>
      <c r="Q834" s="195"/>
      <c r="S834" s="200"/>
      <c r="T834" s="200"/>
      <c r="U834" s="152"/>
      <c r="V834" s="152"/>
      <c r="W834" s="157"/>
      <c r="X834" s="197"/>
      <c r="Y834" s="156"/>
    </row>
    <row r="835" ht="15.75" customHeight="1">
      <c r="B835" s="199"/>
      <c r="N835" s="152"/>
      <c r="Q835" s="195"/>
      <c r="S835" s="200"/>
      <c r="T835" s="200"/>
      <c r="U835" s="152"/>
      <c r="V835" s="152"/>
      <c r="W835" s="157"/>
      <c r="X835" s="197"/>
      <c r="Y835" s="156"/>
    </row>
    <row r="836" ht="15.75" customHeight="1">
      <c r="B836" s="199"/>
      <c r="N836" s="152"/>
      <c r="Q836" s="195"/>
      <c r="S836" s="200"/>
      <c r="T836" s="200"/>
      <c r="U836" s="152"/>
      <c r="V836" s="152"/>
      <c r="W836" s="157"/>
      <c r="X836" s="197"/>
      <c r="Y836" s="156"/>
    </row>
    <row r="837" ht="15.75" customHeight="1">
      <c r="B837" s="199"/>
      <c r="N837" s="152"/>
      <c r="Q837" s="195"/>
      <c r="S837" s="200"/>
      <c r="T837" s="200"/>
      <c r="U837" s="152"/>
      <c r="V837" s="152"/>
      <c r="W837" s="157"/>
      <c r="X837" s="197"/>
      <c r="Y837" s="156"/>
    </row>
    <row r="838" ht="15.75" customHeight="1">
      <c r="B838" s="199"/>
      <c r="N838" s="152"/>
      <c r="Q838" s="195"/>
      <c r="S838" s="200"/>
      <c r="T838" s="200"/>
      <c r="U838" s="152"/>
      <c r="V838" s="152"/>
      <c r="W838" s="157"/>
      <c r="X838" s="197"/>
      <c r="Y838" s="156"/>
    </row>
    <row r="839" ht="15.75" customHeight="1">
      <c r="B839" s="199"/>
      <c r="N839" s="152"/>
      <c r="Q839" s="195"/>
      <c r="S839" s="200"/>
      <c r="T839" s="200"/>
      <c r="U839" s="152"/>
      <c r="V839" s="152"/>
      <c r="W839" s="157"/>
      <c r="X839" s="197"/>
      <c r="Y839" s="156"/>
    </row>
    <row r="840" ht="15.75" customHeight="1">
      <c r="B840" s="199"/>
      <c r="N840" s="152"/>
      <c r="Q840" s="195"/>
      <c r="S840" s="200"/>
      <c r="T840" s="200"/>
      <c r="U840" s="152"/>
      <c r="V840" s="152"/>
      <c r="W840" s="157"/>
      <c r="X840" s="197"/>
      <c r="Y840" s="156"/>
    </row>
    <row r="841" ht="15.75" customHeight="1">
      <c r="B841" s="199"/>
      <c r="N841" s="152"/>
      <c r="Q841" s="195"/>
      <c r="S841" s="200"/>
      <c r="T841" s="200"/>
      <c r="U841" s="152"/>
      <c r="V841" s="152"/>
      <c r="W841" s="157"/>
      <c r="X841" s="197"/>
      <c r="Y841" s="156"/>
    </row>
    <row r="842" ht="15.75" customHeight="1">
      <c r="B842" s="199"/>
      <c r="N842" s="152"/>
      <c r="Q842" s="195"/>
      <c r="S842" s="200"/>
      <c r="T842" s="200"/>
      <c r="U842" s="152"/>
      <c r="V842" s="152"/>
      <c r="W842" s="157"/>
      <c r="X842" s="197"/>
      <c r="Y842" s="156"/>
    </row>
    <row r="843" ht="15.75" customHeight="1">
      <c r="B843" s="199"/>
      <c r="N843" s="152"/>
      <c r="Q843" s="195"/>
      <c r="S843" s="200"/>
      <c r="T843" s="200"/>
      <c r="U843" s="152"/>
      <c r="V843" s="152"/>
      <c r="W843" s="157"/>
      <c r="X843" s="197"/>
      <c r="Y843" s="156"/>
    </row>
    <row r="844" ht="15.75" customHeight="1">
      <c r="B844" s="199"/>
      <c r="N844" s="152"/>
      <c r="Q844" s="195"/>
      <c r="S844" s="200"/>
      <c r="T844" s="200"/>
      <c r="U844" s="152"/>
      <c r="V844" s="152"/>
      <c r="W844" s="157"/>
      <c r="X844" s="197"/>
      <c r="Y844" s="156"/>
    </row>
    <row r="845" ht="15.75" customHeight="1">
      <c r="B845" s="199"/>
      <c r="N845" s="152"/>
      <c r="Q845" s="195"/>
      <c r="S845" s="200"/>
      <c r="T845" s="200"/>
      <c r="U845" s="152"/>
      <c r="V845" s="152"/>
      <c r="W845" s="157"/>
      <c r="X845" s="197"/>
      <c r="Y845" s="156"/>
    </row>
    <row r="846" ht="15.75" customHeight="1">
      <c r="B846" s="199"/>
      <c r="N846" s="152"/>
      <c r="Q846" s="195"/>
      <c r="S846" s="200"/>
      <c r="T846" s="200"/>
      <c r="U846" s="152"/>
      <c r="V846" s="152"/>
      <c r="W846" s="157"/>
      <c r="X846" s="197"/>
      <c r="Y846" s="156"/>
    </row>
    <row r="847" ht="15.75" customHeight="1">
      <c r="B847" s="199"/>
      <c r="N847" s="152"/>
      <c r="Q847" s="195"/>
      <c r="S847" s="200"/>
      <c r="T847" s="200"/>
      <c r="U847" s="152"/>
      <c r="V847" s="152"/>
      <c r="W847" s="157"/>
      <c r="X847" s="197"/>
      <c r="Y847" s="156"/>
    </row>
    <row r="848" ht="15.75" customHeight="1">
      <c r="B848" s="199"/>
      <c r="N848" s="152"/>
      <c r="Q848" s="195"/>
      <c r="S848" s="200"/>
      <c r="T848" s="200"/>
      <c r="U848" s="152"/>
      <c r="V848" s="152"/>
      <c r="W848" s="157"/>
      <c r="X848" s="197"/>
      <c r="Y848" s="156"/>
    </row>
    <row r="849" ht="15.75" customHeight="1">
      <c r="B849" s="199"/>
      <c r="N849" s="152"/>
      <c r="Q849" s="195"/>
      <c r="S849" s="200"/>
      <c r="T849" s="200"/>
      <c r="U849" s="152"/>
      <c r="V849" s="152"/>
      <c r="W849" s="157"/>
      <c r="X849" s="197"/>
      <c r="Y849" s="156"/>
    </row>
    <row r="850" ht="15.75" customHeight="1">
      <c r="B850" s="199"/>
      <c r="N850" s="152"/>
      <c r="Q850" s="195"/>
      <c r="S850" s="200"/>
      <c r="T850" s="200"/>
      <c r="U850" s="152"/>
      <c r="V850" s="152"/>
      <c r="W850" s="157"/>
      <c r="X850" s="197"/>
      <c r="Y850" s="156"/>
    </row>
    <row r="851" ht="15.75" customHeight="1">
      <c r="B851" s="199"/>
      <c r="N851" s="152"/>
      <c r="Q851" s="195"/>
      <c r="S851" s="200"/>
      <c r="T851" s="200"/>
      <c r="U851" s="152"/>
      <c r="V851" s="152"/>
      <c r="W851" s="157"/>
      <c r="X851" s="197"/>
      <c r="Y851" s="156"/>
    </row>
    <row r="852" ht="15.75" customHeight="1">
      <c r="B852" s="199"/>
      <c r="N852" s="152"/>
      <c r="Q852" s="195"/>
      <c r="S852" s="200"/>
      <c r="T852" s="200"/>
      <c r="U852" s="152"/>
      <c r="V852" s="152"/>
      <c r="W852" s="157"/>
      <c r="X852" s="197"/>
      <c r="Y852" s="156"/>
    </row>
    <row r="853" ht="15.75" customHeight="1">
      <c r="B853" s="199"/>
      <c r="N853" s="152"/>
      <c r="Q853" s="195"/>
      <c r="S853" s="200"/>
      <c r="T853" s="200"/>
      <c r="U853" s="152"/>
      <c r="V853" s="152"/>
      <c r="W853" s="157"/>
      <c r="X853" s="197"/>
      <c r="Y853" s="156"/>
    </row>
    <row r="854" ht="15.75" customHeight="1">
      <c r="B854" s="199"/>
      <c r="N854" s="152"/>
      <c r="Q854" s="195"/>
      <c r="S854" s="200"/>
      <c r="T854" s="200"/>
      <c r="U854" s="152"/>
      <c r="V854" s="152"/>
      <c r="W854" s="157"/>
      <c r="X854" s="197"/>
      <c r="Y854" s="156"/>
    </row>
    <row r="855" ht="15.75" customHeight="1">
      <c r="B855" s="199"/>
      <c r="N855" s="152"/>
      <c r="Q855" s="195"/>
      <c r="S855" s="200"/>
      <c r="T855" s="200"/>
      <c r="U855" s="152"/>
      <c r="V855" s="152"/>
      <c r="W855" s="157"/>
      <c r="X855" s="197"/>
      <c r="Y855" s="156"/>
    </row>
    <row r="856" ht="15.75" customHeight="1">
      <c r="B856" s="199"/>
      <c r="N856" s="152"/>
      <c r="Q856" s="195"/>
      <c r="S856" s="200"/>
      <c r="T856" s="200"/>
      <c r="U856" s="152"/>
      <c r="V856" s="152"/>
      <c r="W856" s="157"/>
      <c r="X856" s="197"/>
      <c r="Y856" s="156"/>
    </row>
    <row r="857" ht="15.75" customHeight="1">
      <c r="B857" s="199"/>
      <c r="N857" s="152"/>
      <c r="Q857" s="195"/>
      <c r="S857" s="200"/>
      <c r="T857" s="200"/>
      <c r="U857" s="152"/>
      <c r="V857" s="152"/>
      <c r="W857" s="157"/>
      <c r="X857" s="197"/>
      <c r="Y857" s="156"/>
    </row>
    <row r="858" ht="15.75" customHeight="1">
      <c r="B858" s="199"/>
      <c r="N858" s="152"/>
      <c r="Q858" s="195"/>
      <c r="S858" s="200"/>
      <c r="T858" s="200"/>
      <c r="U858" s="152"/>
      <c r="V858" s="152"/>
      <c r="W858" s="157"/>
      <c r="X858" s="197"/>
      <c r="Y858" s="156"/>
    </row>
    <row r="859" ht="15.75" customHeight="1">
      <c r="B859" s="199"/>
      <c r="N859" s="152"/>
      <c r="Q859" s="195"/>
      <c r="S859" s="200"/>
      <c r="T859" s="200"/>
      <c r="U859" s="152"/>
      <c r="V859" s="152"/>
      <c r="W859" s="157"/>
      <c r="X859" s="197"/>
      <c r="Y859" s="156"/>
    </row>
    <row r="860" ht="15.75" customHeight="1">
      <c r="B860" s="199"/>
      <c r="N860" s="152"/>
      <c r="Q860" s="195"/>
      <c r="S860" s="200"/>
      <c r="T860" s="200"/>
      <c r="U860" s="152"/>
      <c r="V860" s="152"/>
      <c r="W860" s="157"/>
      <c r="X860" s="197"/>
      <c r="Y860" s="156"/>
    </row>
    <row r="861" ht="15.75" customHeight="1">
      <c r="B861" s="199"/>
      <c r="N861" s="152"/>
      <c r="Q861" s="195"/>
      <c r="S861" s="200"/>
      <c r="T861" s="200"/>
      <c r="U861" s="152"/>
      <c r="V861" s="152"/>
      <c r="W861" s="157"/>
      <c r="X861" s="197"/>
      <c r="Y861" s="156"/>
    </row>
    <row r="862" ht="15.75" customHeight="1">
      <c r="B862" s="199"/>
      <c r="N862" s="152"/>
      <c r="Q862" s="195"/>
      <c r="S862" s="200"/>
      <c r="T862" s="200"/>
      <c r="U862" s="152"/>
      <c r="V862" s="152"/>
      <c r="W862" s="157"/>
      <c r="X862" s="197"/>
      <c r="Y862" s="156"/>
    </row>
    <row r="863" ht="15.75" customHeight="1">
      <c r="B863" s="199"/>
      <c r="N863" s="152"/>
      <c r="Q863" s="195"/>
      <c r="S863" s="200"/>
      <c r="T863" s="200"/>
      <c r="U863" s="152"/>
      <c r="V863" s="152"/>
      <c r="W863" s="157"/>
      <c r="X863" s="197"/>
      <c r="Y863" s="156"/>
    </row>
    <row r="864" ht="15.75" customHeight="1">
      <c r="B864" s="199"/>
      <c r="N864" s="152"/>
      <c r="Q864" s="195"/>
      <c r="S864" s="200"/>
      <c r="T864" s="200"/>
      <c r="U864" s="152"/>
      <c r="V864" s="152"/>
      <c r="W864" s="157"/>
      <c r="X864" s="197"/>
      <c r="Y864" s="156"/>
    </row>
    <row r="865" ht="15.75" customHeight="1">
      <c r="B865" s="199"/>
      <c r="N865" s="152"/>
      <c r="Q865" s="195"/>
      <c r="S865" s="200"/>
      <c r="T865" s="200"/>
      <c r="U865" s="152"/>
      <c r="V865" s="152"/>
      <c r="W865" s="157"/>
      <c r="X865" s="197"/>
      <c r="Y865" s="156"/>
    </row>
    <row r="866" ht="15.75" customHeight="1">
      <c r="B866" s="199"/>
      <c r="N866" s="152"/>
      <c r="Q866" s="195"/>
      <c r="S866" s="200"/>
      <c r="T866" s="200"/>
      <c r="U866" s="152"/>
      <c r="V866" s="152"/>
      <c r="W866" s="157"/>
      <c r="X866" s="197"/>
      <c r="Y866" s="156"/>
    </row>
    <row r="867" ht="15.75" customHeight="1">
      <c r="B867" s="199"/>
      <c r="N867" s="152"/>
      <c r="Q867" s="195"/>
      <c r="S867" s="200"/>
      <c r="T867" s="200"/>
      <c r="U867" s="152"/>
      <c r="V867" s="152"/>
      <c r="W867" s="157"/>
      <c r="X867" s="197"/>
      <c r="Y867" s="156"/>
    </row>
    <row r="868" ht="15.75" customHeight="1">
      <c r="B868" s="199"/>
      <c r="N868" s="152"/>
      <c r="Q868" s="195"/>
      <c r="S868" s="200"/>
      <c r="T868" s="200"/>
      <c r="U868" s="152"/>
      <c r="V868" s="152"/>
      <c r="W868" s="157"/>
      <c r="X868" s="197"/>
      <c r="Y868" s="156"/>
    </row>
    <row r="869" ht="15.75" customHeight="1">
      <c r="B869" s="199"/>
      <c r="N869" s="152"/>
      <c r="Q869" s="195"/>
      <c r="S869" s="200"/>
      <c r="T869" s="200"/>
      <c r="U869" s="152"/>
      <c r="V869" s="152"/>
      <c r="W869" s="157"/>
      <c r="X869" s="197"/>
      <c r="Y869" s="156"/>
    </row>
    <row r="870" ht="15.75" customHeight="1">
      <c r="B870" s="199"/>
      <c r="N870" s="152"/>
      <c r="Q870" s="195"/>
      <c r="S870" s="200"/>
      <c r="T870" s="200"/>
      <c r="U870" s="152"/>
      <c r="V870" s="152"/>
      <c r="W870" s="157"/>
      <c r="X870" s="197"/>
      <c r="Y870" s="156"/>
    </row>
    <row r="871" ht="15.75" customHeight="1">
      <c r="B871" s="199"/>
      <c r="N871" s="152"/>
      <c r="Q871" s="195"/>
      <c r="S871" s="200"/>
      <c r="T871" s="200"/>
      <c r="U871" s="152"/>
      <c r="V871" s="152"/>
      <c r="W871" s="157"/>
      <c r="X871" s="197"/>
      <c r="Y871" s="156"/>
    </row>
    <row r="872" ht="15.75" customHeight="1">
      <c r="B872" s="199"/>
      <c r="N872" s="152"/>
      <c r="Q872" s="195"/>
      <c r="S872" s="200"/>
      <c r="T872" s="200"/>
      <c r="U872" s="152"/>
      <c r="V872" s="152"/>
      <c r="W872" s="157"/>
      <c r="X872" s="197"/>
      <c r="Y872" s="156"/>
    </row>
    <row r="873" ht="15.75" customHeight="1">
      <c r="B873" s="199"/>
      <c r="N873" s="152"/>
      <c r="Q873" s="195"/>
      <c r="S873" s="200"/>
      <c r="T873" s="200"/>
      <c r="U873" s="152"/>
      <c r="V873" s="152"/>
      <c r="W873" s="157"/>
      <c r="X873" s="197"/>
      <c r="Y873" s="156"/>
    </row>
    <row r="874" ht="15.75" customHeight="1">
      <c r="B874" s="199"/>
      <c r="N874" s="152"/>
      <c r="Q874" s="195"/>
      <c r="S874" s="200"/>
      <c r="T874" s="200"/>
      <c r="U874" s="152"/>
      <c r="V874" s="152"/>
      <c r="W874" s="157"/>
      <c r="X874" s="197"/>
      <c r="Y874" s="156"/>
    </row>
    <row r="875" ht="15.75" customHeight="1">
      <c r="B875" s="199"/>
      <c r="N875" s="152"/>
      <c r="Q875" s="195"/>
      <c r="S875" s="200"/>
      <c r="T875" s="200"/>
      <c r="U875" s="152"/>
      <c r="V875" s="152"/>
      <c r="W875" s="157"/>
      <c r="X875" s="197"/>
      <c r="Y875" s="156"/>
    </row>
    <row r="876" ht="15.75" customHeight="1">
      <c r="B876" s="199"/>
      <c r="N876" s="152"/>
      <c r="Q876" s="195"/>
      <c r="S876" s="200"/>
      <c r="T876" s="200"/>
      <c r="U876" s="152"/>
      <c r="V876" s="152"/>
      <c r="W876" s="157"/>
      <c r="X876" s="197"/>
      <c r="Y876" s="156"/>
    </row>
    <row r="877" ht="15.75" customHeight="1">
      <c r="B877" s="199"/>
      <c r="N877" s="152"/>
      <c r="Q877" s="195"/>
      <c r="S877" s="200"/>
      <c r="T877" s="200"/>
      <c r="U877" s="152"/>
      <c r="V877" s="152"/>
      <c r="W877" s="157"/>
      <c r="X877" s="197"/>
      <c r="Y877" s="156"/>
    </row>
    <row r="878" ht="15.75" customHeight="1">
      <c r="B878" s="199"/>
      <c r="N878" s="152"/>
      <c r="Q878" s="195"/>
      <c r="S878" s="200"/>
      <c r="T878" s="200"/>
      <c r="U878" s="152"/>
      <c r="V878" s="152"/>
      <c r="W878" s="157"/>
      <c r="X878" s="197"/>
      <c r="Y878" s="156"/>
    </row>
    <row r="879" ht="15.75" customHeight="1">
      <c r="B879" s="199"/>
      <c r="N879" s="152"/>
      <c r="Q879" s="195"/>
      <c r="S879" s="200"/>
      <c r="T879" s="200"/>
      <c r="U879" s="152"/>
      <c r="V879" s="152"/>
      <c r="W879" s="157"/>
      <c r="X879" s="197"/>
      <c r="Y879" s="156"/>
    </row>
    <row r="880" ht="15.75" customHeight="1">
      <c r="B880" s="199"/>
      <c r="N880" s="152"/>
      <c r="Q880" s="195"/>
      <c r="S880" s="200"/>
      <c r="T880" s="200"/>
      <c r="U880" s="152"/>
      <c r="V880" s="152"/>
      <c r="W880" s="157"/>
      <c r="X880" s="197"/>
      <c r="Y880" s="156"/>
    </row>
    <row r="881" ht="15.75" customHeight="1">
      <c r="B881" s="199"/>
      <c r="N881" s="152"/>
      <c r="Q881" s="195"/>
      <c r="S881" s="200"/>
      <c r="T881" s="200"/>
      <c r="U881" s="152"/>
      <c r="V881" s="152"/>
      <c r="W881" s="157"/>
      <c r="X881" s="197"/>
      <c r="Y881" s="156"/>
    </row>
    <row r="882" ht="15.75" customHeight="1">
      <c r="B882" s="199"/>
      <c r="N882" s="152"/>
      <c r="Q882" s="195"/>
      <c r="S882" s="200"/>
      <c r="T882" s="200"/>
      <c r="U882" s="152"/>
      <c r="V882" s="152"/>
      <c r="W882" s="157"/>
      <c r="X882" s="197"/>
      <c r="Y882" s="156"/>
    </row>
    <row r="883" ht="15.75" customHeight="1">
      <c r="B883" s="199"/>
      <c r="N883" s="152"/>
      <c r="Q883" s="195"/>
      <c r="S883" s="200"/>
      <c r="T883" s="200"/>
      <c r="U883" s="152"/>
      <c r="V883" s="152"/>
      <c r="W883" s="157"/>
      <c r="X883" s="197"/>
      <c r="Y883" s="156"/>
    </row>
    <row r="884" ht="15.75" customHeight="1">
      <c r="B884" s="199"/>
      <c r="N884" s="152"/>
      <c r="Q884" s="195"/>
      <c r="S884" s="200"/>
      <c r="T884" s="200"/>
      <c r="U884" s="152"/>
      <c r="V884" s="152"/>
      <c r="W884" s="157"/>
      <c r="X884" s="197"/>
      <c r="Y884" s="156"/>
    </row>
    <row r="885" ht="15.75" customHeight="1">
      <c r="B885" s="199"/>
      <c r="N885" s="152"/>
      <c r="Q885" s="195"/>
      <c r="S885" s="200"/>
      <c r="T885" s="200"/>
      <c r="U885" s="152"/>
      <c r="V885" s="152"/>
      <c r="W885" s="157"/>
      <c r="X885" s="197"/>
      <c r="Y885" s="156"/>
    </row>
    <row r="886" ht="15.75" customHeight="1">
      <c r="B886" s="199"/>
      <c r="N886" s="152"/>
      <c r="Q886" s="195"/>
      <c r="S886" s="200"/>
      <c r="T886" s="200"/>
      <c r="U886" s="152"/>
      <c r="V886" s="152"/>
      <c r="W886" s="157"/>
      <c r="X886" s="197"/>
      <c r="Y886" s="156"/>
    </row>
    <row r="887" ht="15.75" customHeight="1">
      <c r="B887" s="199"/>
      <c r="N887" s="152"/>
      <c r="Q887" s="195"/>
      <c r="S887" s="200"/>
      <c r="T887" s="200"/>
      <c r="U887" s="152"/>
      <c r="V887" s="152"/>
      <c r="W887" s="157"/>
      <c r="X887" s="197"/>
      <c r="Y887" s="156"/>
    </row>
    <row r="888" ht="15.75" customHeight="1">
      <c r="B888" s="199"/>
      <c r="N888" s="152"/>
      <c r="Q888" s="195"/>
      <c r="S888" s="200"/>
      <c r="T888" s="200"/>
      <c r="U888" s="152"/>
      <c r="V888" s="152"/>
      <c r="W888" s="157"/>
      <c r="X888" s="197"/>
      <c r="Y888" s="156"/>
    </row>
    <row r="889" ht="15.75" customHeight="1">
      <c r="B889" s="199"/>
      <c r="N889" s="152"/>
      <c r="Q889" s="195"/>
      <c r="S889" s="200"/>
      <c r="T889" s="200"/>
      <c r="U889" s="152"/>
      <c r="V889" s="152"/>
      <c r="W889" s="157"/>
      <c r="X889" s="197"/>
      <c r="Y889" s="156"/>
    </row>
    <row r="890" ht="15.75" customHeight="1">
      <c r="B890" s="199"/>
      <c r="N890" s="152"/>
      <c r="Q890" s="195"/>
      <c r="S890" s="200"/>
      <c r="T890" s="200"/>
      <c r="U890" s="152"/>
      <c r="V890" s="152"/>
      <c r="W890" s="157"/>
      <c r="X890" s="197"/>
      <c r="Y890" s="156"/>
    </row>
    <row r="891" ht="15.75" customHeight="1">
      <c r="B891" s="199"/>
      <c r="N891" s="152"/>
      <c r="Q891" s="195"/>
      <c r="S891" s="200"/>
      <c r="T891" s="200"/>
      <c r="U891" s="152"/>
      <c r="V891" s="152"/>
      <c r="W891" s="157"/>
      <c r="X891" s="197"/>
      <c r="Y891" s="156"/>
    </row>
    <row r="892" ht="15.75" customHeight="1">
      <c r="B892" s="199"/>
      <c r="N892" s="152"/>
      <c r="Q892" s="195"/>
      <c r="S892" s="200"/>
      <c r="T892" s="200"/>
      <c r="U892" s="152"/>
      <c r="V892" s="152"/>
      <c r="W892" s="157"/>
      <c r="X892" s="197"/>
      <c r="Y892" s="156"/>
    </row>
    <row r="893" ht="15.75" customHeight="1">
      <c r="B893" s="199"/>
      <c r="N893" s="152"/>
      <c r="Q893" s="195"/>
      <c r="S893" s="200"/>
      <c r="T893" s="200"/>
      <c r="U893" s="152"/>
      <c r="V893" s="152"/>
      <c r="W893" s="157"/>
      <c r="X893" s="197"/>
      <c r="Y893" s="156"/>
    </row>
    <row r="894" ht="15.75" customHeight="1">
      <c r="B894" s="199"/>
      <c r="N894" s="152"/>
      <c r="Q894" s="195"/>
      <c r="S894" s="200"/>
      <c r="T894" s="200"/>
      <c r="U894" s="152"/>
      <c r="V894" s="152"/>
      <c r="W894" s="157"/>
      <c r="X894" s="197"/>
      <c r="Y894" s="156"/>
    </row>
    <row r="895" ht="15.75" customHeight="1">
      <c r="B895" s="199"/>
      <c r="N895" s="152"/>
      <c r="Q895" s="195"/>
      <c r="S895" s="200"/>
      <c r="T895" s="200"/>
      <c r="U895" s="152"/>
      <c r="V895" s="152"/>
      <c r="W895" s="157"/>
      <c r="X895" s="197"/>
      <c r="Y895" s="156"/>
    </row>
    <row r="896" ht="15.75" customHeight="1">
      <c r="B896" s="199"/>
      <c r="N896" s="152"/>
      <c r="Q896" s="195"/>
      <c r="S896" s="200"/>
      <c r="T896" s="200"/>
      <c r="U896" s="152"/>
      <c r="V896" s="152"/>
      <c r="W896" s="157"/>
      <c r="X896" s="197"/>
      <c r="Y896" s="156"/>
    </row>
    <row r="897" ht="15.75" customHeight="1">
      <c r="B897" s="199"/>
      <c r="N897" s="152"/>
      <c r="Q897" s="195"/>
      <c r="S897" s="200"/>
      <c r="T897" s="200"/>
      <c r="U897" s="152"/>
      <c r="V897" s="152"/>
      <c r="W897" s="157"/>
      <c r="X897" s="197"/>
      <c r="Y897" s="156"/>
    </row>
    <row r="898" ht="15.75" customHeight="1">
      <c r="B898" s="199"/>
      <c r="N898" s="152"/>
      <c r="Q898" s="195"/>
      <c r="S898" s="200"/>
      <c r="T898" s="200"/>
      <c r="U898" s="152"/>
      <c r="V898" s="152"/>
      <c r="W898" s="157"/>
      <c r="X898" s="197"/>
      <c r="Y898" s="156"/>
    </row>
    <row r="899" ht="15.75" customHeight="1">
      <c r="B899" s="199"/>
      <c r="N899" s="152"/>
      <c r="Q899" s="195"/>
      <c r="S899" s="200"/>
      <c r="T899" s="200"/>
      <c r="U899" s="152"/>
      <c r="V899" s="152"/>
      <c r="W899" s="157"/>
      <c r="X899" s="197"/>
      <c r="Y899" s="156"/>
    </row>
    <row r="900" ht="15.75" customHeight="1">
      <c r="B900" s="199"/>
      <c r="N900" s="152"/>
      <c r="Q900" s="195"/>
      <c r="S900" s="200"/>
      <c r="T900" s="200"/>
      <c r="U900" s="152"/>
      <c r="V900" s="152"/>
      <c r="W900" s="157"/>
      <c r="X900" s="197"/>
      <c r="Y900" s="156"/>
    </row>
    <row r="901" ht="15.75" customHeight="1">
      <c r="B901" s="199"/>
      <c r="N901" s="152"/>
      <c r="Q901" s="195"/>
      <c r="S901" s="200"/>
      <c r="T901" s="200"/>
      <c r="U901" s="152"/>
      <c r="V901" s="152"/>
      <c r="W901" s="157"/>
      <c r="X901" s="197"/>
      <c r="Y901" s="156"/>
    </row>
    <row r="902" ht="15.75" customHeight="1">
      <c r="B902" s="199"/>
      <c r="N902" s="152"/>
      <c r="Q902" s="195"/>
      <c r="S902" s="200"/>
      <c r="T902" s="200"/>
      <c r="U902" s="152"/>
      <c r="V902" s="152"/>
      <c r="W902" s="157"/>
      <c r="X902" s="197"/>
      <c r="Y902" s="156"/>
    </row>
    <row r="903" ht="15.75" customHeight="1">
      <c r="B903" s="199"/>
      <c r="N903" s="152"/>
      <c r="Q903" s="195"/>
      <c r="S903" s="200"/>
      <c r="T903" s="200"/>
      <c r="U903" s="152"/>
      <c r="V903" s="152"/>
      <c r="W903" s="157"/>
      <c r="X903" s="197"/>
      <c r="Y903" s="156"/>
    </row>
    <row r="904" ht="15.75" customHeight="1">
      <c r="B904" s="199"/>
      <c r="N904" s="152"/>
      <c r="Q904" s="195"/>
      <c r="S904" s="200"/>
      <c r="T904" s="200"/>
      <c r="U904" s="152"/>
      <c r="V904" s="152"/>
      <c r="W904" s="157"/>
      <c r="X904" s="197"/>
      <c r="Y904" s="156"/>
    </row>
    <row r="905" ht="15.75" customHeight="1">
      <c r="B905" s="199"/>
      <c r="N905" s="152"/>
      <c r="Q905" s="195"/>
      <c r="S905" s="200"/>
      <c r="T905" s="200"/>
      <c r="U905" s="152"/>
      <c r="V905" s="152"/>
      <c r="W905" s="157"/>
      <c r="X905" s="197"/>
      <c r="Y905" s="156"/>
    </row>
    <row r="906" ht="15.75" customHeight="1">
      <c r="B906" s="199"/>
      <c r="N906" s="152"/>
      <c r="Q906" s="195"/>
      <c r="S906" s="200"/>
      <c r="T906" s="200"/>
      <c r="U906" s="152"/>
      <c r="V906" s="152"/>
      <c r="W906" s="157"/>
      <c r="X906" s="197"/>
      <c r="Y906" s="156"/>
    </row>
    <row r="907" ht="15.75" customHeight="1">
      <c r="B907" s="199"/>
      <c r="N907" s="152"/>
      <c r="Q907" s="195"/>
      <c r="S907" s="200"/>
      <c r="T907" s="200"/>
      <c r="U907" s="152"/>
      <c r="V907" s="152"/>
      <c r="W907" s="157"/>
      <c r="X907" s="197"/>
      <c r="Y907" s="156"/>
    </row>
    <row r="908" ht="15.75" customHeight="1">
      <c r="B908" s="199"/>
      <c r="N908" s="152"/>
      <c r="Q908" s="195"/>
      <c r="S908" s="200"/>
      <c r="T908" s="200"/>
      <c r="U908" s="152"/>
      <c r="V908" s="152"/>
      <c r="W908" s="157"/>
      <c r="X908" s="197"/>
      <c r="Y908" s="156"/>
    </row>
    <row r="909" ht="15.75" customHeight="1">
      <c r="B909" s="199"/>
      <c r="N909" s="152"/>
      <c r="Q909" s="195"/>
      <c r="S909" s="200"/>
      <c r="T909" s="200"/>
      <c r="U909" s="152"/>
      <c r="V909" s="152"/>
      <c r="W909" s="157"/>
      <c r="X909" s="197"/>
      <c r="Y909" s="156"/>
    </row>
    <row r="910" ht="15.75" customHeight="1">
      <c r="B910" s="199"/>
      <c r="N910" s="152"/>
      <c r="Q910" s="195"/>
      <c r="S910" s="200"/>
      <c r="T910" s="200"/>
      <c r="U910" s="152"/>
      <c r="V910" s="152"/>
      <c r="W910" s="157"/>
      <c r="X910" s="197"/>
      <c r="Y910" s="156"/>
    </row>
    <row r="911" ht="15.75" customHeight="1">
      <c r="B911" s="199"/>
      <c r="N911" s="152"/>
      <c r="Q911" s="195"/>
      <c r="S911" s="200"/>
      <c r="T911" s="200"/>
      <c r="U911" s="152"/>
      <c r="V911" s="152"/>
      <c r="W911" s="157"/>
      <c r="X911" s="197"/>
      <c r="Y911" s="156"/>
    </row>
    <row r="912" ht="15.75" customHeight="1">
      <c r="B912" s="199"/>
      <c r="N912" s="152"/>
      <c r="Q912" s="195"/>
      <c r="S912" s="200"/>
      <c r="T912" s="200"/>
      <c r="U912" s="152"/>
      <c r="V912" s="152"/>
      <c r="W912" s="157"/>
      <c r="X912" s="197"/>
      <c r="Y912" s="156"/>
    </row>
    <row r="913" ht="15.75" customHeight="1">
      <c r="B913" s="199"/>
      <c r="N913" s="152"/>
      <c r="Q913" s="195"/>
      <c r="S913" s="200"/>
      <c r="T913" s="200"/>
      <c r="U913" s="152"/>
      <c r="V913" s="152"/>
      <c r="W913" s="157"/>
      <c r="X913" s="197"/>
      <c r="Y913" s="156"/>
    </row>
    <row r="914" ht="15.75" customHeight="1">
      <c r="B914" s="199"/>
      <c r="N914" s="152"/>
      <c r="Q914" s="195"/>
      <c r="S914" s="200"/>
      <c r="T914" s="200"/>
      <c r="U914" s="152"/>
      <c r="V914" s="152"/>
      <c r="W914" s="157"/>
      <c r="X914" s="197"/>
      <c r="Y914" s="156"/>
    </row>
    <row r="915" ht="15.75" customHeight="1">
      <c r="B915" s="199"/>
      <c r="N915" s="152"/>
      <c r="Q915" s="195"/>
      <c r="S915" s="200"/>
      <c r="T915" s="200"/>
      <c r="U915" s="152"/>
      <c r="V915" s="152"/>
      <c r="W915" s="157"/>
      <c r="X915" s="197"/>
      <c r="Y915" s="156"/>
    </row>
    <row r="916" ht="15.75" customHeight="1">
      <c r="B916" s="199"/>
      <c r="N916" s="152"/>
      <c r="Q916" s="195"/>
      <c r="S916" s="200"/>
      <c r="T916" s="200"/>
      <c r="U916" s="152"/>
      <c r="V916" s="152"/>
      <c r="W916" s="157"/>
      <c r="X916" s="197"/>
      <c r="Y916" s="156"/>
    </row>
    <row r="917" ht="15.75" customHeight="1">
      <c r="B917" s="199"/>
      <c r="N917" s="152"/>
      <c r="Q917" s="195"/>
      <c r="S917" s="200"/>
      <c r="T917" s="200"/>
      <c r="U917" s="152"/>
      <c r="V917" s="152"/>
      <c r="W917" s="157"/>
      <c r="X917" s="197"/>
      <c r="Y917" s="156"/>
    </row>
    <row r="918" ht="15.75" customHeight="1">
      <c r="B918" s="199"/>
      <c r="N918" s="152"/>
      <c r="Q918" s="195"/>
      <c r="S918" s="200"/>
      <c r="T918" s="200"/>
      <c r="U918" s="152"/>
      <c r="V918" s="152"/>
      <c r="W918" s="157"/>
      <c r="X918" s="197"/>
      <c r="Y918" s="156"/>
    </row>
    <row r="919" ht="15.75" customHeight="1">
      <c r="B919" s="199"/>
      <c r="N919" s="152"/>
      <c r="Q919" s="195"/>
      <c r="S919" s="200"/>
      <c r="T919" s="200"/>
      <c r="U919" s="152"/>
      <c r="V919" s="152"/>
      <c r="W919" s="157"/>
      <c r="X919" s="197"/>
      <c r="Y919" s="156"/>
    </row>
    <row r="920" ht="15.75" customHeight="1">
      <c r="B920" s="199"/>
      <c r="N920" s="152"/>
      <c r="Q920" s="195"/>
      <c r="S920" s="200"/>
      <c r="T920" s="200"/>
      <c r="U920" s="152"/>
      <c r="V920" s="152"/>
      <c r="W920" s="157"/>
      <c r="X920" s="197"/>
      <c r="Y920" s="156"/>
    </row>
    <row r="921" ht="15.75" customHeight="1">
      <c r="B921" s="199"/>
      <c r="N921" s="152"/>
      <c r="Q921" s="195"/>
      <c r="S921" s="200"/>
      <c r="T921" s="200"/>
      <c r="U921" s="152"/>
      <c r="V921" s="152"/>
      <c r="W921" s="157"/>
      <c r="X921" s="197"/>
      <c r="Y921" s="156"/>
    </row>
    <row r="922" ht="15.75" customHeight="1">
      <c r="B922" s="199"/>
      <c r="N922" s="152"/>
      <c r="Q922" s="195"/>
      <c r="S922" s="200"/>
      <c r="T922" s="200"/>
      <c r="U922" s="152"/>
      <c r="V922" s="152"/>
      <c r="W922" s="157"/>
      <c r="X922" s="197"/>
      <c r="Y922" s="156"/>
    </row>
    <row r="923" ht="15.75" customHeight="1">
      <c r="B923" s="199"/>
      <c r="N923" s="152"/>
      <c r="Q923" s="195"/>
      <c r="S923" s="200"/>
      <c r="T923" s="200"/>
      <c r="U923" s="152"/>
      <c r="V923" s="152"/>
      <c r="W923" s="157"/>
      <c r="X923" s="197"/>
      <c r="Y923" s="156"/>
    </row>
    <row r="924" ht="15.75" customHeight="1">
      <c r="B924" s="199"/>
      <c r="N924" s="152"/>
      <c r="Q924" s="195"/>
      <c r="S924" s="200"/>
      <c r="T924" s="200"/>
      <c r="U924" s="152"/>
      <c r="V924" s="152"/>
      <c r="W924" s="157"/>
      <c r="X924" s="197"/>
      <c r="Y924" s="156"/>
    </row>
    <row r="925" ht="15.75" customHeight="1">
      <c r="B925" s="199"/>
      <c r="N925" s="152"/>
      <c r="Q925" s="195"/>
      <c r="S925" s="200"/>
      <c r="T925" s="200"/>
      <c r="U925" s="152"/>
      <c r="V925" s="152"/>
      <c r="W925" s="157"/>
      <c r="X925" s="197"/>
      <c r="Y925" s="156"/>
    </row>
    <row r="926" ht="15.75" customHeight="1">
      <c r="B926" s="199"/>
      <c r="N926" s="152"/>
      <c r="Q926" s="195"/>
      <c r="S926" s="200"/>
      <c r="T926" s="200"/>
      <c r="U926" s="152"/>
      <c r="V926" s="152"/>
      <c r="W926" s="157"/>
      <c r="X926" s="197"/>
      <c r="Y926" s="156"/>
    </row>
    <row r="927" ht="15.75" customHeight="1">
      <c r="B927" s="199"/>
      <c r="N927" s="152"/>
      <c r="Q927" s="195"/>
      <c r="S927" s="200"/>
      <c r="T927" s="200"/>
      <c r="U927" s="152"/>
      <c r="V927" s="152"/>
      <c r="W927" s="157"/>
      <c r="X927" s="197"/>
      <c r="Y927" s="156"/>
    </row>
    <row r="928" ht="15.75" customHeight="1">
      <c r="B928" s="199"/>
      <c r="N928" s="152"/>
      <c r="Q928" s="195"/>
      <c r="S928" s="200"/>
      <c r="T928" s="200"/>
      <c r="U928" s="152"/>
      <c r="V928" s="152"/>
      <c r="W928" s="157"/>
      <c r="X928" s="197"/>
      <c r="Y928" s="156"/>
    </row>
    <row r="929" ht="15.75" customHeight="1">
      <c r="B929" s="199"/>
      <c r="N929" s="152"/>
      <c r="Q929" s="195"/>
      <c r="S929" s="200"/>
      <c r="T929" s="200"/>
      <c r="U929" s="152"/>
      <c r="V929" s="152"/>
      <c r="W929" s="157"/>
      <c r="X929" s="197"/>
      <c r="Y929" s="156"/>
    </row>
    <row r="930" ht="15.75" customHeight="1">
      <c r="B930" s="199"/>
      <c r="N930" s="152"/>
      <c r="Q930" s="195"/>
      <c r="S930" s="200"/>
      <c r="T930" s="200"/>
      <c r="U930" s="152"/>
      <c r="V930" s="152"/>
      <c r="W930" s="157"/>
      <c r="X930" s="197"/>
      <c r="Y930" s="156"/>
    </row>
    <row r="931" ht="15.75" customHeight="1">
      <c r="B931" s="199"/>
      <c r="N931" s="152"/>
      <c r="Q931" s="195"/>
      <c r="S931" s="200"/>
      <c r="T931" s="200"/>
      <c r="U931" s="152"/>
      <c r="V931" s="152"/>
      <c r="W931" s="157"/>
      <c r="X931" s="197"/>
      <c r="Y931" s="156"/>
    </row>
    <row r="932" ht="15.75" customHeight="1">
      <c r="B932" s="199"/>
      <c r="N932" s="152"/>
      <c r="Q932" s="195"/>
      <c r="S932" s="200"/>
      <c r="T932" s="200"/>
      <c r="U932" s="152"/>
      <c r="V932" s="152"/>
      <c r="W932" s="157"/>
      <c r="X932" s="197"/>
      <c r="Y932" s="156"/>
    </row>
    <row r="933" ht="15.75" customHeight="1">
      <c r="B933" s="199"/>
      <c r="N933" s="152"/>
      <c r="Q933" s="195"/>
      <c r="S933" s="200"/>
      <c r="T933" s="200"/>
      <c r="U933" s="152"/>
      <c r="V933" s="152"/>
      <c r="W933" s="157"/>
      <c r="X933" s="197"/>
      <c r="Y933" s="156"/>
    </row>
    <row r="934" ht="15.75" customHeight="1">
      <c r="B934" s="199"/>
      <c r="N934" s="152"/>
      <c r="Q934" s="195"/>
      <c r="S934" s="200"/>
      <c r="T934" s="200"/>
      <c r="U934" s="152"/>
      <c r="V934" s="152"/>
      <c r="W934" s="157"/>
      <c r="X934" s="197"/>
      <c r="Y934" s="156"/>
    </row>
    <row r="935" ht="15.75" customHeight="1">
      <c r="B935" s="199"/>
      <c r="N935" s="152"/>
      <c r="Q935" s="195"/>
      <c r="S935" s="200"/>
      <c r="T935" s="200"/>
      <c r="U935" s="152"/>
      <c r="V935" s="152"/>
      <c r="W935" s="157"/>
      <c r="X935" s="197"/>
      <c r="Y935" s="156"/>
    </row>
    <row r="936" ht="15.75" customHeight="1">
      <c r="B936" s="199"/>
      <c r="N936" s="152"/>
      <c r="Q936" s="195"/>
      <c r="S936" s="200"/>
      <c r="T936" s="200"/>
      <c r="U936" s="152"/>
      <c r="V936" s="152"/>
      <c r="W936" s="157"/>
      <c r="X936" s="197"/>
      <c r="Y936" s="156"/>
    </row>
    <row r="937" ht="15.75" customHeight="1">
      <c r="B937" s="199"/>
      <c r="N937" s="152"/>
      <c r="Q937" s="195"/>
      <c r="S937" s="200"/>
      <c r="T937" s="200"/>
      <c r="U937" s="152"/>
      <c r="V937" s="152"/>
      <c r="W937" s="157"/>
      <c r="X937" s="197"/>
      <c r="Y937" s="156"/>
    </row>
    <row r="938" ht="15.75" customHeight="1">
      <c r="B938" s="199"/>
      <c r="N938" s="152"/>
      <c r="Q938" s="195"/>
      <c r="S938" s="200"/>
      <c r="T938" s="200"/>
      <c r="U938" s="152"/>
      <c r="V938" s="152"/>
      <c r="W938" s="157"/>
      <c r="X938" s="197"/>
      <c r="Y938" s="156"/>
    </row>
    <row r="939" ht="15.75" customHeight="1">
      <c r="B939" s="199"/>
      <c r="N939" s="152"/>
      <c r="Q939" s="195"/>
      <c r="S939" s="200"/>
      <c r="T939" s="200"/>
      <c r="U939" s="152"/>
      <c r="V939" s="152"/>
      <c r="W939" s="157"/>
      <c r="X939" s="197"/>
      <c r="Y939" s="156"/>
    </row>
    <row r="940" ht="15.75" customHeight="1">
      <c r="B940" s="199"/>
      <c r="N940" s="152"/>
      <c r="Q940" s="195"/>
      <c r="S940" s="200"/>
      <c r="T940" s="200"/>
      <c r="U940" s="152"/>
      <c r="V940" s="152"/>
      <c r="W940" s="157"/>
      <c r="X940" s="197"/>
      <c r="Y940" s="156"/>
    </row>
    <row r="941" ht="15.75" customHeight="1">
      <c r="B941" s="199"/>
      <c r="N941" s="152"/>
      <c r="Q941" s="195"/>
      <c r="S941" s="200"/>
      <c r="T941" s="200"/>
      <c r="U941" s="152"/>
      <c r="V941" s="152"/>
      <c r="W941" s="157"/>
      <c r="X941" s="197"/>
      <c r="Y941" s="156"/>
    </row>
    <row r="942" ht="15.75" customHeight="1">
      <c r="B942" s="199"/>
      <c r="N942" s="152"/>
      <c r="Q942" s="195"/>
      <c r="S942" s="200"/>
      <c r="T942" s="200"/>
      <c r="U942" s="152"/>
      <c r="V942" s="152"/>
      <c r="W942" s="157"/>
      <c r="X942" s="197"/>
      <c r="Y942" s="156"/>
    </row>
    <row r="943" ht="15.75" customHeight="1">
      <c r="B943" s="199"/>
      <c r="N943" s="152"/>
      <c r="Q943" s="195"/>
      <c r="S943" s="200"/>
      <c r="T943" s="200"/>
      <c r="U943" s="152"/>
      <c r="V943" s="152"/>
      <c r="W943" s="157"/>
      <c r="X943" s="197"/>
      <c r="Y943" s="156"/>
    </row>
    <row r="944" ht="15.75" customHeight="1">
      <c r="B944" s="199"/>
      <c r="N944" s="152"/>
      <c r="Q944" s="195"/>
      <c r="S944" s="200"/>
      <c r="T944" s="200"/>
      <c r="U944" s="152"/>
      <c r="V944" s="152"/>
      <c r="W944" s="157"/>
      <c r="X944" s="197"/>
      <c r="Y944" s="156"/>
    </row>
    <row r="945" ht="15.75" customHeight="1">
      <c r="B945" s="199"/>
      <c r="N945" s="152"/>
      <c r="Q945" s="195"/>
      <c r="S945" s="200"/>
      <c r="T945" s="200"/>
      <c r="U945" s="152"/>
      <c r="V945" s="152"/>
      <c r="W945" s="157"/>
      <c r="X945" s="197"/>
      <c r="Y945" s="156"/>
    </row>
    <row r="946" ht="15.75" customHeight="1">
      <c r="B946" s="199"/>
      <c r="N946" s="152"/>
      <c r="Q946" s="195"/>
      <c r="S946" s="200"/>
      <c r="T946" s="200"/>
      <c r="U946" s="152"/>
      <c r="V946" s="152"/>
      <c r="W946" s="157"/>
      <c r="X946" s="197"/>
      <c r="Y946" s="156"/>
    </row>
    <row r="947" ht="15.75" customHeight="1">
      <c r="B947" s="199"/>
      <c r="N947" s="152"/>
      <c r="Q947" s="195"/>
      <c r="S947" s="200"/>
      <c r="T947" s="200"/>
      <c r="U947" s="152"/>
      <c r="V947" s="152"/>
      <c r="W947" s="157"/>
      <c r="X947" s="197"/>
      <c r="Y947" s="156"/>
    </row>
    <row r="948" ht="15.75" customHeight="1">
      <c r="B948" s="199"/>
      <c r="N948" s="152"/>
      <c r="Q948" s="195"/>
      <c r="S948" s="200"/>
      <c r="T948" s="200"/>
      <c r="U948" s="152"/>
      <c r="V948" s="152"/>
      <c r="W948" s="157"/>
      <c r="X948" s="197"/>
      <c r="Y948" s="156"/>
    </row>
    <row r="949" ht="15.75" customHeight="1">
      <c r="B949" s="199"/>
      <c r="N949" s="152"/>
      <c r="Q949" s="195"/>
      <c r="S949" s="200"/>
      <c r="T949" s="200"/>
      <c r="U949" s="152"/>
      <c r="V949" s="152"/>
      <c r="W949" s="157"/>
      <c r="X949" s="197"/>
      <c r="Y949" s="156"/>
    </row>
    <row r="950" ht="15.75" customHeight="1">
      <c r="B950" s="199"/>
      <c r="N950" s="152"/>
      <c r="Q950" s="195"/>
      <c r="S950" s="200"/>
      <c r="T950" s="200"/>
      <c r="U950" s="152"/>
      <c r="V950" s="152"/>
      <c r="W950" s="157"/>
      <c r="X950" s="197"/>
      <c r="Y950" s="156"/>
    </row>
    <row r="951" ht="15.75" customHeight="1">
      <c r="B951" s="199"/>
      <c r="N951" s="152"/>
      <c r="Q951" s="195"/>
      <c r="S951" s="200"/>
      <c r="T951" s="200"/>
      <c r="U951" s="152"/>
      <c r="V951" s="152"/>
      <c r="W951" s="157"/>
      <c r="X951" s="197"/>
      <c r="Y951" s="156"/>
    </row>
    <row r="952" ht="15.75" customHeight="1">
      <c r="B952" s="199"/>
      <c r="N952" s="152"/>
      <c r="Q952" s="195"/>
      <c r="S952" s="200"/>
      <c r="T952" s="200"/>
      <c r="U952" s="152"/>
      <c r="V952" s="152"/>
      <c r="W952" s="157"/>
      <c r="X952" s="197"/>
      <c r="Y952" s="156"/>
    </row>
    <row r="953" ht="15.75" customHeight="1">
      <c r="B953" s="199"/>
      <c r="N953" s="152"/>
      <c r="Q953" s="195"/>
      <c r="S953" s="200"/>
      <c r="T953" s="200"/>
      <c r="U953" s="152"/>
      <c r="V953" s="152"/>
      <c r="W953" s="157"/>
      <c r="X953" s="197"/>
      <c r="Y953" s="156"/>
    </row>
    <row r="954" ht="15.75" customHeight="1">
      <c r="B954" s="199"/>
      <c r="N954" s="152"/>
      <c r="Q954" s="195"/>
      <c r="S954" s="200"/>
      <c r="T954" s="200"/>
      <c r="U954" s="152"/>
      <c r="V954" s="152"/>
      <c r="W954" s="157"/>
      <c r="X954" s="197"/>
      <c r="Y954" s="156"/>
    </row>
    <row r="955" ht="15.75" customHeight="1">
      <c r="B955" s="199"/>
      <c r="N955" s="152"/>
      <c r="Q955" s="195"/>
      <c r="S955" s="200"/>
      <c r="T955" s="200"/>
      <c r="U955" s="152"/>
      <c r="V955" s="152"/>
      <c r="W955" s="157"/>
      <c r="X955" s="197"/>
      <c r="Y955" s="156"/>
    </row>
    <row r="956" ht="15.75" customHeight="1">
      <c r="B956" s="199"/>
      <c r="N956" s="152"/>
      <c r="Q956" s="195"/>
      <c r="S956" s="200"/>
      <c r="T956" s="200"/>
      <c r="U956" s="152"/>
      <c r="V956" s="152"/>
      <c r="W956" s="157"/>
      <c r="X956" s="197"/>
      <c r="Y956" s="156"/>
    </row>
    <row r="957" ht="15.75" customHeight="1">
      <c r="B957" s="199"/>
      <c r="N957" s="152"/>
      <c r="Q957" s="195"/>
      <c r="S957" s="200"/>
      <c r="T957" s="200"/>
      <c r="U957" s="152"/>
      <c r="V957" s="152"/>
      <c r="W957" s="157"/>
      <c r="X957" s="197"/>
      <c r="Y957" s="156"/>
    </row>
    <row r="958" ht="15.75" customHeight="1">
      <c r="B958" s="199"/>
      <c r="N958" s="152"/>
      <c r="Q958" s="195"/>
      <c r="S958" s="200"/>
      <c r="T958" s="200"/>
      <c r="U958" s="152"/>
      <c r="V958" s="152"/>
      <c r="W958" s="157"/>
      <c r="X958" s="197"/>
      <c r="Y958" s="156"/>
    </row>
    <row r="959" ht="15.75" customHeight="1">
      <c r="B959" s="199"/>
      <c r="N959" s="152"/>
      <c r="Q959" s="195"/>
      <c r="S959" s="200"/>
      <c r="T959" s="200"/>
      <c r="U959" s="152"/>
      <c r="V959" s="152"/>
      <c r="W959" s="157"/>
      <c r="X959" s="197"/>
      <c r="Y959" s="156"/>
    </row>
    <row r="960" ht="15.75" customHeight="1">
      <c r="B960" s="199"/>
      <c r="N960" s="152"/>
      <c r="Q960" s="195"/>
      <c r="S960" s="200"/>
      <c r="T960" s="200"/>
      <c r="U960" s="152"/>
      <c r="V960" s="152"/>
      <c r="W960" s="157"/>
      <c r="X960" s="197"/>
      <c r="Y960" s="156"/>
    </row>
    <row r="961" ht="15.75" customHeight="1">
      <c r="B961" s="199"/>
      <c r="N961" s="152"/>
      <c r="Q961" s="195"/>
      <c r="S961" s="200"/>
      <c r="T961" s="200"/>
      <c r="U961" s="152"/>
      <c r="V961" s="152"/>
      <c r="W961" s="157"/>
      <c r="X961" s="197"/>
      <c r="Y961" s="156"/>
    </row>
    <row r="962" ht="15.75" customHeight="1">
      <c r="B962" s="199"/>
      <c r="N962" s="152"/>
      <c r="Q962" s="195"/>
      <c r="S962" s="200"/>
      <c r="T962" s="200"/>
      <c r="U962" s="152"/>
      <c r="V962" s="152"/>
      <c r="W962" s="157"/>
      <c r="X962" s="197"/>
      <c r="Y962" s="156"/>
    </row>
    <row r="963" ht="15.75" customHeight="1">
      <c r="B963" s="199"/>
      <c r="N963" s="152"/>
      <c r="Q963" s="195"/>
      <c r="S963" s="200"/>
      <c r="T963" s="200"/>
      <c r="U963" s="152"/>
      <c r="V963" s="152"/>
      <c r="W963" s="157"/>
      <c r="X963" s="197"/>
      <c r="Y963" s="156"/>
    </row>
    <row r="964" ht="15.75" customHeight="1">
      <c r="B964" s="199"/>
      <c r="N964" s="152"/>
      <c r="Q964" s="195"/>
      <c r="S964" s="200"/>
      <c r="T964" s="200"/>
      <c r="U964" s="152"/>
      <c r="V964" s="152"/>
      <c r="W964" s="157"/>
      <c r="X964" s="197"/>
      <c r="Y964" s="156"/>
    </row>
    <row r="965" ht="15.75" customHeight="1">
      <c r="B965" s="199"/>
      <c r="N965" s="152"/>
      <c r="Q965" s="195"/>
      <c r="S965" s="200"/>
      <c r="T965" s="200"/>
      <c r="U965" s="152"/>
      <c r="V965" s="152"/>
      <c r="W965" s="157"/>
      <c r="X965" s="197"/>
      <c r="Y965" s="156"/>
    </row>
    <row r="966" ht="15.75" customHeight="1">
      <c r="B966" s="199"/>
      <c r="N966" s="152"/>
      <c r="Q966" s="195"/>
      <c r="S966" s="200"/>
      <c r="T966" s="200"/>
      <c r="U966" s="152"/>
      <c r="V966" s="152"/>
      <c r="W966" s="157"/>
      <c r="X966" s="197"/>
      <c r="Y966" s="156"/>
    </row>
    <row r="967" ht="15.75" customHeight="1">
      <c r="B967" s="199"/>
      <c r="N967" s="152"/>
      <c r="Q967" s="195"/>
      <c r="S967" s="200"/>
      <c r="T967" s="200"/>
      <c r="U967" s="152"/>
      <c r="V967" s="152"/>
      <c r="W967" s="157"/>
      <c r="X967" s="197"/>
      <c r="Y967" s="156"/>
    </row>
    <row r="968" ht="15.75" customHeight="1">
      <c r="B968" s="199"/>
      <c r="N968" s="152"/>
      <c r="Q968" s="195"/>
      <c r="S968" s="200"/>
      <c r="T968" s="200"/>
      <c r="U968" s="152"/>
      <c r="V968" s="152"/>
      <c r="W968" s="157"/>
      <c r="X968" s="197"/>
      <c r="Y968" s="156"/>
    </row>
    <row r="969" ht="15.75" customHeight="1">
      <c r="B969" s="199"/>
      <c r="N969" s="152"/>
      <c r="Q969" s="195"/>
      <c r="S969" s="200"/>
      <c r="T969" s="200"/>
      <c r="U969" s="152"/>
      <c r="V969" s="152"/>
      <c r="W969" s="157"/>
      <c r="X969" s="197"/>
      <c r="Y969" s="156"/>
    </row>
    <row r="970" ht="15.75" customHeight="1">
      <c r="B970" s="199"/>
      <c r="N970" s="152"/>
      <c r="Q970" s="195"/>
      <c r="S970" s="200"/>
      <c r="T970" s="200"/>
      <c r="U970" s="152"/>
      <c r="V970" s="152"/>
      <c r="W970" s="157"/>
      <c r="X970" s="197"/>
      <c r="Y970" s="156"/>
    </row>
    <row r="971" ht="15.75" customHeight="1">
      <c r="B971" s="199"/>
      <c r="N971" s="152"/>
      <c r="Q971" s="195"/>
      <c r="S971" s="200"/>
      <c r="T971" s="200"/>
      <c r="U971" s="152"/>
      <c r="V971" s="152"/>
      <c r="W971" s="157"/>
      <c r="X971" s="197"/>
      <c r="Y971" s="156"/>
    </row>
    <row r="972" ht="15.75" customHeight="1">
      <c r="B972" s="199"/>
      <c r="N972" s="152"/>
      <c r="Q972" s="195"/>
      <c r="S972" s="200"/>
      <c r="T972" s="200"/>
      <c r="U972" s="152"/>
      <c r="V972" s="152"/>
      <c r="W972" s="157"/>
      <c r="X972" s="197"/>
      <c r="Y972" s="156"/>
    </row>
    <row r="973" ht="15.75" customHeight="1">
      <c r="B973" s="199"/>
      <c r="N973" s="152"/>
      <c r="Q973" s="195"/>
      <c r="S973" s="200"/>
      <c r="T973" s="200"/>
      <c r="U973" s="152"/>
      <c r="V973" s="152"/>
      <c r="W973" s="157"/>
      <c r="X973" s="197"/>
      <c r="Y973" s="156"/>
    </row>
    <row r="974" ht="15.75" customHeight="1">
      <c r="B974" s="199"/>
      <c r="N974" s="152"/>
      <c r="Q974" s="195"/>
      <c r="S974" s="200"/>
      <c r="T974" s="200"/>
      <c r="U974" s="152"/>
      <c r="V974" s="152"/>
      <c r="W974" s="157"/>
      <c r="X974" s="197"/>
      <c r="Y974" s="156"/>
    </row>
    <row r="975" ht="15.75" customHeight="1">
      <c r="B975" s="199"/>
      <c r="N975" s="152"/>
      <c r="Q975" s="195"/>
      <c r="S975" s="200"/>
      <c r="T975" s="200"/>
      <c r="U975" s="152"/>
      <c r="V975" s="152"/>
      <c r="W975" s="157"/>
      <c r="X975" s="197"/>
      <c r="Y975" s="156"/>
    </row>
    <row r="976" ht="15.75" customHeight="1">
      <c r="B976" s="199"/>
      <c r="N976" s="152"/>
      <c r="Q976" s="195"/>
      <c r="S976" s="200"/>
      <c r="T976" s="200"/>
      <c r="U976" s="152"/>
      <c r="V976" s="152"/>
      <c r="W976" s="157"/>
      <c r="X976" s="197"/>
      <c r="Y976" s="156"/>
    </row>
    <row r="977" ht="15.75" customHeight="1">
      <c r="B977" s="199"/>
      <c r="N977" s="152"/>
      <c r="Q977" s="195"/>
      <c r="S977" s="200"/>
      <c r="T977" s="200"/>
      <c r="U977" s="152"/>
      <c r="V977" s="152"/>
      <c r="W977" s="157"/>
      <c r="X977" s="197"/>
      <c r="Y977" s="156"/>
    </row>
    <row r="978" ht="15.75" customHeight="1">
      <c r="B978" s="199"/>
      <c r="N978" s="152"/>
      <c r="Q978" s="195"/>
      <c r="S978" s="200"/>
      <c r="T978" s="200"/>
      <c r="U978" s="152"/>
      <c r="V978" s="152"/>
      <c r="W978" s="157"/>
      <c r="X978" s="197"/>
      <c r="Y978" s="156"/>
    </row>
    <row r="979" ht="15.75" customHeight="1">
      <c r="B979" s="199"/>
      <c r="N979" s="152"/>
      <c r="Q979" s="195"/>
      <c r="S979" s="200"/>
      <c r="T979" s="200"/>
      <c r="U979" s="152"/>
      <c r="V979" s="152"/>
      <c r="W979" s="157"/>
      <c r="X979" s="197"/>
      <c r="Y979" s="156"/>
    </row>
    <row r="980" ht="15.75" customHeight="1">
      <c r="B980" s="199"/>
      <c r="N980" s="152"/>
      <c r="Q980" s="195"/>
      <c r="S980" s="200"/>
      <c r="T980" s="200"/>
      <c r="U980" s="152"/>
      <c r="V980" s="152"/>
      <c r="W980" s="157"/>
      <c r="X980" s="197"/>
      <c r="Y980" s="156"/>
    </row>
    <row r="981" ht="15.75" customHeight="1">
      <c r="B981" s="199"/>
      <c r="N981" s="152"/>
      <c r="Q981" s="195"/>
      <c r="S981" s="200"/>
      <c r="T981" s="200"/>
      <c r="U981" s="152"/>
      <c r="V981" s="152"/>
      <c r="W981" s="157"/>
      <c r="X981" s="197"/>
      <c r="Y981" s="156"/>
    </row>
    <row r="982" ht="15.75" customHeight="1">
      <c r="B982" s="199"/>
      <c r="N982" s="152"/>
      <c r="Q982" s="195"/>
      <c r="S982" s="200"/>
      <c r="T982" s="200"/>
      <c r="U982" s="152"/>
      <c r="V982" s="152"/>
      <c r="W982" s="157"/>
      <c r="X982" s="197"/>
      <c r="Y982" s="156"/>
    </row>
    <row r="983" ht="15.75" customHeight="1">
      <c r="B983" s="199"/>
      <c r="N983" s="152"/>
      <c r="Q983" s="195"/>
      <c r="S983" s="200"/>
      <c r="T983" s="200"/>
      <c r="U983" s="152"/>
      <c r="V983" s="152"/>
      <c r="W983" s="157"/>
      <c r="X983" s="197"/>
      <c r="Y983" s="156"/>
    </row>
    <row r="984" ht="15.75" customHeight="1">
      <c r="B984" s="199"/>
      <c r="N984" s="152"/>
      <c r="Q984" s="195"/>
      <c r="S984" s="200"/>
      <c r="T984" s="200"/>
      <c r="U984" s="152"/>
      <c r="V984" s="152"/>
      <c r="W984" s="157"/>
      <c r="X984" s="197"/>
      <c r="Y984" s="156"/>
    </row>
    <row r="985" ht="15.75" customHeight="1">
      <c r="B985" s="199"/>
      <c r="N985" s="152"/>
      <c r="Q985" s="195"/>
      <c r="S985" s="200"/>
      <c r="T985" s="200"/>
      <c r="U985" s="152"/>
      <c r="V985" s="152"/>
      <c r="W985" s="157"/>
      <c r="X985" s="197"/>
      <c r="Y985" s="156"/>
    </row>
    <row r="986" ht="15.75" customHeight="1">
      <c r="B986" s="199"/>
      <c r="N986" s="152"/>
      <c r="Q986" s="195"/>
      <c r="S986" s="200"/>
      <c r="T986" s="200"/>
      <c r="U986" s="152"/>
      <c r="V986" s="152"/>
      <c r="W986" s="157"/>
      <c r="X986" s="197"/>
      <c r="Y986" s="156"/>
    </row>
    <row r="987" ht="15.75" customHeight="1">
      <c r="B987" s="199"/>
      <c r="N987" s="152"/>
      <c r="Q987" s="195"/>
      <c r="S987" s="200"/>
      <c r="T987" s="200"/>
      <c r="U987" s="152"/>
      <c r="V987" s="152"/>
      <c r="W987" s="157"/>
      <c r="X987" s="197"/>
      <c r="Y987" s="156"/>
    </row>
    <row r="988" ht="15.75" customHeight="1">
      <c r="B988" s="199"/>
      <c r="N988" s="152"/>
      <c r="Q988" s="195"/>
      <c r="S988" s="200"/>
      <c r="T988" s="200"/>
      <c r="U988" s="152"/>
      <c r="V988" s="152"/>
      <c r="W988" s="157"/>
      <c r="X988" s="197"/>
      <c r="Y988" s="156"/>
    </row>
    <row r="989" ht="15.75" customHeight="1">
      <c r="B989" s="199"/>
      <c r="N989" s="152"/>
      <c r="Q989" s="195"/>
      <c r="S989" s="200"/>
      <c r="T989" s="200"/>
      <c r="U989" s="152"/>
      <c r="V989" s="152"/>
      <c r="W989" s="157"/>
      <c r="X989" s="197"/>
      <c r="Y989" s="156"/>
    </row>
    <row r="990" ht="15.75" customHeight="1">
      <c r="B990" s="199"/>
      <c r="N990" s="152"/>
      <c r="Q990" s="195"/>
      <c r="S990" s="200"/>
      <c r="T990" s="200"/>
      <c r="U990" s="152"/>
      <c r="V990" s="152"/>
      <c r="W990" s="157"/>
      <c r="X990" s="197"/>
      <c r="Y990" s="156"/>
    </row>
    <row r="991" ht="15.75" customHeight="1">
      <c r="B991" s="199"/>
      <c r="N991" s="152"/>
      <c r="Q991" s="195"/>
      <c r="S991" s="200"/>
      <c r="T991" s="200"/>
      <c r="U991" s="152"/>
      <c r="V991" s="152"/>
      <c r="W991" s="157"/>
      <c r="X991" s="197"/>
      <c r="Y991" s="156"/>
    </row>
    <row r="992" ht="15.75" customHeight="1">
      <c r="B992" s="199"/>
      <c r="N992" s="152"/>
      <c r="Q992" s="195"/>
      <c r="S992" s="200"/>
      <c r="T992" s="200"/>
      <c r="U992" s="152"/>
      <c r="V992" s="152"/>
      <c r="W992" s="157"/>
      <c r="X992" s="197"/>
      <c r="Y992" s="156"/>
    </row>
    <row r="993" ht="15.75" customHeight="1">
      <c r="B993" s="199"/>
      <c r="N993" s="152"/>
      <c r="Q993" s="195"/>
      <c r="S993" s="200"/>
      <c r="T993" s="200"/>
      <c r="U993" s="152"/>
      <c r="V993" s="152"/>
      <c r="W993" s="157"/>
      <c r="X993" s="197"/>
      <c r="Y993" s="156"/>
    </row>
    <row r="994" ht="15.75" customHeight="1">
      <c r="B994" s="199"/>
      <c r="N994" s="152"/>
      <c r="Q994" s="195"/>
      <c r="S994" s="200"/>
      <c r="T994" s="200"/>
      <c r="U994" s="152"/>
      <c r="V994" s="152"/>
      <c r="W994" s="157"/>
      <c r="X994" s="197"/>
      <c r="Y994" s="156"/>
    </row>
    <row r="995" ht="15.75" customHeight="1">
      <c r="B995" s="199"/>
      <c r="N995" s="152"/>
      <c r="Q995" s="195"/>
      <c r="S995" s="200"/>
      <c r="T995" s="200"/>
      <c r="U995" s="152"/>
      <c r="V995" s="152"/>
      <c r="W995" s="157"/>
      <c r="X995" s="197"/>
      <c r="Y995" s="156"/>
    </row>
    <row r="996" ht="15.75" customHeight="1">
      <c r="B996" s="199"/>
      <c r="N996" s="152"/>
      <c r="Q996" s="195"/>
      <c r="S996" s="200"/>
      <c r="T996" s="200"/>
      <c r="U996" s="152"/>
      <c r="V996" s="152"/>
      <c r="W996" s="157"/>
      <c r="X996" s="197"/>
      <c r="Y996" s="156"/>
    </row>
    <row r="997" ht="15.75" customHeight="1">
      <c r="B997" s="199"/>
      <c r="N997" s="152"/>
      <c r="Q997" s="195"/>
      <c r="S997" s="200"/>
      <c r="T997" s="200"/>
      <c r="U997" s="152"/>
      <c r="V997" s="152"/>
      <c r="W997" s="157"/>
      <c r="X997" s="197"/>
      <c r="Y997" s="156"/>
    </row>
    <row r="998" ht="15.75" customHeight="1">
      <c r="B998" s="199"/>
      <c r="N998" s="152"/>
      <c r="Q998" s="195"/>
      <c r="S998" s="200"/>
      <c r="T998" s="200"/>
      <c r="U998" s="152"/>
      <c r="V998" s="152"/>
      <c r="W998" s="157"/>
      <c r="X998" s="197"/>
      <c r="Y998" s="156"/>
    </row>
    <row r="999" ht="15.75" customHeight="1">
      <c r="B999" s="199"/>
      <c r="N999" s="152"/>
      <c r="Q999" s="195"/>
      <c r="S999" s="200"/>
      <c r="T999" s="200"/>
      <c r="U999" s="152"/>
      <c r="V999" s="152"/>
      <c r="W999" s="157"/>
      <c r="X999" s="197"/>
      <c r="Y999" s="156"/>
    </row>
    <row r="1000" ht="15.75" customHeight="1">
      <c r="B1000" s="199"/>
      <c r="N1000" s="152"/>
      <c r="Q1000" s="195"/>
      <c r="S1000" s="200"/>
      <c r="T1000" s="200"/>
      <c r="U1000" s="152"/>
      <c r="V1000" s="152"/>
      <c r="W1000" s="157"/>
      <c r="X1000" s="197"/>
      <c r="Y1000" s="156"/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7E6B"/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3.75"/>
    <col customWidth="1" min="6" max="6" width="12.63"/>
    <col customWidth="1" min="8" max="8" width="13.0"/>
    <col customWidth="1" min="9" max="9" width="14.38"/>
    <col customWidth="1" min="12" max="12" width="18.13"/>
    <col customWidth="1" min="13" max="13" width="13.0"/>
    <col customWidth="1" min="14" max="14" width="18.13"/>
    <col customWidth="1" min="15" max="15" width="13.63"/>
    <col customWidth="1" min="16" max="16" width="19.13"/>
    <col customWidth="1" min="19" max="20" width="19.13"/>
    <col customWidth="1" min="23" max="23" width="19.13"/>
  </cols>
  <sheetData>
    <row r="1" ht="15.75" customHeight="1">
      <c r="A1" s="168" t="str">
        <f>Datos!A1</f>
        <v>   Fecha </v>
      </c>
      <c r="B1" s="168" t="str">
        <f>Datos!B1</f>
        <v>NIS</v>
      </c>
      <c r="C1" s="168" t="str">
        <f>Datos!C1</f>
        <v>Cliente</v>
      </c>
      <c r="D1" s="168" t="str">
        <f>Datos!D1</f>
        <v>IVA</v>
      </c>
      <c r="E1" s="168" t="str">
        <f>Datos!E1</f>
        <v>Consumo [kWh]</v>
      </c>
      <c r="F1" s="168" t="str">
        <f>Datos!F1</f>
        <v>Consumo hs punta [kWh]</v>
      </c>
      <c r="G1" s="168" t="str">
        <f>Datos!G1</f>
        <v>Consumo hs valle [kWh]</v>
      </c>
      <c r="H1" s="168" t="str">
        <f>Datos!H1</f>
        <v>Consumo hs resto[kWh]</v>
      </c>
      <c r="I1" s="168" t="str">
        <f>Datos!I1</f>
        <v>Catergoria</v>
      </c>
      <c r="J1" s="168" t="str">
        <f>Datos!J1</f>
        <v>Tarifa punta</v>
      </c>
      <c r="K1" s="168" t="str">
        <f>Datos!K1</f>
        <v>Tarifa valle</v>
      </c>
      <c r="L1" s="168" t="str">
        <f>Datos!L1</f>
        <v>Tarifa resto</v>
      </c>
      <c r="M1" s="168" t="str">
        <f>Datos!M1</f>
        <v>Generacion FV [kWh]</v>
      </c>
      <c r="N1" s="168" t="str">
        <f>Datos!N1</f>
        <v>CONSUMO TOTAL</v>
      </c>
      <c r="O1" s="168" t="str">
        <f>Datos!O1</f>
        <v>Total a pagar S / IVA</v>
      </c>
      <c r="P1" s="168" t="str">
        <f>Datos!P1</f>
        <v>Valor USD</v>
      </c>
      <c r="Q1" s="168" t="str">
        <f>Datos!Q1</f>
        <v>Ahorro (USD)</v>
      </c>
      <c r="R1" s="168" t="str">
        <f>Datos!R1</f>
        <v>Ahorro ($)</v>
      </c>
      <c r="S1" s="168" t="str">
        <f>Datos!S1</f>
        <v>Valor dolar Actual ($)</v>
      </c>
      <c r="T1" s="168" t="str">
        <f>Datos!T1</f>
        <v>Ahorro ($)-A precio actual</v>
      </c>
      <c r="U1" s="168" t="str">
        <f>Datos!U1</f>
        <v>kg CO2e evitados</v>
      </c>
      <c r="V1" s="168" t="str">
        <f>Datos!V1</f>
        <v>Equivalente en árboles</v>
      </c>
      <c r="W1" s="168" t="str">
        <f>Datos!W1</f>
        <v>% de ahorro sobre los consumos</v>
      </c>
      <c r="X1" s="168" t="str">
        <f>Datos!X1</f>
        <v>SIN PANELES S/IVA</v>
      </c>
      <c r="Y1" s="168" t="str">
        <f>Datos!Z1</f>
        <v/>
      </c>
      <c r="Z1" s="168" t="str">
        <f>Datos!AA1</f>
        <v/>
      </c>
      <c r="AA1" s="180"/>
      <c r="AB1" s="180"/>
      <c r="AC1" s="180"/>
      <c r="AD1" s="180"/>
      <c r="AE1" s="180"/>
      <c r="AF1" s="180"/>
      <c r="AG1" s="180"/>
      <c r="AH1" s="180"/>
      <c r="AI1" s="180"/>
      <c r="AJ1" s="180"/>
      <c r="AK1" s="180"/>
      <c r="AL1" s="180"/>
      <c r="AM1" s="180"/>
      <c r="AN1" s="180"/>
      <c r="AO1" s="180"/>
      <c r="AP1" s="180"/>
      <c r="AQ1" s="180"/>
      <c r="AR1" s="180"/>
      <c r="AS1" s="180"/>
      <c r="AT1" s="180"/>
      <c r="AU1" s="180"/>
      <c r="AV1" s="180"/>
    </row>
    <row r="2" ht="15.75" customHeight="1">
      <c r="A2" s="26">
        <f>'Ivan BV'!A2</f>
        <v>45992</v>
      </c>
      <c r="B2" s="77">
        <f>'Ivan BV'!B2</f>
        <v>5253773</v>
      </c>
      <c r="C2" s="77" t="str">
        <f>'Ivan BV'!C2</f>
        <v>Ivan BV</v>
      </c>
      <c r="D2" s="29">
        <f>'Ivan BV'!D2</f>
        <v>0.21</v>
      </c>
      <c r="E2" s="17">
        <f>'Ivan BV'!E2</f>
        <v>365</v>
      </c>
      <c r="F2" s="17">
        <f>'Ivan BV'!F2</f>
        <v>116</v>
      </c>
      <c r="G2" s="17">
        <f>'Ivan BV'!G2</f>
        <v>91</v>
      </c>
      <c r="H2" s="17">
        <f>'Ivan BV'!H2</f>
        <v>158</v>
      </c>
      <c r="I2" s="17" t="str">
        <f>'Ivan BV'!I2</f>
        <v>T1-R2-N1</v>
      </c>
      <c r="J2" s="30">
        <f>'Ivan BV'!J2</f>
        <v>229.3919</v>
      </c>
      <c r="K2" s="30">
        <f>'Ivan BV'!K2</f>
        <v>229.3919</v>
      </c>
      <c r="L2" s="30">
        <f>'Ivan BV'!L2</f>
        <v>229.3919</v>
      </c>
      <c r="M2" s="15">
        <f>'Ivan BV'!M2</f>
        <v>163</v>
      </c>
      <c r="N2" s="17">
        <f>'Ivan BV'!N2</f>
        <v>528</v>
      </c>
      <c r="O2" s="31">
        <f>'Ivan BV'!O2</f>
        <v>83728.0435</v>
      </c>
      <c r="P2" s="20">
        <f>'Ivan BV'!P2</f>
        <v>1470</v>
      </c>
      <c r="Q2" s="181">
        <f>'Ivan BV'!Q2</f>
        <v>25.43597259</v>
      </c>
      <c r="R2" s="32">
        <f>'Ivan BV'!R2</f>
        <v>37390.8797</v>
      </c>
      <c r="S2" s="84">
        <f>'Ivan BV'!S2</f>
        <v>1465</v>
      </c>
      <c r="T2" s="34">
        <f>'Ivan BV'!T2</f>
        <v>45089.0768</v>
      </c>
      <c r="U2" s="35">
        <f>'Ivan BV'!U2</f>
        <v>32.6</v>
      </c>
      <c r="V2" s="36">
        <f>'Ivan BV'!V2</f>
        <v>1.481818182</v>
      </c>
      <c r="W2" s="37">
        <f>'Ivan BV'!W2</f>
        <v>0.3087121212</v>
      </c>
      <c r="X2" s="31">
        <f>'Ivan BV'!X2</f>
        <v>121118.9232</v>
      </c>
      <c r="Y2" s="165"/>
      <c r="Z2" s="187"/>
      <c r="AA2" s="188"/>
      <c r="AB2" s="188"/>
      <c r="AC2" s="202"/>
      <c r="AD2" s="189"/>
      <c r="AE2" s="189"/>
      <c r="AF2" s="189"/>
      <c r="AG2" s="189"/>
      <c r="AH2" s="189"/>
      <c r="AI2" s="189"/>
      <c r="AJ2" s="189"/>
      <c r="AK2" s="189"/>
      <c r="AL2" s="189"/>
      <c r="AM2" s="189"/>
      <c r="AN2" s="189"/>
      <c r="AO2" s="189"/>
      <c r="AP2" s="189"/>
      <c r="AQ2" s="189"/>
      <c r="AR2" s="189"/>
      <c r="AS2" s="189"/>
      <c r="AT2" s="189"/>
      <c r="AU2" s="189"/>
      <c r="AV2" s="189"/>
    </row>
    <row r="3" ht="15.75" customHeight="1">
      <c r="A3" s="26">
        <f>'Ivan BV'!A3</f>
        <v>45976</v>
      </c>
      <c r="B3" s="77">
        <f>'Ivan BV'!B3</f>
        <v>5253773</v>
      </c>
      <c r="C3" s="77" t="str">
        <f>'Ivan BV'!C3</f>
        <v>Ivan BV</v>
      </c>
      <c r="D3" s="29">
        <f>'Ivan BV'!D3</f>
        <v>0.27</v>
      </c>
      <c r="E3" s="17">
        <f>'Ivan BV'!E3</f>
        <v>517</v>
      </c>
      <c r="F3" s="17">
        <f>'Ivan BV'!F3</f>
        <v>173</v>
      </c>
      <c r="G3" s="17">
        <f>'Ivan BV'!G3</f>
        <v>74</v>
      </c>
      <c r="H3" s="17">
        <f>'Ivan BV'!H3</f>
        <v>270</v>
      </c>
      <c r="I3" s="17" t="str">
        <f>'Ivan BV'!I3</f>
        <v>T1-R2-N1</v>
      </c>
      <c r="J3" s="30">
        <f>'Ivan BV'!J3</f>
        <v>233.1878</v>
      </c>
      <c r="K3" s="30">
        <f>'Ivan BV'!K3</f>
        <v>233.1878</v>
      </c>
      <c r="L3" s="30">
        <f>'Ivan BV'!L3</f>
        <v>233.1878</v>
      </c>
      <c r="M3" s="15">
        <f>'Ivan BV'!M3</f>
        <v>253.6</v>
      </c>
      <c r="N3" s="17">
        <f>'Ivan BV'!N3</f>
        <v>770.6</v>
      </c>
      <c r="O3" s="31">
        <f>'Ivan BV'!O3</f>
        <v>120558.0926</v>
      </c>
      <c r="P3" s="20">
        <f>'Ivan BV'!P3</f>
        <v>1470</v>
      </c>
      <c r="Q3" s="181">
        <f>'Ivan BV'!Q3</f>
        <v>40.22886128</v>
      </c>
      <c r="R3" s="32">
        <f>'Ivan BV'!R3</f>
        <v>59136.42608</v>
      </c>
      <c r="S3" s="84">
        <f>'Ivan BV'!S3</f>
        <v>1465</v>
      </c>
      <c r="T3" s="34">
        <f>'Ivan BV'!T3</f>
        <v>74847.80785</v>
      </c>
      <c r="U3" s="35">
        <f>'Ivan BV'!U3</f>
        <v>50.72</v>
      </c>
      <c r="V3" s="36">
        <f>'Ivan BV'!V3</f>
        <v>2.305454545</v>
      </c>
      <c r="W3" s="37">
        <f>'Ivan BV'!W3</f>
        <v>0.3290942123</v>
      </c>
      <c r="X3" s="31">
        <f>'Ivan BV'!X3</f>
        <v>179694.5187</v>
      </c>
      <c r="Y3" s="165"/>
      <c r="Z3" s="187"/>
      <c r="AA3" s="188"/>
      <c r="AB3" s="188"/>
      <c r="AC3" s="202"/>
      <c r="AD3" s="189"/>
      <c r="AE3" s="189"/>
      <c r="AF3" s="189"/>
      <c r="AG3" s="189"/>
      <c r="AH3" s="189"/>
      <c r="AI3" s="189"/>
      <c r="AJ3" s="189"/>
      <c r="AK3" s="189"/>
      <c r="AL3" s="189"/>
      <c r="AM3" s="189"/>
      <c r="AN3" s="189"/>
      <c r="AO3" s="189"/>
      <c r="AP3" s="189"/>
      <c r="AQ3" s="189"/>
      <c r="AR3" s="189"/>
      <c r="AS3" s="189"/>
      <c r="AT3" s="189"/>
      <c r="AU3" s="189"/>
      <c r="AV3" s="189"/>
    </row>
    <row r="4" ht="15.75" customHeight="1">
      <c r="A4" s="26">
        <f>'Ivan BV'!A4</f>
        <v>45931</v>
      </c>
      <c r="B4" s="77">
        <f>'Ivan BV'!B4</f>
        <v>5253773</v>
      </c>
      <c r="C4" s="77" t="str">
        <f>'Ivan BV'!C4</f>
        <v>Ivan BV</v>
      </c>
      <c r="D4" s="29">
        <f>'Ivan BV'!D4</f>
        <v>0.21</v>
      </c>
      <c r="E4" s="17">
        <f>'Ivan BV'!E4</f>
        <v>612</v>
      </c>
      <c r="F4" s="17">
        <f>'Ivan BV'!F4</f>
        <v>199</v>
      </c>
      <c r="G4" s="17">
        <f>'Ivan BV'!G4</f>
        <v>80</v>
      </c>
      <c r="H4" s="17">
        <f>'Ivan BV'!H4</f>
        <v>333</v>
      </c>
      <c r="I4" s="28" t="str">
        <f>'Ivan BV'!I4</f>
        <v>T1-R2-N1</v>
      </c>
      <c r="J4" s="30">
        <f>'Ivan BV'!J4</f>
        <v>230.0967</v>
      </c>
      <c r="K4" s="30">
        <f>'Ivan BV'!K4</f>
        <v>230.0967</v>
      </c>
      <c r="L4" s="30">
        <f>'Ivan BV'!L4</f>
        <v>230.0967</v>
      </c>
      <c r="M4" s="15">
        <f>'Ivan BV'!M4</f>
        <v>290</v>
      </c>
      <c r="N4" s="17">
        <f>'Ivan BV'!N4</f>
        <v>902</v>
      </c>
      <c r="O4" s="31">
        <f>'Ivan BV'!O4</f>
        <v>140819.1804</v>
      </c>
      <c r="P4" s="20">
        <f>'Ivan BV'!P4</f>
        <v>1450</v>
      </c>
      <c r="Q4" s="181">
        <f>'Ivan BV'!Q4</f>
        <v>46.01934</v>
      </c>
      <c r="R4" s="32">
        <f>'Ivan BV'!R4</f>
        <v>66728.043</v>
      </c>
      <c r="S4" s="84">
        <f>'Ivan BV'!S4</f>
        <v>1465</v>
      </c>
      <c r="T4" s="34">
        <f>'Ivan BV'!T4</f>
        <v>81576.18305</v>
      </c>
      <c r="U4" s="35">
        <f>'Ivan BV'!U4</f>
        <v>58</v>
      </c>
      <c r="V4" s="36">
        <f>'Ivan BV'!V4</f>
        <v>2.636363636</v>
      </c>
      <c r="W4" s="37">
        <f>'Ivan BV'!W4</f>
        <v>0.3215077605</v>
      </c>
      <c r="X4" s="31">
        <f>'Ivan BV'!X4</f>
        <v>207547.2234</v>
      </c>
      <c r="Y4" s="165"/>
      <c r="Z4" s="187"/>
      <c r="AA4" s="188"/>
      <c r="AB4" s="188"/>
      <c r="AC4" s="202"/>
      <c r="AD4" s="189"/>
      <c r="AE4" s="189"/>
      <c r="AF4" s="189"/>
      <c r="AG4" s="189"/>
      <c r="AH4" s="189"/>
      <c r="AI4" s="189"/>
      <c r="AJ4" s="189"/>
      <c r="AK4" s="189"/>
      <c r="AL4" s="189"/>
      <c r="AM4" s="189"/>
      <c r="AN4" s="189"/>
      <c r="AO4" s="189"/>
      <c r="AP4" s="189"/>
      <c r="AQ4" s="189"/>
      <c r="AR4" s="189"/>
      <c r="AS4" s="189"/>
      <c r="AT4" s="189"/>
      <c r="AU4" s="189"/>
      <c r="AV4" s="189"/>
    </row>
    <row r="5" ht="15.75" customHeight="1">
      <c r="A5" s="192"/>
      <c r="B5" s="193"/>
      <c r="C5" s="194"/>
      <c r="D5" s="152"/>
      <c r="E5" s="153"/>
      <c r="F5" s="153"/>
      <c r="G5" s="153"/>
      <c r="H5" s="153"/>
      <c r="J5" s="154"/>
      <c r="K5" s="154"/>
      <c r="L5" s="154"/>
      <c r="M5" s="152"/>
      <c r="N5" s="152"/>
      <c r="O5" s="154"/>
      <c r="P5" s="154"/>
      <c r="Q5" s="195"/>
      <c r="R5" s="154"/>
      <c r="S5" s="196"/>
      <c r="T5" s="196"/>
      <c r="U5" s="152"/>
      <c r="V5" s="152"/>
      <c r="W5" s="157"/>
      <c r="X5" s="154"/>
    </row>
    <row r="6" ht="15.75" customHeight="1">
      <c r="A6" s="192"/>
      <c r="B6" s="193"/>
      <c r="C6" s="194"/>
      <c r="D6" s="152"/>
      <c r="E6" s="153"/>
      <c r="F6" s="153"/>
      <c r="G6" s="153"/>
      <c r="H6" s="153"/>
      <c r="J6" s="154"/>
      <c r="K6" s="154"/>
      <c r="L6" s="154"/>
      <c r="M6" s="152"/>
      <c r="N6" s="152"/>
      <c r="O6" s="154"/>
      <c r="P6" s="154"/>
      <c r="Q6" s="195"/>
      <c r="R6" s="154"/>
      <c r="S6" s="196"/>
      <c r="T6" s="196"/>
      <c r="U6" s="152"/>
      <c r="V6" s="152"/>
      <c r="W6" s="157"/>
      <c r="X6" s="154"/>
    </row>
    <row r="7" ht="15.75" customHeight="1">
      <c r="A7" s="192"/>
      <c r="B7" s="193"/>
      <c r="C7" s="194"/>
      <c r="D7" s="152"/>
      <c r="E7" s="153"/>
      <c r="F7" s="153"/>
      <c r="G7" s="153"/>
      <c r="H7" s="153"/>
      <c r="J7" s="154"/>
      <c r="K7" s="154"/>
      <c r="L7" s="154"/>
      <c r="M7" s="152"/>
      <c r="N7" s="152"/>
      <c r="O7" s="154"/>
      <c r="P7" s="154"/>
      <c r="Q7" s="195"/>
      <c r="R7" s="154"/>
      <c r="S7" s="196"/>
      <c r="T7" s="196"/>
      <c r="U7" s="152"/>
      <c r="V7" s="152"/>
      <c r="W7" s="157"/>
      <c r="X7" s="154"/>
    </row>
    <row r="8" ht="15.75" customHeight="1">
      <c r="A8" s="192"/>
      <c r="B8" s="193"/>
      <c r="C8" s="194"/>
      <c r="D8" s="152"/>
      <c r="E8" s="153"/>
      <c r="F8" s="153"/>
      <c r="G8" s="153"/>
      <c r="H8" s="153"/>
      <c r="J8" s="154"/>
      <c r="K8" s="154"/>
      <c r="L8" s="154"/>
      <c r="M8" s="152"/>
      <c r="N8" s="152"/>
      <c r="O8" s="154"/>
      <c r="P8" s="154"/>
      <c r="Q8" s="195"/>
      <c r="R8" s="154"/>
      <c r="S8" s="196"/>
      <c r="T8" s="196"/>
      <c r="U8" s="152"/>
      <c r="V8" s="152"/>
      <c r="W8" s="157"/>
      <c r="X8" s="154"/>
    </row>
    <row r="9" ht="15.75" customHeight="1">
      <c r="A9" s="192"/>
      <c r="B9" s="193"/>
      <c r="C9" s="194"/>
      <c r="D9" s="152"/>
      <c r="E9" s="153"/>
      <c r="F9" s="153"/>
      <c r="G9" s="153"/>
      <c r="H9" s="153"/>
      <c r="J9" s="154"/>
      <c r="K9" s="154"/>
      <c r="L9" s="154"/>
      <c r="M9" s="152"/>
      <c r="N9" s="152"/>
      <c r="O9" s="154"/>
      <c r="P9" s="154"/>
      <c r="Q9" s="195"/>
      <c r="R9" s="154"/>
      <c r="S9" s="196"/>
      <c r="T9" s="196"/>
      <c r="U9" s="152"/>
      <c r="V9" s="152"/>
      <c r="W9" s="157"/>
      <c r="X9" s="154"/>
    </row>
    <row r="10" ht="15.75" customHeight="1">
      <c r="A10" s="192"/>
      <c r="B10" s="193"/>
      <c r="C10" s="194"/>
      <c r="D10" s="152"/>
      <c r="E10" s="153"/>
      <c r="F10" s="153"/>
      <c r="G10" s="153"/>
      <c r="H10" s="153"/>
      <c r="J10" s="154"/>
      <c r="K10" s="154"/>
      <c r="L10" s="154"/>
      <c r="M10" s="152"/>
      <c r="N10" s="152"/>
      <c r="O10" s="154"/>
      <c r="P10" s="154"/>
      <c r="Q10" s="195"/>
      <c r="R10" s="154"/>
      <c r="S10" s="196"/>
      <c r="T10" s="196"/>
      <c r="U10" s="152"/>
      <c r="V10" s="152"/>
      <c r="W10" s="157"/>
      <c r="X10" s="154"/>
    </row>
    <row r="11" ht="15.75" customHeight="1">
      <c r="A11" s="192"/>
      <c r="B11" s="193"/>
      <c r="C11" s="194"/>
      <c r="D11" s="152"/>
      <c r="E11" s="153"/>
      <c r="F11" s="153"/>
      <c r="G11" s="153"/>
      <c r="H11" s="153"/>
      <c r="J11" s="154"/>
      <c r="K11" s="154"/>
      <c r="L11" s="154"/>
      <c r="M11" s="152"/>
      <c r="N11" s="152"/>
      <c r="O11" s="154"/>
      <c r="P11" s="154"/>
      <c r="Q11" s="195"/>
      <c r="R11" s="154"/>
      <c r="S11" s="196"/>
      <c r="T11" s="196"/>
      <c r="U11" s="152"/>
      <c r="V11" s="152"/>
      <c r="W11" s="157"/>
      <c r="X11" s="154"/>
    </row>
    <row r="12" ht="15.75" customHeight="1">
      <c r="A12" s="192"/>
      <c r="B12" s="193"/>
      <c r="C12" s="194"/>
      <c r="D12" s="152"/>
      <c r="E12" s="153"/>
      <c r="F12" s="153"/>
      <c r="G12" s="153"/>
      <c r="H12" s="153"/>
      <c r="J12" s="154"/>
      <c r="K12" s="154"/>
      <c r="L12" s="154"/>
      <c r="M12" s="152"/>
      <c r="N12" s="152"/>
      <c r="O12" s="154"/>
      <c r="P12" s="154"/>
      <c r="Q12" s="195"/>
      <c r="R12" s="154"/>
      <c r="S12" s="196"/>
      <c r="T12" s="196"/>
      <c r="U12" s="152"/>
      <c r="V12" s="152"/>
      <c r="W12" s="157"/>
      <c r="X12" s="154"/>
    </row>
    <row r="13" ht="15.75" customHeight="1">
      <c r="A13" s="192"/>
      <c r="B13" s="193"/>
      <c r="C13" s="194"/>
      <c r="D13" s="152"/>
      <c r="E13" s="153"/>
      <c r="F13" s="153"/>
      <c r="G13" s="153"/>
      <c r="H13" s="153"/>
      <c r="J13" s="154"/>
      <c r="K13" s="154"/>
      <c r="L13" s="154"/>
      <c r="M13" s="152"/>
      <c r="N13" s="152"/>
      <c r="O13" s="154"/>
      <c r="P13" s="154"/>
      <c r="Q13" s="195"/>
      <c r="R13" s="154"/>
      <c r="S13" s="196"/>
      <c r="T13" s="196"/>
      <c r="U13" s="152"/>
      <c r="V13" s="152"/>
      <c r="W13" s="157"/>
      <c r="X13" s="154"/>
    </row>
    <row r="14" ht="15.75" customHeight="1">
      <c r="A14" s="192"/>
      <c r="B14" s="193"/>
      <c r="C14" s="194"/>
      <c r="D14" s="152"/>
      <c r="E14" s="153"/>
      <c r="F14" s="153"/>
      <c r="G14" s="153"/>
      <c r="H14" s="153"/>
      <c r="J14" s="154"/>
      <c r="K14" s="154"/>
      <c r="L14" s="154"/>
      <c r="M14" s="152"/>
      <c r="N14" s="152"/>
      <c r="O14" s="154"/>
      <c r="P14" s="154"/>
      <c r="Q14" s="195"/>
      <c r="R14" s="154"/>
      <c r="S14" s="196"/>
      <c r="T14" s="196"/>
      <c r="U14" s="152"/>
      <c r="V14" s="152"/>
      <c r="W14" s="157"/>
      <c r="X14" s="154"/>
    </row>
    <row r="15" ht="15.75" customHeight="1">
      <c r="A15" s="192"/>
      <c r="B15" s="193"/>
      <c r="C15" s="194"/>
      <c r="D15" s="152"/>
      <c r="E15" s="153"/>
      <c r="F15" s="153"/>
      <c r="G15" s="153"/>
      <c r="H15" s="153"/>
      <c r="J15" s="154"/>
      <c r="K15" s="154"/>
      <c r="L15" s="154"/>
      <c r="M15" s="152"/>
      <c r="N15" s="152"/>
      <c r="O15" s="154"/>
      <c r="P15" s="154"/>
      <c r="Q15" s="195"/>
      <c r="R15" s="154"/>
      <c r="S15" s="196"/>
      <c r="T15" s="196"/>
      <c r="U15" s="152"/>
      <c r="V15" s="152"/>
      <c r="W15" s="157"/>
      <c r="X15" s="154"/>
    </row>
    <row r="16" ht="15.75" customHeight="1">
      <c r="A16" s="192"/>
      <c r="B16" s="193"/>
      <c r="C16" s="194"/>
      <c r="D16" s="152"/>
      <c r="E16" s="153"/>
      <c r="F16" s="153"/>
      <c r="G16" s="153"/>
      <c r="H16" s="153"/>
      <c r="J16" s="154"/>
      <c r="K16" s="154"/>
      <c r="L16" s="154"/>
      <c r="M16" s="152"/>
      <c r="N16" s="152"/>
      <c r="O16" s="154"/>
      <c r="P16" s="154"/>
      <c r="Q16" s="195"/>
      <c r="R16" s="154"/>
      <c r="S16" s="196"/>
      <c r="T16" s="196"/>
      <c r="U16" s="152"/>
      <c r="V16" s="152"/>
      <c r="W16" s="157"/>
      <c r="X16" s="154"/>
    </row>
    <row r="17" ht="15.75" customHeight="1">
      <c r="A17" s="192"/>
      <c r="B17" s="193"/>
      <c r="C17" s="194"/>
      <c r="D17" s="152"/>
      <c r="E17" s="153"/>
      <c r="F17" s="153"/>
      <c r="G17" s="153"/>
      <c r="H17" s="153"/>
      <c r="J17" s="154"/>
      <c r="K17" s="154"/>
      <c r="L17" s="154"/>
      <c r="M17" s="152"/>
      <c r="N17" s="152"/>
      <c r="O17" s="154"/>
      <c r="P17" s="154"/>
      <c r="Q17" s="195"/>
      <c r="R17" s="154"/>
      <c r="S17" s="196"/>
      <c r="T17" s="196"/>
      <c r="U17" s="152"/>
      <c r="V17" s="152"/>
      <c r="W17" s="157"/>
      <c r="X17" s="154"/>
    </row>
    <row r="18" ht="15.75" customHeight="1">
      <c r="A18" s="192"/>
      <c r="B18" s="193"/>
      <c r="C18" s="194"/>
      <c r="D18" s="152"/>
      <c r="E18" s="153"/>
      <c r="F18" s="153"/>
      <c r="G18" s="153"/>
      <c r="H18" s="153"/>
      <c r="J18" s="154"/>
      <c r="K18" s="154"/>
      <c r="L18" s="154"/>
      <c r="M18" s="152"/>
      <c r="N18" s="152"/>
      <c r="O18" s="154"/>
      <c r="P18" s="154"/>
      <c r="Q18" s="195"/>
      <c r="R18" s="154"/>
      <c r="S18" s="196"/>
      <c r="T18" s="196"/>
      <c r="U18" s="152"/>
      <c r="V18" s="152"/>
      <c r="W18" s="157"/>
      <c r="X18" s="154"/>
    </row>
    <row r="19" ht="15.75" customHeight="1">
      <c r="A19" s="189"/>
      <c r="B19" s="193"/>
      <c r="C19" s="194"/>
      <c r="N19" s="152"/>
      <c r="Q19" s="195"/>
      <c r="S19" s="196"/>
      <c r="T19" s="196"/>
      <c r="U19" s="152"/>
      <c r="V19" s="152"/>
      <c r="W19" s="157"/>
    </row>
    <row r="20" ht="15.75" customHeight="1">
      <c r="A20" s="189"/>
      <c r="B20" s="193"/>
      <c r="C20" s="194"/>
      <c r="N20" s="152"/>
      <c r="Q20" s="195"/>
      <c r="S20" s="196"/>
      <c r="T20" s="196"/>
      <c r="U20" s="152"/>
      <c r="V20" s="152"/>
      <c r="W20" s="157"/>
    </row>
    <row r="21" ht="15.75" customHeight="1">
      <c r="A21" s="189"/>
      <c r="B21" s="193"/>
      <c r="C21" s="194"/>
      <c r="N21" s="152"/>
      <c r="Q21" s="195"/>
      <c r="S21" s="196"/>
      <c r="T21" s="196"/>
      <c r="U21" s="152"/>
      <c r="V21" s="152"/>
      <c r="W21" s="157"/>
    </row>
    <row r="22" ht="15.75" customHeight="1">
      <c r="A22" s="189"/>
      <c r="B22" s="193"/>
      <c r="C22" s="194"/>
      <c r="N22" s="152"/>
      <c r="Q22" s="195"/>
      <c r="S22" s="196"/>
      <c r="T22" s="196"/>
      <c r="U22" s="152"/>
      <c r="V22" s="152"/>
      <c r="W22" s="157"/>
    </row>
    <row r="23" ht="15.75" customHeight="1">
      <c r="A23" s="189"/>
      <c r="B23" s="193"/>
      <c r="C23" s="194"/>
      <c r="N23" s="152"/>
      <c r="Q23" s="195"/>
      <c r="S23" s="196"/>
      <c r="T23" s="196"/>
      <c r="U23" s="152"/>
      <c r="V23" s="152"/>
      <c r="W23" s="157"/>
    </row>
    <row r="24" ht="15.75" customHeight="1">
      <c r="A24" s="189"/>
      <c r="B24" s="193"/>
      <c r="C24" s="194"/>
      <c r="N24" s="152"/>
      <c r="Q24" s="195"/>
      <c r="S24" s="196"/>
      <c r="T24" s="196"/>
      <c r="U24" s="152"/>
      <c r="V24" s="152"/>
      <c r="W24" s="157"/>
    </row>
    <row r="25" ht="15.75" customHeight="1">
      <c r="A25" s="189"/>
      <c r="B25" s="193"/>
      <c r="C25" s="194"/>
      <c r="N25" s="152"/>
      <c r="Q25" s="195"/>
      <c r="S25" s="196"/>
      <c r="T25" s="196"/>
      <c r="U25" s="152"/>
      <c r="V25" s="152"/>
      <c r="W25" s="157"/>
    </row>
    <row r="26" ht="15.75" customHeight="1">
      <c r="A26" s="189"/>
      <c r="B26" s="193"/>
      <c r="C26" s="194"/>
      <c r="N26" s="152"/>
      <c r="Q26" s="195"/>
      <c r="S26" s="196"/>
      <c r="T26" s="196"/>
      <c r="U26" s="152"/>
      <c r="V26" s="152"/>
      <c r="W26" s="157"/>
    </row>
    <row r="27" ht="15.75" customHeight="1">
      <c r="A27" s="189"/>
      <c r="B27" s="193"/>
      <c r="C27" s="194"/>
      <c r="N27" s="152"/>
      <c r="Q27" s="195"/>
      <c r="S27" s="196"/>
      <c r="T27" s="196"/>
      <c r="U27" s="152"/>
      <c r="V27" s="152"/>
      <c r="W27" s="157"/>
    </row>
    <row r="28" ht="15.75" customHeight="1">
      <c r="A28" s="189"/>
      <c r="B28" s="193"/>
      <c r="C28" s="194"/>
      <c r="N28" s="152"/>
      <c r="Q28" s="195"/>
      <c r="S28" s="196"/>
      <c r="T28" s="196"/>
      <c r="U28" s="152"/>
      <c r="V28" s="152"/>
      <c r="W28" s="157"/>
    </row>
    <row r="29" ht="15.75" customHeight="1">
      <c r="A29" s="189"/>
      <c r="B29" s="193"/>
      <c r="C29" s="194"/>
      <c r="N29" s="152"/>
      <c r="Q29" s="195"/>
      <c r="S29" s="196"/>
      <c r="T29" s="196"/>
      <c r="U29" s="152"/>
      <c r="V29" s="152"/>
      <c r="W29" s="157"/>
    </row>
    <row r="30" ht="15.75" customHeight="1">
      <c r="A30" s="189"/>
      <c r="B30" s="193"/>
      <c r="C30" s="194"/>
      <c r="N30" s="152"/>
      <c r="Q30" s="195"/>
      <c r="S30" s="196"/>
      <c r="T30" s="196"/>
      <c r="U30" s="152"/>
      <c r="V30" s="152"/>
      <c r="W30" s="157"/>
    </row>
    <row r="31" ht="15.75" customHeight="1">
      <c r="A31" s="189"/>
      <c r="B31" s="193"/>
      <c r="C31" s="194"/>
      <c r="N31" s="152"/>
      <c r="Q31" s="195"/>
      <c r="S31" s="196"/>
      <c r="T31" s="196"/>
      <c r="U31" s="152"/>
      <c r="V31" s="152"/>
      <c r="W31" s="157"/>
    </row>
    <row r="32" ht="15.75" customHeight="1">
      <c r="A32" s="189"/>
      <c r="B32" s="193"/>
      <c r="C32" s="194"/>
      <c r="N32" s="152"/>
      <c r="Q32" s="195"/>
      <c r="S32" s="196"/>
      <c r="T32" s="196"/>
      <c r="U32" s="152"/>
      <c r="V32" s="152"/>
      <c r="W32" s="157"/>
    </row>
    <row r="33" ht="15.75" customHeight="1">
      <c r="A33" s="189"/>
      <c r="B33" s="193"/>
      <c r="C33" s="194"/>
      <c r="N33" s="152"/>
      <c r="Q33" s="195"/>
      <c r="S33" s="196"/>
      <c r="T33" s="196"/>
      <c r="U33" s="152"/>
      <c r="V33" s="152"/>
      <c r="W33" s="157"/>
    </row>
    <row r="34" ht="15.75" customHeight="1">
      <c r="A34" s="189"/>
      <c r="B34" s="193"/>
      <c r="C34" s="194"/>
      <c r="N34" s="152"/>
      <c r="Q34" s="195"/>
      <c r="S34" s="196"/>
      <c r="T34" s="196"/>
      <c r="U34" s="152"/>
      <c r="V34" s="152"/>
      <c r="W34" s="157"/>
    </row>
    <row r="35" ht="15.75" customHeight="1">
      <c r="A35" s="189"/>
      <c r="B35" s="193"/>
      <c r="C35" s="194"/>
      <c r="N35" s="152"/>
      <c r="Q35" s="195"/>
      <c r="S35" s="196"/>
      <c r="T35" s="196"/>
      <c r="U35" s="152"/>
      <c r="V35" s="152"/>
      <c r="W35" s="157"/>
    </row>
    <row r="36" ht="15.75" customHeight="1">
      <c r="A36" s="189"/>
      <c r="B36" s="193"/>
      <c r="C36" s="194"/>
      <c r="N36" s="152"/>
      <c r="Q36" s="195"/>
      <c r="S36" s="196"/>
      <c r="T36" s="196"/>
      <c r="U36" s="152"/>
      <c r="V36" s="152"/>
      <c r="W36" s="157"/>
    </row>
    <row r="37" ht="15.75" customHeight="1">
      <c r="A37" s="189"/>
      <c r="B37" s="193"/>
      <c r="C37" s="194"/>
      <c r="N37" s="152"/>
      <c r="Q37" s="195"/>
      <c r="S37" s="196"/>
      <c r="T37" s="196"/>
      <c r="U37" s="152"/>
      <c r="V37" s="152"/>
      <c r="W37" s="157"/>
    </row>
    <row r="38" ht="15.75" customHeight="1">
      <c r="A38" s="189"/>
      <c r="B38" s="193"/>
      <c r="C38" s="194"/>
      <c r="N38" s="152"/>
      <c r="Q38" s="195"/>
      <c r="S38" s="196"/>
      <c r="T38" s="196"/>
      <c r="U38" s="152"/>
      <c r="V38" s="152"/>
      <c r="W38" s="157"/>
    </row>
    <row r="39" ht="15.75" customHeight="1">
      <c r="A39" s="189"/>
      <c r="B39" s="193"/>
      <c r="C39" s="194"/>
      <c r="N39" s="152"/>
      <c r="Q39" s="195"/>
      <c r="S39" s="196"/>
      <c r="T39" s="196"/>
      <c r="U39" s="152"/>
      <c r="V39" s="152"/>
      <c r="W39" s="157"/>
    </row>
    <row r="40" ht="15.75" customHeight="1">
      <c r="A40" s="189"/>
      <c r="B40" s="193"/>
      <c r="C40" s="194"/>
      <c r="N40" s="152"/>
      <c r="Q40" s="195"/>
      <c r="S40" s="196"/>
      <c r="T40" s="196"/>
      <c r="U40" s="152"/>
      <c r="V40" s="152"/>
      <c r="W40" s="157"/>
    </row>
    <row r="41" ht="15.75" customHeight="1">
      <c r="A41" s="189"/>
      <c r="B41" s="193"/>
      <c r="C41" s="194"/>
      <c r="N41" s="152"/>
      <c r="Q41" s="195"/>
      <c r="S41" s="196"/>
      <c r="T41" s="196"/>
      <c r="U41" s="152"/>
      <c r="V41" s="152"/>
      <c r="W41" s="157"/>
    </row>
    <row r="42" ht="15.75" customHeight="1">
      <c r="A42" s="189"/>
      <c r="B42" s="193"/>
      <c r="C42" s="194"/>
      <c r="N42" s="152"/>
      <c r="Q42" s="195"/>
      <c r="S42" s="196"/>
      <c r="T42" s="196"/>
      <c r="U42" s="152"/>
      <c r="V42" s="152"/>
      <c r="W42" s="157"/>
    </row>
    <row r="43" ht="15.75" customHeight="1">
      <c r="A43" s="189"/>
      <c r="B43" s="193"/>
      <c r="C43" s="194"/>
      <c r="N43" s="152"/>
      <c r="Q43" s="195"/>
      <c r="S43" s="196"/>
      <c r="T43" s="196"/>
      <c r="U43" s="152"/>
      <c r="V43" s="152"/>
      <c r="W43" s="157"/>
    </row>
    <row r="44" ht="15.75" customHeight="1">
      <c r="A44" s="189"/>
      <c r="B44" s="193"/>
      <c r="C44" s="194"/>
      <c r="N44" s="152"/>
      <c r="Q44" s="195"/>
      <c r="S44" s="196"/>
      <c r="T44" s="196"/>
      <c r="U44" s="152"/>
      <c r="V44" s="152"/>
      <c r="W44" s="157"/>
    </row>
    <row r="45" ht="15.75" customHeight="1">
      <c r="A45" s="189"/>
      <c r="B45" s="193"/>
      <c r="C45" s="194"/>
      <c r="N45" s="152"/>
      <c r="Q45" s="195"/>
      <c r="S45" s="196"/>
      <c r="T45" s="196"/>
      <c r="U45" s="152"/>
      <c r="V45" s="152"/>
      <c r="W45" s="157"/>
    </row>
    <row r="46" ht="15.75" customHeight="1">
      <c r="A46" s="189"/>
      <c r="B46" s="193"/>
      <c r="C46" s="194"/>
      <c r="N46" s="152"/>
      <c r="Q46" s="195"/>
      <c r="S46" s="196"/>
      <c r="T46" s="196"/>
      <c r="U46" s="152"/>
      <c r="V46" s="152"/>
      <c r="W46" s="157"/>
    </row>
    <row r="47" ht="15.75" customHeight="1">
      <c r="A47" s="189"/>
      <c r="B47" s="193"/>
      <c r="C47" s="194"/>
      <c r="N47" s="152"/>
      <c r="Q47" s="195"/>
      <c r="S47" s="196"/>
      <c r="T47" s="196"/>
      <c r="U47" s="152"/>
      <c r="V47" s="152"/>
      <c r="W47" s="157"/>
    </row>
    <row r="48" ht="15.75" customHeight="1">
      <c r="A48" s="189"/>
      <c r="B48" s="193"/>
      <c r="C48" s="194"/>
      <c r="N48" s="152"/>
      <c r="Q48" s="195"/>
      <c r="S48" s="196"/>
      <c r="T48" s="196"/>
      <c r="U48" s="152"/>
      <c r="V48" s="152"/>
      <c r="W48" s="157"/>
    </row>
    <row r="49" ht="15.75" customHeight="1">
      <c r="A49" s="189"/>
      <c r="B49" s="193"/>
      <c r="C49" s="194"/>
      <c r="N49" s="152"/>
      <c r="Q49" s="195"/>
      <c r="S49" s="196"/>
      <c r="T49" s="196"/>
      <c r="U49" s="152"/>
      <c r="V49" s="152"/>
      <c r="W49" s="157"/>
    </row>
    <row r="50" ht="15.75" customHeight="1">
      <c r="A50" s="189"/>
      <c r="B50" s="193"/>
      <c r="C50" s="194"/>
      <c r="N50" s="152"/>
      <c r="Q50" s="195"/>
      <c r="S50" s="196"/>
      <c r="T50" s="196"/>
      <c r="U50" s="152"/>
      <c r="V50" s="152"/>
      <c r="W50" s="157"/>
    </row>
    <row r="51" ht="15.75" customHeight="1">
      <c r="A51" s="189"/>
      <c r="B51" s="193"/>
      <c r="C51" s="194"/>
      <c r="N51" s="152"/>
      <c r="Q51" s="195"/>
      <c r="S51" s="196"/>
      <c r="T51" s="196"/>
      <c r="U51" s="152"/>
      <c r="V51" s="152"/>
      <c r="W51" s="157"/>
    </row>
    <row r="52" ht="15.75" customHeight="1">
      <c r="A52" s="189"/>
      <c r="B52" s="193"/>
      <c r="C52" s="194"/>
      <c r="N52" s="152"/>
      <c r="Q52" s="195"/>
      <c r="S52" s="196"/>
      <c r="T52" s="196"/>
      <c r="U52" s="152"/>
      <c r="V52" s="152"/>
      <c r="W52" s="157"/>
    </row>
    <row r="53" ht="15.75" customHeight="1">
      <c r="A53" s="189"/>
      <c r="B53" s="193"/>
      <c r="C53" s="194"/>
      <c r="N53" s="152"/>
      <c r="Q53" s="195"/>
      <c r="S53" s="196"/>
      <c r="T53" s="196"/>
      <c r="U53" s="152"/>
      <c r="V53" s="152"/>
      <c r="W53" s="157"/>
    </row>
    <row r="54" ht="15.75" customHeight="1">
      <c r="A54" s="189"/>
      <c r="B54" s="193"/>
      <c r="C54" s="194"/>
      <c r="N54" s="152"/>
      <c r="Q54" s="195"/>
      <c r="S54" s="196"/>
      <c r="T54" s="196"/>
      <c r="U54" s="152"/>
      <c r="V54" s="152"/>
      <c r="W54" s="157"/>
    </row>
    <row r="55" ht="15.75" customHeight="1">
      <c r="A55" s="189"/>
      <c r="B55" s="193"/>
      <c r="C55" s="194"/>
      <c r="N55" s="152"/>
      <c r="Q55" s="195"/>
      <c r="S55" s="196"/>
      <c r="T55" s="196"/>
      <c r="U55" s="152"/>
      <c r="V55" s="152"/>
      <c r="W55" s="157"/>
    </row>
    <row r="56" ht="15.75" customHeight="1">
      <c r="A56" s="189"/>
      <c r="B56" s="193"/>
      <c r="C56" s="194"/>
      <c r="N56" s="152"/>
      <c r="Q56" s="195"/>
      <c r="S56" s="196"/>
      <c r="T56" s="196"/>
      <c r="U56" s="152"/>
      <c r="V56" s="152"/>
      <c r="W56" s="157"/>
    </row>
    <row r="57" ht="15.75" customHeight="1">
      <c r="A57" s="189"/>
      <c r="B57" s="193"/>
      <c r="C57" s="194"/>
      <c r="N57" s="152"/>
      <c r="Q57" s="195"/>
      <c r="S57" s="196"/>
      <c r="T57" s="196"/>
      <c r="U57" s="152"/>
      <c r="V57" s="152"/>
      <c r="W57" s="157"/>
    </row>
    <row r="58" ht="15.75" customHeight="1">
      <c r="A58" s="189"/>
      <c r="B58" s="193"/>
      <c r="C58" s="194"/>
      <c r="N58" s="152"/>
      <c r="Q58" s="195"/>
      <c r="S58" s="196"/>
      <c r="T58" s="196"/>
      <c r="U58" s="152"/>
      <c r="V58" s="152"/>
      <c r="W58" s="157"/>
    </row>
    <row r="59" ht="15.75" customHeight="1">
      <c r="A59" s="189"/>
      <c r="B59" s="193"/>
      <c r="C59" s="194"/>
      <c r="N59" s="152"/>
      <c r="Q59" s="195"/>
      <c r="S59" s="196"/>
      <c r="T59" s="196"/>
      <c r="U59" s="152"/>
      <c r="V59" s="152"/>
      <c r="W59" s="157"/>
    </row>
    <row r="60" ht="15.75" customHeight="1">
      <c r="A60" s="189"/>
      <c r="B60" s="193"/>
      <c r="C60" s="194"/>
      <c r="N60" s="152"/>
      <c r="Q60" s="195"/>
      <c r="S60" s="196"/>
      <c r="T60" s="196"/>
      <c r="U60" s="152"/>
      <c r="V60" s="152"/>
      <c r="W60" s="157"/>
    </row>
    <row r="61" ht="15.75" customHeight="1">
      <c r="A61" s="189"/>
      <c r="B61" s="193"/>
      <c r="C61" s="194"/>
      <c r="N61" s="152"/>
      <c r="Q61" s="195"/>
      <c r="S61" s="196"/>
      <c r="T61" s="196"/>
      <c r="U61" s="152"/>
      <c r="V61" s="152"/>
      <c r="W61" s="157"/>
    </row>
    <row r="62" ht="15.75" customHeight="1">
      <c r="A62" s="189"/>
      <c r="B62" s="193"/>
      <c r="C62" s="194"/>
      <c r="N62" s="152"/>
      <c r="Q62" s="195"/>
      <c r="S62" s="196"/>
      <c r="T62" s="196"/>
      <c r="U62" s="152"/>
      <c r="V62" s="152"/>
      <c r="W62" s="157"/>
    </row>
    <row r="63" ht="15.75" customHeight="1">
      <c r="A63" s="189"/>
      <c r="B63" s="193"/>
      <c r="C63" s="194"/>
      <c r="N63" s="152"/>
      <c r="Q63" s="195"/>
      <c r="S63" s="196"/>
      <c r="T63" s="196"/>
      <c r="U63" s="152"/>
      <c r="V63" s="152"/>
      <c r="W63" s="157"/>
    </row>
    <row r="64" ht="15.75" customHeight="1">
      <c r="A64" s="189"/>
      <c r="B64" s="193"/>
      <c r="C64" s="194"/>
      <c r="N64" s="152"/>
      <c r="Q64" s="195"/>
      <c r="S64" s="196"/>
      <c r="T64" s="196"/>
      <c r="U64" s="152"/>
      <c r="V64" s="152"/>
      <c r="W64" s="157"/>
    </row>
    <row r="65" ht="15.75" customHeight="1">
      <c r="A65" s="189"/>
      <c r="B65" s="193"/>
      <c r="C65" s="194"/>
      <c r="N65" s="152"/>
      <c r="Q65" s="195"/>
      <c r="S65" s="196"/>
      <c r="T65" s="196"/>
      <c r="U65" s="152"/>
      <c r="V65" s="152"/>
      <c r="W65" s="157"/>
    </row>
    <row r="66" ht="15.75" customHeight="1">
      <c r="A66" s="189"/>
      <c r="B66" s="193"/>
      <c r="C66" s="194"/>
      <c r="N66" s="152"/>
      <c r="Q66" s="195"/>
      <c r="S66" s="196"/>
      <c r="T66" s="196"/>
      <c r="U66" s="152"/>
      <c r="V66" s="152"/>
      <c r="W66" s="157"/>
    </row>
    <row r="67" ht="15.75" customHeight="1">
      <c r="A67" s="189"/>
      <c r="B67" s="193"/>
      <c r="C67" s="194"/>
      <c r="N67" s="152"/>
      <c r="Q67" s="195"/>
      <c r="S67" s="196"/>
      <c r="T67" s="196"/>
      <c r="U67" s="152"/>
      <c r="V67" s="152"/>
      <c r="W67" s="157"/>
    </row>
    <row r="68" ht="15.75" customHeight="1">
      <c r="A68" s="189"/>
      <c r="B68" s="193"/>
      <c r="C68" s="194"/>
      <c r="N68" s="152"/>
      <c r="Q68" s="195"/>
      <c r="S68" s="196"/>
      <c r="T68" s="196"/>
      <c r="U68" s="152"/>
      <c r="V68" s="152"/>
      <c r="W68" s="157"/>
    </row>
    <row r="69" ht="15.75" customHeight="1">
      <c r="A69" s="189"/>
      <c r="B69" s="193"/>
      <c r="C69" s="194"/>
      <c r="N69" s="152"/>
      <c r="Q69" s="195"/>
      <c r="S69" s="196"/>
      <c r="T69" s="196"/>
      <c r="U69" s="152"/>
      <c r="V69" s="152"/>
      <c r="W69" s="157"/>
    </row>
    <row r="70" ht="15.75" customHeight="1">
      <c r="A70" s="189"/>
      <c r="B70" s="193"/>
      <c r="C70" s="194"/>
      <c r="N70" s="152"/>
      <c r="Q70" s="195"/>
      <c r="S70" s="196"/>
      <c r="T70" s="196"/>
      <c r="U70" s="152"/>
      <c r="V70" s="152"/>
      <c r="W70" s="157"/>
    </row>
    <row r="71" ht="15.75" customHeight="1">
      <c r="A71" s="189"/>
      <c r="B71" s="193"/>
      <c r="C71" s="194"/>
      <c r="N71" s="152"/>
      <c r="Q71" s="195"/>
      <c r="S71" s="196"/>
      <c r="T71" s="196"/>
      <c r="U71" s="152"/>
      <c r="V71" s="152"/>
      <c r="W71" s="157"/>
    </row>
    <row r="72" ht="15.75" customHeight="1">
      <c r="A72" s="189"/>
      <c r="B72" s="193"/>
      <c r="C72" s="194"/>
      <c r="N72" s="152"/>
      <c r="Q72" s="195"/>
      <c r="S72" s="196"/>
      <c r="T72" s="196"/>
      <c r="U72" s="152"/>
      <c r="V72" s="152"/>
      <c r="W72" s="157"/>
    </row>
    <row r="73" ht="15.75" customHeight="1">
      <c r="A73" s="189"/>
      <c r="B73" s="193"/>
      <c r="C73" s="194"/>
      <c r="N73" s="152"/>
      <c r="Q73" s="195"/>
      <c r="S73" s="196"/>
      <c r="T73" s="196"/>
      <c r="U73" s="152"/>
      <c r="V73" s="152"/>
      <c r="W73" s="157"/>
    </row>
    <row r="74" ht="15.75" customHeight="1">
      <c r="A74" s="189"/>
      <c r="B74" s="193"/>
      <c r="C74" s="194"/>
      <c r="N74" s="152"/>
      <c r="Q74" s="195"/>
      <c r="S74" s="196"/>
      <c r="T74" s="196"/>
      <c r="U74" s="152"/>
      <c r="V74" s="152"/>
      <c r="W74" s="157"/>
    </row>
    <row r="75" ht="15.75" customHeight="1">
      <c r="A75" s="189"/>
      <c r="B75" s="193"/>
      <c r="C75" s="194"/>
      <c r="N75" s="152"/>
      <c r="Q75" s="195"/>
      <c r="S75" s="196"/>
      <c r="T75" s="196"/>
      <c r="U75" s="152"/>
      <c r="V75" s="152"/>
      <c r="W75" s="157"/>
    </row>
    <row r="76" ht="15.75" customHeight="1">
      <c r="A76" s="189"/>
      <c r="B76" s="193"/>
      <c r="C76" s="194"/>
      <c r="N76" s="152"/>
      <c r="Q76" s="195"/>
      <c r="S76" s="196"/>
      <c r="T76" s="196"/>
      <c r="U76" s="152"/>
      <c r="V76" s="152"/>
      <c r="W76" s="157"/>
    </row>
    <row r="77" ht="15.75" customHeight="1">
      <c r="A77" s="189"/>
      <c r="B77" s="193"/>
      <c r="C77" s="194"/>
      <c r="N77" s="152"/>
      <c r="Q77" s="195"/>
      <c r="S77" s="196"/>
      <c r="T77" s="196"/>
      <c r="U77" s="152"/>
      <c r="V77" s="152"/>
      <c r="W77" s="157"/>
    </row>
    <row r="78" ht="15.75" customHeight="1">
      <c r="A78" s="189"/>
      <c r="B78" s="193"/>
      <c r="C78" s="194"/>
      <c r="N78" s="152"/>
      <c r="Q78" s="195"/>
      <c r="S78" s="196"/>
      <c r="T78" s="196"/>
      <c r="U78" s="152"/>
      <c r="V78" s="152"/>
      <c r="W78" s="157"/>
    </row>
    <row r="79" ht="15.75" customHeight="1">
      <c r="A79" s="189"/>
      <c r="B79" s="193"/>
      <c r="C79" s="194"/>
      <c r="N79" s="152"/>
      <c r="Q79" s="195"/>
      <c r="S79" s="196"/>
      <c r="T79" s="196"/>
      <c r="U79" s="152"/>
      <c r="V79" s="152"/>
      <c r="W79" s="157"/>
    </row>
    <row r="80" ht="15.75" customHeight="1">
      <c r="A80" s="189"/>
      <c r="B80" s="193"/>
      <c r="C80" s="194"/>
      <c r="N80" s="152"/>
      <c r="Q80" s="195"/>
      <c r="S80" s="196"/>
      <c r="T80" s="196"/>
      <c r="U80" s="152"/>
      <c r="V80" s="152"/>
      <c r="W80" s="157"/>
    </row>
    <row r="81" ht="15.75" customHeight="1">
      <c r="A81" s="189"/>
      <c r="B81" s="193"/>
      <c r="C81" s="194"/>
      <c r="N81" s="152"/>
      <c r="Q81" s="195"/>
      <c r="S81" s="196"/>
      <c r="T81" s="196"/>
      <c r="U81" s="152"/>
      <c r="V81" s="152"/>
      <c r="W81" s="157"/>
    </row>
    <row r="82" ht="15.75" customHeight="1">
      <c r="A82" s="189"/>
      <c r="B82" s="193"/>
      <c r="C82" s="194"/>
      <c r="N82" s="152"/>
      <c r="Q82" s="195"/>
      <c r="S82" s="196"/>
      <c r="T82" s="196"/>
      <c r="U82" s="152"/>
      <c r="V82" s="152"/>
      <c r="W82" s="157"/>
    </row>
    <row r="83" ht="15.75" customHeight="1">
      <c r="A83" s="189"/>
      <c r="B83" s="193"/>
      <c r="C83" s="194"/>
      <c r="N83" s="152"/>
      <c r="Q83" s="195"/>
      <c r="S83" s="196"/>
      <c r="T83" s="196"/>
      <c r="U83" s="152"/>
      <c r="V83" s="152"/>
      <c r="W83" s="157"/>
    </row>
    <row r="84" ht="15.75" customHeight="1">
      <c r="A84" s="189"/>
      <c r="B84" s="193"/>
      <c r="C84" s="194"/>
      <c r="N84" s="152"/>
      <c r="Q84" s="195"/>
      <c r="S84" s="196"/>
      <c r="T84" s="196"/>
      <c r="U84" s="152"/>
      <c r="V84" s="152"/>
      <c r="W84" s="157"/>
    </row>
    <row r="85" ht="15.75" customHeight="1">
      <c r="A85" s="189"/>
      <c r="B85" s="193"/>
      <c r="C85" s="194"/>
      <c r="N85" s="152"/>
      <c r="Q85" s="195"/>
      <c r="S85" s="196"/>
      <c r="T85" s="196"/>
      <c r="U85" s="152"/>
      <c r="V85" s="152"/>
      <c r="W85" s="157"/>
    </row>
    <row r="86" ht="15.75" customHeight="1">
      <c r="A86" s="189"/>
      <c r="B86" s="193"/>
      <c r="C86" s="194"/>
      <c r="N86" s="152"/>
      <c r="Q86" s="195"/>
      <c r="S86" s="196"/>
      <c r="T86" s="196"/>
      <c r="U86" s="152"/>
      <c r="V86" s="152"/>
      <c r="W86" s="157"/>
    </row>
    <row r="87" ht="15.75" customHeight="1">
      <c r="A87" s="189"/>
      <c r="B87" s="193"/>
      <c r="C87" s="194"/>
      <c r="N87" s="152"/>
      <c r="Q87" s="195"/>
      <c r="S87" s="196"/>
      <c r="T87" s="196"/>
      <c r="U87" s="152"/>
      <c r="V87" s="152"/>
      <c r="W87" s="157"/>
    </row>
    <row r="88" ht="15.75" customHeight="1">
      <c r="A88" s="189"/>
      <c r="B88" s="193"/>
      <c r="C88" s="194"/>
      <c r="N88" s="152"/>
      <c r="Q88" s="195"/>
      <c r="S88" s="196"/>
      <c r="T88" s="196"/>
      <c r="U88" s="152"/>
      <c r="V88" s="152"/>
      <c r="W88" s="157"/>
    </row>
    <row r="89" ht="15.75" customHeight="1">
      <c r="A89" s="189"/>
      <c r="B89" s="193"/>
      <c r="C89" s="194"/>
      <c r="N89" s="152"/>
      <c r="Q89" s="195"/>
      <c r="S89" s="196"/>
      <c r="T89" s="196"/>
      <c r="U89" s="152"/>
      <c r="V89" s="152"/>
      <c r="W89" s="157"/>
    </row>
    <row r="90" ht="15.75" customHeight="1">
      <c r="A90" s="189"/>
      <c r="B90" s="193"/>
      <c r="C90" s="194"/>
      <c r="N90" s="152"/>
      <c r="Q90" s="195"/>
      <c r="S90" s="196"/>
      <c r="T90" s="196"/>
      <c r="U90" s="152"/>
      <c r="V90" s="152"/>
      <c r="W90" s="157"/>
    </row>
    <row r="91" ht="15.75" customHeight="1">
      <c r="A91" s="189"/>
      <c r="B91" s="193"/>
      <c r="C91" s="194"/>
      <c r="N91" s="152"/>
      <c r="Q91" s="195"/>
      <c r="S91" s="196"/>
      <c r="T91" s="196"/>
      <c r="U91" s="152"/>
      <c r="V91" s="152"/>
      <c r="W91" s="157"/>
    </row>
    <row r="92" ht="15.75" customHeight="1">
      <c r="A92" s="189"/>
      <c r="B92" s="193"/>
      <c r="C92" s="194"/>
      <c r="N92" s="152"/>
      <c r="Q92" s="195"/>
      <c r="S92" s="196"/>
      <c r="T92" s="196"/>
      <c r="U92" s="152"/>
      <c r="V92" s="152"/>
      <c r="W92" s="157"/>
    </row>
    <row r="93" ht="15.75" customHeight="1">
      <c r="A93" s="189"/>
      <c r="B93" s="193"/>
      <c r="C93" s="194"/>
      <c r="N93" s="152"/>
      <c r="Q93" s="195"/>
      <c r="S93" s="196"/>
      <c r="T93" s="196"/>
      <c r="U93" s="152"/>
      <c r="V93" s="152"/>
      <c r="W93" s="157"/>
    </row>
    <row r="94" ht="15.75" customHeight="1">
      <c r="A94" s="189"/>
      <c r="B94" s="193"/>
      <c r="C94" s="194"/>
      <c r="N94" s="152"/>
      <c r="Q94" s="195"/>
      <c r="S94" s="196"/>
      <c r="T94" s="196"/>
      <c r="U94" s="152"/>
      <c r="V94" s="152"/>
      <c r="W94" s="157"/>
    </row>
    <row r="95" ht="15.75" customHeight="1">
      <c r="A95" s="189"/>
      <c r="B95" s="193"/>
      <c r="C95" s="194"/>
      <c r="N95" s="152"/>
      <c r="Q95" s="195"/>
      <c r="S95" s="196"/>
      <c r="T95" s="196"/>
      <c r="U95" s="152"/>
      <c r="V95" s="152"/>
      <c r="W95" s="157"/>
    </row>
    <row r="96" ht="15.75" customHeight="1">
      <c r="A96" s="189"/>
      <c r="B96" s="193"/>
      <c r="C96" s="194"/>
      <c r="N96" s="152"/>
      <c r="Q96" s="195"/>
      <c r="S96" s="196"/>
      <c r="T96" s="196"/>
      <c r="U96" s="152"/>
      <c r="V96" s="152"/>
      <c r="W96" s="157"/>
    </row>
    <row r="97" ht="15.75" customHeight="1">
      <c r="A97" s="189"/>
      <c r="B97" s="193"/>
      <c r="C97" s="194"/>
      <c r="N97" s="152"/>
      <c r="Q97" s="195"/>
      <c r="S97" s="196"/>
      <c r="T97" s="196"/>
      <c r="U97" s="152"/>
      <c r="V97" s="152"/>
      <c r="W97" s="157"/>
    </row>
    <row r="98" ht="15.75" customHeight="1">
      <c r="A98" s="189"/>
      <c r="B98" s="193"/>
      <c r="C98" s="194"/>
      <c r="N98" s="152"/>
      <c r="Q98" s="195"/>
      <c r="S98" s="196"/>
      <c r="T98" s="196"/>
      <c r="U98" s="152"/>
      <c r="V98" s="152"/>
      <c r="W98" s="157"/>
    </row>
    <row r="99" ht="15.75" customHeight="1">
      <c r="A99" s="189"/>
      <c r="B99" s="193"/>
      <c r="C99" s="194"/>
      <c r="N99" s="152"/>
      <c r="Q99" s="195"/>
      <c r="S99" s="196"/>
      <c r="T99" s="196"/>
      <c r="U99" s="152"/>
      <c r="V99" s="152"/>
      <c r="W99" s="157"/>
    </row>
    <row r="100" ht="15.75" customHeight="1">
      <c r="A100" s="189"/>
      <c r="B100" s="193"/>
      <c r="C100" s="194"/>
      <c r="N100" s="152"/>
      <c r="Q100" s="195"/>
      <c r="S100" s="196"/>
      <c r="T100" s="196"/>
      <c r="U100" s="152"/>
      <c r="V100" s="152"/>
      <c r="W100" s="157"/>
    </row>
    <row r="101" ht="15.75" customHeight="1">
      <c r="A101" s="189"/>
      <c r="B101" s="193"/>
      <c r="C101" s="194"/>
      <c r="N101" s="152"/>
      <c r="Q101" s="195"/>
      <c r="S101" s="196"/>
      <c r="T101" s="196"/>
      <c r="U101" s="152"/>
      <c r="V101" s="152"/>
      <c r="W101" s="157"/>
    </row>
    <row r="102" ht="15.75" customHeight="1">
      <c r="A102" s="189"/>
      <c r="B102" s="193"/>
      <c r="C102" s="194"/>
      <c r="N102" s="152"/>
      <c r="Q102" s="195"/>
      <c r="S102" s="196"/>
      <c r="T102" s="196"/>
      <c r="U102" s="152"/>
      <c r="V102" s="152"/>
      <c r="W102" s="157"/>
    </row>
    <row r="103" ht="15.75" customHeight="1">
      <c r="A103" s="189"/>
      <c r="B103" s="193"/>
      <c r="C103" s="194"/>
      <c r="N103" s="152"/>
      <c r="Q103" s="195"/>
      <c r="S103" s="196"/>
      <c r="T103" s="196"/>
      <c r="U103" s="152"/>
      <c r="V103" s="152"/>
      <c r="W103" s="157"/>
    </row>
    <row r="104" ht="15.75" customHeight="1">
      <c r="A104" s="189"/>
      <c r="B104" s="193"/>
      <c r="C104" s="194"/>
      <c r="N104" s="152"/>
      <c r="Q104" s="195"/>
      <c r="S104" s="196"/>
      <c r="T104" s="196"/>
      <c r="U104" s="152"/>
      <c r="V104" s="152"/>
      <c r="W104" s="157"/>
    </row>
    <row r="105" ht="15.75" customHeight="1">
      <c r="A105" s="189"/>
      <c r="B105" s="193"/>
      <c r="C105" s="194"/>
      <c r="N105" s="152"/>
      <c r="Q105" s="195"/>
      <c r="S105" s="196"/>
      <c r="T105" s="196"/>
      <c r="U105" s="152"/>
      <c r="V105" s="152"/>
      <c r="W105" s="157"/>
    </row>
    <row r="106" ht="15.75" customHeight="1">
      <c r="A106" s="189"/>
      <c r="B106" s="193"/>
      <c r="C106" s="194"/>
      <c r="N106" s="152"/>
      <c r="Q106" s="195"/>
      <c r="S106" s="196"/>
      <c r="T106" s="196"/>
      <c r="U106" s="152"/>
      <c r="V106" s="152"/>
      <c r="W106" s="157"/>
    </row>
    <row r="107" ht="15.75" customHeight="1">
      <c r="A107" s="189"/>
      <c r="B107" s="193"/>
      <c r="C107" s="194"/>
      <c r="N107" s="152"/>
      <c r="Q107" s="195"/>
      <c r="S107" s="196"/>
      <c r="T107" s="196"/>
      <c r="U107" s="152"/>
      <c r="V107" s="152"/>
      <c r="W107" s="157"/>
    </row>
    <row r="108" ht="15.75" customHeight="1">
      <c r="A108" s="189"/>
      <c r="B108" s="193"/>
      <c r="C108" s="194"/>
      <c r="N108" s="152"/>
      <c r="Q108" s="195"/>
      <c r="S108" s="196"/>
      <c r="T108" s="196"/>
      <c r="U108" s="152"/>
      <c r="V108" s="152"/>
      <c r="W108" s="157"/>
    </row>
    <row r="109" ht="15.75" customHeight="1">
      <c r="A109" s="189"/>
      <c r="B109" s="193"/>
      <c r="C109" s="194"/>
      <c r="N109" s="152"/>
      <c r="Q109" s="195"/>
      <c r="S109" s="196"/>
      <c r="T109" s="196"/>
      <c r="U109" s="152"/>
      <c r="V109" s="152"/>
      <c r="W109" s="157"/>
    </row>
    <row r="110" ht="15.75" customHeight="1">
      <c r="A110" s="189"/>
      <c r="B110" s="193"/>
      <c r="C110" s="194"/>
      <c r="N110" s="152"/>
      <c r="Q110" s="195"/>
      <c r="S110" s="196"/>
      <c r="T110" s="196"/>
      <c r="U110" s="152"/>
      <c r="V110" s="152"/>
      <c r="W110" s="157"/>
    </row>
    <row r="111" ht="15.75" customHeight="1">
      <c r="A111" s="189"/>
      <c r="B111" s="193"/>
      <c r="C111" s="194"/>
      <c r="N111" s="152"/>
      <c r="Q111" s="195"/>
      <c r="S111" s="196"/>
      <c r="T111" s="196"/>
      <c r="U111" s="152"/>
      <c r="V111" s="152"/>
      <c r="W111" s="157"/>
    </row>
    <row r="112" ht="15.75" customHeight="1">
      <c r="A112" s="189"/>
      <c r="B112" s="193"/>
      <c r="C112" s="194"/>
      <c r="N112" s="152"/>
      <c r="Q112" s="195"/>
      <c r="S112" s="196"/>
      <c r="T112" s="196"/>
      <c r="U112" s="152"/>
      <c r="V112" s="152"/>
      <c r="W112" s="157"/>
    </row>
    <row r="113" ht="15.75" customHeight="1">
      <c r="A113" s="189"/>
      <c r="B113" s="193"/>
      <c r="C113" s="194"/>
      <c r="N113" s="152"/>
      <c r="Q113" s="195"/>
      <c r="S113" s="196"/>
      <c r="T113" s="196"/>
      <c r="U113" s="152"/>
      <c r="V113" s="152"/>
      <c r="W113" s="157"/>
    </row>
    <row r="114" ht="15.75" customHeight="1">
      <c r="A114" s="189"/>
      <c r="B114" s="193"/>
      <c r="C114" s="194"/>
      <c r="N114" s="152"/>
      <c r="Q114" s="195"/>
      <c r="S114" s="196"/>
      <c r="T114" s="196"/>
      <c r="U114" s="152"/>
      <c r="V114" s="152"/>
      <c r="W114" s="157"/>
    </row>
    <row r="115" ht="15.75" customHeight="1">
      <c r="A115" s="189"/>
      <c r="B115" s="193"/>
      <c r="C115" s="194"/>
      <c r="N115" s="152"/>
      <c r="Q115" s="195"/>
      <c r="S115" s="196"/>
      <c r="T115" s="196"/>
      <c r="U115" s="152"/>
      <c r="V115" s="152"/>
      <c r="W115" s="157"/>
    </row>
    <row r="116" ht="15.75" customHeight="1">
      <c r="A116" s="189"/>
      <c r="B116" s="193"/>
      <c r="C116" s="194"/>
      <c r="N116" s="152"/>
      <c r="Q116" s="195"/>
      <c r="S116" s="196"/>
      <c r="T116" s="196"/>
      <c r="U116" s="152"/>
      <c r="V116" s="152"/>
      <c r="W116" s="157"/>
    </row>
    <row r="117" ht="15.75" customHeight="1">
      <c r="A117" s="189"/>
      <c r="B117" s="193"/>
      <c r="C117" s="194"/>
      <c r="N117" s="152"/>
      <c r="Q117" s="195"/>
      <c r="S117" s="196"/>
      <c r="T117" s="196"/>
      <c r="U117" s="152"/>
      <c r="V117" s="152"/>
      <c r="W117" s="157"/>
    </row>
    <row r="118" ht="15.75" customHeight="1">
      <c r="A118" s="189"/>
      <c r="B118" s="193"/>
      <c r="C118" s="194"/>
      <c r="N118" s="152"/>
      <c r="Q118" s="195"/>
      <c r="S118" s="196"/>
      <c r="T118" s="196"/>
      <c r="U118" s="152"/>
      <c r="V118" s="152"/>
      <c r="W118" s="157"/>
    </row>
    <row r="119" ht="15.75" customHeight="1">
      <c r="A119" s="189"/>
      <c r="B119" s="193"/>
      <c r="C119" s="194"/>
      <c r="N119" s="152"/>
      <c r="Q119" s="195"/>
      <c r="S119" s="196"/>
      <c r="T119" s="196"/>
      <c r="U119" s="152"/>
      <c r="V119" s="152"/>
      <c r="W119" s="157"/>
    </row>
    <row r="120" ht="15.75" customHeight="1">
      <c r="A120" s="189"/>
      <c r="B120" s="193"/>
      <c r="C120" s="194"/>
      <c r="N120" s="152"/>
      <c r="Q120" s="195"/>
      <c r="S120" s="196"/>
      <c r="T120" s="196"/>
      <c r="U120" s="152"/>
      <c r="V120" s="152"/>
      <c r="W120" s="157"/>
    </row>
    <row r="121" ht="15.75" customHeight="1">
      <c r="A121" s="189"/>
      <c r="B121" s="193"/>
      <c r="C121" s="194"/>
      <c r="N121" s="152"/>
      <c r="Q121" s="195"/>
      <c r="S121" s="196"/>
      <c r="T121" s="196"/>
      <c r="U121" s="152"/>
      <c r="V121" s="152"/>
      <c r="W121" s="157"/>
    </row>
    <row r="122" ht="15.75" customHeight="1">
      <c r="A122" s="189"/>
      <c r="B122" s="193"/>
      <c r="C122" s="194"/>
      <c r="N122" s="152"/>
      <c r="Q122" s="195"/>
      <c r="S122" s="196"/>
      <c r="T122" s="196"/>
      <c r="U122" s="152"/>
      <c r="V122" s="152"/>
      <c r="W122" s="157"/>
    </row>
    <row r="123" ht="15.75" customHeight="1">
      <c r="A123" s="189"/>
      <c r="B123" s="193"/>
      <c r="C123" s="194"/>
      <c r="N123" s="152"/>
      <c r="Q123" s="195"/>
      <c r="S123" s="196"/>
      <c r="T123" s="196"/>
      <c r="U123" s="152"/>
      <c r="V123" s="152"/>
      <c r="W123" s="157"/>
    </row>
    <row r="124" ht="15.75" customHeight="1">
      <c r="A124" s="189"/>
      <c r="B124" s="193"/>
      <c r="C124" s="194"/>
      <c r="N124" s="152"/>
      <c r="Q124" s="195"/>
      <c r="S124" s="196"/>
      <c r="T124" s="196"/>
      <c r="U124" s="152"/>
      <c r="V124" s="152"/>
      <c r="W124" s="157"/>
    </row>
    <row r="125" ht="15.75" customHeight="1">
      <c r="A125" s="189"/>
      <c r="B125" s="193"/>
      <c r="C125" s="194"/>
      <c r="N125" s="152"/>
      <c r="Q125" s="195"/>
      <c r="S125" s="196"/>
      <c r="T125" s="196"/>
      <c r="U125" s="152"/>
      <c r="V125" s="152"/>
      <c r="W125" s="157"/>
    </row>
    <row r="126" ht="15.75" customHeight="1">
      <c r="A126" s="189"/>
      <c r="B126" s="193"/>
      <c r="C126" s="194"/>
      <c r="N126" s="152"/>
      <c r="Q126" s="195"/>
      <c r="S126" s="196"/>
      <c r="T126" s="196"/>
      <c r="U126" s="152"/>
      <c r="V126" s="152"/>
      <c r="W126" s="157"/>
    </row>
    <row r="127" ht="15.75" customHeight="1">
      <c r="A127" s="189"/>
      <c r="B127" s="193"/>
      <c r="C127" s="194"/>
      <c r="N127" s="152"/>
      <c r="Q127" s="195"/>
      <c r="S127" s="196"/>
      <c r="T127" s="196"/>
      <c r="U127" s="152"/>
      <c r="V127" s="152"/>
      <c r="W127" s="157"/>
    </row>
    <row r="128" ht="15.75" customHeight="1">
      <c r="A128" s="189"/>
      <c r="B128" s="193"/>
      <c r="C128" s="194"/>
      <c r="N128" s="152"/>
      <c r="Q128" s="195"/>
      <c r="S128" s="196"/>
      <c r="T128" s="196"/>
      <c r="U128" s="152"/>
      <c r="V128" s="152"/>
      <c r="W128" s="157"/>
    </row>
    <row r="129" ht="15.75" customHeight="1">
      <c r="A129" s="189"/>
      <c r="B129" s="193"/>
      <c r="C129" s="194"/>
      <c r="N129" s="152"/>
      <c r="Q129" s="195"/>
      <c r="S129" s="196"/>
      <c r="T129" s="196"/>
      <c r="U129" s="152"/>
      <c r="V129" s="152"/>
      <c r="W129" s="157"/>
    </row>
    <row r="130" ht="15.75" customHeight="1">
      <c r="A130" s="189"/>
      <c r="B130" s="193"/>
      <c r="C130" s="194"/>
      <c r="N130" s="152"/>
      <c r="Q130" s="195"/>
      <c r="S130" s="196"/>
      <c r="T130" s="196"/>
      <c r="U130" s="152"/>
      <c r="V130" s="152"/>
      <c r="W130" s="157"/>
    </row>
    <row r="131" ht="15.75" customHeight="1">
      <c r="A131" s="189"/>
      <c r="B131" s="193"/>
      <c r="C131" s="194"/>
      <c r="N131" s="152"/>
      <c r="Q131" s="195"/>
      <c r="S131" s="196"/>
      <c r="T131" s="196"/>
      <c r="U131" s="152"/>
      <c r="V131" s="152"/>
      <c r="W131" s="157"/>
    </row>
    <row r="132" ht="15.75" customHeight="1">
      <c r="A132" s="189"/>
      <c r="B132" s="193"/>
      <c r="C132" s="194"/>
      <c r="N132" s="152"/>
      <c r="Q132" s="195"/>
      <c r="S132" s="196"/>
      <c r="T132" s="196"/>
      <c r="U132" s="152"/>
      <c r="V132" s="152"/>
      <c r="W132" s="157"/>
    </row>
    <row r="133" ht="15.75" customHeight="1">
      <c r="A133" s="189"/>
      <c r="B133" s="193"/>
      <c r="C133" s="194"/>
      <c r="N133" s="152"/>
      <c r="Q133" s="195"/>
      <c r="S133" s="196"/>
      <c r="T133" s="196"/>
      <c r="U133" s="152"/>
      <c r="V133" s="152"/>
      <c r="W133" s="157"/>
    </row>
    <row r="134" ht="15.75" customHeight="1">
      <c r="A134" s="189"/>
      <c r="B134" s="193"/>
      <c r="C134" s="194"/>
      <c r="N134" s="152"/>
      <c r="Q134" s="195"/>
      <c r="S134" s="196"/>
      <c r="T134" s="196"/>
      <c r="U134" s="152"/>
      <c r="V134" s="152"/>
      <c r="W134" s="157"/>
    </row>
    <row r="135" ht="15.75" customHeight="1">
      <c r="A135" s="189"/>
      <c r="B135" s="193"/>
      <c r="C135" s="194"/>
      <c r="N135" s="152"/>
      <c r="Q135" s="195"/>
      <c r="S135" s="196"/>
      <c r="T135" s="196"/>
      <c r="U135" s="152"/>
      <c r="V135" s="152"/>
      <c r="W135" s="157"/>
    </row>
    <row r="136" ht="15.75" customHeight="1">
      <c r="A136" s="189"/>
      <c r="B136" s="193"/>
      <c r="C136" s="194"/>
      <c r="N136" s="152"/>
      <c r="Q136" s="195"/>
      <c r="S136" s="196"/>
      <c r="T136" s="196"/>
      <c r="U136" s="152"/>
      <c r="V136" s="152"/>
      <c r="W136" s="157"/>
    </row>
    <row r="137" ht="15.75" customHeight="1">
      <c r="A137" s="189"/>
      <c r="B137" s="193"/>
      <c r="C137" s="194"/>
      <c r="N137" s="152"/>
      <c r="Q137" s="195"/>
      <c r="S137" s="196"/>
      <c r="T137" s="196"/>
      <c r="U137" s="152"/>
      <c r="V137" s="152"/>
      <c r="W137" s="157"/>
    </row>
    <row r="138" ht="15.75" customHeight="1">
      <c r="A138" s="189"/>
      <c r="B138" s="193"/>
      <c r="C138" s="194"/>
      <c r="N138" s="152"/>
      <c r="Q138" s="195"/>
      <c r="S138" s="196"/>
      <c r="T138" s="196"/>
      <c r="U138" s="152"/>
      <c r="V138" s="152"/>
      <c r="W138" s="157"/>
    </row>
    <row r="139" ht="15.75" customHeight="1">
      <c r="A139" s="189"/>
      <c r="B139" s="193"/>
      <c r="C139" s="194"/>
      <c r="N139" s="152"/>
      <c r="Q139" s="195"/>
      <c r="S139" s="196"/>
      <c r="T139" s="196"/>
      <c r="U139" s="152"/>
      <c r="V139" s="152"/>
      <c r="W139" s="157"/>
    </row>
    <row r="140" ht="15.75" customHeight="1">
      <c r="A140" s="189"/>
      <c r="B140" s="193"/>
      <c r="C140" s="194"/>
      <c r="N140" s="152"/>
      <c r="Q140" s="195"/>
      <c r="S140" s="196"/>
      <c r="T140" s="196"/>
      <c r="U140" s="152"/>
      <c r="V140" s="152"/>
      <c r="W140" s="157"/>
    </row>
    <row r="141" ht="15.75" customHeight="1">
      <c r="A141" s="189"/>
      <c r="B141" s="193"/>
      <c r="C141" s="194"/>
      <c r="N141" s="152"/>
      <c r="Q141" s="195"/>
      <c r="S141" s="196"/>
      <c r="T141" s="196"/>
      <c r="U141" s="152"/>
      <c r="V141" s="152"/>
      <c r="W141" s="157"/>
    </row>
    <row r="142" ht="15.75" customHeight="1">
      <c r="A142" s="189"/>
      <c r="B142" s="193"/>
      <c r="C142" s="194"/>
      <c r="N142" s="152"/>
      <c r="Q142" s="195"/>
      <c r="S142" s="196"/>
      <c r="T142" s="196"/>
      <c r="U142" s="152"/>
      <c r="V142" s="152"/>
      <c r="W142" s="157"/>
    </row>
    <row r="143" ht="15.75" customHeight="1">
      <c r="A143" s="189"/>
      <c r="B143" s="193"/>
      <c r="C143" s="194"/>
      <c r="N143" s="152"/>
      <c r="Q143" s="195"/>
      <c r="S143" s="196"/>
      <c r="T143" s="196"/>
      <c r="U143" s="152"/>
      <c r="V143" s="152"/>
      <c r="W143" s="157"/>
    </row>
    <row r="144" ht="15.75" customHeight="1">
      <c r="A144" s="189"/>
      <c r="B144" s="193"/>
      <c r="C144" s="194"/>
      <c r="N144" s="152"/>
      <c r="Q144" s="195"/>
      <c r="S144" s="196"/>
      <c r="T144" s="196"/>
      <c r="U144" s="152"/>
      <c r="V144" s="152"/>
      <c r="W144" s="157"/>
    </row>
    <row r="145" ht="15.75" customHeight="1">
      <c r="A145" s="189"/>
      <c r="B145" s="193"/>
      <c r="C145" s="194"/>
      <c r="N145" s="152"/>
      <c r="Q145" s="195"/>
      <c r="S145" s="196"/>
      <c r="T145" s="196"/>
      <c r="U145" s="152"/>
      <c r="V145" s="152"/>
      <c r="W145" s="157"/>
    </row>
    <row r="146" ht="15.75" customHeight="1">
      <c r="A146" s="189"/>
      <c r="B146" s="193"/>
      <c r="C146" s="194"/>
      <c r="N146" s="152"/>
      <c r="Q146" s="195"/>
      <c r="S146" s="196"/>
      <c r="T146" s="196"/>
      <c r="U146" s="152"/>
      <c r="V146" s="152"/>
      <c r="W146" s="157"/>
    </row>
    <row r="147" ht="15.75" customHeight="1">
      <c r="A147" s="189"/>
      <c r="B147" s="193"/>
      <c r="C147" s="194"/>
      <c r="N147" s="152"/>
      <c r="Q147" s="195"/>
      <c r="S147" s="196"/>
      <c r="T147" s="196"/>
      <c r="U147" s="152"/>
      <c r="V147" s="152"/>
      <c r="W147" s="157"/>
    </row>
    <row r="148" ht="15.75" customHeight="1">
      <c r="A148" s="189"/>
      <c r="B148" s="193"/>
      <c r="C148" s="194"/>
      <c r="N148" s="152"/>
      <c r="Q148" s="195"/>
      <c r="S148" s="196"/>
      <c r="T148" s="196"/>
      <c r="U148" s="152"/>
      <c r="V148" s="152"/>
      <c r="W148" s="157"/>
    </row>
    <row r="149" ht="15.75" customHeight="1">
      <c r="A149" s="189"/>
      <c r="B149" s="193"/>
      <c r="C149" s="194"/>
      <c r="N149" s="152"/>
      <c r="Q149" s="195"/>
      <c r="S149" s="196"/>
      <c r="T149" s="196"/>
      <c r="U149" s="152"/>
      <c r="V149" s="152"/>
      <c r="W149" s="157"/>
    </row>
    <row r="150" ht="15.75" customHeight="1">
      <c r="A150" s="189"/>
      <c r="B150" s="193"/>
      <c r="C150" s="194"/>
      <c r="N150" s="152"/>
      <c r="Q150" s="195"/>
      <c r="S150" s="196"/>
      <c r="T150" s="196"/>
      <c r="U150" s="152"/>
      <c r="V150" s="152"/>
      <c r="W150" s="157"/>
    </row>
    <row r="151" ht="15.75" customHeight="1">
      <c r="A151" s="189"/>
      <c r="B151" s="193"/>
      <c r="C151" s="194"/>
      <c r="N151" s="152"/>
      <c r="Q151" s="195"/>
      <c r="S151" s="196"/>
      <c r="T151" s="196"/>
      <c r="U151" s="152"/>
      <c r="V151" s="152"/>
      <c r="W151" s="157"/>
    </row>
    <row r="152" ht="15.75" customHeight="1">
      <c r="A152" s="189"/>
      <c r="B152" s="193"/>
      <c r="C152" s="194"/>
      <c r="N152" s="152"/>
      <c r="Q152" s="195"/>
      <c r="S152" s="196"/>
      <c r="T152" s="196"/>
      <c r="U152" s="152"/>
      <c r="V152" s="152"/>
      <c r="W152" s="157"/>
    </row>
    <row r="153" ht="15.75" customHeight="1">
      <c r="A153" s="189"/>
      <c r="B153" s="193"/>
      <c r="C153" s="194"/>
      <c r="N153" s="152"/>
      <c r="Q153" s="195"/>
      <c r="S153" s="196"/>
      <c r="T153" s="196"/>
      <c r="U153" s="152"/>
      <c r="V153" s="152"/>
      <c r="W153" s="157"/>
    </row>
    <row r="154" ht="15.75" customHeight="1">
      <c r="A154" s="189"/>
      <c r="B154" s="193"/>
      <c r="C154" s="194"/>
      <c r="N154" s="152"/>
      <c r="Q154" s="195"/>
      <c r="S154" s="196"/>
      <c r="T154" s="196"/>
      <c r="U154" s="152"/>
      <c r="V154" s="152"/>
      <c r="W154" s="157"/>
    </row>
    <row r="155" ht="15.75" customHeight="1">
      <c r="A155" s="189"/>
      <c r="B155" s="193"/>
      <c r="C155" s="194"/>
      <c r="N155" s="152"/>
      <c r="Q155" s="195"/>
      <c r="S155" s="196"/>
      <c r="T155" s="196"/>
      <c r="U155" s="152"/>
      <c r="V155" s="152"/>
      <c r="W155" s="157"/>
    </row>
    <row r="156" ht="15.75" customHeight="1">
      <c r="A156" s="189"/>
      <c r="B156" s="193"/>
      <c r="C156" s="194"/>
      <c r="N156" s="152"/>
      <c r="Q156" s="195"/>
      <c r="S156" s="196"/>
      <c r="T156" s="196"/>
      <c r="U156" s="152"/>
      <c r="V156" s="152"/>
      <c r="W156" s="157"/>
    </row>
    <row r="157" ht="15.75" customHeight="1">
      <c r="A157" s="189"/>
      <c r="B157" s="193"/>
      <c r="C157" s="194"/>
      <c r="N157" s="152"/>
      <c r="Q157" s="195"/>
      <c r="S157" s="196"/>
      <c r="T157" s="196"/>
      <c r="U157" s="152"/>
      <c r="V157" s="152"/>
      <c r="W157" s="157"/>
    </row>
    <row r="158" ht="15.75" customHeight="1">
      <c r="A158" s="189"/>
      <c r="B158" s="193"/>
      <c r="C158" s="194"/>
      <c r="N158" s="152"/>
      <c r="Q158" s="195"/>
      <c r="S158" s="196"/>
      <c r="T158" s="196"/>
      <c r="U158" s="152"/>
      <c r="V158" s="152"/>
      <c r="W158" s="157"/>
    </row>
    <row r="159" ht="15.75" customHeight="1">
      <c r="A159" s="189"/>
      <c r="B159" s="193"/>
      <c r="C159" s="194"/>
      <c r="N159" s="152"/>
      <c r="Q159" s="195"/>
      <c r="S159" s="196"/>
      <c r="T159" s="196"/>
      <c r="U159" s="152"/>
      <c r="V159" s="152"/>
      <c r="W159" s="157"/>
    </row>
    <row r="160" ht="15.75" customHeight="1">
      <c r="A160" s="189"/>
      <c r="B160" s="193"/>
      <c r="C160" s="194"/>
      <c r="N160" s="152"/>
      <c r="Q160" s="195"/>
      <c r="S160" s="196"/>
      <c r="T160" s="196"/>
      <c r="U160" s="152"/>
      <c r="V160" s="152"/>
      <c r="W160" s="157"/>
    </row>
    <row r="161" ht="15.75" customHeight="1">
      <c r="A161" s="189"/>
      <c r="B161" s="193"/>
      <c r="C161" s="194"/>
      <c r="N161" s="152"/>
      <c r="Q161" s="195"/>
      <c r="S161" s="196"/>
      <c r="T161" s="196"/>
      <c r="U161" s="152"/>
      <c r="V161" s="152"/>
      <c r="W161" s="157"/>
    </row>
    <row r="162" ht="15.75" customHeight="1">
      <c r="A162" s="189"/>
      <c r="B162" s="193"/>
      <c r="C162" s="194"/>
      <c r="N162" s="152"/>
      <c r="Q162" s="195"/>
      <c r="S162" s="196"/>
      <c r="T162" s="196"/>
      <c r="U162" s="152"/>
      <c r="V162" s="152"/>
      <c r="W162" s="157"/>
    </row>
    <row r="163" ht="15.75" customHeight="1">
      <c r="A163" s="189"/>
      <c r="B163" s="193"/>
      <c r="C163" s="194"/>
      <c r="N163" s="152"/>
      <c r="Q163" s="195"/>
      <c r="S163" s="196"/>
      <c r="T163" s="196"/>
      <c r="U163" s="152"/>
      <c r="V163" s="152"/>
      <c r="W163" s="157"/>
    </row>
    <row r="164" ht="15.75" customHeight="1">
      <c r="A164" s="189"/>
      <c r="B164" s="193"/>
      <c r="C164" s="194"/>
      <c r="N164" s="152"/>
      <c r="Q164" s="195"/>
      <c r="S164" s="196"/>
      <c r="T164" s="196"/>
      <c r="U164" s="152"/>
      <c r="V164" s="152"/>
      <c r="W164" s="157"/>
    </row>
    <row r="165" ht="15.75" customHeight="1">
      <c r="A165" s="189"/>
      <c r="B165" s="193"/>
      <c r="C165" s="194"/>
      <c r="N165" s="152"/>
      <c r="Q165" s="195"/>
      <c r="S165" s="196"/>
      <c r="T165" s="196"/>
      <c r="U165" s="152"/>
      <c r="V165" s="152"/>
      <c r="W165" s="157"/>
    </row>
    <row r="166" ht="15.75" customHeight="1">
      <c r="A166" s="189"/>
      <c r="B166" s="193"/>
      <c r="C166" s="194"/>
      <c r="N166" s="152"/>
      <c r="Q166" s="195"/>
      <c r="S166" s="196"/>
      <c r="T166" s="196"/>
      <c r="U166" s="152"/>
      <c r="V166" s="152"/>
      <c r="W166" s="157"/>
    </row>
    <row r="167" ht="15.75" customHeight="1">
      <c r="A167" s="189"/>
      <c r="B167" s="193"/>
      <c r="C167" s="194"/>
      <c r="N167" s="152"/>
      <c r="Q167" s="195"/>
      <c r="S167" s="196"/>
      <c r="T167" s="196"/>
      <c r="U167" s="152"/>
      <c r="V167" s="152"/>
      <c r="W167" s="157"/>
    </row>
    <row r="168" ht="15.75" customHeight="1">
      <c r="A168" s="189"/>
      <c r="B168" s="193"/>
      <c r="C168" s="194"/>
      <c r="N168" s="152"/>
      <c r="Q168" s="195"/>
      <c r="S168" s="196"/>
      <c r="T168" s="196"/>
      <c r="U168" s="152"/>
      <c r="V168" s="152"/>
      <c r="W168" s="157"/>
    </row>
    <row r="169" ht="15.75" customHeight="1">
      <c r="A169" s="189"/>
      <c r="B169" s="193"/>
      <c r="C169" s="194"/>
      <c r="N169" s="152"/>
      <c r="Q169" s="195"/>
      <c r="S169" s="196"/>
      <c r="T169" s="196"/>
      <c r="U169" s="152"/>
      <c r="V169" s="152"/>
      <c r="W169" s="157"/>
    </row>
    <row r="170" ht="15.75" customHeight="1">
      <c r="A170" s="189"/>
      <c r="B170" s="193"/>
      <c r="C170" s="194"/>
      <c r="N170" s="152"/>
      <c r="Q170" s="195"/>
      <c r="S170" s="196"/>
      <c r="T170" s="196"/>
      <c r="U170" s="152"/>
      <c r="V170" s="152"/>
      <c r="W170" s="157"/>
    </row>
    <row r="171" ht="15.75" customHeight="1">
      <c r="A171" s="189"/>
      <c r="B171" s="193"/>
      <c r="C171" s="194"/>
      <c r="N171" s="152"/>
      <c r="Q171" s="195"/>
      <c r="S171" s="196"/>
      <c r="T171" s="196"/>
      <c r="U171" s="152"/>
      <c r="V171" s="152"/>
      <c r="W171" s="157"/>
    </row>
    <row r="172" ht="15.75" customHeight="1">
      <c r="A172" s="189"/>
      <c r="B172" s="193"/>
      <c r="C172" s="194"/>
      <c r="N172" s="152"/>
      <c r="Q172" s="195"/>
      <c r="S172" s="196"/>
      <c r="T172" s="196"/>
      <c r="U172" s="152"/>
      <c r="V172" s="152"/>
      <c r="W172" s="157"/>
    </row>
    <row r="173" ht="15.75" customHeight="1">
      <c r="A173" s="189"/>
      <c r="B173" s="193"/>
      <c r="C173" s="194"/>
      <c r="N173" s="152"/>
      <c r="Q173" s="195"/>
      <c r="S173" s="196"/>
      <c r="T173" s="196"/>
      <c r="U173" s="152"/>
      <c r="V173" s="152"/>
      <c r="W173" s="157"/>
    </row>
    <row r="174" ht="15.75" customHeight="1">
      <c r="A174" s="189"/>
      <c r="B174" s="193"/>
      <c r="C174" s="194"/>
      <c r="N174" s="152"/>
      <c r="Q174" s="195"/>
      <c r="S174" s="196"/>
      <c r="T174" s="196"/>
      <c r="U174" s="152"/>
      <c r="V174" s="152"/>
      <c r="W174" s="157"/>
    </row>
    <row r="175" ht="15.75" customHeight="1">
      <c r="A175" s="189"/>
      <c r="B175" s="193"/>
      <c r="C175" s="194"/>
      <c r="N175" s="152"/>
      <c r="Q175" s="195"/>
      <c r="S175" s="196"/>
      <c r="T175" s="196"/>
      <c r="U175" s="152"/>
      <c r="V175" s="152"/>
      <c r="W175" s="157"/>
    </row>
    <row r="176" ht="15.75" customHeight="1">
      <c r="A176" s="189"/>
      <c r="B176" s="193"/>
      <c r="C176" s="194"/>
      <c r="N176" s="152"/>
      <c r="Q176" s="195"/>
      <c r="S176" s="196"/>
      <c r="T176" s="196"/>
      <c r="U176" s="152"/>
      <c r="V176" s="152"/>
      <c r="W176" s="157"/>
    </row>
    <row r="177" ht="15.75" customHeight="1">
      <c r="A177" s="189"/>
      <c r="B177" s="193"/>
      <c r="C177" s="194"/>
      <c r="N177" s="152"/>
      <c r="Q177" s="195"/>
      <c r="S177" s="196"/>
      <c r="T177" s="196"/>
      <c r="U177" s="152"/>
      <c r="V177" s="152"/>
      <c r="W177" s="157"/>
    </row>
    <row r="178" ht="15.75" customHeight="1">
      <c r="A178" s="189"/>
      <c r="B178" s="193"/>
      <c r="C178" s="194"/>
      <c r="N178" s="152"/>
      <c r="Q178" s="195"/>
      <c r="S178" s="196"/>
      <c r="T178" s="196"/>
      <c r="U178" s="152"/>
      <c r="V178" s="152"/>
      <c r="W178" s="157"/>
    </row>
    <row r="179" ht="15.75" customHeight="1">
      <c r="A179" s="189"/>
      <c r="B179" s="193"/>
      <c r="C179" s="194"/>
      <c r="N179" s="152"/>
      <c r="Q179" s="195"/>
      <c r="S179" s="196"/>
      <c r="T179" s="196"/>
      <c r="U179" s="152"/>
      <c r="V179" s="152"/>
      <c r="W179" s="157"/>
    </row>
    <row r="180" ht="15.75" customHeight="1">
      <c r="A180" s="189"/>
      <c r="B180" s="193"/>
      <c r="C180" s="194"/>
      <c r="N180" s="152"/>
      <c r="Q180" s="195"/>
      <c r="S180" s="196"/>
      <c r="T180" s="196"/>
      <c r="U180" s="152"/>
      <c r="V180" s="152"/>
      <c r="W180" s="157"/>
    </row>
    <row r="181" ht="15.75" customHeight="1">
      <c r="A181" s="189"/>
      <c r="B181" s="193"/>
      <c r="C181" s="194"/>
      <c r="N181" s="152"/>
      <c r="Q181" s="195"/>
      <c r="S181" s="196"/>
      <c r="T181" s="196"/>
      <c r="U181" s="152"/>
      <c r="V181" s="152"/>
      <c r="W181" s="157"/>
    </row>
    <row r="182" ht="15.75" customHeight="1">
      <c r="A182" s="189"/>
      <c r="B182" s="193"/>
      <c r="C182" s="194"/>
      <c r="N182" s="152"/>
      <c r="Q182" s="195"/>
      <c r="S182" s="196"/>
      <c r="T182" s="196"/>
      <c r="U182" s="152"/>
      <c r="V182" s="152"/>
      <c r="W182" s="157"/>
    </row>
    <row r="183" ht="15.75" customHeight="1">
      <c r="A183" s="189"/>
      <c r="B183" s="193"/>
      <c r="C183" s="194"/>
      <c r="N183" s="152"/>
      <c r="Q183" s="195"/>
      <c r="S183" s="196"/>
      <c r="T183" s="196"/>
      <c r="U183" s="152"/>
      <c r="V183" s="152"/>
      <c r="W183" s="157"/>
    </row>
    <row r="184" ht="15.75" customHeight="1">
      <c r="A184" s="189"/>
      <c r="B184" s="193"/>
      <c r="C184" s="194"/>
      <c r="N184" s="152"/>
      <c r="Q184" s="195"/>
      <c r="S184" s="196"/>
      <c r="T184" s="196"/>
      <c r="U184" s="152"/>
      <c r="V184" s="152"/>
      <c r="W184" s="157"/>
    </row>
    <row r="185" ht="15.75" customHeight="1">
      <c r="A185" s="189"/>
      <c r="B185" s="193"/>
      <c r="C185" s="194"/>
      <c r="N185" s="152"/>
      <c r="Q185" s="195"/>
      <c r="S185" s="196"/>
      <c r="T185" s="196"/>
      <c r="U185" s="152"/>
      <c r="V185" s="152"/>
      <c r="W185" s="157"/>
    </row>
    <row r="186" ht="15.75" customHeight="1">
      <c r="A186" s="189"/>
      <c r="B186" s="193"/>
      <c r="C186" s="194"/>
      <c r="N186" s="152"/>
      <c r="Q186" s="195"/>
      <c r="S186" s="196"/>
      <c r="T186" s="196"/>
      <c r="U186" s="152"/>
      <c r="V186" s="152"/>
      <c r="W186" s="157"/>
    </row>
    <row r="187" ht="15.75" customHeight="1">
      <c r="A187" s="189"/>
      <c r="B187" s="193"/>
      <c r="C187" s="194"/>
      <c r="N187" s="152"/>
      <c r="Q187" s="195"/>
      <c r="S187" s="196"/>
      <c r="T187" s="196"/>
      <c r="U187" s="152"/>
      <c r="V187" s="152"/>
      <c r="W187" s="157"/>
    </row>
    <row r="188" ht="15.75" customHeight="1">
      <c r="A188" s="189"/>
      <c r="B188" s="193"/>
      <c r="C188" s="194"/>
      <c r="N188" s="152"/>
      <c r="Q188" s="195"/>
      <c r="S188" s="196"/>
      <c r="T188" s="196"/>
      <c r="U188" s="152"/>
      <c r="V188" s="152"/>
      <c r="W188" s="157"/>
    </row>
    <row r="189" ht="15.75" customHeight="1">
      <c r="A189" s="189"/>
      <c r="B189" s="193"/>
      <c r="C189" s="194"/>
      <c r="N189" s="152"/>
      <c r="Q189" s="195"/>
      <c r="S189" s="196"/>
      <c r="T189" s="196"/>
      <c r="U189" s="152"/>
      <c r="V189" s="152"/>
      <c r="W189" s="157"/>
    </row>
    <row r="190" ht="15.75" customHeight="1">
      <c r="A190" s="189"/>
      <c r="B190" s="193"/>
      <c r="C190" s="194"/>
      <c r="N190" s="152"/>
      <c r="Q190" s="195"/>
      <c r="S190" s="196"/>
      <c r="T190" s="196"/>
      <c r="U190" s="152"/>
      <c r="V190" s="152"/>
      <c r="W190" s="157"/>
    </row>
    <row r="191" ht="15.75" customHeight="1">
      <c r="A191" s="189"/>
      <c r="B191" s="193"/>
      <c r="C191" s="194"/>
      <c r="N191" s="152"/>
      <c r="Q191" s="195"/>
      <c r="S191" s="196"/>
      <c r="T191" s="196"/>
      <c r="U191" s="152"/>
      <c r="V191" s="152"/>
      <c r="W191" s="157"/>
    </row>
    <row r="192" ht="15.75" customHeight="1">
      <c r="A192" s="189"/>
      <c r="B192" s="193"/>
      <c r="C192" s="194"/>
      <c r="N192" s="152"/>
      <c r="Q192" s="195"/>
      <c r="S192" s="196"/>
      <c r="T192" s="196"/>
      <c r="U192" s="152"/>
      <c r="V192" s="152"/>
      <c r="W192" s="157"/>
    </row>
    <row r="193" ht="15.75" customHeight="1">
      <c r="A193" s="189"/>
      <c r="B193" s="193"/>
      <c r="C193" s="194"/>
      <c r="N193" s="152"/>
      <c r="Q193" s="195"/>
      <c r="S193" s="196"/>
      <c r="T193" s="196"/>
      <c r="U193" s="152"/>
      <c r="V193" s="152"/>
      <c r="W193" s="157"/>
    </row>
    <row r="194" ht="15.75" customHeight="1">
      <c r="A194" s="189"/>
      <c r="B194" s="193"/>
      <c r="C194" s="194"/>
      <c r="N194" s="152"/>
      <c r="Q194" s="195"/>
      <c r="S194" s="196"/>
      <c r="T194" s="196"/>
      <c r="U194" s="152"/>
      <c r="V194" s="152"/>
      <c r="W194" s="157"/>
    </row>
    <row r="195" ht="15.75" customHeight="1">
      <c r="A195" s="189"/>
      <c r="B195" s="193"/>
      <c r="C195" s="194"/>
      <c r="N195" s="152"/>
      <c r="Q195" s="195"/>
      <c r="S195" s="196"/>
      <c r="T195" s="196"/>
      <c r="U195" s="152"/>
      <c r="V195" s="152"/>
      <c r="W195" s="157"/>
    </row>
    <row r="196" ht="15.75" customHeight="1">
      <c r="A196" s="189"/>
      <c r="B196" s="193"/>
      <c r="C196" s="194"/>
      <c r="N196" s="152"/>
      <c r="Q196" s="195"/>
      <c r="S196" s="196"/>
      <c r="T196" s="196"/>
      <c r="U196" s="152"/>
      <c r="V196" s="152"/>
      <c r="W196" s="157"/>
    </row>
    <row r="197" ht="15.75" customHeight="1">
      <c r="A197" s="189"/>
      <c r="B197" s="193"/>
      <c r="C197" s="194"/>
      <c r="N197" s="152"/>
      <c r="Q197" s="195"/>
      <c r="S197" s="196"/>
      <c r="T197" s="196"/>
      <c r="U197" s="152"/>
      <c r="V197" s="152"/>
      <c r="W197" s="157"/>
    </row>
    <row r="198" ht="15.75" customHeight="1">
      <c r="A198" s="189"/>
      <c r="B198" s="193"/>
      <c r="C198" s="194"/>
      <c r="N198" s="152"/>
      <c r="Q198" s="195"/>
      <c r="S198" s="196"/>
      <c r="T198" s="196"/>
      <c r="U198" s="152"/>
      <c r="V198" s="152"/>
      <c r="W198" s="157"/>
    </row>
    <row r="199" ht="15.75" customHeight="1">
      <c r="A199" s="189"/>
      <c r="B199" s="193"/>
      <c r="C199" s="194"/>
      <c r="N199" s="152"/>
      <c r="Q199" s="195"/>
      <c r="S199" s="196"/>
      <c r="T199" s="196"/>
      <c r="U199" s="152"/>
      <c r="V199" s="152"/>
      <c r="W199" s="157"/>
    </row>
    <row r="200" ht="15.75" customHeight="1">
      <c r="A200" s="189"/>
      <c r="B200" s="193"/>
      <c r="C200" s="194"/>
      <c r="N200" s="152"/>
      <c r="Q200" s="195"/>
      <c r="S200" s="196"/>
      <c r="T200" s="196"/>
      <c r="U200" s="152"/>
      <c r="V200" s="152"/>
      <c r="W200" s="157"/>
    </row>
    <row r="201" ht="15.75" customHeight="1">
      <c r="A201" s="189"/>
      <c r="B201" s="193"/>
      <c r="C201" s="194"/>
      <c r="N201" s="152"/>
      <c r="Q201" s="195"/>
      <c r="S201" s="196"/>
      <c r="T201" s="196"/>
      <c r="U201" s="152"/>
      <c r="V201" s="152"/>
      <c r="W201" s="157"/>
    </row>
    <row r="202" ht="15.75" customHeight="1">
      <c r="A202" s="189"/>
      <c r="B202" s="193"/>
      <c r="C202" s="194"/>
      <c r="N202" s="152"/>
      <c r="Q202" s="195"/>
      <c r="S202" s="196"/>
      <c r="T202" s="196"/>
      <c r="U202" s="152"/>
      <c r="V202" s="152"/>
      <c r="W202" s="157"/>
    </row>
    <row r="203" ht="15.75" customHeight="1">
      <c r="A203" s="189"/>
      <c r="B203" s="193"/>
      <c r="C203" s="194"/>
      <c r="N203" s="152"/>
      <c r="Q203" s="195"/>
      <c r="S203" s="196"/>
      <c r="T203" s="196"/>
      <c r="U203" s="152"/>
      <c r="V203" s="152"/>
      <c r="W203" s="157"/>
    </row>
    <row r="204" ht="15.75" customHeight="1">
      <c r="A204" s="189"/>
      <c r="B204" s="193"/>
      <c r="C204" s="194"/>
      <c r="N204" s="152"/>
      <c r="Q204" s="195"/>
      <c r="S204" s="196"/>
      <c r="T204" s="196"/>
      <c r="U204" s="152"/>
      <c r="V204" s="152"/>
      <c r="W204" s="157"/>
    </row>
    <row r="205" ht="15.75" customHeight="1">
      <c r="A205" s="189"/>
      <c r="B205" s="193"/>
      <c r="C205" s="194"/>
      <c r="N205" s="152"/>
      <c r="Q205" s="195"/>
      <c r="S205" s="196"/>
      <c r="T205" s="196"/>
      <c r="U205" s="152"/>
      <c r="V205" s="152"/>
      <c r="W205" s="157"/>
    </row>
    <row r="206" ht="15.75" customHeight="1">
      <c r="A206" s="189"/>
      <c r="B206" s="193"/>
      <c r="C206" s="194"/>
      <c r="N206" s="152"/>
      <c r="Q206" s="195"/>
      <c r="S206" s="196"/>
      <c r="T206" s="196"/>
      <c r="U206" s="152"/>
      <c r="V206" s="152"/>
      <c r="W206" s="157"/>
    </row>
    <row r="207" ht="15.75" customHeight="1">
      <c r="A207" s="189"/>
      <c r="B207" s="193"/>
      <c r="C207" s="194"/>
      <c r="N207" s="152"/>
      <c r="Q207" s="195"/>
      <c r="S207" s="196"/>
      <c r="T207" s="196"/>
      <c r="U207" s="152"/>
      <c r="V207" s="152"/>
      <c r="W207" s="157"/>
    </row>
    <row r="208" ht="15.75" customHeight="1">
      <c r="A208" s="189"/>
      <c r="B208" s="193"/>
      <c r="C208" s="194"/>
      <c r="N208" s="152"/>
      <c r="Q208" s="195"/>
      <c r="S208" s="196"/>
      <c r="T208" s="196"/>
      <c r="U208" s="152"/>
      <c r="V208" s="152"/>
      <c r="W208" s="157"/>
    </row>
    <row r="209" ht="15.75" customHeight="1">
      <c r="A209" s="189"/>
      <c r="B209" s="193"/>
      <c r="C209" s="194"/>
      <c r="N209" s="152"/>
      <c r="Q209" s="195"/>
      <c r="S209" s="196"/>
      <c r="T209" s="196"/>
      <c r="U209" s="152"/>
      <c r="V209" s="152"/>
      <c r="W209" s="157"/>
    </row>
    <row r="210" ht="15.75" customHeight="1">
      <c r="A210" s="189"/>
      <c r="B210" s="193"/>
      <c r="C210" s="194"/>
      <c r="N210" s="152"/>
      <c r="Q210" s="195"/>
      <c r="S210" s="196"/>
      <c r="T210" s="196"/>
      <c r="U210" s="152"/>
      <c r="V210" s="152"/>
      <c r="W210" s="157"/>
    </row>
    <row r="211" ht="15.75" customHeight="1">
      <c r="A211" s="189"/>
      <c r="B211" s="193"/>
      <c r="C211" s="194"/>
      <c r="N211" s="152"/>
      <c r="Q211" s="195"/>
      <c r="S211" s="196"/>
      <c r="T211" s="196"/>
      <c r="U211" s="152"/>
      <c r="V211" s="152"/>
      <c r="W211" s="157"/>
    </row>
    <row r="212" ht="15.75" customHeight="1">
      <c r="A212" s="189"/>
      <c r="B212" s="193"/>
      <c r="C212" s="194"/>
      <c r="N212" s="152"/>
      <c r="Q212" s="195"/>
      <c r="S212" s="196"/>
      <c r="T212" s="196"/>
      <c r="U212" s="152"/>
      <c r="V212" s="152"/>
      <c r="W212" s="157"/>
    </row>
    <row r="213" ht="15.75" customHeight="1">
      <c r="A213" s="189"/>
      <c r="B213" s="193"/>
      <c r="C213" s="194"/>
      <c r="N213" s="152"/>
      <c r="Q213" s="195"/>
      <c r="S213" s="196"/>
      <c r="T213" s="196"/>
      <c r="U213" s="152"/>
      <c r="V213" s="152"/>
      <c r="W213" s="157"/>
    </row>
    <row r="214" ht="15.75" customHeight="1">
      <c r="A214" s="189"/>
      <c r="B214" s="193"/>
      <c r="C214" s="194"/>
      <c r="N214" s="152"/>
      <c r="Q214" s="195"/>
      <c r="S214" s="196"/>
      <c r="T214" s="196"/>
      <c r="U214" s="152"/>
      <c r="V214" s="152"/>
      <c r="W214" s="157"/>
    </row>
    <row r="215" ht="15.75" customHeight="1">
      <c r="A215" s="189"/>
      <c r="B215" s="193"/>
      <c r="C215" s="194"/>
      <c r="N215" s="152"/>
      <c r="Q215" s="195"/>
      <c r="S215" s="196"/>
      <c r="T215" s="196"/>
      <c r="U215" s="152"/>
      <c r="V215" s="152"/>
      <c r="W215" s="157"/>
    </row>
    <row r="216" ht="15.75" customHeight="1">
      <c r="A216" s="189"/>
      <c r="B216" s="193"/>
      <c r="C216" s="194"/>
      <c r="N216" s="152"/>
      <c r="Q216" s="195"/>
      <c r="S216" s="196"/>
      <c r="T216" s="196"/>
      <c r="U216" s="152"/>
      <c r="V216" s="152"/>
      <c r="W216" s="157"/>
    </row>
    <row r="217" ht="15.75" customHeight="1">
      <c r="A217" s="189"/>
      <c r="B217" s="193"/>
      <c r="C217" s="194"/>
      <c r="N217" s="152"/>
      <c r="Q217" s="195"/>
      <c r="S217" s="196"/>
      <c r="T217" s="196"/>
      <c r="U217" s="152"/>
      <c r="V217" s="152"/>
      <c r="W217" s="157"/>
    </row>
    <row r="218" ht="15.75" customHeight="1">
      <c r="A218" s="189"/>
      <c r="B218" s="193"/>
      <c r="C218" s="194"/>
      <c r="N218" s="152"/>
      <c r="Q218" s="195"/>
      <c r="S218" s="196"/>
      <c r="T218" s="196"/>
      <c r="U218" s="152"/>
      <c r="V218" s="152"/>
      <c r="W218" s="157"/>
    </row>
    <row r="219" ht="15.75" customHeight="1">
      <c r="A219" s="189"/>
      <c r="B219" s="193"/>
      <c r="C219" s="194"/>
      <c r="N219" s="152"/>
      <c r="Q219" s="195"/>
      <c r="S219" s="196"/>
      <c r="T219" s="196"/>
      <c r="U219" s="152"/>
      <c r="V219" s="152"/>
      <c r="W219" s="157"/>
    </row>
    <row r="220" ht="15.75" customHeight="1">
      <c r="A220" s="189"/>
      <c r="B220" s="193"/>
      <c r="C220" s="194"/>
      <c r="N220" s="152"/>
      <c r="Q220" s="195"/>
      <c r="S220" s="196"/>
      <c r="T220" s="196"/>
      <c r="U220" s="152"/>
      <c r="V220" s="152"/>
      <c r="W220" s="157"/>
    </row>
    <row r="221" ht="15.75" customHeight="1">
      <c r="B221" s="199"/>
      <c r="N221" s="152"/>
      <c r="Q221" s="195"/>
      <c r="S221" s="200"/>
      <c r="T221" s="200"/>
      <c r="U221" s="152"/>
      <c r="V221" s="152"/>
      <c r="W221" s="157"/>
    </row>
    <row r="222" ht="15.75" customHeight="1">
      <c r="B222" s="199"/>
      <c r="N222" s="152"/>
      <c r="Q222" s="195"/>
      <c r="S222" s="200"/>
      <c r="T222" s="200"/>
      <c r="U222" s="152"/>
      <c r="V222" s="152"/>
      <c r="W222" s="157"/>
    </row>
    <row r="223" ht="15.75" customHeight="1">
      <c r="B223" s="199"/>
      <c r="N223" s="152"/>
      <c r="Q223" s="195"/>
      <c r="S223" s="200"/>
      <c r="T223" s="200"/>
      <c r="U223" s="152"/>
      <c r="V223" s="152"/>
      <c r="W223" s="157"/>
    </row>
    <row r="224" ht="15.75" customHeight="1">
      <c r="B224" s="199"/>
      <c r="N224" s="152"/>
      <c r="Q224" s="195"/>
      <c r="S224" s="200"/>
      <c r="T224" s="200"/>
      <c r="U224" s="152"/>
      <c r="V224" s="152"/>
      <c r="W224" s="157"/>
    </row>
    <row r="225" ht="15.75" customHeight="1">
      <c r="B225" s="199"/>
      <c r="N225" s="152"/>
      <c r="Q225" s="195"/>
      <c r="S225" s="200"/>
      <c r="T225" s="200"/>
      <c r="U225" s="152"/>
      <c r="V225" s="152"/>
      <c r="W225" s="157"/>
    </row>
    <row r="226" ht="15.75" customHeight="1">
      <c r="B226" s="199"/>
      <c r="N226" s="152"/>
      <c r="Q226" s="195"/>
      <c r="S226" s="200"/>
      <c r="T226" s="200"/>
      <c r="U226" s="152"/>
      <c r="V226" s="152"/>
      <c r="W226" s="157"/>
    </row>
    <row r="227" ht="15.75" customHeight="1">
      <c r="B227" s="199"/>
      <c r="N227" s="152"/>
      <c r="Q227" s="195"/>
      <c r="S227" s="200"/>
      <c r="T227" s="200"/>
      <c r="U227" s="152"/>
      <c r="V227" s="152"/>
      <c r="W227" s="157"/>
    </row>
    <row r="228" ht="15.75" customHeight="1">
      <c r="B228" s="199"/>
      <c r="N228" s="152"/>
      <c r="Q228" s="195"/>
      <c r="S228" s="200"/>
      <c r="T228" s="200"/>
      <c r="U228" s="152"/>
      <c r="V228" s="152"/>
      <c r="W228" s="157"/>
    </row>
    <row r="229" ht="15.75" customHeight="1">
      <c r="B229" s="199"/>
      <c r="N229" s="152"/>
      <c r="Q229" s="195"/>
      <c r="S229" s="200"/>
      <c r="T229" s="200"/>
      <c r="U229" s="152"/>
      <c r="V229" s="152"/>
      <c r="W229" s="157"/>
    </row>
    <row r="230" ht="15.75" customHeight="1">
      <c r="B230" s="199"/>
      <c r="N230" s="152"/>
      <c r="Q230" s="195"/>
      <c r="S230" s="200"/>
      <c r="T230" s="200"/>
      <c r="U230" s="152"/>
      <c r="V230" s="152"/>
      <c r="W230" s="157"/>
    </row>
    <row r="231" ht="15.75" customHeight="1">
      <c r="B231" s="199"/>
      <c r="N231" s="152"/>
      <c r="Q231" s="195"/>
      <c r="S231" s="200"/>
      <c r="T231" s="200"/>
      <c r="U231" s="152"/>
      <c r="V231" s="152"/>
      <c r="W231" s="157"/>
    </row>
    <row r="232" ht="15.75" customHeight="1">
      <c r="B232" s="199"/>
      <c r="N232" s="152"/>
      <c r="Q232" s="195"/>
      <c r="S232" s="200"/>
      <c r="T232" s="200"/>
      <c r="U232" s="152"/>
      <c r="V232" s="152"/>
      <c r="W232" s="157"/>
    </row>
    <row r="233" ht="15.75" customHeight="1">
      <c r="B233" s="199"/>
      <c r="N233" s="152"/>
      <c r="Q233" s="195"/>
      <c r="S233" s="200"/>
      <c r="T233" s="200"/>
      <c r="U233" s="152"/>
      <c r="V233" s="152"/>
      <c r="W233" s="157"/>
    </row>
    <row r="234" ht="15.75" customHeight="1">
      <c r="B234" s="199"/>
      <c r="N234" s="152"/>
      <c r="Q234" s="195"/>
      <c r="S234" s="200"/>
      <c r="T234" s="200"/>
      <c r="U234" s="152"/>
      <c r="V234" s="152"/>
      <c r="W234" s="157"/>
    </row>
    <row r="235" ht="15.75" customHeight="1">
      <c r="B235" s="199"/>
      <c r="N235" s="152"/>
      <c r="Q235" s="195"/>
      <c r="S235" s="200"/>
      <c r="T235" s="200"/>
      <c r="U235" s="152"/>
      <c r="V235" s="152"/>
      <c r="W235" s="157"/>
    </row>
    <row r="236" ht="15.75" customHeight="1">
      <c r="B236" s="199"/>
      <c r="N236" s="152"/>
      <c r="Q236" s="195"/>
      <c r="S236" s="200"/>
      <c r="T236" s="200"/>
      <c r="U236" s="152"/>
      <c r="V236" s="152"/>
      <c r="W236" s="157"/>
    </row>
    <row r="237" ht="15.75" customHeight="1">
      <c r="B237" s="199"/>
      <c r="N237" s="152"/>
      <c r="Q237" s="195"/>
      <c r="S237" s="200"/>
      <c r="T237" s="200"/>
      <c r="U237" s="152"/>
      <c r="V237" s="152"/>
      <c r="W237" s="157"/>
    </row>
    <row r="238" ht="15.75" customHeight="1">
      <c r="B238" s="199"/>
      <c r="N238" s="152"/>
      <c r="Q238" s="195"/>
      <c r="S238" s="200"/>
      <c r="T238" s="200"/>
      <c r="U238" s="152"/>
      <c r="V238" s="152"/>
      <c r="W238" s="157"/>
    </row>
    <row r="239" ht="15.75" customHeight="1">
      <c r="B239" s="199"/>
      <c r="N239" s="152"/>
      <c r="Q239" s="195"/>
      <c r="S239" s="200"/>
      <c r="T239" s="200"/>
      <c r="U239" s="152"/>
      <c r="V239" s="152"/>
      <c r="W239" s="157"/>
    </row>
    <row r="240" ht="15.75" customHeight="1">
      <c r="B240" s="199"/>
      <c r="N240" s="152"/>
      <c r="Q240" s="195"/>
      <c r="S240" s="200"/>
      <c r="T240" s="200"/>
      <c r="U240" s="152"/>
      <c r="V240" s="152"/>
      <c r="W240" s="157"/>
    </row>
    <row r="241" ht="15.75" customHeight="1">
      <c r="B241" s="199"/>
      <c r="N241" s="152"/>
      <c r="Q241" s="195"/>
      <c r="S241" s="200"/>
      <c r="T241" s="200"/>
      <c r="U241" s="152"/>
      <c r="V241" s="152"/>
      <c r="W241" s="157"/>
    </row>
    <row r="242" ht="15.75" customHeight="1">
      <c r="B242" s="199"/>
      <c r="N242" s="152"/>
      <c r="Q242" s="195"/>
      <c r="S242" s="200"/>
      <c r="T242" s="200"/>
      <c r="U242" s="152"/>
      <c r="V242" s="152"/>
      <c r="W242" s="157"/>
    </row>
    <row r="243" ht="15.75" customHeight="1">
      <c r="B243" s="199"/>
      <c r="N243" s="152"/>
      <c r="Q243" s="195"/>
      <c r="S243" s="200"/>
      <c r="T243" s="200"/>
      <c r="U243" s="152"/>
      <c r="V243" s="152"/>
      <c r="W243" s="157"/>
    </row>
    <row r="244" ht="15.75" customHeight="1">
      <c r="B244" s="199"/>
      <c r="N244" s="152"/>
      <c r="Q244" s="195"/>
      <c r="S244" s="200"/>
      <c r="T244" s="200"/>
      <c r="U244" s="152"/>
      <c r="V244" s="152"/>
      <c r="W244" s="157"/>
    </row>
    <row r="245" ht="15.75" customHeight="1">
      <c r="B245" s="199"/>
      <c r="N245" s="152"/>
      <c r="Q245" s="195"/>
      <c r="S245" s="200"/>
      <c r="T245" s="200"/>
      <c r="U245" s="152"/>
      <c r="V245" s="152"/>
      <c r="W245" s="157"/>
    </row>
    <row r="246" ht="15.75" customHeight="1">
      <c r="B246" s="199"/>
      <c r="N246" s="152"/>
      <c r="Q246" s="195"/>
      <c r="S246" s="200"/>
      <c r="T246" s="200"/>
      <c r="U246" s="152"/>
      <c r="V246" s="152"/>
      <c r="W246" s="157"/>
    </row>
    <row r="247" ht="15.75" customHeight="1">
      <c r="B247" s="199"/>
      <c r="N247" s="152"/>
      <c r="Q247" s="195"/>
      <c r="S247" s="200"/>
      <c r="T247" s="200"/>
      <c r="U247" s="152"/>
      <c r="V247" s="152"/>
      <c r="W247" s="157"/>
    </row>
    <row r="248" ht="15.75" customHeight="1">
      <c r="B248" s="199"/>
      <c r="N248" s="152"/>
      <c r="Q248" s="195"/>
      <c r="S248" s="200"/>
      <c r="T248" s="200"/>
      <c r="U248" s="152"/>
      <c r="V248" s="152"/>
      <c r="W248" s="157"/>
    </row>
    <row r="249" ht="15.75" customHeight="1">
      <c r="B249" s="199"/>
      <c r="N249" s="152"/>
      <c r="Q249" s="195"/>
      <c r="S249" s="200"/>
      <c r="T249" s="200"/>
      <c r="U249" s="152"/>
      <c r="V249" s="152"/>
      <c r="W249" s="157"/>
    </row>
    <row r="250" ht="15.75" customHeight="1">
      <c r="B250" s="199"/>
      <c r="N250" s="152"/>
      <c r="Q250" s="195"/>
      <c r="S250" s="200"/>
      <c r="T250" s="200"/>
      <c r="U250" s="152"/>
      <c r="V250" s="152"/>
      <c r="W250" s="157"/>
    </row>
    <row r="251" ht="15.75" customHeight="1">
      <c r="B251" s="199"/>
      <c r="N251" s="152"/>
      <c r="Q251" s="195"/>
      <c r="S251" s="200"/>
      <c r="T251" s="200"/>
      <c r="U251" s="152"/>
      <c r="V251" s="152"/>
      <c r="W251" s="157"/>
    </row>
    <row r="252" ht="15.75" customHeight="1">
      <c r="B252" s="199"/>
      <c r="N252" s="152"/>
      <c r="Q252" s="195"/>
      <c r="S252" s="200"/>
      <c r="T252" s="200"/>
      <c r="U252" s="152"/>
      <c r="V252" s="152"/>
      <c r="W252" s="157"/>
    </row>
    <row r="253" ht="15.75" customHeight="1">
      <c r="B253" s="199"/>
      <c r="N253" s="152"/>
      <c r="Q253" s="195"/>
      <c r="S253" s="200"/>
      <c r="T253" s="200"/>
      <c r="U253" s="152"/>
      <c r="V253" s="152"/>
      <c r="W253" s="157"/>
    </row>
    <row r="254" ht="15.75" customHeight="1">
      <c r="B254" s="199"/>
      <c r="N254" s="152"/>
      <c r="Q254" s="195"/>
      <c r="S254" s="200"/>
      <c r="T254" s="200"/>
      <c r="U254" s="152"/>
      <c r="V254" s="152"/>
      <c r="W254" s="157"/>
    </row>
    <row r="255" ht="15.75" customHeight="1">
      <c r="B255" s="199"/>
      <c r="N255" s="152"/>
      <c r="Q255" s="195"/>
      <c r="S255" s="200"/>
      <c r="T255" s="200"/>
      <c r="U255" s="152"/>
      <c r="V255" s="152"/>
      <c r="W255" s="157"/>
    </row>
    <row r="256" ht="15.75" customHeight="1">
      <c r="B256" s="199"/>
      <c r="N256" s="152"/>
      <c r="Q256" s="195"/>
      <c r="S256" s="200"/>
      <c r="T256" s="200"/>
      <c r="U256" s="152"/>
      <c r="V256" s="152"/>
      <c r="W256" s="157"/>
    </row>
    <row r="257" ht="15.75" customHeight="1">
      <c r="B257" s="199"/>
      <c r="N257" s="152"/>
      <c r="Q257" s="195"/>
      <c r="S257" s="200"/>
      <c r="T257" s="200"/>
      <c r="U257" s="152"/>
      <c r="V257" s="152"/>
      <c r="W257" s="157"/>
    </row>
    <row r="258" ht="15.75" customHeight="1">
      <c r="B258" s="199"/>
      <c r="N258" s="152"/>
      <c r="Q258" s="195"/>
      <c r="S258" s="200"/>
      <c r="T258" s="200"/>
      <c r="U258" s="152"/>
      <c r="V258" s="152"/>
      <c r="W258" s="157"/>
    </row>
    <row r="259" ht="15.75" customHeight="1">
      <c r="B259" s="199"/>
      <c r="N259" s="152"/>
      <c r="Q259" s="195"/>
      <c r="S259" s="200"/>
      <c r="T259" s="200"/>
      <c r="U259" s="152"/>
      <c r="V259" s="152"/>
      <c r="W259" s="157"/>
    </row>
    <row r="260" ht="15.75" customHeight="1">
      <c r="B260" s="199"/>
      <c r="N260" s="152"/>
      <c r="Q260" s="195"/>
      <c r="S260" s="200"/>
      <c r="T260" s="200"/>
      <c r="U260" s="152"/>
      <c r="V260" s="152"/>
      <c r="W260" s="157"/>
    </row>
    <row r="261" ht="15.75" customHeight="1">
      <c r="B261" s="199"/>
      <c r="N261" s="152"/>
      <c r="Q261" s="195"/>
      <c r="S261" s="200"/>
      <c r="T261" s="200"/>
      <c r="U261" s="152"/>
      <c r="V261" s="152"/>
      <c r="W261" s="157"/>
    </row>
    <row r="262" ht="15.75" customHeight="1">
      <c r="B262" s="199"/>
      <c r="N262" s="152"/>
      <c r="Q262" s="195"/>
      <c r="S262" s="200"/>
      <c r="T262" s="200"/>
      <c r="U262" s="152"/>
      <c r="V262" s="152"/>
      <c r="W262" s="157"/>
    </row>
    <row r="263" ht="15.75" customHeight="1">
      <c r="B263" s="199"/>
      <c r="N263" s="152"/>
      <c r="Q263" s="195"/>
      <c r="S263" s="200"/>
      <c r="T263" s="200"/>
      <c r="U263" s="152"/>
      <c r="V263" s="152"/>
      <c r="W263" s="157"/>
    </row>
    <row r="264" ht="15.75" customHeight="1">
      <c r="B264" s="199"/>
      <c r="N264" s="152"/>
      <c r="Q264" s="195"/>
      <c r="S264" s="200"/>
      <c r="T264" s="200"/>
      <c r="U264" s="152"/>
      <c r="V264" s="152"/>
      <c r="W264" s="157"/>
    </row>
    <row r="265" ht="15.75" customHeight="1">
      <c r="B265" s="199"/>
      <c r="N265" s="152"/>
      <c r="Q265" s="195"/>
      <c r="S265" s="200"/>
      <c r="T265" s="200"/>
      <c r="U265" s="152"/>
      <c r="V265" s="152"/>
      <c r="W265" s="157"/>
    </row>
    <row r="266" ht="15.75" customHeight="1">
      <c r="B266" s="199"/>
      <c r="N266" s="152"/>
      <c r="Q266" s="195"/>
      <c r="S266" s="200"/>
      <c r="T266" s="200"/>
      <c r="U266" s="152"/>
      <c r="V266" s="152"/>
      <c r="W266" s="157"/>
    </row>
    <row r="267" ht="15.75" customHeight="1">
      <c r="B267" s="199"/>
      <c r="N267" s="152"/>
      <c r="Q267" s="195"/>
      <c r="S267" s="200"/>
      <c r="T267" s="200"/>
      <c r="U267" s="152"/>
      <c r="V267" s="152"/>
      <c r="W267" s="157"/>
    </row>
    <row r="268" ht="15.75" customHeight="1">
      <c r="B268" s="199"/>
      <c r="N268" s="152"/>
      <c r="Q268" s="195"/>
      <c r="S268" s="200"/>
      <c r="T268" s="200"/>
      <c r="U268" s="152"/>
      <c r="V268" s="152"/>
      <c r="W268" s="157"/>
    </row>
    <row r="269" ht="15.75" customHeight="1">
      <c r="B269" s="199"/>
      <c r="N269" s="152"/>
      <c r="Q269" s="195"/>
      <c r="S269" s="200"/>
      <c r="T269" s="200"/>
      <c r="U269" s="152"/>
      <c r="V269" s="152"/>
      <c r="W269" s="157"/>
    </row>
    <row r="270" ht="15.75" customHeight="1">
      <c r="B270" s="199"/>
      <c r="N270" s="152"/>
      <c r="Q270" s="195"/>
      <c r="S270" s="200"/>
      <c r="T270" s="200"/>
      <c r="U270" s="152"/>
      <c r="V270" s="152"/>
      <c r="W270" s="157"/>
    </row>
    <row r="271" ht="15.75" customHeight="1">
      <c r="B271" s="199"/>
      <c r="N271" s="152"/>
      <c r="Q271" s="195"/>
      <c r="S271" s="200"/>
      <c r="T271" s="200"/>
      <c r="U271" s="152"/>
      <c r="V271" s="152"/>
      <c r="W271" s="157"/>
    </row>
    <row r="272" ht="15.75" customHeight="1">
      <c r="B272" s="199"/>
      <c r="N272" s="152"/>
      <c r="Q272" s="195"/>
      <c r="S272" s="200"/>
      <c r="T272" s="200"/>
      <c r="U272" s="152"/>
      <c r="V272" s="152"/>
      <c r="W272" s="157"/>
    </row>
    <row r="273" ht="15.75" customHeight="1">
      <c r="B273" s="199"/>
      <c r="N273" s="152"/>
      <c r="Q273" s="195"/>
      <c r="S273" s="200"/>
      <c r="T273" s="200"/>
      <c r="U273" s="152"/>
      <c r="V273" s="152"/>
      <c r="W273" s="157"/>
    </row>
    <row r="274" ht="15.75" customHeight="1">
      <c r="B274" s="199"/>
      <c r="N274" s="152"/>
      <c r="Q274" s="195"/>
      <c r="S274" s="200"/>
      <c r="T274" s="200"/>
      <c r="U274" s="152"/>
      <c r="V274" s="152"/>
      <c r="W274" s="157"/>
    </row>
    <row r="275" ht="15.75" customHeight="1">
      <c r="B275" s="199"/>
      <c r="N275" s="152"/>
      <c r="Q275" s="195"/>
      <c r="S275" s="200"/>
      <c r="T275" s="200"/>
      <c r="U275" s="152"/>
      <c r="V275" s="152"/>
      <c r="W275" s="157"/>
    </row>
    <row r="276" ht="15.75" customHeight="1">
      <c r="B276" s="199"/>
      <c r="N276" s="152"/>
      <c r="Q276" s="195"/>
      <c r="S276" s="200"/>
      <c r="T276" s="200"/>
      <c r="U276" s="152"/>
      <c r="V276" s="152"/>
      <c r="W276" s="157"/>
    </row>
    <row r="277" ht="15.75" customHeight="1">
      <c r="B277" s="199"/>
      <c r="N277" s="152"/>
      <c r="Q277" s="195"/>
      <c r="S277" s="200"/>
      <c r="T277" s="200"/>
      <c r="U277" s="152"/>
      <c r="V277" s="152"/>
      <c r="W277" s="157"/>
    </row>
    <row r="278" ht="15.75" customHeight="1">
      <c r="B278" s="199"/>
      <c r="N278" s="152"/>
      <c r="Q278" s="195"/>
      <c r="S278" s="200"/>
      <c r="T278" s="200"/>
      <c r="U278" s="152"/>
      <c r="V278" s="152"/>
      <c r="W278" s="157"/>
    </row>
    <row r="279" ht="15.75" customHeight="1">
      <c r="B279" s="199"/>
      <c r="N279" s="152"/>
      <c r="Q279" s="195"/>
      <c r="S279" s="200"/>
      <c r="T279" s="200"/>
      <c r="U279" s="152"/>
      <c r="V279" s="152"/>
      <c r="W279" s="157"/>
    </row>
    <row r="280" ht="15.75" customHeight="1">
      <c r="B280" s="199"/>
      <c r="N280" s="152"/>
      <c r="Q280" s="195"/>
      <c r="S280" s="200"/>
      <c r="T280" s="200"/>
      <c r="U280" s="152"/>
      <c r="V280" s="152"/>
      <c r="W280" s="157"/>
    </row>
    <row r="281" ht="15.75" customHeight="1">
      <c r="B281" s="199"/>
      <c r="N281" s="152"/>
      <c r="Q281" s="195"/>
      <c r="S281" s="200"/>
      <c r="T281" s="200"/>
      <c r="U281" s="152"/>
      <c r="V281" s="152"/>
      <c r="W281" s="157"/>
    </row>
    <row r="282" ht="15.75" customHeight="1">
      <c r="B282" s="199"/>
      <c r="N282" s="152"/>
      <c r="Q282" s="195"/>
      <c r="S282" s="200"/>
      <c r="T282" s="200"/>
      <c r="U282" s="152"/>
      <c r="V282" s="152"/>
      <c r="W282" s="157"/>
    </row>
    <row r="283" ht="15.75" customHeight="1">
      <c r="B283" s="199"/>
      <c r="N283" s="152"/>
      <c r="Q283" s="195"/>
      <c r="S283" s="200"/>
      <c r="T283" s="200"/>
      <c r="U283" s="152"/>
      <c r="V283" s="152"/>
      <c r="W283" s="157"/>
    </row>
    <row r="284" ht="15.75" customHeight="1">
      <c r="B284" s="199"/>
      <c r="N284" s="152"/>
      <c r="Q284" s="195"/>
      <c r="S284" s="200"/>
      <c r="T284" s="200"/>
      <c r="U284" s="152"/>
      <c r="V284" s="152"/>
      <c r="W284" s="157"/>
    </row>
    <row r="285" ht="15.75" customHeight="1">
      <c r="B285" s="199"/>
      <c r="N285" s="152"/>
      <c r="Q285" s="195"/>
      <c r="S285" s="200"/>
      <c r="T285" s="200"/>
      <c r="U285" s="152"/>
      <c r="V285" s="152"/>
      <c r="W285" s="157"/>
    </row>
    <row r="286" ht="15.75" customHeight="1">
      <c r="B286" s="199"/>
      <c r="N286" s="152"/>
      <c r="Q286" s="195"/>
      <c r="S286" s="200"/>
      <c r="T286" s="200"/>
      <c r="U286" s="152"/>
      <c r="V286" s="152"/>
      <c r="W286" s="157"/>
    </row>
    <row r="287" ht="15.75" customHeight="1">
      <c r="B287" s="199"/>
      <c r="N287" s="152"/>
      <c r="Q287" s="195"/>
      <c r="S287" s="200"/>
      <c r="T287" s="200"/>
      <c r="U287" s="152"/>
      <c r="V287" s="152"/>
      <c r="W287" s="157"/>
    </row>
    <row r="288" ht="15.75" customHeight="1">
      <c r="B288" s="199"/>
      <c r="N288" s="152"/>
      <c r="Q288" s="195"/>
      <c r="S288" s="200"/>
      <c r="T288" s="200"/>
      <c r="U288" s="152"/>
      <c r="V288" s="152"/>
      <c r="W288" s="157"/>
    </row>
    <row r="289" ht="15.75" customHeight="1">
      <c r="B289" s="199"/>
      <c r="N289" s="152"/>
      <c r="Q289" s="195"/>
      <c r="S289" s="200"/>
      <c r="T289" s="200"/>
      <c r="U289" s="152"/>
      <c r="V289" s="152"/>
      <c r="W289" s="157"/>
    </row>
    <row r="290" ht="15.75" customHeight="1">
      <c r="B290" s="199"/>
      <c r="N290" s="152"/>
      <c r="Q290" s="195"/>
      <c r="S290" s="200"/>
      <c r="T290" s="200"/>
      <c r="U290" s="152"/>
      <c r="V290" s="152"/>
      <c r="W290" s="157"/>
    </row>
    <row r="291" ht="15.75" customHeight="1">
      <c r="B291" s="199"/>
      <c r="N291" s="152"/>
      <c r="Q291" s="195"/>
      <c r="S291" s="200"/>
      <c r="T291" s="200"/>
      <c r="U291" s="152"/>
      <c r="V291" s="152"/>
      <c r="W291" s="157"/>
    </row>
    <row r="292" ht="15.75" customHeight="1">
      <c r="B292" s="199"/>
      <c r="N292" s="152"/>
      <c r="Q292" s="195"/>
      <c r="S292" s="200"/>
      <c r="T292" s="200"/>
      <c r="U292" s="152"/>
      <c r="V292" s="152"/>
      <c r="W292" s="157"/>
    </row>
    <row r="293" ht="15.75" customHeight="1">
      <c r="B293" s="199"/>
      <c r="N293" s="152"/>
      <c r="Q293" s="195"/>
      <c r="S293" s="200"/>
      <c r="T293" s="200"/>
      <c r="U293" s="152"/>
      <c r="V293" s="152"/>
      <c r="W293" s="157"/>
    </row>
    <row r="294" ht="15.75" customHeight="1">
      <c r="B294" s="199"/>
      <c r="N294" s="152"/>
      <c r="Q294" s="195"/>
      <c r="S294" s="200"/>
      <c r="T294" s="200"/>
      <c r="U294" s="152"/>
      <c r="V294" s="152"/>
      <c r="W294" s="157"/>
    </row>
    <row r="295" ht="15.75" customHeight="1">
      <c r="B295" s="199"/>
      <c r="N295" s="152"/>
      <c r="Q295" s="195"/>
      <c r="S295" s="200"/>
      <c r="T295" s="200"/>
      <c r="U295" s="152"/>
      <c r="V295" s="152"/>
      <c r="W295" s="157"/>
    </row>
    <row r="296" ht="15.75" customHeight="1">
      <c r="B296" s="199"/>
      <c r="N296" s="152"/>
      <c r="Q296" s="195"/>
      <c r="S296" s="200"/>
      <c r="T296" s="200"/>
      <c r="U296" s="152"/>
      <c r="V296" s="152"/>
      <c r="W296" s="157"/>
    </row>
    <row r="297" ht="15.75" customHeight="1">
      <c r="B297" s="199"/>
      <c r="N297" s="152"/>
      <c r="Q297" s="195"/>
      <c r="S297" s="200"/>
      <c r="T297" s="200"/>
      <c r="U297" s="152"/>
      <c r="V297" s="152"/>
      <c r="W297" s="157"/>
    </row>
    <row r="298" ht="15.75" customHeight="1">
      <c r="B298" s="199"/>
      <c r="N298" s="152"/>
      <c r="Q298" s="195"/>
      <c r="S298" s="200"/>
      <c r="T298" s="200"/>
      <c r="U298" s="152"/>
      <c r="V298" s="152"/>
      <c r="W298" s="157"/>
    </row>
    <row r="299" ht="15.75" customHeight="1">
      <c r="B299" s="199"/>
      <c r="N299" s="152"/>
      <c r="Q299" s="195"/>
      <c r="S299" s="200"/>
      <c r="T299" s="200"/>
      <c r="U299" s="152"/>
      <c r="V299" s="152"/>
      <c r="W299" s="157"/>
    </row>
    <row r="300" ht="15.75" customHeight="1">
      <c r="B300" s="199"/>
      <c r="N300" s="152"/>
      <c r="Q300" s="195"/>
      <c r="S300" s="200"/>
      <c r="T300" s="200"/>
      <c r="U300" s="152"/>
      <c r="V300" s="152"/>
      <c r="W300" s="157"/>
    </row>
    <row r="301" ht="15.75" customHeight="1">
      <c r="B301" s="199"/>
      <c r="N301" s="152"/>
      <c r="Q301" s="195"/>
      <c r="S301" s="200"/>
      <c r="T301" s="200"/>
      <c r="U301" s="152"/>
      <c r="V301" s="152"/>
      <c r="W301" s="157"/>
    </row>
    <row r="302" ht="15.75" customHeight="1">
      <c r="B302" s="199"/>
      <c r="N302" s="152"/>
      <c r="Q302" s="195"/>
      <c r="S302" s="200"/>
      <c r="T302" s="200"/>
      <c r="U302" s="152"/>
      <c r="V302" s="152"/>
      <c r="W302" s="157"/>
    </row>
    <row r="303" ht="15.75" customHeight="1">
      <c r="B303" s="199"/>
      <c r="N303" s="152"/>
      <c r="Q303" s="195"/>
      <c r="S303" s="200"/>
      <c r="T303" s="200"/>
      <c r="U303" s="152"/>
      <c r="V303" s="152"/>
      <c r="W303" s="157"/>
    </row>
    <row r="304" ht="15.75" customHeight="1">
      <c r="B304" s="199"/>
      <c r="N304" s="152"/>
      <c r="Q304" s="195"/>
      <c r="S304" s="200"/>
      <c r="T304" s="200"/>
      <c r="U304" s="152"/>
      <c r="V304" s="152"/>
      <c r="W304" s="157"/>
    </row>
    <row r="305" ht="15.75" customHeight="1">
      <c r="B305" s="199"/>
      <c r="N305" s="152"/>
      <c r="Q305" s="195"/>
      <c r="S305" s="200"/>
      <c r="T305" s="200"/>
      <c r="U305" s="152"/>
      <c r="V305" s="152"/>
      <c r="W305" s="157"/>
    </row>
    <row r="306" ht="15.75" customHeight="1">
      <c r="B306" s="199"/>
      <c r="N306" s="152"/>
      <c r="Q306" s="195"/>
      <c r="S306" s="200"/>
      <c r="T306" s="200"/>
      <c r="U306" s="152"/>
      <c r="V306" s="152"/>
      <c r="W306" s="157"/>
    </row>
    <row r="307" ht="15.75" customHeight="1">
      <c r="B307" s="199"/>
      <c r="N307" s="152"/>
      <c r="Q307" s="195"/>
      <c r="S307" s="200"/>
      <c r="T307" s="200"/>
      <c r="U307" s="152"/>
      <c r="V307" s="152"/>
      <c r="W307" s="157"/>
    </row>
    <row r="308" ht="15.75" customHeight="1">
      <c r="B308" s="199"/>
      <c r="N308" s="152"/>
      <c r="Q308" s="195"/>
      <c r="S308" s="200"/>
      <c r="T308" s="200"/>
      <c r="U308" s="152"/>
      <c r="V308" s="152"/>
      <c r="W308" s="157"/>
    </row>
    <row r="309" ht="15.75" customHeight="1">
      <c r="B309" s="199"/>
      <c r="N309" s="152"/>
      <c r="Q309" s="195"/>
      <c r="S309" s="200"/>
      <c r="T309" s="200"/>
      <c r="U309" s="152"/>
      <c r="V309" s="152"/>
      <c r="W309" s="157"/>
    </row>
    <row r="310" ht="15.75" customHeight="1">
      <c r="B310" s="199"/>
      <c r="N310" s="152"/>
      <c r="Q310" s="195"/>
      <c r="S310" s="200"/>
      <c r="T310" s="200"/>
      <c r="U310" s="152"/>
      <c r="V310" s="152"/>
      <c r="W310" s="157"/>
    </row>
    <row r="311" ht="15.75" customHeight="1">
      <c r="B311" s="199"/>
      <c r="N311" s="152"/>
      <c r="Q311" s="195"/>
      <c r="S311" s="200"/>
      <c r="T311" s="200"/>
      <c r="U311" s="152"/>
      <c r="V311" s="152"/>
      <c r="W311" s="157"/>
    </row>
    <row r="312" ht="15.75" customHeight="1">
      <c r="B312" s="199"/>
      <c r="N312" s="152"/>
      <c r="Q312" s="195"/>
      <c r="S312" s="200"/>
      <c r="T312" s="200"/>
      <c r="U312" s="152"/>
      <c r="V312" s="152"/>
      <c r="W312" s="157"/>
    </row>
    <row r="313" ht="15.75" customHeight="1">
      <c r="B313" s="199"/>
      <c r="N313" s="152"/>
      <c r="Q313" s="195"/>
      <c r="S313" s="200"/>
      <c r="T313" s="200"/>
      <c r="U313" s="152"/>
      <c r="V313" s="152"/>
      <c r="W313" s="157"/>
    </row>
    <row r="314" ht="15.75" customHeight="1">
      <c r="B314" s="199"/>
      <c r="N314" s="152"/>
      <c r="Q314" s="195"/>
      <c r="S314" s="200"/>
      <c r="T314" s="200"/>
      <c r="U314" s="152"/>
      <c r="V314" s="152"/>
      <c r="W314" s="157"/>
    </row>
    <row r="315" ht="15.75" customHeight="1">
      <c r="B315" s="199"/>
      <c r="N315" s="152"/>
      <c r="Q315" s="195"/>
      <c r="S315" s="200"/>
      <c r="T315" s="200"/>
      <c r="U315" s="152"/>
      <c r="V315" s="152"/>
      <c r="W315" s="157"/>
    </row>
    <row r="316" ht="15.75" customHeight="1">
      <c r="B316" s="199"/>
      <c r="N316" s="152"/>
      <c r="Q316" s="195"/>
      <c r="S316" s="200"/>
      <c r="T316" s="200"/>
      <c r="U316" s="152"/>
      <c r="V316" s="152"/>
      <c r="W316" s="157"/>
    </row>
    <row r="317" ht="15.75" customHeight="1">
      <c r="B317" s="199"/>
      <c r="N317" s="152"/>
      <c r="Q317" s="195"/>
      <c r="S317" s="200"/>
      <c r="T317" s="200"/>
      <c r="U317" s="152"/>
      <c r="V317" s="152"/>
      <c r="W317" s="157"/>
    </row>
    <row r="318" ht="15.75" customHeight="1">
      <c r="B318" s="199"/>
      <c r="N318" s="152"/>
      <c r="Q318" s="195"/>
      <c r="S318" s="200"/>
      <c r="T318" s="200"/>
      <c r="U318" s="152"/>
      <c r="V318" s="152"/>
      <c r="W318" s="157"/>
    </row>
    <row r="319" ht="15.75" customHeight="1">
      <c r="B319" s="199"/>
      <c r="N319" s="152"/>
      <c r="Q319" s="195"/>
      <c r="S319" s="200"/>
      <c r="T319" s="200"/>
      <c r="U319" s="152"/>
      <c r="V319" s="152"/>
      <c r="W319" s="157"/>
    </row>
    <row r="320" ht="15.75" customHeight="1">
      <c r="B320" s="199"/>
      <c r="N320" s="152"/>
      <c r="Q320" s="195"/>
      <c r="S320" s="200"/>
      <c r="T320" s="200"/>
      <c r="U320" s="152"/>
      <c r="V320" s="152"/>
      <c r="W320" s="157"/>
    </row>
    <row r="321" ht="15.75" customHeight="1">
      <c r="B321" s="199"/>
      <c r="N321" s="152"/>
      <c r="Q321" s="195"/>
      <c r="S321" s="200"/>
      <c r="T321" s="200"/>
      <c r="U321" s="152"/>
      <c r="V321" s="152"/>
      <c r="W321" s="157"/>
    </row>
    <row r="322" ht="15.75" customHeight="1">
      <c r="B322" s="199"/>
      <c r="N322" s="152"/>
      <c r="Q322" s="195"/>
      <c r="S322" s="200"/>
      <c r="T322" s="200"/>
      <c r="U322" s="152"/>
      <c r="V322" s="152"/>
      <c r="W322" s="157"/>
    </row>
    <row r="323" ht="15.75" customHeight="1">
      <c r="B323" s="199"/>
      <c r="N323" s="152"/>
      <c r="Q323" s="195"/>
      <c r="S323" s="200"/>
      <c r="T323" s="200"/>
      <c r="U323" s="152"/>
      <c r="V323" s="152"/>
      <c r="W323" s="157"/>
    </row>
    <row r="324" ht="15.75" customHeight="1">
      <c r="B324" s="199"/>
      <c r="N324" s="152"/>
      <c r="Q324" s="195"/>
      <c r="S324" s="200"/>
      <c r="T324" s="200"/>
      <c r="U324" s="152"/>
      <c r="V324" s="152"/>
      <c r="W324" s="157"/>
    </row>
    <row r="325" ht="15.75" customHeight="1">
      <c r="B325" s="199"/>
      <c r="N325" s="152"/>
      <c r="Q325" s="195"/>
      <c r="S325" s="200"/>
      <c r="T325" s="200"/>
      <c r="U325" s="152"/>
      <c r="V325" s="152"/>
      <c r="W325" s="157"/>
    </row>
    <row r="326" ht="15.75" customHeight="1">
      <c r="B326" s="199"/>
      <c r="N326" s="152"/>
      <c r="Q326" s="195"/>
      <c r="S326" s="200"/>
      <c r="T326" s="200"/>
      <c r="U326" s="152"/>
      <c r="V326" s="152"/>
      <c r="W326" s="157"/>
    </row>
    <row r="327" ht="15.75" customHeight="1">
      <c r="B327" s="199"/>
      <c r="N327" s="152"/>
      <c r="Q327" s="195"/>
      <c r="S327" s="200"/>
      <c r="T327" s="200"/>
      <c r="U327" s="152"/>
      <c r="V327" s="152"/>
      <c r="W327" s="157"/>
    </row>
    <row r="328" ht="15.75" customHeight="1">
      <c r="B328" s="199"/>
      <c r="N328" s="152"/>
      <c r="Q328" s="195"/>
      <c r="S328" s="200"/>
      <c r="T328" s="200"/>
      <c r="U328" s="152"/>
      <c r="V328" s="152"/>
      <c r="W328" s="157"/>
    </row>
    <row r="329" ht="15.75" customHeight="1">
      <c r="B329" s="199"/>
      <c r="N329" s="152"/>
      <c r="Q329" s="195"/>
      <c r="S329" s="200"/>
      <c r="T329" s="200"/>
      <c r="U329" s="152"/>
      <c r="V329" s="152"/>
      <c r="W329" s="157"/>
    </row>
    <row r="330" ht="15.75" customHeight="1">
      <c r="B330" s="199"/>
      <c r="N330" s="152"/>
      <c r="Q330" s="195"/>
      <c r="S330" s="200"/>
      <c r="T330" s="200"/>
      <c r="U330" s="152"/>
      <c r="V330" s="152"/>
      <c r="W330" s="157"/>
    </row>
    <row r="331" ht="15.75" customHeight="1">
      <c r="B331" s="199"/>
      <c r="N331" s="152"/>
      <c r="Q331" s="195"/>
      <c r="S331" s="200"/>
      <c r="T331" s="200"/>
      <c r="U331" s="152"/>
      <c r="V331" s="152"/>
      <c r="W331" s="157"/>
    </row>
    <row r="332" ht="15.75" customHeight="1">
      <c r="B332" s="199"/>
      <c r="N332" s="152"/>
      <c r="Q332" s="195"/>
      <c r="S332" s="200"/>
      <c r="T332" s="200"/>
      <c r="U332" s="152"/>
      <c r="V332" s="152"/>
      <c r="W332" s="157"/>
    </row>
    <row r="333" ht="15.75" customHeight="1">
      <c r="B333" s="199"/>
      <c r="N333" s="152"/>
      <c r="Q333" s="195"/>
      <c r="S333" s="200"/>
      <c r="T333" s="200"/>
      <c r="U333" s="152"/>
      <c r="V333" s="152"/>
      <c r="W333" s="157"/>
    </row>
    <row r="334" ht="15.75" customHeight="1">
      <c r="B334" s="199"/>
      <c r="N334" s="152"/>
      <c r="Q334" s="195"/>
      <c r="S334" s="200"/>
      <c r="T334" s="200"/>
      <c r="U334" s="152"/>
      <c r="V334" s="152"/>
      <c r="W334" s="157"/>
    </row>
    <row r="335" ht="15.75" customHeight="1">
      <c r="B335" s="199"/>
      <c r="N335" s="152"/>
      <c r="Q335" s="195"/>
      <c r="S335" s="200"/>
      <c r="T335" s="200"/>
      <c r="U335" s="152"/>
      <c r="V335" s="152"/>
      <c r="W335" s="157"/>
    </row>
    <row r="336" ht="15.75" customHeight="1">
      <c r="B336" s="199"/>
      <c r="N336" s="152"/>
      <c r="Q336" s="195"/>
      <c r="S336" s="200"/>
      <c r="T336" s="200"/>
      <c r="U336" s="152"/>
      <c r="V336" s="152"/>
      <c r="W336" s="157"/>
    </row>
    <row r="337" ht="15.75" customHeight="1">
      <c r="B337" s="199"/>
      <c r="N337" s="152"/>
      <c r="Q337" s="195"/>
      <c r="S337" s="200"/>
      <c r="T337" s="200"/>
      <c r="U337" s="152"/>
      <c r="V337" s="152"/>
      <c r="W337" s="157"/>
    </row>
    <row r="338" ht="15.75" customHeight="1">
      <c r="B338" s="199"/>
      <c r="N338" s="152"/>
      <c r="Q338" s="195"/>
      <c r="S338" s="200"/>
      <c r="T338" s="200"/>
      <c r="U338" s="152"/>
      <c r="V338" s="152"/>
      <c r="W338" s="157"/>
    </row>
    <row r="339" ht="15.75" customHeight="1">
      <c r="B339" s="199"/>
      <c r="N339" s="152"/>
      <c r="Q339" s="195"/>
      <c r="S339" s="200"/>
      <c r="T339" s="200"/>
      <c r="U339" s="152"/>
      <c r="V339" s="152"/>
      <c r="W339" s="157"/>
    </row>
    <row r="340" ht="15.75" customHeight="1">
      <c r="B340" s="199"/>
      <c r="N340" s="152"/>
      <c r="Q340" s="195"/>
      <c r="S340" s="200"/>
      <c r="T340" s="200"/>
      <c r="U340" s="152"/>
      <c r="V340" s="152"/>
      <c r="W340" s="157"/>
    </row>
    <row r="341" ht="15.75" customHeight="1">
      <c r="B341" s="199"/>
      <c r="N341" s="152"/>
      <c r="Q341" s="195"/>
      <c r="S341" s="200"/>
      <c r="T341" s="200"/>
      <c r="U341" s="152"/>
      <c r="V341" s="152"/>
      <c r="W341" s="157"/>
    </row>
    <row r="342" ht="15.75" customHeight="1">
      <c r="B342" s="199"/>
      <c r="N342" s="152"/>
      <c r="Q342" s="195"/>
      <c r="S342" s="200"/>
      <c r="T342" s="200"/>
      <c r="U342" s="152"/>
      <c r="V342" s="152"/>
      <c r="W342" s="157"/>
    </row>
    <row r="343" ht="15.75" customHeight="1">
      <c r="B343" s="199"/>
      <c r="N343" s="152"/>
      <c r="Q343" s="195"/>
      <c r="S343" s="200"/>
      <c r="T343" s="200"/>
      <c r="U343" s="152"/>
      <c r="V343" s="152"/>
      <c r="W343" s="157"/>
    </row>
    <row r="344" ht="15.75" customHeight="1">
      <c r="B344" s="199"/>
      <c r="N344" s="152"/>
      <c r="Q344" s="195"/>
      <c r="S344" s="200"/>
      <c r="T344" s="200"/>
      <c r="U344" s="152"/>
      <c r="V344" s="152"/>
      <c r="W344" s="157"/>
    </row>
    <row r="345" ht="15.75" customHeight="1">
      <c r="B345" s="199"/>
      <c r="N345" s="152"/>
      <c r="Q345" s="195"/>
      <c r="S345" s="200"/>
      <c r="T345" s="200"/>
      <c r="U345" s="152"/>
      <c r="V345" s="152"/>
      <c r="W345" s="157"/>
    </row>
    <row r="346" ht="15.75" customHeight="1">
      <c r="B346" s="199"/>
      <c r="N346" s="152"/>
      <c r="Q346" s="195"/>
      <c r="S346" s="200"/>
      <c r="T346" s="200"/>
      <c r="U346" s="152"/>
      <c r="V346" s="152"/>
      <c r="W346" s="157"/>
    </row>
    <row r="347" ht="15.75" customHeight="1">
      <c r="B347" s="199"/>
      <c r="N347" s="152"/>
      <c r="Q347" s="195"/>
      <c r="S347" s="200"/>
      <c r="T347" s="200"/>
      <c r="U347" s="152"/>
      <c r="V347" s="152"/>
      <c r="W347" s="157"/>
    </row>
    <row r="348" ht="15.75" customHeight="1">
      <c r="B348" s="199"/>
      <c r="N348" s="152"/>
      <c r="Q348" s="195"/>
      <c r="S348" s="200"/>
      <c r="T348" s="200"/>
      <c r="U348" s="152"/>
      <c r="V348" s="152"/>
      <c r="W348" s="157"/>
    </row>
    <row r="349" ht="15.75" customHeight="1">
      <c r="B349" s="199"/>
      <c r="N349" s="152"/>
      <c r="Q349" s="195"/>
      <c r="S349" s="200"/>
      <c r="T349" s="200"/>
      <c r="U349" s="152"/>
      <c r="V349" s="152"/>
      <c r="W349" s="157"/>
    </row>
    <row r="350" ht="15.75" customHeight="1">
      <c r="B350" s="199"/>
      <c r="N350" s="152"/>
      <c r="Q350" s="195"/>
      <c r="S350" s="200"/>
      <c r="T350" s="200"/>
      <c r="U350" s="152"/>
      <c r="V350" s="152"/>
      <c r="W350" s="157"/>
    </row>
    <row r="351" ht="15.75" customHeight="1">
      <c r="B351" s="199"/>
      <c r="N351" s="152"/>
      <c r="Q351" s="195"/>
      <c r="S351" s="200"/>
      <c r="T351" s="200"/>
      <c r="U351" s="152"/>
      <c r="V351" s="152"/>
      <c r="W351" s="157"/>
    </row>
    <row r="352" ht="15.75" customHeight="1">
      <c r="B352" s="199"/>
      <c r="N352" s="152"/>
      <c r="Q352" s="195"/>
      <c r="S352" s="200"/>
      <c r="T352" s="200"/>
      <c r="U352" s="152"/>
      <c r="V352" s="152"/>
      <c r="W352" s="157"/>
    </row>
    <row r="353" ht="15.75" customHeight="1">
      <c r="B353" s="199"/>
      <c r="N353" s="152"/>
      <c r="Q353" s="195"/>
      <c r="S353" s="200"/>
      <c r="T353" s="200"/>
      <c r="U353" s="152"/>
      <c r="V353" s="152"/>
      <c r="W353" s="157"/>
    </row>
    <row r="354" ht="15.75" customHeight="1">
      <c r="B354" s="199"/>
      <c r="N354" s="152"/>
      <c r="Q354" s="195"/>
      <c r="S354" s="200"/>
      <c r="T354" s="200"/>
      <c r="U354" s="152"/>
      <c r="V354" s="152"/>
      <c r="W354" s="157"/>
    </row>
    <row r="355" ht="15.75" customHeight="1">
      <c r="B355" s="199"/>
      <c r="N355" s="152"/>
      <c r="Q355" s="195"/>
      <c r="S355" s="200"/>
      <c r="T355" s="200"/>
      <c r="U355" s="152"/>
      <c r="V355" s="152"/>
      <c r="W355" s="157"/>
    </row>
    <row r="356" ht="15.75" customHeight="1">
      <c r="B356" s="199"/>
      <c r="N356" s="152"/>
      <c r="Q356" s="195"/>
      <c r="S356" s="200"/>
      <c r="T356" s="200"/>
      <c r="U356" s="152"/>
      <c r="V356" s="152"/>
      <c r="W356" s="157"/>
    </row>
    <row r="357" ht="15.75" customHeight="1">
      <c r="B357" s="199"/>
      <c r="N357" s="152"/>
      <c r="Q357" s="195"/>
      <c r="S357" s="200"/>
      <c r="T357" s="200"/>
      <c r="U357" s="152"/>
      <c r="V357" s="152"/>
      <c r="W357" s="157"/>
    </row>
    <row r="358" ht="15.75" customHeight="1">
      <c r="B358" s="199"/>
      <c r="N358" s="152"/>
      <c r="Q358" s="195"/>
      <c r="S358" s="200"/>
      <c r="T358" s="200"/>
      <c r="U358" s="152"/>
      <c r="V358" s="152"/>
      <c r="W358" s="157"/>
    </row>
    <row r="359" ht="15.75" customHeight="1">
      <c r="B359" s="199"/>
      <c r="N359" s="152"/>
      <c r="Q359" s="195"/>
      <c r="S359" s="200"/>
      <c r="T359" s="200"/>
      <c r="U359" s="152"/>
      <c r="V359" s="152"/>
      <c r="W359" s="157"/>
    </row>
    <row r="360" ht="15.75" customHeight="1">
      <c r="B360" s="199"/>
      <c r="N360" s="152"/>
      <c r="Q360" s="195"/>
      <c r="S360" s="200"/>
      <c r="T360" s="200"/>
      <c r="U360" s="152"/>
      <c r="V360" s="152"/>
      <c r="W360" s="157"/>
    </row>
    <row r="361" ht="15.75" customHeight="1">
      <c r="B361" s="199"/>
      <c r="N361" s="152"/>
      <c r="Q361" s="195"/>
      <c r="S361" s="200"/>
      <c r="T361" s="200"/>
      <c r="U361" s="152"/>
      <c r="V361" s="152"/>
      <c r="W361" s="157"/>
    </row>
    <row r="362" ht="15.75" customHeight="1">
      <c r="B362" s="199"/>
      <c r="N362" s="152"/>
      <c r="Q362" s="195"/>
      <c r="S362" s="200"/>
      <c r="T362" s="200"/>
      <c r="U362" s="152"/>
      <c r="V362" s="152"/>
      <c r="W362" s="157"/>
    </row>
    <row r="363" ht="15.75" customHeight="1">
      <c r="B363" s="199"/>
      <c r="N363" s="152"/>
      <c r="Q363" s="195"/>
      <c r="S363" s="200"/>
      <c r="T363" s="200"/>
      <c r="U363" s="152"/>
      <c r="V363" s="152"/>
      <c r="W363" s="157"/>
    </row>
    <row r="364" ht="15.75" customHeight="1">
      <c r="B364" s="199"/>
      <c r="N364" s="152"/>
      <c r="Q364" s="195"/>
      <c r="S364" s="200"/>
      <c r="T364" s="200"/>
      <c r="U364" s="152"/>
      <c r="V364" s="152"/>
      <c r="W364" s="157"/>
    </row>
    <row r="365" ht="15.75" customHeight="1">
      <c r="B365" s="199"/>
      <c r="N365" s="152"/>
      <c r="Q365" s="195"/>
      <c r="S365" s="200"/>
      <c r="T365" s="200"/>
      <c r="U365" s="152"/>
      <c r="V365" s="152"/>
      <c r="W365" s="157"/>
    </row>
    <row r="366" ht="15.75" customHeight="1">
      <c r="B366" s="199"/>
      <c r="N366" s="152"/>
      <c r="Q366" s="195"/>
      <c r="S366" s="200"/>
      <c r="T366" s="200"/>
      <c r="U366" s="152"/>
      <c r="V366" s="152"/>
      <c r="W366" s="157"/>
    </row>
    <row r="367" ht="15.75" customHeight="1">
      <c r="B367" s="199"/>
      <c r="N367" s="152"/>
      <c r="Q367" s="195"/>
      <c r="S367" s="200"/>
      <c r="T367" s="200"/>
      <c r="U367" s="152"/>
      <c r="V367" s="152"/>
      <c r="W367" s="157"/>
    </row>
    <row r="368" ht="15.75" customHeight="1">
      <c r="B368" s="199"/>
      <c r="N368" s="152"/>
      <c r="Q368" s="195"/>
      <c r="S368" s="200"/>
      <c r="T368" s="200"/>
      <c r="U368" s="152"/>
      <c r="V368" s="152"/>
      <c r="W368" s="157"/>
    </row>
    <row r="369" ht="15.75" customHeight="1">
      <c r="B369" s="199"/>
      <c r="N369" s="152"/>
      <c r="Q369" s="195"/>
      <c r="S369" s="200"/>
      <c r="T369" s="200"/>
      <c r="U369" s="152"/>
      <c r="V369" s="152"/>
      <c r="W369" s="157"/>
    </row>
    <row r="370" ht="15.75" customHeight="1">
      <c r="B370" s="199"/>
      <c r="N370" s="152"/>
      <c r="Q370" s="195"/>
      <c r="S370" s="200"/>
      <c r="T370" s="200"/>
      <c r="U370" s="152"/>
      <c r="V370" s="152"/>
      <c r="W370" s="157"/>
    </row>
    <row r="371" ht="15.75" customHeight="1">
      <c r="B371" s="199"/>
      <c r="N371" s="152"/>
      <c r="Q371" s="195"/>
      <c r="S371" s="200"/>
      <c r="T371" s="200"/>
      <c r="U371" s="152"/>
      <c r="V371" s="152"/>
      <c r="W371" s="157"/>
    </row>
    <row r="372" ht="15.75" customHeight="1">
      <c r="B372" s="199"/>
      <c r="N372" s="152"/>
      <c r="Q372" s="195"/>
      <c r="S372" s="200"/>
      <c r="T372" s="200"/>
      <c r="U372" s="152"/>
      <c r="V372" s="152"/>
      <c r="W372" s="157"/>
    </row>
    <row r="373" ht="15.75" customHeight="1">
      <c r="B373" s="199"/>
      <c r="N373" s="152"/>
      <c r="Q373" s="195"/>
      <c r="S373" s="200"/>
      <c r="T373" s="200"/>
      <c r="U373" s="152"/>
      <c r="V373" s="152"/>
      <c r="W373" s="157"/>
    </row>
    <row r="374" ht="15.75" customHeight="1">
      <c r="B374" s="199"/>
      <c r="N374" s="152"/>
      <c r="Q374" s="195"/>
      <c r="S374" s="200"/>
      <c r="T374" s="200"/>
      <c r="U374" s="152"/>
      <c r="V374" s="152"/>
      <c r="W374" s="157"/>
    </row>
    <row r="375" ht="15.75" customHeight="1">
      <c r="B375" s="199"/>
      <c r="N375" s="152"/>
      <c r="Q375" s="195"/>
      <c r="S375" s="200"/>
      <c r="T375" s="200"/>
      <c r="U375" s="152"/>
      <c r="V375" s="152"/>
      <c r="W375" s="157"/>
    </row>
    <row r="376" ht="15.75" customHeight="1">
      <c r="B376" s="199"/>
      <c r="N376" s="152"/>
      <c r="Q376" s="195"/>
      <c r="S376" s="200"/>
      <c r="T376" s="200"/>
      <c r="U376" s="152"/>
      <c r="V376" s="152"/>
      <c r="W376" s="157"/>
    </row>
    <row r="377" ht="15.75" customHeight="1">
      <c r="B377" s="199"/>
      <c r="N377" s="152"/>
      <c r="Q377" s="195"/>
      <c r="S377" s="200"/>
      <c r="T377" s="200"/>
      <c r="U377" s="152"/>
      <c r="V377" s="152"/>
      <c r="W377" s="157"/>
    </row>
    <row r="378" ht="15.75" customHeight="1">
      <c r="B378" s="199"/>
      <c r="N378" s="152"/>
      <c r="Q378" s="195"/>
      <c r="S378" s="200"/>
      <c r="T378" s="200"/>
      <c r="U378" s="152"/>
      <c r="V378" s="152"/>
      <c r="W378" s="157"/>
    </row>
    <row r="379" ht="15.75" customHeight="1">
      <c r="B379" s="199"/>
      <c r="N379" s="152"/>
      <c r="Q379" s="195"/>
      <c r="S379" s="200"/>
      <c r="T379" s="200"/>
      <c r="U379" s="152"/>
      <c r="V379" s="152"/>
      <c r="W379" s="157"/>
    </row>
    <row r="380" ht="15.75" customHeight="1">
      <c r="B380" s="199"/>
      <c r="N380" s="152"/>
      <c r="Q380" s="195"/>
      <c r="S380" s="200"/>
      <c r="T380" s="200"/>
      <c r="U380" s="152"/>
      <c r="V380" s="152"/>
      <c r="W380" s="157"/>
    </row>
    <row r="381" ht="15.75" customHeight="1">
      <c r="B381" s="199"/>
      <c r="N381" s="152"/>
      <c r="Q381" s="195"/>
      <c r="S381" s="200"/>
      <c r="T381" s="200"/>
      <c r="U381" s="152"/>
      <c r="V381" s="152"/>
      <c r="W381" s="157"/>
    </row>
    <row r="382" ht="15.75" customHeight="1">
      <c r="B382" s="199"/>
      <c r="N382" s="152"/>
      <c r="Q382" s="195"/>
      <c r="S382" s="200"/>
      <c r="T382" s="200"/>
      <c r="U382" s="152"/>
      <c r="V382" s="152"/>
      <c r="W382" s="157"/>
    </row>
    <row r="383" ht="15.75" customHeight="1">
      <c r="B383" s="199"/>
      <c r="N383" s="152"/>
      <c r="Q383" s="195"/>
      <c r="S383" s="200"/>
      <c r="T383" s="200"/>
      <c r="U383" s="152"/>
      <c r="V383" s="152"/>
      <c r="W383" s="157"/>
    </row>
    <row r="384" ht="15.75" customHeight="1">
      <c r="B384" s="199"/>
      <c r="N384" s="152"/>
      <c r="Q384" s="195"/>
      <c r="S384" s="200"/>
      <c r="T384" s="200"/>
      <c r="U384" s="152"/>
      <c r="V384" s="152"/>
      <c r="W384" s="157"/>
    </row>
    <row r="385" ht="15.75" customHeight="1">
      <c r="B385" s="199"/>
      <c r="N385" s="152"/>
      <c r="Q385" s="195"/>
      <c r="S385" s="200"/>
      <c r="T385" s="200"/>
      <c r="U385" s="152"/>
      <c r="V385" s="152"/>
      <c r="W385" s="157"/>
    </row>
    <row r="386" ht="15.75" customHeight="1">
      <c r="B386" s="199"/>
      <c r="N386" s="152"/>
      <c r="Q386" s="195"/>
      <c r="S386" s="200"/>
      <c r="T386" s="200"/>
      <c r="U386" s="152"/>
      <c r="V386" s="152"/>
      <c r="W386" s="157"/>
    </row>
    <row r="387" ht="15.75" customHeight="1">
      <c r="B387" s="199"/>
      <c r="N387" s="152"/>
      <c r="Q387" s="195"/>
      <c r="S387" s="200"/>
      <c r="T387" s="200"/>
      <c r="U387" s="152"/>
      <c r="V387" s="152"/>
      <c r="W387" s="157"/>
    </row>
    <row r="388" ht="15.75" customHeight="1">
      <c r="B388" s="199"/>
      <c r="N388" s="152"/>
      <c r="Q388" s="195"/>
      <c r="S388" s="200"/>
      <c r="T388" s="200"/>
      <c r="U388" s="152"/>
      <c r="V388" s="152"/>
      <c r="W388" s="157"/>
    </row>
    <row r="389" ht="15.75" customHeight="1">
      <c r="B389" s="199"/>
      <c r="N389" s="152"/>
      <c r="Q389" s="195"/>
      <c r="S389" s="200"/>
      <c r="T389" s="200"/>
      <c r="U389" s="152"/>
      <c r="V389" s="152"/>
      <c r="W389" s="157"/>
    </row>
    <row r="390" ht="15.75" customHeight="1">
      <c r="B390" s="199"/>
      <c r="N390" s="152"/>
      <c r="Q390" s="195"/>
      <c r="S390" s="200"/>
      <c r="T390" s="200"/>
      <c r="U390" s="152"/>
      <c r="V390" s="152"/>
      <c r="W390" s="157"/>
    </row>
    <row r="391" ht="15.75" customHeight="1">
      <c r="B391" s="199"/>
      <c r="N391" s="152"/>
      <c r="Q391" s="195"/>
      <c r="S391" s="200"/>
      <c r="T391" s="200"/>
      <c r="U391" s="152"/>
      <c r="V391" s="152"/>
      <c r="W391" s="157"/>
    </row>
    <row r="392" ht="15.75" customHeight="1">
      <c r="B392" s="199"/>
      <c r="N392" s="152"/>
      <c r="Q392" s="195"/>
      <c r="S392" s="200"/>
      <c r="T392" s="200"/>
      <c r="U392" s="152"/>
      <c r="V392" s="152"/>
      <c r="W392" s="157"/>
    </row>
    <row r="393" ht="15.75" customHeight="1">
      <c r="B393" s="199"/>
      <c r="N393" s="152"/>
      <c r="Q393" s="195"/>
      <c r="S393" s="200"/>
      <c r="T393" s="200"/>
      <c r="U393" s="152"/>
      <c r="V393" s="152"/>
      <c r="W393" s="157"/>
    </row>
    <row r="394" ht="15.75" customHeight="1">
      <c r="B394" s="199"/>
      <c r="N394" s="152"/>
      <c r="Q394" s="195"/>
      <c r="S394" s="200"/>
      <c r="T394" s="200"/>
      <c r="U394" s="152"/>
      <c r="V394" s="152"/>
      <c r="W394" s="157"/>
    </row>
    <row r="395" ht="15.75" customHeight="1">
      <c r="B395" s="199"/>
      <c r="N395" s="152"/>
      <c r="Q395" s="195"/>
      <c r="S395" s="200"/>
      <c r="T395" s="200"/>
      <c r="U395" s="152"/>
      <c r="V395" s="152"/>
      <c r="W395" s="157"/>
    </row>
    <row r="396" ht="15.75" customHeight="1">
      <c r="B396" s="199"/>
      <c r="N396" s="152"/>
      <c r="Q396" s="195"/>
      <c r="S396" s="200"/>
      <c r="T396" s="200"/>
      <c r="U396" s="152"/>
      <c r="V396" s="152"/>
      <c r="W396" s="157"/>
    </row>
    <row r="397" ht="15.75" customHeight="1">
      <c r="B397" s="199"/>
      <c r="N397" s="152"/>
      <c r="Q397" s="195"/>
      <c r="S397" s="200"/>
      <c r="T397" s="200"/>
      <c r="U397" s="152"/>
      <c r="V397" s="152"/>
      <c r="W397" s="157"/>
    </row>
    <row r="398" ht="15.75" customHeight="1">
      <c r="B398" s="199"/>
      <c r="N398" s="152"/>
      <c r="Q398" s="195"/>
      <c r="S398" s="200"/>
      <c r="T398" s="200"/>
      <c r="U398" s="152"/>
      <c r="V398" s="152"/>
      <c r="W398" s="157"/>
    </row>
    <row r="399" ht="15.75" customHeight="1">
      <c r="B399" s="199"/>
      <c r="N399" s="152"/>
      <c r="Q399" s="195"/>
      <c r="S399" s="200"/>
      <c r="T399" s="200"/>
      <c r="U399" s="152"/>
      <c r="V399" s="152"/>
      <c r="W399" s="157"/>
    </row>
    <row r="400" ht="15.75" customHeight="1">
      <c r="B400" s="199"/>
      <c r="N400" s="152"/>
      <c r="Q400" s="195"/>
      <c r="S400" s="200"/>
      <c r="T400" s="200"/>
      <c r="U400" s="152"/>
      <c r="V400" s="152"/>
      <c r="W400" s="157"/>
    </row>
    <row r="401" ht="15.75" customHeight="1">
      <c r="B401" s="199"/>
      <c r="N401" s="152"/>
      <c r="Q401" s="195"/>
      <c r="S401" s="200"/>
      <c r="T401" s="200"/>
      <c r="U401" s="152"/>
      <c r="V401" s="152"/>
      <c r="W401" s="157"/>
    </row>
    <row r="402" ht="15.75" customHeight="1">
      <c r="B402" s="199"/>
      <c r="N402" s="152"/>
      <c r="Q402" s="195"/>
      <c r="S402" s="200"/>
      <c r="T402" s="200"/>
      <c r="U402" s="152"/>
      <c r="V402" s="152"/>
      <c r="W402" s="157"/>
    </row>
    <row r="403" ht="15.75" customHeight="1">
      <c r="B403" s="199"/>
      <c r="N403" s="152"/>
      <c r="Q403" s="195"/>
      <c r="S403" s="200"/>
      <c r="T403" s="200"/>
      <c r="U403" s="152"/>
      <c r="V403" s="152"/>
      <c r="W403" s="157"/>
    </row>
    <row r="404" ht="15.75" customHeight="1">
      <c r="B404" s="199"/>
      <c r="N404" s="152"/>
      <c r="Q404" s="195"/>
      <c r="S404" s="200"/>
      <c r="T404" s="200"/>
      <c r="U404" s="152"/>
      <c r="V404" s="152"/>
      <c r="W404" s="157"/>
    </row>
    <row r="405" ht="15.75" customHeight="1">
      <c r="B405" s="199"/>
      <c r="N405" s="152"/>
      <c r="Q405" s="195"/>
      <c r="S405" s="200"/>
      <c r="T405" s="200"/>
      <c r="U405" s="152"/>
      <c r="V405" s="152"/>
      <c r="W405" s="157"/>
    </row>
    <row r="406" ht="15.75" customHeight="1">
      <c r="B406" s="199"/>
      <c r="N406" s="152"/>
      <c r="Q406" s="195"/>
      <c r="S406" s="200"/>
      <c r="T406" s="200"/>
      <c r="U406" s="152"/>
      <c r="V406" s="152"/>
      <c r="W406" s="157"/>
    </row>
    <row r="407" ht="15.75" customHeight="1">
      <c r="B407" s="199"/>
      <c r="N407" s="152"/>
      <c r="Q407" s="195"/>
      <c r="S407" s="200"/>
      <c r="T407" s="200"/>
      <c r="U407" s="152"/>
      <c r="V407" s="152"/>
      <c r="W407" s="157"/>
    </row>
    <row r="408" ht="15.75" customHeight="1">
      <c r="B408" s="199"/>
      <c r="N408" s="152"/>
      <c r="Q408" s="195"/>
      <c r="S408" s="200"/>
      <c r="T408" s="200"/>
      <c r="U408" s="152"/>
      <c r="V408" s="152"/>
      <c r="W408" s="157"/>
    </row>
    <row r="409" ht="15.75" customHeight="1">
      <c r="B409" s="199"/>
      <c r="N409" s="152"/>
      <c r="Q409" s="195"/>
      <c r="S409" s="200"/>
      <c r="T409" s="200"/>
      <c r="U409" s="152"/>
      <c r="V409" s="152"/>
      <c r="W409" s="157"/>
    </row>
    <row r="410" ht="15.75" customHeight="1">
      <c r="B410" s="199"/>
      <c r="N410" s="152"/>
      <c r="Q410" s="195"/>
      <c r="S410" s="200"/>
      <c r="T410" s="200"/>
      <c r="U410" s="152"/>
      <c r="V410" s="152"/>
      <c r="W410" s="157"/>
    </row>
    <row r="411" ht="15.75" customHeight="1">
      <c r="B411" s="199"/>
      <c r="N411" s="152"/>
      <c r="Q411" s="195"/>
      <c r="S411" s="200"/>
      <c r="T411" s="200"/>
      <c r="U411" s="152"/>
      <c r="V411" s="152"/>
      <c r="W411" s="157"/>
    </row>
    <row r="412" ht="15.75" customHeight="1">
      <c r="B412" s="199"/>
      <c r="N412" s="152"/>
      <c r="Q412" s="195"/>
      <c r="S412" s="200"/>
      <c r="T412" s="200"/>
      <c r="U412" s="152"/>
      <c r="V412" s="152"/>
      <c r="W412" s="157"/>
    </row>
    <row r="413" ht="15.75" customHeight="1">
      <c r="B413" s="199"/>
      <c r="N413" s="152"/>
      <c r="Q413" s="195"/>
      <c r="S413" s="200"/>
      <c r="T413" s="200"/>
      <c r="U413" s="152"/>
      <c r="V413" s="152"/>
      <c r="W413" s="157"/>
    </row>
    <row r="414" ht="15.75" customHeight="1">
      <c r="B414" s="199"/>
      <c r="N414" s="152"/>
      <c r="Q414" s="195"/>
      <c r="S414" s="200"/>
      <c r="T414" s="200"/>
      <c r="U414" s="152"/>
      <c r="V414" s="152"/>
      <c r="W414" s="157"/>
    </row>
    <row r="415" ht="15.75" customHeight="1">
      <c r="B415" s="199"/>
      <c r="N415" s="152"/>
      <c r="Q415" s="195"/>
      <c r="S415" s="200"/>
      <c r="T415" s="200"/>
      <c r="U415" s="152"/>
      <c r="V415" s="152"/>
      <c r="W415" s="157"/>
    </row>
    <row r="416" ht="15.75" customHeight="1">
      <c r="B416" s="199"/>
      <c r="N416" s="152"/>
      <c r="Q416" s="195"/>
      <c r="S416" s="200"/>
      <c r="T416" s="200"/>
      <c r="U416" s="152"/>
      <c r="V416" s="152"/>
      <c r="W416" s="157"/>
    </row>
    <row r="417" ht="15.75" customHeight="1">
      <c r="B417" s="199"/>
      <c r="N417" s="152"/>
      <c r="Q417" s="195"/>
      <c r="S417" s="200"/>
      <c r="T417" s="200"/>
      <c r="U417" s="152"/>
      <c r="V417" s="152"/>
      <c r="W417" s="157"/>
    </row>
    <row r="418" ht="15.75" customHeight="1">
      <c r="B418" s="199"/>
      <c r="N418" s="152"/>
      <c r="Q418" s="195"/>
      <c r="S418" s="200"/>
      <c r="T418" s="200"/>
      <c r="U418" s="152"/>
      <c r="V418" s="152"/>
      <c r="W418" s="157"/>
    </row>
    <row r="419" ht="15.75" customHeight="1">
      <c r="B419" s="199"/>
      <c r="N419" s="152"/>
      <c r="Q419" s="195"/>
      <c r="S419" s="200"/>
      <c r="T419" s="200"/>
      <c r="U419" s="152"/>
      <c r="V419" s="152"/>
      <c r="W419" s="157"/>
    </row>
    <row r="420" ht="15.75" customHeight="1">
      <c r="B420" s="199"/>
      <c r="N420" s="152"/>
      <c r="Q420" s="195"/>
      <c r="S420" s="200"/>
      <c r="T420" s="200"/>
      <c r="U420" s="152"/>
      <c r="V420" s="152"/>
      <c r="W420" s="157"/>
    </row>
    <row r="421" ht="15.75" customHeight="1">
      <c r="B421" s="199"/>
      <c r="N421" s="152"/>
      <c r="Q421" s="195"/>
      <c r="S421" s="200"/>
      <c r="T421" s="200"/>
      <c r="U421" s="152"/>
      <c r="V421" s="152"/>
      <c r="W421" s="157"/>
    </row>
    <row r="422" ht="15.75" customHeight="1">
      <c r="B422" s="199"/>
      <c r="N422" s="152"/>
      <c r="Q422" s="195"/>
      <c r="S422" s="200"/>
      <c r="T422" s="200"/>
      <c r="U422" s="152"/>
      <c r="V422" s="152"/>
      <c r="W422" s="157"/>
    </row>
    <row r="423" ht="15.75" customHeight="1">
      <c r="B423" s="199"/>
      <c r="N423" s="152"/>
      <c r="Q423" s="195"/>
      <c r="S423" s="200"/>
      <c r="T423" s="200"/>
      <c r="U423" s="152"/>
      <c r="V423" s="152"/>
      <c r="W423" s="157"/>
    </row>
    <row r="424" ht="15.75" customHeight="1">
      <c r="B424" s="199"/>
      <c r="N424" s="152"/>
      <c r="Q424" s="195"/>
      <c r="S424" s="200"/>
      <c r="T424" s="200"/>
      <c r="U424" s="152"/>
      <c r="V424" s="152"/>
      <c r="W424" s="157"/>
    </row>
    <row r="425" ht="15.75" customHeight="1">
      <c r="B425" s="199"/>
      <c r="N425" s="152"/>
      <c r="Q425" s="195"/>
      <c r="S425" s="200"/>
      <c r="T425" s="200"/>
      <c r="U425" s="152"/>
      <c r="V425" s="152"/>
      <c r="W425" s="157"/>
    </row>
    <row r="426" ht="15.75" customHeight="1">
      <c r="B426" s="199"/>
      <c r="N426" s="152"/>
      <c r="Q426" s="195"/>
      <c r="S426" s="200"/>
      <c r="T426" s="200"/>
      <c r="U426" s="152"/>
      <c r="V426" s="152"/>
      <c r="W426" s="157"/>
    </row>
    <row r="427" ht="15.75" customHeight="1">
      <c r="B427" s="199"/>
      <c r="N427" s="152"/>
      <c r="Q427" s="195"/>
      <c r="S427" s="200"/>
      <c r="T427" s="200"/>
      <c r="U427" s="152"/>
      <c r="V427" s="152"/>
      <c r="W427" s="157"/>
    </row>
    <row r="428" ht="15.75" customHeight="1">
      <c r="B428" s="199"/>
      <c r="N428" s="152"/>
      <c r="Q428" s="195"/>
      <c r="S428" s="200"/>
      <c r="T428" s="200"/>
      <c r="U428" s="152"/>
      <c r="V428" s="152"/>
      <c r="W428" s="157"/>
    </row>
    <row r="429" ht="15.75" customHeight="1">
      <c r="B429" s="199"/>
      <c r="N429" s="152"/>
      <c r="Q429" s="195"/>
      <c r="S429" s="200"/>
      <c r="T429" s="200"/>
      <c r="U429" s="152"/>
      <c r="V429" s="152"/>
      <c r="W429" s="157"/>
    </row>
    <row r="430" ht="15.75" customHeight="1">
      <c r="B430" s="199"/>
      <c r="N430" s="152"/>
      <c r="Q430" s="195"/>
      <c r="S430" s="200"/>
      <c r="T430" s="200"/>
      <c r="U430" s="152"/>
      <c r="V430" s="152"/>
      <c r="W430" s="157"/>
    </row>
    <row r="431" ht="15.75" customHeight="1">
      <c r="B431" s="199"/>
      <c r="N431" s="152"/>
      <c r="Q431" s="195"/>
      <c r="S431" s="200"/>
      <c r="T431" s="200"/>
      <c r="U431" s="152"/>
      <c r="V431" s="152"/>
      <c r="W431" s="157"/>
    </row>
    <row r="432" ht="15.75" customHeight="1">
      <c r="B432" s="199"/>
      <c r="N432" s="152"/>
      <c r="Q432" s="195"/>
      <c r="S432" s="200"/>
      <c r="T432" s="200"/>
      <c r="U432" s="152"/>
      <c r="V432" s="152"/>
      <c r="W432" s="157"/>
    </row>
    <row r="433" ht="15.75" customHeight="1">
      <c r="B433" s="199"/>
      <c r="N433" s="152"/>
      <c r="Q433" s="195"/>
      <c r="S433" s="200"/>
      <c r="T433" s="200"/>
      <c r="U433" s="152"/>
      <c r="V433" s="152"/>
      <c r="W433" s="157"/>
    </row>
    <row r="434" ht="15.75" customHeight="1">
      <c r="B434" s="199"/>
      <c r="N434" s="152"/>
      <c r="Q434" s="195"/>
      <c r="S434" s="200"/>
      <c r="T434" s="200"/>
      <c r="U434" s="152"/>
      <c r="V434" s="152"/>
      <c r="W434" s="157"/>
    </row>
    <row r="435" ht="15.75" customHeight="1">
      <c r="B435" s="199"/>
      <c r="N435" s="152"/>
      <c r="Q435" s="195"/>
      <c r="S435" s="200"/>
      <c r="T435" s="200"/>
      <c r="U435" s="152"/>
      <c r="V435" s="152"/>
      <c r="W435" s="157"/>
    </row>
    <row r="436" ht="15.75" customHeight="1">
      <c r="B436" s="199"/>
      <c r="N436" s="152"/>
      <c r="Q436" s="195"/>
      <c r="S436" s="200"/>
      <c r="T436" s="200"/>
      <c r="U436" s="152"/>
      <c r="V436" s="152"/>
      <c r="W436" s="157"/>
    </row>
    <row r="437" ht="15.75" customHeight="1">
      <c r="B437" s="199"/>
      <c r="N437" s="152"/>
      <c r="Q437" s="195"/>
      <c r="S437" s="200"/>
      <c r="T437" s="200"/>
      <c r="U437" s="152"/>
      <c r="V437" s="152"/>
      <c r="W437" s="157"/>
    </row>
    <row r="438" ht="15.75" customHeight="1">
      <c r="B438" s="199"/>
      <c r="N438" s="152"/>
      <c r="Q438" s="195"/>
      <c r="S438" s="200"/>
      <c r="T438" s="200"/>
      <c r="U438" s="152"/>
      <c r="V438" s="152"/>
      <c r="W438" s="157"/>
    </row>
    <row r="439" ht="15.75" customHeight="1">
      <c r="B439" s="199"/>
      <c r="N439" s="152"/>
      <c r="Q439" s="195"/>
      <c r="S439" s="200"/>
      <c r="T439" s="200"/>
      <c r="U439" s="152"/>
      <c r="V439" s="152"/>
      <c r="W439" s="157"/>
    </row>
    <row r="440" ht="15.75" customHeight="1">
      <c r="B440" s="199"/>
      <c r="N440" s="152"/>
      <c r="Q440" s="195"/>
      <c r="S440" s="200"/>
      <c r="T440" s="200"/>
      <c r="U440" s="152"/>
      <c r="V440" s="152"/>
      <c r="W440" s="157"/>
    </row>
    <row r="441" ht="15.75" customHeight="1">
      <c r="B441" s="199"/>
      <c r="N441" s="152"/>
      <c r="Q441" s="195"/>
      <c r="S441" s="200"/>
      <c r="T441" s="200"/>
      <c r="U441" s="152"/>
      <c r="V441" s="152"/>
      <c r="W441" s="157"/>
    </row>
    <row r="442" ht="15.75" customHeight="1">
      <c r="B442" s="199"/>
      <c r="N442" s="152"/>
      <c r="Q442" s="195"/>
      <c r="S442" s="200"/>
      <c r="T442" s="200"/>
      <c r="U442" s="152"/>
      <c r="V442" s="152"/>
      <c r="W442" s="157"/>
    </row>
    <row r="443" ht="15.75" customHeight="1">
      <c r="B443" s="199"/>
      <c r="N443" s="152"/>
      <c r="Q443" s="195"/>
      <c r="S443" s="200"/>
      <c r="T443" s="200"/>
      <c r="U443" s="152"/>
      <c r="V443" s="152"/>
      <c r="W443" s="157"/>
    </row>
    <row r="444" ht="15.75" customHeight="1">
      <c r="B444" s="199"/>
      <c r="N444" s="152"/>
      <c r="Q444" s="195"/>
      <c r="S444" s="200"/>
      <c r="T444" s="200"/>
      <c r="U444" s="152"/>
      <c r="V444" s="152"/>
      <c r="W444" s="157"/>
    </row>
    <row r="445" ht="15.75" customHeight="1">
      <c r="B445" s="199"/>
      <c r="N445" s="152"/>
      <c r="Q445" s="195"/>
      <c r="S445" s="200"/>
      <c r="T445" s="200"/>
      <c r="U445" s="152"/>
      <c r="V445" s="152"/>
      <c r="W445" s="157"/>
    </row>
    <row r="446" ht="15.75" customHeight="1">
      <c r="B446" s="199"/>
      <c r="N446" s="152"/>
      <c r="Q446" s="195"/>
      <c r="S446" s="200"/>
      <c r="T446" s="200"/>
      <c r="U446" s="152"/>
      <c r="V446" s="152"/>
      <c r="W446" s="157"/>
    </row>
    <row r="447" ht="15.75" customHeight="1">
      <c r="B447" s="199"/>
      <c r="N447" s="152"/>
      <c r="Q447" s="195"/>
      <c r="S447" s="200"/>
      <c r="T447" s="200"/>
      <c r="U447" s="152"/>
      <c r="V447" s="152"/>
      <c r="W447" s="157"/>
    </row>
    <row r="448" ht="15.75" customHeight="1">
      <c r="B448" s="199"/>
      <c r="N448" s="152"/>
      <c r="Q448" s="195"/>
      <c r="S448" s="200"/>
      <c r="T448" s="200"/>
      <c r="U448" s="152"/>
      <c r="V448" s="152"/>
      <c r="W448" s="157"/>
    </row>
    <row r="449" ht="15.75" customHeight="1">
      <c r="B449" s="199"/>
      <c r="N449" s="152"/>
      <c r="Q449" s="195"/>
      <c r="S449" s="200"/>
      <c r="T449" s="200"/>
      <c r="U449" s="152"/>
      <c r="V449" s="152"/>
      <c r="W449" s="157"/>
    </row>
    <row r="450" ht="15.75" customHeight="1">
      <c r="B450" s="199"/>
      <c r="N450" s="152"/>
      <c r="Q450" s="195"/>
      <c r="S450" s="200"/>
      <c r="T450" s="200"/>
      <c r="U450" s="152"/>
      <c r="V450" s="152"/>
      <c r="W450" s="157"/>
    </row>
    <row r="451" ht="15.75" customHeight="1">
      <c r="B451" s="199"/>
      <c r="N451" s="152"/>
      <c r="Q451" s="195"/>
      <c r="S451" s="200"/>
      <c r="T451" s="200"/>
      <c r="U451" s="152"/>
      <c r="V451" s="152"/>
      <c r="W451" s="157"/>
    </row>
    <row r="452" ht="15.75" customHeight="1">
      <c r="B452" s="199"/>
      <c r="N452" s="152"/>
      <c r="Q452" s="195"/>
      <c r="S452" s="200"/>
      <c r="T452" s="200"/>
      <c r="U452" s="152"/>
      <c r="V452" s="152"/>
      <c r="W452" s="157"/>
    </row>
    <row r="453" ht="15.75" customHeight="1">
      <c r="B453" s="199"/>
      <c r="N453" s="152"/>
      <c r="Q453" s="195"/>
      <c r="S453" s="200"/>
      <c r="T453" s="200"/>
      <c r="U453" s="152"/>
      <c r="V453" s="152"/>
      <c r="W453" s="157"/>
    </row>
    <row r="454" ht="15.75" customHeight="1">
      <c r="B454" s="199"/>
      <c r="N454" s="152"/>
      <c r="Q454" s="195"/>
      <c r="S454" s="200"/>
      <c r="T454" s="200"/>
      <c r="U454" s="152"/>
      <c r="V454" s="152"/>
      <c r="W454" s="157"/>
    </row>
    <row r="455" ht="15.75" customHeight="1">
      <c r="B455" s="199"/>
      <c r="N455" s="152"/>
      <c r="Q455" s="195"/>
      <c r="S455" s="200"/>
      <c r="T455" s="200"/>
      <c r="U455" s="152"/>
      <c r="V455" s="152"/>
      <c r="W455" s="157"/>
    </row>
    <row r="456" ht="15.75" customHeight="1">
      <c r="B456" s="199"/>
      <c r="N456" s="152"/>
      <c r="Q456" s="195"/>
      <c r="S456" s="200"/>
      <c r="T456" s="200"/>
      <c r="U456" s="152"/>
      <c r="V456" s="152"/>
      <c r="W456" s="157"/>
    </row>
    <row r="457" ht="15.75" customHeight="1">
      <c r="B457" s="199"/>
      <c r="N457" s="152"/>
      <c r="Q457" s="195"/>
      <c r="S457" s="200"/>
      <c r="T457" s="200"/>
      <c r="U457" s="152"/>
      <c r="V457" s="152"/>
      <c r="W457" s="157"/>
    </row>
    <row r="458" ht="15.75" customHeight="1">
      <c r="B458" s="199"/>
      <c r="N458" s="152"/>
      <c r="Q458" s="195"/>
      <c r="S458" s="200"/>
      <c r="T458" s="200"/>
      <c r="U458" s="152"/>
      <c r="V458" s="152"/>
      <c r="W458" s="157"/>
    </row>
    <row r="459" ht="15.75" customHeight="1">
      <c r="B459" s="199"/>
      <c r="N459" s="152"/>
      <c r="Q459" s="195"/>
      <c r="S459" s="200"/>
      <c r="T459" s="200"/>
      <c r="U459" s="152"/>
      <c r="V459" s="152"/>
      <c r="W459" s="157"/>
    </row>
    <row r="460" ht="15.75" customHeight="1">
      <c r="B460" s="199"/>
      <c r="N460" s="152"/>
      <c r="Q460" s="195"/>
      <c r="S460" s="200"/>
      <c r="T460" s="200"/>
      <c r="U460" s="152"/>
      <c r="V460" s="152"/>
      <c r="W460" s="157"/>
    </row>
    <row r="461" ht="15.75" customHeight="1">
      <c r="B461" s="199"/>
      <c r="N461" s="152"/>
      <c r="Q461" s="195"/>
      <c r="S461" s="200"/>
      <c r="T461" s="200"/>
      <c r="U461" s="152"/>
      <c r="V461" s="152"/>
      <c r="W461" s="157"/>
    </row>
    <row r="462" ht="15.75" customHeight="1">
      <c r="B462" s="199"/>
      <c r="N462" s="152"/>
      <c r="Q462" s="195"/>
      <c r="S462" s="200"/>
      <c r="T462" s="200"/>
      <c r="U462" s="152"/>
      <c r="V462" s="152"/>
      <c r="W462" s="157"/>
    </row>
    <row r="463" ht="15.75" customHeight="1">
      <c r="B463" s="199"/>
      <c r="N463" s="152"/>
      <c r="Q463" s="195"/>
      <c r="S463" s="200"/>
      <c r="T463" s="200"/>
      <c r="U463" s="152"/>
      <c r="V463" s="152"/>
      <c r="W463" s="157"/>
    </row>
    <row r="464" ht="15.75" customHeight="1">
      <c r="B464" s="199"/>
      <c r="N464" s="152"/>
      <c r="Q464" s="195"/>
      <c r="S464" s="200"/>
      <c r="T464" s="200"/>
      <c r="U464" s="152"/>
      <c r="V464" s="152"/>
      <c r="W464" s="157"/>
    </row>
    <row r="465" ht="15.75" customHeight="1">
      <c r="B465" s="199"/>
      <c r="N465" s="152"/>
      <c r="Q465" s="195"/>
      <c r="S465" s="200"/>
      <c r="T465" s="200"/>
      <c r="U465" s="152"/>
      <c r="V465" s="152"/>
      <c r="W465" s="157"/>
    </row>
    <row r="466" ht="15.75" customHeight="1">
      <c r="B466" s="199"/>
      <c r="N466" s="152"/>
      <c r="Q466" s="195"/>
      <c r="S466" s="200"/>
      <c r="T466" s="200"/>
      <c r="U466" s="152"/>
      <c r="V466" s="152"/>
      <c r="W466" s="157"/>
    </row>
    <row r="467" ht="15.75" customHeight="1">
      <c r="B467" s="199"/>
      <c r="N467" s="152"/>
      <c r="Q467" s="195"/>
      <c r="S467" s="200"/>
      <c r="T467" s="200"/>
      <c r="U467" s="152"/>
      <c r="V467" s="152"/>
      <c r="W467" s="157"/>
    </row>
    <row r="468" ht="15.75" customHeight="1">
      <c r="B468" s="199"/>
      <c r="N468" s="152"/>
      <c r="Q468" s="195"/>
      <c r="S468" s="200"/>
      <c r="T468" s="200"/>
      <c r="U468" s="152"/>
      <c r="V468" s="152"/>
      <c r="W468" s="157"/>
    </row>
    <row r="469" ht="15.75" customHeight="1">
      <c r="B469" s="199"/>
      <c r="N469" s="152"/>
      <c r="Q469" s="195"/>
      <c r="S469" s="200"/>
      <c r="T469" s="200"/>
      <c r="U469" s="152"/>
      <c r="V469" s="152"/>
      <c r="W469" s="157"/>
    </row>
    <row r="470" ht="15.75" customHeight="1">
      <c r="B470" s="199"/>
      <c r="N470" s="152"/>
      <c r="Q470" s="195"/>
      <c r="S470" s="200"/>
      <c r="T470" s="200"/>
      <c r="U470" s="152"/>
      <c r="V470" s="152"/>
      <c r="W470" s="157"/>
    </row>
    <row r="471" ht="15.75" customHeight="1">
      <c r="B471" s="199"/>
      <c r="N471" s="152"/>
      <c r="Q471" s="195"/>
      <c r="S471" s="200"/>
      <c r="T471" s="200"/>
      <c r="U471" s="152"/>
      <c r="V471" s="152"/>
      <c r="W471" s="157"/>
    </row>
    <row r="472" ht="15.75" customHeight="1">
      <c r="B472" s="199"/>
      <c r="N472" s="152"/>
      <c r="Q472" s="195"/>
      <c r="S472" s="200"/>
      <c r="T472" s="200"/>
      <c r="U472" s="152"/>
      <c r="V472" s="152"/>
      <c r="W472" s="157"/>
    </row>
    <row r="473" ht="15.75" customHeight="1">
      <c r="B473" s="199"/>
      <c r="N473" s="152"/>
      <c r="Q473" s="195"/>
      <c r="S473" s="200"/>
      <c r="T473" s="200"/>
      <c r="U473" s="152"/>
      <c r="V473" s="152"/>
      <c r="W473" s="157"/>
    </row>
    <row r="474" ht="15.75" customHeight="1">
      <c r="B474" s="199"/>
      <c r="N474" s="152"/>
      <c r="Q474" s="195"/>
      <c r="S474" s="200"/>
      <c r="T474" s="200"/>
      <c r="U474" s="152"/>
      <c r="V474" s="152"/>
      <c r="W474" s="157"/>
    </row>
    <row r="475" ht="15.75" customHeight="1">
      <c r="B475" s="199"/>
      <c r="N475" s="152"/>
      <c r="Q475" s="195"/>
      <c r="S475" s="200"/>
      <c r="T475" s="200"/>
      <c r="U475" s="152"/>
      <c r="V475" s="152"/>
      <c r="W475" s="157"/>
    </row>
    <row r="476" ht="15.75" customHeight="1">
      <c r="B476" s="199"/>
      <c r="N476" s="152"/>
      <c r="Q476" s="195"/>
      <c r="S476" s="200"/>
      <c r="T476" s="200"/>
      <c r="U476" s="152"/>
      <c r="V476" s="152"/>
      <c r="W476" s="157"/>
    </row>
    <row r="477" ht="15.75" customHeight="1">
      <c r="B477" s="199"/>
      <c r="N477" s="152"/>
      <c r="Q477" s="195"/>
      <c r="S477" s="200"/>
      <c r="T477" s="200"/>
      <c r="U477" s="152"/>
      <c r="V477" s="152"/>
      <c r="W477" s="157"/>
    </row>
    <row r="478" ht="15.75" customHeight="1">
      <c r="B478" s="199"/>
      <c r="N478" s="152"/>
      <c r="Q478" s="195"/>
      <c r="S478" s="200"/>
      <c r="T478" s="200"/>
      <c r="U478" s="152"/>
      <c r="V478" s="152"/>
      <c r="W478" s="157"/>
    </row>
    <row r="479" ht="15.75" customHeight="1">
      <c r="B479" s="199"/>
      <c r="N479" s="152"/>
      <c r="Q479" s="195"/>
      <c r="S479" s="200"/>
      <c r="T479" s="200"/>
      <c r="U479" s="152"/>
      <c r="V479" s="152"/>
      <c r="W479" s="157"/>
    </row>
    <row r="480" ht="15.75" customHeight="1">
      <c r="B480" s="199"/>
      <c r="N480" s="152"/>
      <c r="Q480" s="195"/>
      <c r="S480" s="200"/>
      <c r="T480" s="200"/>
      <c r="U480" s="152"/>
      <c r="V480" s="152"/>
      <c r="W480" s="157"/>
    </row>
    <row r="481" ht="15.75" customHeight="1">
      <c r="B481" s="199"/>
      <c r="N481" s="152"/>
      <c r="Q481" s="195"/>
      <c r="S481" s="200"/>
      <c r="T481" s="200"/>
      <c r="U481" s="152"/>
      <c r="V481" s="152"/>
      <c r="W481" s="157"/>
    </row>
    <row r="482" ht="15.75" customHeight="1">
      <c r="B482" s="199"/>
      <c r="N482" s="152"/>
      <c r="Q482" s="195"/>
      <c r="S482" s="200"/>
      <c r="T482" s="200"/>
      <c r="U482" s="152"/>
      <c r="V482" s="152"/>
      <c r="W482" s="157"/>
    </row>
    <row r="483" ht="15.75" customHeight="1">
      <c r="B483" s="199"/>
      <c r="N483" s="152"/>
      <c r="Q483" s="195"/>
      <c r="S483" s="200"/>
      <c r="T483" s="200"/>
      <c r="U483" s="152"/>
      <c r="V483" s="152"/>
      <c r="W483" s="157"/>
    </row>
    <row r="484" ht="15.75" customHeight="1">
      <c r="B484" s="199"/>
      <c r="N484" s="152"/>
      <c r="Q484" s="195"/>
      <c r="S484" s="200"/>
      <c r="T484" s="200"/>
      <c r="U484" s="152"/>
      <c r="V484" s="152"/>
      <c r="W484" s="157"/>
    </row>
    <row r="485" ht="15.75" customHeight="1">
      <c r="B485" s="199"/>
      <c r="N485" s="152"/>
      <c r="Q485" s="195"/>
      <c r="S485" s="200"/>
      <c r="T485" s="200"/>
      <c r="U485" s="152"/>
      <c r="V485" s="152"/>
      <c r="W485" s="157"/>
    </row>
    <row r="486" ht="15.75" customHeight="1">
      <c r="B486" s="199"/>
      <c r="N486" s="152"/>
      <c r="Q486" s="195"/>
      <c r="S486" s="200"/>
      <c r="T486" s="200"/>
      <c r="U486" s="152"/>
      <c r="V486" s="152"/>
      <c r="W486" s="157"/>
    </row>
    <row r="487" ht="15.75" customHeight="1">
      <c r="B487" s="199"/>
      <c r="N487" s="152"/>
      <c r="Q487" s="195"/>
      <c r="S487" s="200"/>
      <c r="T487" s="200"/>
      <c r="U487" s="152"/>
      <c r="V487" s="152"/>
      <c r="W487" s="157"/>
    </row>
    <row r="488" ht="15.75" customHeight="1">
      <c r="B488" s="199"/>
      <c r="N488" s="152"/>
      <c r="Q488" s="195"/>
      <c r="S488" s="200"/>
      <c r="T488" s="200"/>
      <c r="U488" s="152"/>
      <c r="V488" s="152"/>
      <c r="W488" s="157"/>
    </row>
    <row r="489" ht="15.75" customHeight="1">
      <c r="B489" s="199"/>
      <c r="N489" s="152"/>
      <c r="Q489" s="195"/>
      <c r="S489" s="200"/>
      <c r="T489" s="200"/>
      <c r="U489" s="152"/>
      <c r="V489" s="152"/>
      <c r="W489" s="157"/>
    </row>
    <row r="490" ht="15.75" customHeight="1">
      <c r="B490" s="199"/>
      <c r="N490" s="152"/>
      <c r="Q490" s="195"/>
      <c r="S490" s="200"/>
      <c r="T490" s="200"/>
      <c r="U490" s="152"/>
      <c r="V490" s="152"/>
      <c r="W490" s="157"/>
    </row>
    <row r="491" ht="15.75" customHeight="1">
      <c r="B491" s="199"/>
      <c r="N491" s="152"/>
      <c r="Q491" s="195"/>
      <c r="S491" s="200"/>
      <c r="T491" s="200"/>
      <c r="U491" s="152"/>
      <c r="V491" s="152"/>
      <c r="W491" s="157"/>
    </row>
    <row r="492" ht="15.75" customHeight="1">
      <c r="B492" s="199"/>
      <c r="N492" s="152"/>
      <c r="Q492" s="195"/>
      <c r="S492" s="200"/>
      <c r="T492" s="200"/>
      <c r="U492" s="152"/>
      <c r="V492" s="152"/>
      <c r="W492" s="157"/>
    </row>
    <row r="493" ht="15.75" customHeight="1">
      <c r="B493" s="199"/>
      <c r="N493" s="152"/>
      <c r="Q493" s="195"/>
      <c r="S493" s="200"/>
      <c r="T493" s="200"/>
      <c r="U493" s="152"/>
      <c r="V493" s="152"/>
      <c r="W493" s="157"/>
    </row>
    <row r="494" ht="15.75" customHeight="1">
      <c r="B494" s="199"/>
      <c r="N494" s="152"/>
      <c r="Q494" s="195"/>
      <c r="S494" s="200"/>
      <c r="T494" s="200"/>
      <c r="U494" s="152"/>
      <c r="V494" s="152"/>
      <c r="W494" s="157"/>
    </row>
    <row r="495" ht="15.75" customHeight="1">
      <c r="B495" s="199"/>
      <c r="N495" s="152"/>
      <c r="Q495" s="195"/>
      <c r="S495" s="200"/>
      <c r="T495" s="200"/>
      <c r="U495" s="152"/>
      <c r="V495" s="152"/>
      <c r="W495" s="157"/>
    </row>
    <row r="496" ht="15.75" customHeight="1">
      <c r="B496" s="199"/>
      <c r="N496" s="152"/>
      <c r="Q496" s="195"/>
      <c r="S496" s="200"/>
      <c r="T496" s="200"/>
      <c r="U496" s="152"/>
      <c r="V496" s="152"/>
      <c r="W496" s="157"/>
    </row>
    <row r="497" ht="15.75" customHeight="1">
      <c r="B497" s="199"/>
      <c r="N497" s="152"/>
      <c r="Q497" s="195"/>
      <c r="S497" s="200"/>
      <c r="T497" s="200"/>
      <c r="U497" s="152"/>
      <c r="V497" s="152"/>
      <c r="W497" s="157"/>
    </row>
    <row r="498" ht="15.75" customHeight="1">
      <c r="B498" s="199"/>
      <c r="N498" s="152"/>
      <c r="Q498" s="195"/>
      <c r="S498" s="200"/>
      <c r="T498" s="200"/>
      <c r="U498" s="152"/>
      <c r="V498" s="152"/>
      <c r="W498" s="157"/>
    </row>
    <row r="499" ht="15.75" customHeight="1">
      <c r="B499" s="199"/>
      <c r="N499" s="152"/>
      <c r="Q499" s="195"/>
      <c r="S499" s="200"/>
      <c r="T499" s="200"/>
      <c r="U499" s="152"/>
      <c r="V499" s="152"/>
      <c r="W499" s="157"/>
    </row>
    <row r="500" ht="15.75" customHeight="1">
      <c r="B500" s="199"/>
      <c r="N500" s="152"/>
      <c r="Q500" s="195"/>
      <c r="S500" s="200"/>
      <c r="T500" s="200"/>
      <c r="U500" s="152"/>
      <c r="V500" s="152"/>
      <c r="W500" s="157"/>
    </row>
    <row r="501" ht="15.75" customHeight="1">
      <c r="B501" s="199"/>
      <c r="N501" s="152"/>
      <c r="Q501" s="195"/>
      <c r="S501" s="200"/>
      <c r="T501" s="200"/>
      <c r="U501" s="152"/>
      <c r="V501" s="152"/>
      <c r="W501" s="157"/>
    </row>
    <row r="502" ht="15.75" customHeight="1">
      <c r="B502" s="199"/>
      <c r="N502" s="152"/>
      <c r="Q502" s="195"/>
      <c r="S502" s="200"/>
      <c r="T502" s="200"/>
      <c r="U502" s="152"/>
      <c r="V502" s="152"/>
      <c r="W502" s="157"/>
    </row>
    <row r="503" ht="15.75" customHeight="1">
      <c r="B503" s="199"/>
      <c r="N503" s="152"/>
      <c r="Q503" s="195"/>
      <c r="S503" s="200"/>
      <c r="T503" s="200"/>
      <c r="U503" s="152"/>
      <c r="V503" s="152"/>
      <c r="W503" s="157"/>
    </row>
    <row r="504" ht="15.75" customHeight="1">
      <c r="B504" s="199"/>
      <c r="N504" s="152"/>
      <c r="Q504" s="195"/>
      <c r="S504" s="200"/>
      <c r="T504" s="200"/>
      <c r="U504" s="152"/>
      <c r="V504" s="152"/>
      <c r="W504" s="157"/>
    </row>
    <row r="505" ht="15.75" customHeight="1">
      <c r="B505" s="199"/>
      <c r="N505" s="152"/>
      <c r="Q505" s="195"/>
      <c r="S505" s="200"/>
      <c r="T505" s="200"/>
      <c r="U505" s="152"/>
      <c r="V505" s="152"/>
      <c r="W505" s="157"/>
    </row>
    <row r="506" ht="15.75" customHeight="1">
      <c r="B506" s="199"/>
      <c r="N506" s="152"/>
      <c r="Q506" s="195"/>
      <c r="S506" s="200"/>
      <c r="T506" s="200"/>
      <c r="U506" s="152"/>
      <c r="V506" s="152"/>
      <c r="W506" s="157"/>
    </row>
    <row r="507" ht="15.75" customHeight="1">
      <c r="B507" s="199"/>
      <c r="N507" s="152"/>
      <c r="Q507" s="195"/>
      <c r="S507" s="200"/>
      <c r="T507" s="200"/>
      <c r="U507" s="152"/>
      <c r="V507" s="152"/>
      <c r="W507" s="157"/>
    </row>
    <row r="508" ht="15.75" customHeight="1">
      <c r="B508" s="199"/>
      <c r="N508" s="152"/>
      <c r="Q508" s="195"/>
      <c r="S508" s="200"/>
      <c r="T508" s="200"/>
      <c r="U508" s="152"/>
      <c r="V508" s="152"/>
      <c r="W508" s="157"/>
    </row>
    <row r="509" ht="15.75" customHeight="1">
      <c r="B509" s="199"/>
      <c r="N509" s="152"/>
      <c r="Q509" s="195"/>
      <c r="S509" s="200"/>
      <c r="T509" s="200"/>
      <c r="U509" s="152"/>
      <c r="V509" s="152"/>
      <c r="W509" s="157"/>
    </row>
    <row r="510" ht="15.75" customHeight="1">
      <c r="B510" s="199"/>
      <c r="N510" s="152"/>
      <c r="Q510" s="195"/>
      <c r="S510" s="200"/>
      <c r="T510" s="200"/>
      <c r="U510" s="152"/>
      <c r="V510" s="152"/>
      <c r="W510" s="157"/>
    </row>
    <row r="511" ht="15.75" customHeight="1">
      <c r="B511" s="199"/>
      <c r="N511" s="152"/>
      <c r="Q511" s="195"/>
      <c r="S511" s="200"/>
      <c r="T511" s="200"/>
      <c r="U511" s="152"/>
      <c r="V511" s="152"/>
      <c r="W511" s="157"/>
    </row>
    <row r="512" ht="15.75" customHeight="1">
      <c r="B512" s="199"/>
      <c r="N512" s="152"/>
      <c r="Q512" s="195"/>
      <c r="S512" s="200"/>
      <c r="T512" s="200"/>
      <c r="U512" s="152"/>
      <c r="V512" s="152"/>
      <c r="W512" s="157"/>
    </row>
    <row r="513" ht="15.75" customHeight="1">
      <c r="B513" s="199"/>
      <c r="N513" s="152"/>
      <c r="Q513" s="195"/>
      <c r="S513" s="200"/>
      <c r="T513" s="200"/>
      <c r="U513" s="152"/>
      <c r="V513" s="152"/>
      <c r="W513" s="157"/>
    </row>
    <row r="514" ht="15.75" customHeight="1">
      <c r="B514" s="199"/>
      <c r="N514" s="152"/>
      <c r="Q514" s="195"/>
      <c r="S514" s="200"/>
      <c r="T514" s="200"/>
      <c r="U514" s="152"/>
      <c r="V514" s="152"/>
      <c r="W514" s="157"/>
    </row>
    <row r="515" ht="15.75" customHeight="1">
      <c r="B515" s="199"/>
      <c r="N515" s="152"/>
      <c r="Q515" s="195"/>
      <c r="S515" s="200"/>
      <c r="T515" s="200"/>
      <c r="U515" s="152"/>
      <c r="V515" s="152"/>
      <c r="W515" s="157"/>
    </row>
    <row r="516" ht="15.75" customHeight="1">
      <c r="B516" s="199"/>
      <c r="N516" s="152"/>
      <c r="Q516" s="195"/>
      <c r="S516" s="200"/>
      <c r="T516" s="200"/>
      <c r="U516" s="152"/>
      <c r="V516" s="152"/>
      <c r="W516" s="157"/>
    </row>
    <row r="517" ht="15.75" customHeight="1">
      <c r="B517" s="199"/>
      <c r="N517" s="152"/>
      <c r="Q517" s="195"/>
      <c r="S517" s="200"/>
      <c r="T517" s="200"/>
      <c r="U517" s="152"/>
      <c r="V517" s="152"/>
      <c r="W517" s="157"/>
    </row>
    <row r="518" ht="15.75" customHeight="1">
      <c r="B518" s="199"/>
      <c r="N518" s="152"/>
      <c r="Q518" s="195"/>
      <c r="S518" s="200"/>
      <c r="T518" s="200"/>
      <c r="U518" s="152"/>
      <c r="V518" s="152"/>
      <c r="W518" s="157"/>
    </row>
    <row r="519" ht="15.75" customHeight="1">
      <c r="B519" s="199"/>
      <c r="N519" s="152"/>
      <c r="Q519" s="195"/>
      <c r="S519" s="200"/>
      <c r="T519" s="200"/>
      <c r="U519" s="152"/>
      <c r="V519" s="152"/>
      <c r="W519" s="157"/>
    </row>
    <row r="520" ht="15.75" customHeight="1">
      <c r="B520" s="199"/>
      <c r="N520" s="152"/>
      <c r="Q520" s="195"/>
      <c r="S520" s="200"/>
      <c r="T520" s="200"/>
      <c r="U520" s="152"/>
      <c r="V520" s="152"/>
      <c r="W520" s="157"/>
    </row>
    <row r="521" ht="15.75" customHeight="1">
      <c r="B521" s="199"/>
      <c r="N521" s="152"/>
      <c r="Q521" s="195"/>
      <c r="S521" s="200"/>
      <c r="T521" s="200"/>
      <c r="U521" s="152"/>
      <c r="V521" s="152"/>
      <c r="W521" s="157"/>
    </row>
    <row r="522" ht="15.75" customHeight="1">
      <c r="B522" s="199"/>
      <c r="N522" s="152"/>
      <c r="Q522" s="195"/>
      <c r="S522" s="200"/>
      <c r="T522" s="200"/>
      <c r="U522" s="152"/>
      <c r="V522" s="152"/>
      <c r="W522" s="157"/>
    </row>
    <row r="523" ht="15.75" customHeight="1">
      <c r="B523" s="199"/>
      <c r="N523" s="152"/>
      <c r="Q523" s="195"/>
      <c r="S523" s="200"/>
      <c r="T523" s="200"/>
      <c r="U523" s="152"/>
      <c r="V523" s="152"/>
      <c r="W523" s="157"/>
    </row>
    <row r="524" ht="15.75" customHeight="1">
      <c r="B524" s="199"/>
      <c r="N524" s="152"/>
      <c r="Q524" s="195"/>
      <c r="S524" s="200"/>
      <c r="T524" s="200"/>
      <c r="U524" s="152"/>
      <c r="V524" s="152"/>
      <c r="W524" s="157"/>
    </row>
    <row r="525" ht="15.75" customHeight="1">
      <c r="B525" s="199"/>
      <c r="N525" s="152"/>
      <c r="Q525" s="195"/>
      <c r="S525" s="200"/>
      <c r="T525" s="200"/>
      <c r="U525" s="152"/>
      <c r="V525" s="152"/>
      <c r="W525" s="157"/>
    </row>
    <row r="526" ht="15.75" customHeight="1">
      <c r="B526" s="199"/>
      <c r="N526" s="152"/>
      <c r="Q526" s="195"/>
      <c r="S526" s="200"/>
      <c r="T526" s="200"/>
      <c r="U526" s="152"/>
      <c r="V526" s="152"/>
      <c r="W526" s="157"/>
    </row>
    <row r="527" ht="15.75" customHeight="1">
      <c r="B527" s="199"/>
      <c r="N527" s="152"/>
      <c r="Q527" s="195"/>
      <c r="S527" s="200"/>
      <c r="T527" s="200"/>
      <c r="U527" s="152"/>
      <c r="V527" s="152"/>
      <c r="W527" s="157"/>
    </row>
    <row r="528" ht="15.75" customHeight="1">
      <c r="B528" s="199"/>
      <c r="N528" s="152"/>
      <c r="Q528" s="195"/>
      <c r="S528" s="200"/>
      <c r="T528" s="200"/>
      <c r="U528" s="152"/>
      <c r="V528" s="152"/>
      <c r="W528" s="157"/>
    </row>
    <row r="529" ht="15.75" customHeight="1">
      <c r="B529" s="199"/>
      <c r="N529" s="152"/>
      <c r="Q529" s="195"/>
      <c r="S529" s="200"/>
      <c r="T529" s="200"/>
      <c r="U529" s="152"/>
      <c r="V529" s="152"/>
      <c r="W529" s="157"/>
    </row>
    <row r="530" ht="15.75" customHeight="1">
      <c r="B530" s="199"/>
      <c r="N530" s="152"/>
      <c r="Q530" s="195"/>
      <c r="S530" s="200"/>
      <c r="T530" s="200"/>
      <c r="U530" s="152"/>
      <c r="V530" s="152"/>
      <c r="W530" s="157"/>
    </row>
    <row r="531" ht="15.75" customHeight="1">
      <c r="B531" s="199"/>
      <c r="N531" s="152"/>
      <c r="Q531" s="195"/>
      <c r="S531" s="200"/>
      <c r="T531" s="200"/>
      <c r="U531" s="152"/>
      <c r="V531" s="152"/>
      <c r="W531" s="157"/>
    </row>
    <row r="532" ht="15.75" customHeight="1">
      <c r="B532" s="199"/>
      <c r="N532" s="152"/>
      <c r="Q532" s="195"/>
      <c r="S532" s="200"/>
      <c r="T532" s="200"/>
      <c r="U532" s="152"/>
      <c r="V532" s="152"/>
      <c r="W532" s="157"/>
    </row>
    <row r="533" ht="15.75" customHeight="1">
      <c r="B533" s="199"/>
      <c r="N533" s="152"/>
      <c r="Q533" s="195"/>
      <c r="S533" s="200"/>
      <c r="T533" s="200"/>
      <c r="U533" s="152"/>
      <c r="V533" s="152"/>
      <c r="W533" s="157"/>
    </row>
    <row r="534" ht="15.75" customHeight="1">
      <c r="B534" s="199"/>
      <c r="N534" s="152"/>
      <c r="Q534" s="195"/>
      <c r="S534" s="200"/>
      <c r="T534" s="200"/>
      <c r="U534" s="152"/>
      <c r="V534" s="152"/>
      <c r="W534" s="157"/>
    </row>
    <row r="535" ht="15.75" customHeight="1">
      <c r="B535" s="199"/>
      <c r="N535" s="152"/>
      <c r="Q535" s="195"/>
      <c r="S535" s="200"/>
      <c r="T535" s="200"/>
      <c r="U535" s="152"/>
      <c r="V535" s="152"/>
      <c r="W535" s="157"/>
    </row>
    <row r="536" ht="15.75" customHeight="1">
      <c r="B536" s="199"/>
      <c r="N536" s="152"/>
      <c r="Q536" s="195"/>
      <c r="S536" s="200"/>
      <c r="T536" s="200"/>
      <c r="U536" s="152"/>
      <c r="V536" s="152"/>
      <c r="W536" s="157"/>
    </row>
    <row r="537" ht="15.75" customHeight="1">
      <c r="B537" s="199"/>
      <c r="N537" s="152"/>
      <c r="Q537" s="195"/>
      <c r="S537" s="200"/>
      <c r="T537" s="200"/>
      <c r="U537" s="152"/>
      <c r="V537" s="152"/>
      <c r="W537" s="157"/>
    </row>
    <row r="538" ht="15.75" customHeight="1">
      <c r="B538" s="199"/>
      <c r="N538" s="152"/>
      <c r="Q538" s="195"/>
      <c r="S538" s="200"/>
      <c r="T538" s="200"/>
      <c r="U538" s="152"/>
      <c r="V538" s="152"/>
      <c r="W538" s="157"/>
    </row>
    <row r="539" ht="15.75" customHeight="1">
      <c r="B539" s="199"/>
      <c r="N539" s="152"/>
      <c r="Q539" s="195"/>
      <c r="S539" s="200"/>
      <c r="T539" s="200"/>
      <c r="U539" s="152"/>
      <c r="V539" s="152"/>
      <c r="W539" s="157"/>
    </row>
    <row r="540" ht="15.75" customHeight="1">
      <c r="B540" s="199"/>
      <c r="N540" s="152"/>
      <c r="Q540" s="195"/>
      <c r="S540" s="200"/>
      <c r="T540" s="200"/>
      <c r="U540" s="152"/>
      <c r="V540" s="152"/>
      <c r="W540" s="157"/>
    </row>
    <row r="541" ht="15.75" customHeight="1">
      <c r="B541" s="199"/>
      <c r="N541" s="152"/>
      <c r="Q541" s="195"/>
      <c r="S541" s="200"/>
      <c r="T541" s="200"/>
      <c r="U541" s="152"/>
      <c r="V541" s="152"/>
      <c r="W541" s="157"/>
    </row>
    <row r="542" ht="15.75" customHeight="1">
      <c r="B542" s="199"/>
      <c r="N542" s="152"/>
      <c r="Q542" s="195"/>
      <c r="S542" s="200"/>
      <c r="T542" s="200"/>
      <c r="U542" s="152"/>
      <c r="V542" s="152"/>
      <c r="W542" s="157"/>
    </row>
    <row r="543" ht="15.75" customHeight="1">
      <c r="B543" s="199"/>
      <c r="N543" s="152"/>
      <c r="Q543" s="195"/>
      <c r="S543" s="200"/>
      <c r="T543" s="200"/>
      <c r="U543" s="152"/>
      <c r="V543" s="152"/>
      <c r="W543" s="157"/>
    </row>
    <row r="544" ht="15.75" customHeight="1">
      <c r="B544" s="199"/>
      <c r="N544" s="152"/>
      <c r="Q544" s="195"/>
      <c r="S544" s="200"/>
      <c r="T544" s="200"/>
      <c r="U544" s="152"/>
      <c r="V544" s="152"/>
      <c r="W544" s="157"/>
    </row>
    <row r="545" ht="15.75" customHeight="1">
      <c r="B545" s="199"/>
      <c r="N545" s="152"/>
      <c r="Q545" s="195"/>
      <c r="S545" s="200"/>
      <c r="T545" s="200"/>
      <c r="U545" s="152"/>
      <c r="V545" s="152"/>
      <c r="W545" s="157"/>
    </row>
    <row r="546" ht="15.75" customHeight="1">
      <c r="B546" s="199"/>
      <c r="N546" s="152"/>
      <c r="Q546" s="195"/>
      <c r="S546" s="200"/>
      <c r="T546" s="200"/>
      <c r="U546" s="152"/>
      <c r="V546" s="152"/>
      <c r="W546" s="157"/>
    </row>
    <row r="547" ht="15.75" customHeight="1">
      <c r="B547" s="199"/>
      <c r="N547" s="152"/>
      <c r="Q547" s="195"/>
      <c r="S547" s="200"/>
      <c r="T547" s="200"/>
      <c r="U547" s="152"/>
      <c r="V547" s="152"/>
      <c r="W547" s="157"/>
    </row>
    <row r="548" ht="15.75" customHeight="1">
      <c r="B548" s="199"/>
      <c r="N548" s="152"/>
      <c r="Q548" s="195"/>
      <c r="S548" s="200"/>
      <c r="T548" s="200"/>
      <c r="U548" s="152"/>
      <c r="V548" s="152"/>
      <c r="W548" s="157"/>
    </row>
    <row r="549" ht="15.75" customHeight="1">
      <c r="B549" s="199"/>
      <c r="N549" s="152"/>
      <c r="Q549" s="195"/>
      <c r="S549" s="200"/>
      <c r="T549" s="200"/>
      <c r="U549" s="152"/>
      <c r="V549" s="152"/>
      <c r="W549" s="157"/>
    </row>
    <row r="550" ht="15.75" customHeight="1">
      <c r="B550" s="199"/>
      <c r="N550" s="152"/>
      <c r="Q550" s="195"/>
      <c r="S550" s="200"/>
      <c r="T550" s="200"/>
      <c r="U550" s="152"/>
      <c r="V550" s="152"/>
      <c r="W550" s="157"/>
    </row>
    <row r="551" ht="15.75" customHeight="1">
      <c r="B551" s="199"/>
      <c r="N551" s="152"/>
      <c r="Q551" s="195"/>
      <c r="S551" s="200"/>
      <c r="T551" s="200"/>
      <c r="U551" s="152"/>
      <c r="V551" s="152"/>
      <c r="W551" s="157"/>
    </row>
    <row r="552" ht="15.75" customHeight="1">
      <c r="B552" s="199"/>
      <c r="N552" s="152"/>
      <c r="Q552" s="195"/>
      <c r="S552" s="200"/>
      <c r="T552" s="200"/>
      <c r="U552" s="152"/>
      <c r="V552" s="152"/>
      <c r="W552" s="157"/>
    </row>
    <row r="553" ht="15.75" customHeight="1">
      <c r="B553" s="199"/>
      <c r="N553" s="152"/>
      <c r="Q553" s="195"/>
      <c r="S553" s="200"/>
      <c r="T553" s="200"/>
      <c r="U553" s="152"/>
      <c r="V553" s="152"/>
      <c r="W553" s="157"/>
    </row>
    <row r="554" ht="15.75" customHeight="1">
      <c r="B554" s="199"/>
      <c r="N554" s="152"/>
      <c r="Q554" s="195"/>
      <c r="S554" s="200"/>
      <c r="T554" s="200"/>
      <c r="U554" s="152"/>
      <c r="V554" s="152"/>
      <c r="W554" s="157"/>
    </row>
    <row r="555" ht="15.75" customHeight="1">
      <c r="B555" s="199"/>
      <c r="N555" s="152"/>
      <c r="Q555" s="195"/>
      <c r="S555" s="200"/>
      <c r="T555" s="200"/>
      <c r="U555" s="152"/>
      <c r="V555" s="152"/>
      <c r="W555" s="157"/>
    </row>
    <row r="556" ht="15.75" customHeight="1">
      <c r="B556" s="199"/>
      <c r="N556" s="152"/>
      <c r="Q556" s="195"/>
      <c r="S556" s="200"/>
      <c r="T556" s="200"/>
      <c r="U556" s="152"/>
      <c r="V556" s="152"/>
      <c r="W556" s="157"/>
    </row>
    <row r="557" ht="15.75" customHeight="1">
      <c r="B557" s="199"/>
      <c r="N557" s="152"/>
      <c r="Q557" s="195"/>
      <c r="S557" s="200"/>
      <c r="T557" s="200"/>
      <c r="U557" s="152"/>
      <c r="V557" s="152"/>
      <c r="W557" s="157"/>
    </row>
    <row r="558" ht="15.75" customHeight="1">
      <c r="B558" s="199"/>
      <c r="N558" s="152"/>
      <c r="Q558" s="195"/>
      <c r="S558" s="200"/>
      <c r="T558" s="200"/>
      <c r="U558" s="152"/>
      <c r="V558" s="152"/>
      <c r="W558" s="157"/>
    </row>
    <row r="559" ht="15.75" customHeight="1">
      <c r="B559" s="199"/>
      <c r="N559" s="152"/>
      <c r="Q559" s="195"/>
      <c r="S559" s="200"/>
      <c r="T559" s="200"/>
      <c r="U559" s="152"/>
      <c r="V559" s="152"/>
      <c r="W559" s="157"/>
    </row>
    <row r="560" ht="15.75" customHeight="1">
      <c r="B560" s="199"/>
      <c r="N560" s="152"/>
      <c r="Q560" s="195"/>
      <c r="S560" s="200"/>
      <c r="T560" s="200"/>
      <c r="U560" s="152"/>
      <c r="V560" s="152"/>
      <c r="W560" s="157"/>
    </row>
    <row r="561" ht="15.75" customHeight="1">
      <c r="B561" s="199"/>
      <c r="N561" s="152"/>
      <c r="Q561" s="195"/>
      <c r="S561" s="200"/>
      <c r="T561" s="200"/>
      <c r="U561" s="152"/>
      <c r="V561" s="152"/>
      <c r="W561" s="157"/>
    </row>
    <row r="562" ht="15.75" customHeight="1">
      <c r="B562" s="199"/>
      <c r="N562" s="152"/>
      <c r="Q562" s="195"/>
      <c r="S562" s="200"/>
      <c r="T562" s="200"/>
      <c r="U562" s="152"/>
      <c r="V562" s="152"/>
      <c r="W562" s="157"/>
    </row>
    <row r="563" ht="15.75" customHeight="1">
      <c r="B563" s="199"/>
      <c r="N563" s="152"/>
      <c r="Q563" s="195"/>
      <c r="S563" s="200"/>
      <c r="T563" s="200"/>
      <c r="U563" s="152"/>
      <c r="V563" s="152"/>
      <c r="W563" s="157"/>
    </row>
    <row r="564" ht="15.75" customHeight="1">
      <c r="B564" s="199"/>
      <c r="N564" s="152"/>
      <c r="Q564" s="195"/>
      <c r="S564" s="200"/>
      <c r="T564" s="200"/>
      <c r="U564" s="152"/>
      <c r="V564" s="152"/>
      <c r="W564" s="157"/>
    </row>
    <row r="565" ht="15.75" customHeight="1">
      <c r="B565" s="199"/>
      <c r="N565" s="152"/>
      <c r="Q565" s="195"/>
      <c r="S565" s="200"/>
      <c r="T565" s="200"/>
      <c r="U565" s="152"/>
      <c r="V565" s="152"/>
      <c r="W565" s="157"/>
    </row>
    <row r="566" ht="15.75" customHeight="1">
      <c r="B566" s="199"/>
      <c r="N566" s="152"/>
      <c r="Q566" s="195"/>
      <c r="S566" s="200"/>
      <c r="T566" s="200"/>
      <c r="U566" s="152"/>
      <c r="V566" s="152"/>
      <c r="W566" s="157"/>
    </row>
    <row r="567" ht="15.75" customHeight="1">
      <c r="B567" s="199"/>
      <c r="N567" s="152"/>
      <c r="Q567" s="195"/>
      <c r="S567" s="200"/>
      <c r="T567" s="200"/>
      <c r="U567" s="152"/>
      <c r="V567" s="152"/>
      <c r="W567" s="157"/>
    </row>
    <row r="568" ht="15.75" customHeight="1">
      <c r="B568" s="199"/>
      <c r="N568" s="152"/>
      <c r="Q568" s="195"/>
      <c r="S568" s="200"/>
      <c r="T568" s="200"/>
      <c r="U568" s="152"/>
      <c r="V568" s="152"/>
      <c r="W568" s="157"/>
    </row>
    <row r="569" ht="15.75" customHeight="1">
      <c r="B569" s="199"/>
      <c r="N569" s="152"/>
      <c r="Q569" s="195"/>
      <c r="S569" s="200"/>
      <c r="T569" s="200"/>
      <c r="U569" s="152"/>
      <c r="V569" s="152"/>
      <c r="W569" s="157"/>
    </row>
    <row r="570" ht="15.75" customHeight="1">
      <c r="B570" s="199"/>
      <c r="N570" s="152"/>
      <c r="Q570" s="195"/>
      <c r="S570" s="200"/>
      <c r="T570" s="200"/>
      <c r="U570" s="152"/>
      <c r="V570" s="152"/>
      <c r="W570" s="157"/>
    </row>
    <row r="571" ht="15.75" customHeight="1">
      <c r="B571" s="199"/>
      <c r="N571" s="152"/>
      <c r="Q571" s="195"/>
      <c r="S571" s="200"/>
      <c r="T571" s="200"/>
      <c r="U571" s="152"/>
      <c r="V571" s="152"/>
      <c r="W571" s="157"/>
    </row>
    <row r="572" ht="15.75" customHeight="1">
      <c r="B572" s="199"/>
      <c r="N572" s="152"/>
      <c r="Q572" s="195"/>
      <c r="S572" s="200"/>
      <c r="T572" s="200"/>
      <c r="U572" s="152"/>
      <c r="V572" s="152"/>
      <c r="W572" s="157"/>
    </row>
    <row r="573" ht="15.75" customHeight="1">
      <c r="B573" s="199"/>
      <c r="N573" s="152"/>
      <c r="Q573" s="195"/>
      <c r="S573" s="200"/>
      <c r="T573" s="200"/>
      <c r="U573" s="152"/>
      <c r="V573" s="152"/>
      <c r="W573" s="157"/>
    </row>
    <row r="574" ht="15.75" customHeight="1">
      <c r="B574" s="199"/>
      <c r="N574" s="152"/>
      <c r="Q574" s="195"/>
      <c r="S574" s="200"/>
      <c r="T574" s="200"/>
      <c r="U574" s="152"/>
      <c r="V574" s="152"/>
      <c r="W574" s="157"/>
    </row>
    <row r="575" ht="15.75" customHeight="1">
      <c r="B575" s="199"/>
      <c r="N575" s="152"/>
      <c r="Q575" s="195"/>
      <c r="S575" s="200"/>
      <c r="T575" s="200"/>
      <c r="U575" s="152"/>
      <c r="V575" s="152"/>
      <c r="W575" s="157"/>
    </row>
    <row r="576" ht="15.75" customHeight="1">
      <c r="B576" s="199"/>
      <c r="N576" s="152"/>
      <c r="Q576" s="195"/>
      <c r="S576" s="200"/>
      <c r="T576" s="200"/>
      <c r="U576" s="152"/>
      <c r="V576" s="152"/>
      <c r="W576" s="157"/>
    </row>
    <row r="577" ht="15.75" customHeight="1">
      <c r="B577" s="199"/>
      <c r="N577" s="152"/>
      <c r="Q577" s="195"/>
      <c r="S577" s="200"/>
      <c r="T577" s="200"/>
      <c r="U577" s="152"/>
      <c r="V577" s="152"/>
      <c r="W577" s="157"/>
    </row>
    <row r="578" ht="15.75" customHeight="1">
      <c r="B578" s="199"/>
      <c r="N578" s="152"/>
      <c r="Q578" s="195"/>
      <c r="S578" s="200"/>
      <c r="T578" s="200"/>
      <c r="U578" s="152"/>
      <c r="V578" s="152"/>
      <c r="W578" s="157"/>
    </row>
    <row r="579" ht="15.75" customHeight="1">
      <c r="B579" s="199"/>
      <c r="N579" s="152"/>
      <c r="Q579" s="195"/>
      <c r="S579" s="200"/>
      <c r="T579" s="200"/>
      <c r="U579" s="152"/>
      <c r="V579" s="152"/>
      <c r="W579" s="157"/>
    </row>
    <row r="580" ht="15.75" customHeight="1">
      <c r="B580" s="199"/>
      <c r="N580" s="152"/>
      <c r="Q580" s="195"/>
      <c r="S580" s="200"/>
      <c r="T580" s="200"/>
      <c r="U580" s="152"/>
      <c r="V580" s="152"/>
      <c r="W580" s="157"/>
    </row>
    <row r="581" ht="15.75" customHeight="1">
      <c r="B581" s="199"/>
      <c r="N581" s="152"/>
      <c r="Q581" s="195"/>
      <c r="S581" s="200"/>
      <c r="T581" s="200"/>
      <c r="U581" s="152"/>
      <c r="V581" s="152"/>
      <c r="W581" s="157"/>
    </row>
    <row r="582" ht="15.75" customHeight="1">
      <c r="B582" s="199"/>
      <c r="N582" s="152"/>
      <c r="Q582" s="195"/>
      <c r="S582" s="200"/>
      <c r="T582" s="200"/>
      <c r="U582" s="152"/>
      <c r="V582" s="152"/>
      <c r="W582" s="157"/>
    </row>
    <row r="583" ht="15.75" customHeight="1">
      <c r="B583" s="199"/>
      <c r="N583" s="152"/>
      <c r="Q583" s="195"/>
      <c r="S583" s="200"/>
      <c r="T583" s="200"/>
      <c r="U583" s="152"/>
      <c r="V583" s="152"/>
      <c r="W583" s="157"/>
    </row>
    <row r="584" ht="15.75" customHeight="1">
      <c r="B584" s="199"/>
      <c r="N584" s="152"/>
      <c r="Q584" s="195"/>
      <c r="S584" s="200"/>
      <c r="T584" s="200"/>
      <c r="U584" s="152"/>
      <c r="V584" s="152"/>
      <c r="W584" s="157"/>
    </row>
    <row r="585" ht="15.75" customHeight="1">
      <c r="B585" s="199"/>
      <c r="N585" s="152"/>
      <c r="Q585" s="195"/>
      <c r="S585" s="200"/>
      <c r="T585" s="200"/>
      <c r="U585" s="152"/>
      <c r="V585" s="152"/>
      <c r="W585" s="157"/>
    </row>
    <row r="586" ht="15.75" customHeight="1">
      <c r="B586" s="199"/>
      <c r="N586" s="152"/>
      <c r="Q586" s="195"/>
      <c r="S586" s="200"/>
      <c r="T586" s="200"/>
      <c r="U586" s="152"/>
      <c r="V586" s="152"/>
      <c r="W586" s="157"/>
    </row>
    <row r="587" ht="15.75" customHeight="1">
      <c r="B587" s="199"/>
      <c r="N587" s="152"/>
      <c r="Q587" s="195"/>
      <c r="S587" s="200"/>
      <c r="T587" s="200"/>
      <c r="U587" s="152"/>
      <c r="V587" s="152"/>
      <c r="W587" s="157"/>
    </row>
    <row r="588" ht="15.75" customHeight="1">
      <c r="B588" s="199"/>
      <c r="N588" s="152"/>
      <c r="Q588" s="195"/>
      <c r="S588" s="200"/>
      <c r="T588" s="200"/>
      <c r="U588" s="152"/>
      <c r="V588" s="152"/>
      <c r="W588" s="157"/>
    </row>
    <row r="589" ht="15.75" customHeight="1">
      <c r="B589" s="199"/>
      <c r="N589" s="152"/>
      <c r="Q589" s="195"/>
      <c r="S589" s="200"/>
      <c r="T589" s="200"/>
      <c r="U589" s="152"/>
      <c r="V589" s="152"/>
      <c r="W589" s="157"/>
    </row>
    <row r="590" ht="15.75" customHeight="1">
      <c r="B590" s="199"/>
      <c r="N590" s="152"/>
      <c r="Q590" s="195"/>
      <c r="S590" s="200"/>
      <c r="T590" s="200"/>
      <c r="U590" s="152"/>
      <c r="V590" s="152"/>
      <c r="W590" s="157"/>
    </row>
    <row r="591" ht="15.75" customHeight="1">
      <c r="B591" s="199"/>
      <c r="N591" s="152"/>
      <c r="Q591" s="195"/>
      <c r="S591" s="200"/>
      <c r="T591" s="200"/>
      <c r="U591" s="152"/>
      <c r="V591" s="152"/>
      <c r="W591" s="157"/>
    </row>
    <row r="592" ht="15.75" customHeight="1">
      <c r="B592" s="199"/>
      <c r="N592" s="152"/>
      <c r="Q592" s="195"/>
      <c r="S592" s="200"/>
      <c r="T592" s="200"/>
      <c r="U592" s="152"/>
      <c r="V592" s="152"/>
      <c r="W592" s="157"/>
    </row>
    <row r="593" ht="15.75" customHeight="1">
      <c r="B593" s="199"/>
      <c r="N593" s="152"/>
      <c r="Q593" s="195"/>
      <c r="S593" s="200"/>
      <c r="T593" s="200"/>
      <c r="U593" s="152"/>
      <c r="V593" s="152"/>
      <c r="W593" s="157"/>
    </row>
    <row r="594" ht="15.75" customHeight="1">
      <c r="B594" s="199"/>
      <c r="N594" s="152"/>
      <c r="Q594" s="195"/>
      <c r="S594" s="200"/>
      <c r="T594" s="200"/>
      <c r="U594" s="152"/>
      <c r="V594" s="152"/>
      <c r="W594" s="157"/>
    </row>
    <row r="595" ht="15.75" customHeight="1">
      <c r="B595" s="199"/>
      <c r="N595" s="152"/>
      <c r="Q595" s="195"/>
      <c r="S595" s="200"/>
      <c r="T595" s="200"/>
      <c r="U595" s="152"/>
      <c r="V595" s="152"/>
      <c r="W595" s="157"/>
    </row>
    <row r="596" ht="15.75" customHeight="1">
      <c r="B596" s="199"/>
      <c r="N596" s="152"/>
      <c r="Q596" s="195"/>
      <c r="S596" s="200"/>
      <c r="T596" s="200"/>
      <c r="U596" s="152"/>
      <c r="V596" s="152"/>
      <c r="W596" s="157"/>
    </row>
    <row r="597" ht="15.75" customHeight="1">
      <c r="B597" s="199"/>
      <c r="N597" s="152"/>
      <c r="Q597" s="195"/>
      <c r="S597" s="200"/>
      <c r="T597" s="200"/>
      <c r="U597" s="152"/>
      <c r="V597" s="152"/>
      <c r="W597" s="157"/>
    </row>
    <row r="598" ht="15.75" customHeight="1">
      <c r="B598" s="199"/>
      <c r="N598" s="152"/>
      <c r="Q598" s="195"/>
      <c r="S598" s="200"/>
      <c r="T598" s="200"/>
      <c r="U598" s="152"/>
      <c r="V598" s="152"/>
      <c r="W598" s="157"/>
    </row>
    <row r="599" ht="15.75" customHeight="1">
      <c r="B599" s="199"/>
      <c r="N599" s="152"/>
      <c r="Q599" s="195"/>
      <c r="S599" s="200"/>
      <c r="T599" s="200"/>
      <c r="U599" s="152"/>
      <c r="V599" s="152"/>
      <c r="W599" s="157"/>
    </row>
    <row r="600" ht="15.75" customHeight="1">
      <c r="B600" s="199"/>
      <c r="N600" s="152"/>
      <c r="Q600" s="195"/>
      <c r="S600" s="200"/>
      <c r="T600" s="200"/>
      <c r="U600" s="152"/>
      <c r="V600" s="152"/>
      <c r="W600" s="157"/>
    </row>
    <row r="601" ht="15.75" customHeight="1">
      <c r="B601" s="199"/>
      <c r="N601" s="152"/>
      <c r="Q601" s="195"/>
      <c r="S601" s="200"/>
      <c r="T601" s="200"/>
      <c r="U601" s="152"/>
      <c r="V601" s="152"/>
      <c r="W601" s="157"/>
    </row>
    <row r="602" ht="15.75" customHeight="1">
      <c r="B602" s="199"/>
      <c r="N602" s="152"/>
      <c r="Q602" s="195"/>
      <c r="S602" s="200"/>
      <c r="T602" s="200"/>
      <c r="U602" s="152"/>
      <c r="V602" s="152"/>
      <c r="W602" s="157"/>
    </row>
    <row r="603" ht="15.75" customHeight="1">
      <c r="B603" s="199"/>
      <c r="N603" s="152"/>
      <c r="Q603" s="195"/>
      <c r="S603" s="200"/>
      <c r="T603" s="200"/>
      <c r="U603" s="152"/>
      <c r="V603" s="152"/>
      <c r="W603" s="157"/>
    </row>
    <row r="604" ht="15.75" customHeight="1">
      <c r="B604" s="199"/>
      <c r="N604" s="152"/>
      <c r="Q604" s="195"/>
      <c r="S604" s="200"/>
      <c r="T604" s="200"/>
      <c r="U604" s="152"/>
      <c r="V604" s="152"/>
      <c r="W604" s="157"/>
    </row>
    <row r="605" ht="15.75" customHeight="1">
      <c r="B605" s="199"/>
      <c r="N605" s="152"/>
      <c r="Q605" s="195"/>
      <c r="S605" s="200"/>
      <c r="T605" s="200"/>
      <c r="U605" s="152"/>
      <c r="V605" s="152"/>
      <c r="W605" s="157"/>
    </row>
    <row r="606" ht="15.75" customHeight="1">
      <c r="B606" s="199"/>
      <c r="N606" s="152"/>
      <c r="Q606" s="195"/>
      <c r="S606" s="200"/>
      <c r="T606" s="200"/>
      <c r="U606" s="152"/>
      <c r="V606" s="152"/>
      <c r="W606" s="157"/>
    </row>
    <row r="607" ht="15.75" customHeight="1">
      <c r="B607" s="199"/>
      <c r="N607" s="152"/>
      <c r="Q607" s="195"/>
      <c r="S607" s="200"/>
      <c r="T607" s="200"/>
      <c r="U607" s="152"/>
      <c r="V607" s="152"/>
      <c r="W607" s="157"/>
    </row>
    <row r="608" ht="15.75" customHeight="1">
      <c r="B608" s="199"/>
      <c r="N608" s="152"/>
      <c r="Q608" s="195"/>
      <c r="S608" s="200"/>
      <c r="T608" s="200"/>
      <c r="U608" s="152"/>
      <c r="V608" s="152"/>
      <c r="W608" s="157"/>
    </row>
    <row r="609" ht="15.75" customHeight="1">
      <c r="B609" s="199"/>
      <c r="N609" s="152"/>
      <c r="Q609" s="195"/>
      <c r="S609" s="200"/>
      <c r="T609" s="200"/>
      <c r="U609" s="152"/>
      <c r="V609" s="152"/>
      <c r="W609" s="157"/>
    </row>
    <row r="610" ht="15.75" customHeight="1">
      <c r="B610" s="199"/>
      <c r="N610" s="152"/>
      <c r="Q610" s="195"/>
      <c r="S610" s="200"/>
      <c r="T610" s="200"/>
      <c r="U610" s="152"/>
      <c r="V610" s="152"/>
      <c r="W610" s="157"/>
    </row>
    <row r="611" ht="15.75" customHeight="1">
      <c r="B611" s="199"/>
      <c r="N611" s="152"/>
      <c r="Q611" s="195"/>
      <c r="S611" s="200"/>
      <c r="T611" s="200"/>
      <c r="U611" s="152"/>
      <c r="V611" s="152"/>
      <c r="W611" s="157"/>
    </row>
    <row r="612" ht="15.75" customHeight="1">
      <c r="B612" s="199"/>
      <c r="N612" s="152"/>
      <c r="Q612" s="195"/>
      <c r="S612" s="200"/>
      <c r="T612" s="200"/>
      <c r="U612" s="152"/>
      <c r="V612" s="152"/>
      <c r="W612" s="157"/>
    </row>
    <row r="613" ht="15.75" customHeight="1">
      <c r="B613" s="199"/>
      <c r="N613" s="152"/>
      <c r="Q613" s="195"/>
      <c r="S613" s="200"/>
      <c r="T613" s="200"/>
      <c r="U613" s="152"/>
      <c r="V613" s="152"/>
      <c r="W613" s="157"/>
    </row>
    <row r="614" ht="15.75" customHeight="1">
      <c r="B614" s="199"/>
      <c r="N614" s="152"/>
      <c r="Q614" s="195"/>
      <c r="S614" s="200"/>
      <c r="T614" s="200"/>
      <c r="U614" s="152"/>
      <c r="V614" s="152"/>
      <c r="W614" s="157"/>
    </row>
    <row r="615" ht="15.75" customHeight="1">
      <c r="B615" s="199"/>
      <c r="N615" s="152"/>
      <c r="Q615" s="195"/>
      <c r="S615" s="200"/>
      <c r="T615" s="200"/>
      <c r="U615" s="152"/>
      <c r="V615" s="152"/>
      <c r="W615" s="157"/>
    </row>
    <row r="616" ht="15.75" customHeight="1">
      <c r="B616" s="199"/>
      <c r="N616" s="152"/>
      <c r="Q616" s="195"/>
      <c r="S616" s="200"/>
      <c r="T616" s="200"/>
      <c r="U616" s="152"/>
      <c r="V616" s="152"/>
      <c r="W616" s="157"/>
    </row>
    <row r="617" ht="15.75" customHeight="1">
      <c r="B617" s="199"/>
      <c r="N617" s="152"/>
      <c r="Q617" s="195"/>
      <c r="S617" s="200"/>
      <c r="T617" s="200"/>
      <c r="U617" s="152"/>
      <c r="V617" s="152"/>
      <c r="W617" s="157"/>
    </row>
    <row r="618" ht="15.75" customHeight="1">
      <c r="B618" s="199"/>
      <c r="N618" s="152"/>
      <c r="Q618" s="195"/>
      <c r="S618" s="200"/>
      <c r="T618" s="200"/>
      <c r="U618" s="152"/>
      <c r="V618" s="152"/>
      <c r="W618" s="157"/>
    </row>
    <row r="619" ht="15.75" customHeight="1">
      <c r="B619" s="199"/>
      <c r="N619" s="152"/>
      <c r="Q619" s="195"/>
      <c r="S619" s="200"/>
      <c r="T619" s="200"/>
      <c r="U619" s="152"/>
      <c r="V619" s="152"/>
      <c r="W619" s="157"/>
    </row>
    <row r="620" ht="15.75" customHeight="1">
      <c r="B620" s="199"/>
      <c r="N620" s="152"/>
      <c r="Q620" s="195"/>
      <c r="S620" s="200"/>
      <c r="T620" s="200"/>
      <c r="U620" s="152"/>
      <c r="V620" s="152"/>
      <c r="W620" s="157"/>
    </row>
    <row r="621" ht="15.75" customHeight="1">
      <c r="B621" s="199"/>
      <c r="N621" s="152"/>
      <c r="Q621" s="195"/>
      <c r="S621" s="200"/>
      <c r="T621" s="200"/>
      <c r="U621" s="152"/>
      <c r="V621" s="152"/>
      <c r="W621" s="157"/>
    </row>
    <row r="622" ht="15.75" customHeight="1">
      <c r="B622" s="199"/>
      <c r="N622" s="152"/>
      <c r="Q622" s="195"/>
      <c r="S622" s="200"/>
      <c r="T622" s="200"/>
      <c r="U622" s="152"/>
      <c r="V622" s="152"/>
      <c r="W622" s="157"/>
    </row>
    <row r="623" ht="15.75" customHeight="1">
      <c r="B623" s="199"/>
      <c r="N623" s="152"/>
      <c r="Q623" s="195"/>
      <c r="S623" s="200"/>
      <c r="T623" s="200"/>
      <c r="U623" s="152"/>
      <c r="V623" s="152"/>
      <c r="W623" s="157"/>
    </row>
    <row r="624" ht="15.75" customHeight="1">
      <c r="B624" s="199"/>
      <c r="N624" s="152"/>
      <c r="Q624" s="195"/>
      <c r="S624" s="200"/>
      <c r="T624" s="200"/>
      <c r="U624" s="152"/>
      <c r="V624" s="152"/>
      <c r="W624" s="157"/>
    </row>
    <row r="625" ht="15.75" customHeight="1">
      <c r="B625" s="199"/>
      <c r="N625" s="152"/>
      <c r="Q625" s="195"/>
      <c r="S625" s="200"/>
      <c r="T625" s="200"/>
      <c r="U625" s="152"/>
      <c r="V625" s="152"/>
      <c r="W625" s="157"/>
    </row>
    <row r="626" ht="15.75" customHeight="1">
      <c r="B626" s="199"/>
      <c r="N626" s="152"/>
      <c r="Q626" s="195"/>
      <c r="S626" s="200"/>
      <c r="T626" s="200"/>
      <c r="U626" s="152"/>
      <c r="V626" s="152"/>
      <c r="W626" s="157"/>
    </row>
    <row r="627" ht="15.75" customHeight="1">
      <c r="B627" s="199"/>
      <c r="N627" s="152"/>
      <c r="Q627" s="195"/>
      <c r="S627" s="200"/>
      <c r="T627" s="200"/>
      <c r="U627" s="152"/>
      <c r="V627" s="152"/>
      <c r="W627" s="157"/>
    </row>
    <row r="628" ht="15.75" customHeight="1">
      <c r="B628" s="199"/>
      <c r="N628" s="152"/>
      <c r="Q628" s="195"/>
      <c r="S628" s="200"/>
      <c r="T628" s="200"/>
      <c r="U628" s="152"/>
      <c r="V628" s="152"/>
      <c r="W628" s="157"/>
    </row>
    <row r="629" ht="15.75" customHeight="1">
      <c r="B629" s="199"/>
      <c r="N629" s="152"/>
      <c r="Q629" s="195"/>
      <c r="S629" s="200"/>
      <c r="T629" s="200"/>
      <c r="U629" s="152"/>
      <c r="V629" s="152"/>
      <c r="W629" s="157"/>
    </row>
    <row r="630" ht="15.75" customHeight="1">
      <c r="B630" s="199"/>
      <c r="N630" s="152"/>
      <c r="Q630" s="195"/>
      <c r="S630" s="200"/>
      <c r="T630" s="200"/>
      <c r="U630" s="152"/>
      <c r="V630" s="152"/>
      <c r="W630" s="157"/>
    </row>
    <row r="631" ht="15.75" customHeight="1">
      <c r="B631" s="199"/>
      <c r="N631" s="152"/>
      <c r="Q631" s="195"/>
      <c r="S631" s="200"/>
      <c r="T631" s="200"/>
      <c r="U631" s="152"/>
      <c r="V631" s="152"/>
      <c r="W631" s="157"/>
    </row>
    <row r="632" ht="15.75" customHeight="1">
      <c r="B632" s="199"/>
      <c r="N632" s="152"/>
      <c r="Q632" s="195"/>
      <c r="S632" s="200"/>
      <c r="T632" s="200"/>
      <c r="U632" s="152"/>
      <c r="V632" s="152"/>
      <c r="W632" s="157"/>
    </row>
    <row r="633" ht="15.75" customHeight="1">
      <c r="B633" s="199"/>
      <c r="N633" s="152"/>
      <c r="Q633" s="195"/>
      <c r="S633" s="200"/>
      <c r="T633" s="200"/>
      <c r="U633" s="152"/>
      <c r="V633" s="152"/>
      <c r="W633" s="157"/>
    </row>
    <row r="634" ht="15.75" customHeight="1">
      <c r="B634" s="199"/>
      <c r="N634" s="152"/>
      <c r="Q634" s="195"/>
      <c r="S634" s="200"/>
      <c r="T634" s="200"/>
      <c r="U634" s="152"/>
      <c r="V634" s="152"/>
      <c r="W634" s="157"/>
    </row>
    <row r="635" ht="15.75" customHeight="1">
      <c r="B635" s="199"/>
      <c r="N635" s="152"/>
      <c r="Q635" s="195"/>
      <c r="S635" s="200"/>
      <c r="T635" s="200"/>
      <c r="U635" s="152"/>
      <c r="V635" s="152"/>
      <c r="W635" s="157"/>
    </row>
    <row r="636" ht="15.75" customHeight="1">
      <c r="B636" s="199"/>
      <c r="N636" s="152"/>
      <c r="Q636" s="195"/>
      <c r="S636" s="200"/>
      <c r="T636" s="200"/>
      <c r="U636" s="152"/>
      <c r="V636" s="152"/>
      <c r="W636" s="157"/>
    </row>
    <row r="637" ht="15.75" customHeight="1">
      <c r="B637" s="199"/>
      <c r="N637" s="152"/>
      <c r="Q637" s="195"/>
      <c r="S637" s="200"/>
      <c r="T637" s="200"/>
      <c r="U637" s="152"/>
      <c r="V637" s="152"/>
      <c r="W637" s="157"/>
    </row>
    <row r="638" ht="15.75" customHeight="1">
      <c r="B638" s="199"/>
      <c r="N638" s="152"/>
      <c r="Q638" s="195"/>
      <c r="S638" s="200"/>
      <c r="T638" s="200"/>
      <c r="U638" s="152"/>
      <c r="V638" s="152"/>
      <c r="W638" s="157"/>
    </row>
    <row r="639" ht="15.75" customHeight="1">
      <c r="B639" s="199"/>
      <c r="N639" s="152"/>
      <c r="Q639" s="195"/>
      <c r="S639" s="200"/>
      <c r="T639" s="200"/>
      <c r="U639" s="152"/>
      <c r="V639" s="152"/>
      <c r="W639" s="157"/>
    </row>
    <row r="640" ht="15.75" customHeight="1">
      <c r="B640" s="199"/>
      <c r="N640" s="152"/>
      <c r="Q640" s="195"/>
      <c r="S640" s="200"/>
      <c r="T640" s="200"/>
      <c r="U640" s="152"/>
      <c r="V640" s="152"/>
      <c r="W640" s="157"/>
    </row>
    <row r="641" ht="15.75" customHeight="1">
      <c r="B641" s="199"/>
      <c r="N641" s="152"/>
      <c r="Q641" s="195"/>
      <c r="S641" s="200"/>
      <c r="T641" s="200"/>
      <c r="U641" s="152"/>
      <c r="V641" s="152"/>
      <c r="W641" s="157"/>
    </row>
    <row r="642" ht="15.75" customHeight="1">
      <c r="B642" s="199"/>
      <c r="N642" s="152"/>
      <c r="Q642" s="195"/>
      <c r="S642" s="200"/>
      <c r="T642" s="200"/>
      <c r="U642" s="152"/>
      <c r="V642" s="152"/>
      <c r="W642" s="157"/>
    </row>
    <row r="643" ht="15.75" customHeight="1">
      <c r="B643" s="199"/>
      <c r="N643" s="152"/>
      <c r="Q643" s="195"/>
      <c r="S643" s="200"/>
      <c r="T643" s="200"/>
      <c r="U643" s="152"/>
      <c r="V643" s="152"/>
      <c r="W643" s="157"/>
    </row>
    <row r="644" ht="15.75" customHeight="1">
      <c r="B644" s="199"/>
      <c r="N644" s="152"/>
      <c r="Q644" s="195"/>
      <c r="S644" s="200"/>
      <c r="T644" s="200"/>
      <c r="U644" s="152"/>
      <c r="V644" s="152"/>
      <c r="W644" s="157"/>
    </row>
    <row r="645" ht="15.75" customHeight="1">
      <c r="B645" s="199"/>
      <c r="N645" s="152"/>
      <c r="Q645" s="195"/>
      <c r="S645" s="200"/>
      <c r="T645" s="200"/>
      <c r="U645" s="152"/>
      <c r="V645" s="152"/>
      <c r="W645" s="157"/>
    </row>
    <row r="646" ht="15.75" customHeight="1">
      <c r="B646" s="199"/>
      <c r="N646" s="152"/>
      <c r="Q646" s="195"/>
      <c r="S646" s="200"/>
      <c r="T646" s="200"/>
      <c r="U646" s="152"/>
      <c r="V646" s="152"/>
      <c r="W646" s="157"/>
    </row>
    <row r="647" ht="15.75" customHeight="1">
      <c r="B647" s="199"/>
      <c r="N647" s="152"/>
      <c r="Q647" s="195"/>
      <c r="S647" s="200"/>
      <c r="T647" s="200"/>
      <c r="U647" s="152"/>
      <c r="V647" s="152"/>
      <c r="W647" s="157"/>
    </row>
    <row r="648" ht="15.75" customHeight="1">
      <c r="B648" s="199"/>
      <c r="N648" s="152"/>
      <c r="Q648" s="195"/>
      <c r="S648" s="200"/>
      <c r="T648" s="200"/>
      <c r="U648" s="152"/>
      <c r="V648" s="152"/>
      <c r="W648" s="157"/>
    </row>
    <row r="649" ht="15.75" customHeight="1">
      <c r="B649" s="199"/>
      <c r="N649" s="152"/>
      <c r="Q649" s="195"/>
      <c r="S649" s="200"/>
      <c r="T649" s="200"/>
      <c r="U649" s="152"/>
      <c r="V649" s="152"/>
      <c r="W649" s="157"/>
    </row>
    <row r="650" ht="15.75" customHeight="1">
      <c r="B650" s="199"/>
      <c r="N650" s="152"/>
      <c r="Q650" s="195"/>
      <c r="S650" s="200"/>
      <c r="T650" s="200"/>
      <c r="U650" s="152"/>
      <c r="V650" s="152"/>
      <c r="W650" s="157"/>
    </row>
    <row r="651" ht="15.75" customHeight="1">
      <c r="B651" s="199"/>
      <c r="N651" s="152"/>
      <c r="Q651" s="195"/>
      <c r="S651" s="200"/>
      <c r="T651" s="200"/>
      <c r="U651" s="152"/>
      <c r="V651" s="152"/>
      <c r="W651" s="157"/>
    </row>
    <row r="652" ht="15.75" customHeight="1">
      <c r="B652" s="199"/>
      <c r="N652" s="152"/>
      <c r="Q652" s="195"/>
      <c r="S652" s="200"/>
      <c r="T652" s="200"/>
      <c r="U652" s="152"/>
      <c r="V652" s="152"/>
      <c r="W652" s="157"/>
    </row>
    <row r="653" ht="15.75" customHeight="1">
      <c r="B653" s="199"/>
      <c r="N653" s="152"/>
      <c r="Q653" s="195"/>
      <c r="S653" s="200"/>
      <c r="T653" s="200"/>
      <c r="U653" s="152"/>
      <c r="V653" s="152"/>
      <c r="W653" s="157"/>
    </row>
    <row r="654" ht="15.75" customHeight="1">
      <c r="B654" s="199"/>
      <c r="N654" s="152"/>
      <c r="Q654" s="195"/>
      <c r="S654" s="200"/>
      <c r="T654" s="200"/>
      <c r="U654" s="152"/>
      <c r="V654" s="152"/>
      <c r="W654" s="157"/>
    </row>
    <row r="655" ht="15.75" customHeight="1">
      <c r="B655" s="199"/>
      <c r="N655" s="152"/>
      <c r="Q655" s="195"/>
      <c r="S655" s="200"/>
      <c r="T655" s="200"/>
      <c r="U655" s="152"/>
      <c r="V655" s="152"/>
      <c r="W655" s="157"/>
    </row>
    <row r="656" ht="15.75" customHeight="1">
      <c r="B656" s="199"/>
      <c r="N656" s="152"/>
      <c r="Q656" s="195"/>
      <c r="S656" s="200"/>
      <c r="T656" s="200"/>
      <c r="U656" s="152"/>
      <c r="V656" s="152"/>
      <c r="W656" s="157"/>
    </row>
    <row r="657" ht="15.75" customHeight="1">
      <c r="B657" s="199"/>
      <c r="N657" s="152"/>
      <c r="Q657" s="195"/>
      <c r="S657" s="200"/>
      <c r="T657" s="200"/>
      <c r="U657" s="152"/>
      <c r="V657" s="152"/>
      <c r="W657" s="157"/>
    </row>
    <row r="658" ht="15.75" customHeight="1">
      <c r="B658" s="199"/>
      <c r="N658" s="152"/>
      <c r="Q658" s="195"/>
      <c r="S658" s="200"/>
      <c r="T658" s="200"/>
      <c r="U658" s="152"/>
      <c r="V658" s="152"/>
      <c r="W658" s="157"/>
    </row>
    <row r="659" ht="15.75" customHeight="1">
      <c r="B659" s="199"/>
      <c r="N659" s="152"/>
      <c r="Q659" s="195"/>
      <c r="S659" s="200"/>
      <c r="T659" s="200"/>
      <c r="U659" s="152"/>
      <c r="V659" s="152"/>
      <c r="W659" s="157"/>
    </row>
    <row r="660" ht="15.75" customHeight="1">
      <c r="B660" s="199"/>
      <c r="N660" s="152"/>
      <c r="Q660" s="195"/>
      <c r="S660" s="200"/>
      <c r="T660" s="200"/>
      <c r="U660" s="152"/>
      <c r="V660" s="152"/>
      <c r="W660" s="157"/>
    </row>
    <row r="661" ht="15.75" customHeight="1">
      <c r="B661" s="199"/>
      <c r="N661" s="152"/>
      <c r="Q661" s="195"/>
      <c r="S661" s="200"/>
      <c r="T661" s="200"/>
      <c r="U661" s="152"/>
      <c r="V661" s="152"/>
      <c r="W661" s="157"/>
    </row>
    <row r="662" ht="15.75" customHeight="1">
      <c r="B662" s="199"/>
      <c r="N662" s="152"/>
      <c r="Q662" s="195"/>
      <c r="S662" s="200"/>
      <c r="T662" s="200"/>
      <c r="U662" s="152"/>
      <c r="V662" s="152"/>
      <c r="W662" s="157"/>
    </row>
    <row r="663" ht="15.75" customHeight="1">
      <c r="B663" s="199"/>
      <c r="N663" s="152"/>
      <c r="Q663" s="195"/>
      <c r="S663" s="200"/>
      <c r="T663" s="200"/>
      <c r="U663" s="152"/>
      <c r="V663" s="152"/>
      <c r="W663" s="157"/>
    </row>
    <row r="664" ht="15.75" customHeight="1">
      <c r="B664" s="199"/>
      <c r="N664" s="152"/>
      <c r="Q664" s="195"/>
      <c r="S664" s="200"/>
      <c r="T664" s="200"/>
      <c r="U664" s="152"/>
      <c r="V664" s="152"/>
      <c r="W664" s="157"/>
    </row>
    <row r="665" ht="15.75" customHeight="1">
      <c r="B665" s="199"/>
      <c r="N665" s="152"/>
      <c r="Q665" s="195"/>
      <c r="S665" s="200"/>
      <c r="T665" s="200"/>
      <c r="U665" s="152"/>
      <c r="V665" s="152"/>
      <c r="W665" s="157"/>
    </row>
    <row r="666" ht="15.75" customHeight="1">
      <c r="B666" s="199"/>
      <c r="N666" s="152"/>
      <c r="Q666" s="195"/>
      <c r="S666" s="200"/>
      <c r="T666" s="200"/>
      <c r="U666" s="152"/>
      <c r="V666" s="152"/>
      <c r="W666" s="157"/>
    </row>
    <row r="667" ht="15.75" customHeight="1">
      <c r="B667" s="199"/>
      <c r="N667" s="152"/>
      <c r="Q667" s="195"/>
      <c r="S667" s="200"/>
      <c r="T667" s="200"/>
      <c r="U667" s="152"/>
      <c r="V667" s="152"/>
      <c r="W667" s="157"/>
    </row>
    <row r="668" ht="15.75" customHeight="1">
      <c r="B668" s="199"/>
      <c r="N668" s="152"/>
      <c r="Q668" s="195"/>
      <c r="S668" s="200"/>
      <c r="T668" s="200"/>
      <c r="U668" s="152"/>
      <c r="V668" s="152"/>
      <c r="W668" s="157"/>
    </row>
    <row r="669" ht="15.75" customHeight="1">
      <c r="B669" s="199"/>
      <c r="N669" s="152"/>
      <c r="Q669" s="195"/>
      <c r="S669" s="200"/>
      <c r="T669" s="200"/>
      <c r="U669" s="152"/>
      <c r="V669" s="152"/>
      <c r="W669" s="157"/>
    </row>
    <row r="670" ht="15.75" customHeight="1">
      <c r="B670" s="199"/>
      <c r="N670" s="152"/>
      <c r="Q670" s="195"/>
      <c r="S670" s="200"/>
      <c r="T670" s="200"/>
      <c r="U670" s="152"/>
      <c r="V670" s="152"/>
      <c r="W670" s="157"/>
    </row>
    <row r="671" ht="15.75" customHeight="1">
      <c r="B671" s="199"/>
      <c r="N671" s="152"/>
      <c r="Q671" s="195"/>
      <c r="S671" s="200"/>
      <c r="T671" s="200"/>
      <c r="U671" s="152"/>
      <c r="V671" s="152"/>
      <c r="W671" s="157"/>
    </row>
    <row r="672" ht="15.75" customHeight="1">
      <c r="B672" s="199"/>
      <c r="N672" s="152"/>
      <c r="Q672" s="195"/>
      <c r="S672" s="200"/>
      <c r="T672" s="200"/>
      <c r="U672" s="152"/>
      <c r="V672" s="152"/>
      <c r="W672" s="157"/>
    </row>
    <row r="673" ht="15.75" customHeight="1">
      <c r="B673" s="199"/>
      <c r="N673" s="152"/>
      <c r="Q673" s="195"/>
      <c r="S673" s="200"/>
      <c r="T673" s="200"/>
      <c r="U673" s="152"/>
      <c r="V673" s="152"/>
      <c r="W673" s="157"/>
    </row>
    <row r="674" ht="15.75" customHeight="1">
      <c r="B674" s="199"/>
      <c r="N674" s="152"/>
      <c r="Q674" s="195"/>
      <c r="S674" s="200"/>
      <c r="T674" s="200"/>
      <c r="U674" s="152"/>
      <c r="V674" s="152"/>
      <c r="W674" s="157"/>
    </row>
    <row r="675" ht="15.75" customHeight="1">
      <c r="B675" s="199"/>
      <c r="N675" s="152"/>
      <c r="Q675" s="195"/>
      <c r="S675" s="200"/>
      <c r="T675" s="200"/>
      <c r="U675" s="152"/>
      <c r="V675" s="152"/>
      <c r="W675" s="157"/>
    </row>
    <row r="676" ht="15.75" customHeight="1">
      <c r="B676" s="199"/>
      <c r="N676" s="152"/>
      <c r="Q676" s="195"/>
      <c r="S676" s="200"/>
      <c r="T676" s="200"/>
      <c r="U676" s="152"/>
      <c r="V676" s="152"/>
      <c r="W676" s="157"/>
    </row>
    <row r="677" ht="15.75" customHeight="1">
      <c r="B677" s="199"/>
      <c r="N677" s="152"/>
      <c r="Q677" s="195"/>
      <c r="S677" s="200"/>
      <c r="T677" s="200"/>
      <c r="U677" s="152"/>
      <c r="V677" s="152"/>
      <c r="W677" s="157"/>
    </row>
    <row r="678" ht="15.75" customHeight="1">
      <c r="B678" s="199"/>
      <c r="N678" s="152"/>
      <c r="Q678" s="195"/>
      <c r="S678" s="200"/>
      <c r="T678" s="200"/>
      <c r="U678" s="152"/>
      <c r="V678" s="152"/>
      <c r="W678" s="157"/>
    </row>
    <row r="679" ht="15.75" customHeight="1">
      <c r="B679" s="199"/>
      <c r="N679" s="152"/>
      <c r="Q679" s="195"/>
      <c r="S679" s="200"/>
      <c r="T679" s="200"/>
      <c r="U679" s="152"/>
      <c r="V679" s="152"/>
      <c r="W679" s="157"/>
    </row>
    <row r="680" ht="15.75" customHeight="1">
      <c r="B680" s="199"/>
      <c r="N680" s="152"/>
      <c r="Q680" s="195"/>
      <c r="S680" s="200"/>
      <c r="T680" s="200"/>
      <c r="U680" s="152"/>
      <c r="V680" s="152"/>
      <c r="W680" s="157"/>
    </row>
    <row r="681" ht="15.75" customHeight="1">
      <c r="B681" s="199"/>
      <c r="N681" s="152"/>
      <c r="Q681" s="195"/>
      <c r="S681" s="200"/>
      <c r="T681" s="200"/>
      <c r="U681" s="152"/>
      <c r="V681" s="152"/>
      <c r="W681" s="157"/>
    </row>
    <row r="682" ht="15.75" customHeight="1">
      <c r="B682" s="199"/>
      <c r="N682" s="152"/>
      <c r="Q682" s="195"/>
      <c r="S682" s="200"/>
      <c r="T682" s="200"/>
      <c r="U682" s="152"/>
      <c r="V682" s="152"/>
      <c r="W682" s="157"/>
    </row>
    <row r="683" ht="15.75" customHeight="1">
      <c r="B683" s="199"/>
      <c r="N683" s="152"/>
      <c r="Q683" s="195"/>
      <c r="S683" s="200"/>
      <c r="T683" s="200"/>
      <c r="U683" s="152"/>
      <c r="V683" s="152"/>
      <c r="W683" s="157"/>
    </row>
    <row r="684" ht="15.75" customHeight="1">
      <c r="B684" s="199"/>
      <c r="N684" s="152"/>
      <c r="Q684" s="195"/>
      <c r="S684" s="200"/>
      <c r="T684" s="200"/>
      <c r="U684" s="152"/>
      <c r="V684" s="152"/>
      <c r="W684" s="157"/>
    </row>
    <row r="685" ht="15.75" customHeight="1">
      <c r="B685" s="199"/>
      <c r="N685" s="152"/>
      <c r="Q685" s="195"/>
      <c r="S685" s="200"/>
      <c r="T685" s="200"/>
      <c r="U685" s="152"/>
      <c r="V685" s="152"/>
      <c r="W685" s="157"/>
    </row>
    <row r="686" ht="15.75" customHeight="1">
      <c r="B686" s="199"/>
      <c r="N686" s="152"/>
      <c r="Q686" s="195"/>
      <c r="S686" s="200"/>
      <c r="T686" s="200"/>
      <c r="U686" s="152"/>
      <c r="V686" s="152"/>
      <c r="W686" s="157"/>
    </row>
    <row r="687" ht="15.75" customHeight="1">
      <c r="B687" s="199"/>
      <c r="N687" s="152"/>
      <c r="Q687" s="195"/>
      <c r="S687" s="200"/>
      <c r="T687" s="200"/>
      <c r="U687" s="152"/>
      <c r="V687" s="152"/>
      <c r="W687" s="157"/>
    </row>
    <row r="688" ht="15.75" customHeight="1">
      <c r="B688" s="199"/>
      <c r="N688" s="152"/>
      <c r="Q688" s="195"/>
      <c r="S688" s="200"/>
      <c r="T688" s="200"/>
      <c r="U688" s="152"/>
      <c r="V688" s="152"/>
      <c r="W688" s="157"/>
    </row>
    <row r="689" ht="15.75" customHeight="1">
      <c r="B689" s="199"/>
      <c r="N689" s="152"/>
      <c r="Q689" s="195"/>
      <c r="S689" s="200"/>
      <c r="T689" s="200"/>
      <c r="U689" s="152"/>
      <c r="V689" s="152"/>
      <c r="W689" s="157"/>
    </row>
    <row r="690" ht="15.75" customHeight="1">
      <c r="B690" s="199"/>
      <c r="N690" s="152"/>
      <c r="Q690" s="195"/>
      <c r="S690" s="200"/>
      <c r="T690" s="200"/>
      <c r="U690" s="152"/>
      <c r="V690" s="152"/>
      <c r="W690" s="157"/>
    </row>
    <row r="691" ht="15.75" customHeight="1">
      <c r="B691" s="199"/>
      <c r="N691" s="152"/>
      <c r="Q691" s="195"/>
      <c r="S691" s="200"/>
      <c r="T691" s="200"/>
      <c r="U691" s="152"/>
      <c r="V691" s="152"/>
      <c r="W691" s="157"/>
    </row>
    <row r="692" ht="15.75" customHeight="1">
      <c r="B692" s="199"/>
      <c r="N692" s="152"/>
      <c r="Q692" s="195"/>
      <c r="S692" s="200"/>
      <c r="T692" s="200"/>
      <c r="U692" s="152"/>
      <c r="V692" s="152"/>
      <c r="W692" s="157"/>
    </row>
    <row r="693" ht="15.75" customHeight="1">
      <c r="B693" s="199"/>
      <c r="N693" s="152"/>
      <c r="Q693" s="195"/>
      <c r="S693" s="200"/>
      <c r="T693" s="200"/>
      <c r="U693" s="152"/>
      <c r="V693" s="152"/>
      <c r="W693" s="157"/>
    </row>
    <row r="694" ht="15.75" customHeight="1">
      <c r="B694" s="199"/>
      <c r="N694" s="152"/>
      <c r="Q694" s="195"/>
      <c r="S694" s="200"/>
      <c r="T694" s="200"/>
      <c r="U694" s="152"/>
      <c r="V694" s="152"/>
      <c r="W694" s="157"/>
    </row>
    <row r="695" ht="15.75" customHeight="1">
      <c r="B695" s="199"/>
      <c r="N695" s="152"/>
      <c r="Q695" s="195"/>
      <c r="S695" s="200"/>
      <c r="T695" s="200"/>
      <c r="U695" s="152"/>
      <c r="V695" s="152"/>
      <c r="W695" s="157"/>
    </row>
    <row r="696" ht="15.75" customHeight="1">
      <c r="B696" s="199"/>
      <c r="N696" s="152"/>
      <c r="Q696" s="195"/>
      <c r="S696" s="200"/>
      <c r="T696" s="200"/>
      <c r="U696" s="152"/>
      <c r="V696" s="152"/>
      <c r="W696" s="157"/>
    </row>
    <row r="697" ht="15.75" customHeight="1">
      <c r="B697" s="199"/>
      <c r="N697" s="152"/>
      <c r="Q697" s="195"/>
      <c r="S697" s="200"/>
      <c r="T697" s="200"/>
      <c r="U697" s="152"/>
      <c r="V697" s="152"/>
      <c r="W697" s="157"/>
    </row>
    <row r="698" ht="15.75" customHeight="1">
      <c r="B698" s="199"/>
      <c r="N698" s="152"/>
      <c r="Q698" s="195"/>
      <c r="S698" s="200"/>
      <c r="T698" s="200"/>
      <c r="U698" s="152"/>
      <c r="V698" s="152"/>
      <c r="W698" s="157"/>
    </row>
    <row r="699" ht="15.75" customHeight="1">
      <c r="B699" s="199"/>
      <c r="N699" s="152"/>
      <c r="Q699" s="195"/>
      <c r="S699" s="200"/>
      <c r="T699" s="200"/>
      <c r="U699" s="152"/>
      <c r="V699" s="152"/>
      <c r="W699" s="157"/>
    </row>
    <row r="700" ht="15.75" customHeight="1">
      <c r="B700" s="199"/>
      <c r="N700" s="152"/>
      <c r="Q700" s="195"/>
      <c r="S700" s="200"/>
      <c r="T700" s="200"/>
      <c r="U700" s="152"/>
      <c r="V700" s="152"/>
      <c r="W700" s="157"/>
    </row>
    <row r="701" ht="15.75" customHeight="1">
      <c r="B701" s="199"/>
      <c r="N701" s="152"/>
      <c r="Q701" s="195"/>
      <c r="S701" s="200"/>
      <c r="T701" s="200"/>
      <c r="U701" s="152"/>
      <c r="V701" s="152"/>
      <c r="W701" s="157"/>
    </row>
    <row r="702" ht="15.75" customHeight="1">
      <c r="B702" s="199"/>
      <c r="N702" s="152"/>
      <c r="Q702" s="195"/>
      <c r="S702" s="200"/>
      <c r="T702" s="200"/>
      <c r="U702" s="152"/>
      <c r="V702" s="152"/>
      <c r="W702" s="157"/>
    </row>
    <row r="703" ht="15.75" customHeight="1">
      <c r="B703" s="199"/>
      <c r="N703" s="152"/>
      <c r="Q703" s="195"/>
      <c r="S703" s="200"/>
      <c r="T703" s="200"/>
      <c r="U703" s="152"/>
      <c r="V703" s="152"/>
      <c r="W703" s="157"/>
    </row>
    <row r="704" ht="15.75" customHeight="1">
      <c r="B704" s="199"/>
      <c r="N704" s="152"/>
      <c r="Q704" s="195"/>
      <c r="S704" s="200"/>
      <c r="T704" s="200"/>
      <c r="U704" s="152"/>
      <c r="V704" s="152"/>
      <c r="W704" s="157"/>
    </row>
    <row r="705" ht="15.75" customHeight="1">
      <c r="B705" s="199"/>
      <c r="N705" s="152"/>
      <c r="Q705" s="195"/>
      <c r="S705" s="200"/>
      <c r="T705" s="200"/>
      <c r="U705" s="152"/>
      <c r="V705" s="152"/>
      <c r="W705" s="157"/>
    </row>
    <row r="706" ht="15.75" customHeight="1">
      <c r="B706" s="199"/>
      <c r="N706" s="152"/>
      <c r="Q706" s="195"/>
      <c r="S706" s="200"/>
      <c r="T706" s="200"/>
      <c r="U706" s="152"/>
      <c r="V706" s="152"/>
      <c r="W706" s="157"/>
    </row>
    <row r="707" ht="15.75" customHeight="1">
      <c r="B707" s="199"/>
      <c r="N707" s="152"/>
      <c r="Q707" s="195"/>
      <c r="S707" s="200"/>
      <c r="T707" s="200"/>
      <c r="U707" s="152"/>
      <c r="V707" s="152"/>
      <c r="W707" s="157"/>
    </row>
    <row r="708" ht="15.75" customHeight="1">
      <c r="B708" s="199"/>
      <c r="N708" s="152"/>
      <c r="Q708" s="195"/>
      <c r="S708" s="200"/>
      <c r="T708" s="200"/>
      <c r="U708" s="152"/>
      <c r="V708" s="152"/>
      <c r="W708" s="157"/>
    </row>
    <row r="709" ht="15.75" customHeight="1">
      <c r="B709" s="199"/>
      <c r="N709" s="152"/>
      <c r="Q709" s="195"/>
      <c r="S709" s="200"/>
      <c r="T709" s="200"/>
      <c r="U709" s="152"/>
      <c r="V709" s="152"/>
      <c r="W709" s="157"/>
    </row>
    <row r="710" ht="15.75" customHeight="1">
      <c r="B710" s="199"/>
      <c r="N710" s="152"/>
      <c r="Q710" s="195"/>
      <c r="S710" s="200"/>
      <c r="T710" s="200"/>
      <c r="U710" s="152"/>
      <c r="V710" s="152"/>
      <c r="W710" s="157"/>
    </row>
    <row r="711" ht="15.75" customHeight="1">
      <c r="B711" s="199"/>
      <c r="N711" s="152"/>
      <c r="Q711" s="195"/>
      <c r="S711" s="200"/>
      <c r="T711" s="200"/>
      <c r="U711" s="152"/>
      <c r="V711" s="152"/>
      <c r="W711" s="157"/>
    </row>
    <row r="712" ht="15.75" customHeight="1">
      <c r="B712" s="199"/>
      <c r="N712" s="152"/>
      <c r="Q712" s="195"/>
      <c r="S712" s="200"/>
      <c r="T712" s="200"/>
      <c r="U712" s="152"/>
      <c r="V712" s="152"/>
      <c r="W712" s="157"/>
    </row>
    <row r="713" ht="15.75" customHeight="1">
      <c r="B713" s="199"/>
      <c r="N713" s="152"/>
      <c r="Q713" s="195"/>
      <c r="S713" s="200"/>
      <c r="T713" s="200"/>
      <c r="U713" s="152"/>
      <c r="V713" s="152"/>
      <c r="W713" s="157"/>
    </row>
    <row r="714" ht="15.75" customHeight="1">
      <c r="B714" s="199"/>
      <c r="N714" s="152"/>
      <c r="Q714" s="195"/>
      <c r="S714" s="200"/>
      <c r="T714" s="200"/>
      <c r="U714" s="152"/>
      <c r="V714" s="152"/>
      <c r="W714" s="157"/>
    </row>
    <row r="715" ht="15.75" customHeight="1">
      <c r="B715" s="199"/>
      <c r="N715" s="152"/>
      <c r="Q715" s="195"/>
      <c r="S715" s="200"/>
      <c r="T715" s="200"/>
      <c r="U715" s="152"/>
      <c r="V715" s="152"/>
      <c r="W715" s="157"/>
    </row>
    <row r="716" ht="15.75" customHeight="1">
      <c r="B716" s="199"/>
      <c r="N716" s="152"/>
      <c r="Q716" s="195"/>
      <c r="S716" s="200"/>
      <c r="T716" s="200"/>
      <c r="U716" s="152"/>
      <c r="V716" s="152"/>
      <c r="W716" s="157"/>
    </row>
    <row r="717" ht="15.75" customHeight="1">
      <c r="B717" s="199"/>
      <c r="N717" s="152"/>
      <c r="Q717" s="195"/>
      <c r="S717" s="200"/>
      <c r="T717" s="200"/>
      <c r="U717" s="152"/>
      <c r="V717" s="152"/>
      <c r="W717" s="157"/>
    </row>
    <row r="718" ht="15.75" customHeight="1">
      <c r="B718" s="199"/>
      <c r="N718" s="152"/>
      <c r="Q718" s="195"/>
      <c r="S718" s="200"/>
      <c r="T718" s="200"/>
      <c r="U718" s="152"/>
      <c r="V718" s="152"/>
      <c r="W718" s="157"/>
    </row>
    <row r="719" ht="15.75" customHeight="1">
      <c r="B719" s="199"/>
      <c r="N719" s="152"/>
      <c r="Q719" s="195"/>
      <c r="S719" s="200"/>
      <c r="T719" s="200"/>
      <c r="U719" s="152"/>
      <c r="V719" s="152"/>
      <c r="W719" s="157"/>
    </row>
    <row r="720" ht="15.75" customHeight="1">
      <c r="B720" s="199"/>
      <c r="N720" s="152"/>
      <c r="Q720" s="195"/>
      <c r="S720" s="200"/>
      <c r="T720" s="200"/>
      <c r="U720" s="152"/>
      <c r="V720" s="152"/>
      <c r="W720" s="157"/>
    </row>
    <row r="721" ht="15.75" customHeight="1">
      <c r="B721" s="199"/>
      <c r="N721" s="152"/>
      <c r="Q721" s="195"/>
      <c r="S721" s="200"/>
      <c r="T721" s="200"/>
      <c r="U721" s="152"/>
      <c r="V721" s="152"/>
      <c r="W721" s="157"/>
    </row>
    <row r="722" ht="15.75" customHeight="1">
      <c r="B722" s="199"/>
      <c r="N722" s="152"/>
      <c r="Q722" s="195"/>
      <c r="S722" s="200"/>
      <c r="T722" s="200"/>
      <c r="U722" s="152"/>
      <c r="V722" s="152"/>
      <c r="W722" s="157"/>
    </row>
    <row r="723" ht="15.75" customHeight="1">
      <c r="B723" s="199"/>
      <c r="N723" s="152"/>
      <c r="Q723" s="195"/>
      <c r="S723" s="200"/>
      <c r="T723" s="200"/>
      <c r="U723" s="152"/>
      <c r="V723" s="152"/>
      <c r="W723" s="157"/>
    </row>
    <row r="724" ht="15.75" customHeight="1">
      <c r="B724" s="199"/>
      <c r="N724" s="152"/>
      <c r="Q724" s="195"/>
      <c r="S724" s="200"/>
      <c r="T724" s="200"/>
      <c r="U724" s="152"/>
      <c r="V724" s="152"/>
      <c r="W724" s="157"/>
    </row>
    <row r="725" ht="15.75" customHeight="1">
      <c r="B725" s="199"/>
      <c r="N725" s="152"/>
      <c r="Q725" s="195"/>
      <c r="S725" s="200"/>
      <c r="T725" s="200"/>
      <c r="U725" s="152"/>
      <c r="V725" s="152"/>
      <c r="W725" s="157"/>
    </row>
    <row r="726" ht="15.75" customHeight="1">
      <c r="B726" s="199"/>
      <c r="N726" s="152"/>
      <c r="Q726" s="195"/>
      <c r="S726" s="200"/>
      <c r="T726" s="200"/>
      <c r="U726" s="152"/>
      <c r="V726" s="152"/>
      <c r="W726" s="157"/>
    </row>
    <row r="727" ht="15.75" customHeight="1">
      <c r="B727" s="199"/>
      <c r="N727" s="152"/>
      <c r="Q727" s="195"/>
      <c r="S727" s="200"/>
      <c r="T727" s="200"/>
      <c r="U727" s="152"/>
      <c r="V727" s="152"/>
      <c r="W727" s="157"/>
    </row>
    <row r="728" ht="15.75" customHeight="1">
      <c r="B728" s="199"/>
      <c r="N728" s="152"/>
      <c r="Q728" s="195"/>
      <c r="S728" s="200"/>
      <c r="T728" s="200"/>
      <c r="U728" s="152"/>
      <c r="V728" s="152"/>
      <c r="W728" s="157"/>
    </row>
    <row r="729" ht="15.75" customHeight="1">
      <c r="B729" s="199"/>
      <c r="N729" s="152"/>
      <c r="Q729" s="195"/>
      <c r="S729" s="200"/>
      <c r="T729" s="200"/>
      <c r="U729" s="152"/>
      <c r="V729" s="152"/>
      <c r="W729" s="157"/>
    </row>
    <row r="730" ht="15.75" customHeight="1">
      <c r="B730" s="199"/>
      <c r="N730" s="152"/>
      <c r="Q730" s="195"/>
      <c r="S730" s="200"/>
      <c r="T730" s="200"/>
      <c r="U730" s="152"/>
      <c r="V730" s="152"/>
      <c r="W730" s="157"/>
    </row>
    <row r="731" ht="15.75" customHeight="1">
      <c r="B731" s="199"/>
      <c r="N731" s="152"/>
      <c r="Q731" s="195"/>
      <c r="S731" s="200"/>
      <c r="T731" s="200"/>
      <c r="U731" s="152"/>
      <c r="V731" s="152"/>
      <c r="W731" s="157"/>
    </row>
    <row r="732" ht="15.75" customHeight="1">
      <c r="B732" s="199"/>
      <c r="N732" s="152"/>
      <c r="Q732" s="195"/>
      <c r="S732" s="200"/>
      <c r="T732" s="200"/>
      <c r="U732" s="152"/>
      <c r="V732" s="152"/>
      <c r="W732" s="157"/>
    </row>
    <row r="733" ht="15.75" customHeight="1">
      <c r="B733" s="199"/>
      <c r="N733" s="152"/>
      <c r="Q733" s="195"/>
      <c r="S733" s="200"/>
      <c r="T733" s="200"/>
      <c r="U733" s="152"/>
      <c r="V733" s="152"/>
      <c r="W733" s="157"/>
    </row>
    <row r="734" ht="15.75" customHeight="1">
      <c r="B734" s="199"/>
      <c r="N734" s="152"/>
      <c r="Q734" s="195"/>
      <c r="S734" s="200"/>
      <c r="T734" s="200"/>
      <c r="U734" s="152"/>
      <c r="V734" s="152"/>
      <c r="W734" s="157"/>
    </row>
    <row r="735" ht="15.75" customHeight="1">
      <c r="B735" s="199"/>
      <c r="N735" s="152"/>
      <c r="Q735" s="195"/>
      <c r="S735" s="200"/>
      <c r="T735" s="200"/>
      <c r="U735" s="152"/>
      <c r="V735" s="152"/>
      <c r="W735" s="157"/>
    </row>
    <row r="736" ht="15.75" customHeight="1">
      <c r="B736" s="199"/>
      <c r="N736" s="152"/>
      <c r="Q736" s="195"/>
      <c r="S736" s="200"/>
      <c r="T736" s="200"/>
      <c r="U736" s="152"/>
      <c r="V736" s="152"/>
      <c r="W736" s="157"/>
    </row>
    <row r="737" ht="15.75" customHeight="1">
      <c r="B737" s="199"/>
      <c r="N737" s="152"/>
      <c r="Q737" s="195"/>
      <c r="S737" s="200"/>
      <c r="T737" s="200"/>
      <c r="U737" s="152"/>
      <c r="V737" s="152"/>
      <c r="W737" s="157"/>
    </row>
    <row r="738" ht="15.75" customHeight="1">
      <c r="B738" s="199"/>
      <c r="N738" s="152"/>
      <c r="Q738" s="195"/>
      <c r="S738" s="200"/>
      <c r="T738" s="200"/>
      <c r="U738" s="152"/>
      <c r="V738" s="152"/>
      <c r="W738" s="157"/>
    </row>
    <row r="739" ht="15.75" customHeight="1">
      <c r="B739" s="199"/>
      <c r="N739" s="152"/>
      <c r="Q739" s="195"/>
      <c r="S739" s="200"/>
      <c r="T739" s="200"/>
      <c r="U739" s="152"/>
      <c r="V739" s="152"/>
      <c r="W739" s="157"/>
    </row>
    <row r="740" ht="15.75" customHeight="1">
      <c r="B740" s="199"/>
      <c r="N740" s="152"/>
      <c r="Q740" s="195"/>
      <c r="S740" s="200"/>
      <c r="T740" s="200"/>
      <c r="U740" s="152"/>
      <c r="V740" s="152"/>
      <c r="W740" s="157"/>
    </row>
    <row r="741" ht="15.75" customHeight="1">
      <c r="B741" s="199"/>
      <c r="N741" s="152"/>
      <c r="Q741" s="195"/>
      <c r="S741" s="200"/>
      <c r="T741" s="200"/>
      <c r="U741" s="152"/>
      <c r="V741" s="152"/>
      <c r="W741" s="157"/>
    </row>
    <row r="742" ht="15.75" customHeight="1">
      <c r="B742" s="199"/>
      <c r="N742" s="152"/>
      <c r="Q742" s="195"/>
      <c r="S742" s="200"/>
      <c r="T742" s="200"/>
      <c r="U742" s="152"/>
      <c r="V742" s="152"/>
      <c r="W742" s="157"/>
    </row>
    <row r="743" ht="15.75" customHeight="1">
      <c r="B743" s="199"/>
      <c r="N743" s="152"/>
      <c r="Q743" s="195"/>
      <c r="S743" s="200"/>
      <c r="T743" s="200"/>
      <c r="U743" s="152"/>
      <c r="V743" s="152"/>
      <c r="W743" s="157"/>
    </row>
    <row r="744" ht="15.75" customHeight="1">
      <c r="B744" s="199"/>
      <c r="N744" s="152"/>
      <c r="Q744" s="195"/>
      <c r="S744" s="200"/>
      <c r="T744" s="200"/>
      <c r="U744" s="152"/>
      <c r="V744" s="152"/>
      <c r="W744" s="157"/>
    </row>
    <row r="745" ht="15.75" customHeight="1">
      <c r="B745" s="199"/>
      <c r="N745" s="152"/>
      <c r="Q745" s="195"/>
      <c r="S745" s="200"/>
      <c r="T745" s="200"/>
      <c r="U745" s="152"/>
      <c r="V745" s="152"/>
      <c r="W745" s="157"/>
    </row>
    <row r="746" ht="15.75" customHeight="1">
      <c r="B746" s="199"/>
      <c r="N746" s="152"/>
      <c r="Q746" s="195"/>
      <c r="S746" s="200"/>
      <c r="T746" s="200"/>
      <c r="U746" s="152"/>
      <c r="V746" s="152"/>
      <c r="W746" s="157"/>
    </row>
    <row r="747" ht="15.75" customHeight="1">
      <c r="B747" s="199"/>
      <c r="N747" s="152"/>
      <c r="Q747" s="195"/>
      <c r="S747" s="200"/>
      <c r="T747" s="200"/>
      <c r="U747" s="152"/>
      <c r="V747" s="152"/>
      <c r="W747" s="157"/>
    </row>
    <row r="748" ht="15.75" customHeight="1">
      <c r="B748" s="199"/>
      <c r="N748" s="152"/>
      <c r="Q748" s="195"/>
      <c r="S748" s="200"/>
      <c r="T748" s="200"/>
      <c r="U748" s="152"/>
      <c r="V748" s="152"/>
      <c r="W748" s="157"/>
    </row>
    <row r="749" ht="15.75" customHeight="1">
      <c r="B749" s="199"/>
      <c r="N749" s="152"/>
      <c r="Q749" s="195"/>
      <c r="S749" s="200"/>
      <c r="T749" s="200"/>
      <c r="U749" s="152"/>
      <c r="V749" s="152"/>
      <c r="W749" s="157"/>
    </row>
    <row r="750" ht="15.75" customHeight="1">
      <c r="B750" s="199"/>
      <c r="N750" s="152"/>
      <c r="Q750" s="195"/>
      <c r="S750" s="200"/>
      <c r="T750" s="200"/>
      <c r="U750" s="152"/>
      <c r="V750" s="152"/>
      <c r="W750" s="157"/>
    </row>
    <row r="751" ht="15.75" customHeight="1">
      <c r="B751" s="199"/>
      <c r="N751" s="152"/>
      <c r="Q751" s="195"/>
      <c r="S751" s="200"/>
      <c r="T751" s="200"/>
      <c r="U751" s="152"/>
      <c r="V751" s="152"/>
      <c r="W751" s="157"/>
    </row>
    <row r="752" ht="15.75" customHeight="1">
      <c r="B752" s="199"/>
      <c r="N752" s="152"/>
      <c r="Q752" s="195"/>
      <c r="S752" s="200"/>
      <c r="T752" s="200"/>
      <c r="U752" s="152"/>
      <c r="V752" s="152"/>
      <c r="W752" s="157"/>
    </row>
    <row r="753" ht="15.75" customHeight="1">
      <c r="B753" s="199"/>
      <c r="N753" s="152"/>
      <c r="Q753" s="195"/>
      <c r="S753" s="200"/>
      <c r="T753" s="200"/>
      <c r="U753" s="152"/>
      <c r="V753" s="152"/>
      <c r="W753" s="157"/>
    </row>
    <row r="754" ht="15.75" customHeight="1">
      <c r="B754" s="199"/>
      <c r="N754" s="152"/>
      <c r="Q754" s="195"/>
      <c r="S754" s="200"/>
      <c r="T754" s="200"/>
      <c r="U754" s="152"/>
      <c r="V754" s="152"/>
      <c r="W754" s="157"/>
    </row>
    <row r="755" ht="15.75" customHeight="1">
      <c r="B755" s="199"/>
      <c r="N755" s="152"/>
      <c r="Q755" s="195"/>
      <c r="S755" s="200"/>
      <c r="T755" s="200"/>
      <c r="U755" s="152"/>
      <c r="V755" s="152"/>
      <c r="W755" s="157"/>
    </row>
    <row r="756" ht="15.75" customHeight="1">
      <c r="B756" s="199"/>
      <c r="N756" s="152"/>
      <c r="Q756" s="195"/>
      <c r="S756" s="200"/>
      <c r="T756" s="200"/>
      <c r="U756" s="152"/>
      <c r="V756" s="152"/>
      <c r="W756" s="157"/>
    </row>
    <row r="757" ht="15.75" customHeight="1">
      <c r="B757" s="199"/>
      <c r="N757" s="152"/>
      <c r="Q757" s="195"/>
      <c r="S757" s="200"/>
      <c r="T757" s="200"/>
      <c r="U757" s="152"/>
      <c r="V757" s="152"/>
      <c r="W757" s="157"/>
    </row>
    <row r="758" ht="15.75" customHeight="1">
      <c r="B758" s="199"/>
      <c r="N758" s="152"/>
      <c r="Q758" s="195"/>
      <c r="S758" s="200"/>
      <c r="T758" s="200"/>
      <c r="U758" s="152"/>
      <c r="V758" s="152"/>
      <c r="W758" s="157"/>
    </row>
    <row r="759" ht="15.75" customHeight="1">
      <c r="B759" s="199"/>
      <c r="N759" s="152"/>
      <c r="Q759" s="195"/>
      <c r="S759" s="200"/>
      <c r="T759" s="200"/>
      <c r="U759" s="152"/>
      <c r="V759" s="152"/>
      <c r="W759" s="157"/>
    </row>
    <row r="760" ht="15.75" customHeight="1">
      <c r="B760" s="199"/>
      <c r="N760" s="152"/>
      <c r="Q760" s="195"/>
      <c r="S760" s="200"/>
      <c r="T760" s="200"/>
      <c r="U760" s="152"/>
      <c r="V760" s="152"/>
      <c r="W760" s="157"/>
    </row>
    <row r="761" ht="15.75" customHeight="1">
      <c r="B761" s="199"/>
      <c r="N761" s="152"/>
      <c r="Q761" s="195"/>
      <c r="S761" s="200"/>
      <c r="T761" s="200"/>
      <c r="U761" s="152"/>
      <c r="V761" s="152"/>
      <c r="W761" s="157"/>
    </row>
    <row r="762" ht="15.75" customHeight="1">
      <c r="B762" s="199"/>
      <c r="N762" s="152"/>
      <c r="Q762" s="195"/>
      <c r="S762" s="200"/>
      <c r="T762" s="200"/>
      <c r="U762" s="152"/>
      <c r="V762" s="152"/>
      <c r="W762" s="157"/>
    </row>
    <row r="763" ht="15.75" customHeight="1">
      <c r="B763" s="199"/>
      <c r="N763" s="152"/>
      <c r="Q763" s="195"/>
      <c r="S763" s="200"/>
      <c r="T763" s="200"/>
      <c r="U763" s="152"/>
      <c r="V763" s="152"/>
      <c r="W763" s="157"/>
    </row>
    <row r="764" ht="15.75" customHeight="1">
      <c r="B764" s="199"/>
      <c r="N764" s="152"/>
      <c r="Q764" s="195"/>
      <c r="S764" s="200"/>
      <c r="T764" s="200"/>
      <c r="U764" s="152"/>
      <c r="V764" s="152"/>
      <c r="W764" s="157"/>
    </row>
    <row r="765" ht="15.75" customHeight="1">
      <c r="B765" s="199"/>
      <c r="N765" s="152"/>
      <c r="Q765" s="195"/>
      <c r="S765" s="200"/>
      <c r="T765" s="200"/>
      <c r="U765" s="152"/>
      <c r="V765" s="152"/>
      <c r="W765" s="157"/>
    </row>
    <row r="766" ht="15.75" customHeight="1">
      <c r="B766" s="199"/>
      <c r="N766" s="152"/>
      <c r="Q766" s="195"/>
      <c r="S766" s="200"/>
      <c r="T766" s="200"/>
      <c r="U766" s="152"/>
      <c r="V766" s="152"/>
      <c r="W766" s="157"/>
    </row>
    <row r="767" ht="15.75" customHeight="1">
      <c r="B767" s="199"/>
      <c r="N767" s="152"/>
      <c r="Q767" s="195"/>
      <c r="S767" s="200"/>
      <c r="T767" s="200"/>
      <c r="U767" s="152"/>
      <c r="V767" s="152"/>
      <c r="W767" s="157"/>
    </row>
    <row r="768" ht="15.75" customHeight="1">
      <c r="B768" s="199"/>
      <c r="N768" s="152"/>
      <c r="Q768" s="195"/>
      <c r="S768" s="200"/>
      <c r="T768" s="200"/>
      <c r="U768" s="152"/>
      <c r="V768" s="152"/>
      <c r="W768" s="157"/>
    </row>
    <row r="769" ht="15.75" customHeight="1">
      <c r="B769" s="199"/>
      <c r="N769" s="152"/>
      <c r="Q769" s="195"/>
      <c r="S769" s="200"/>
      <c r="T769" s="200"/>
      <c r="U769" s="152"/>
      <c r="V769" s="152"/>
      <c r="W769" s="157"/>
    </row>
    <row r="770" ht="15.75" customHeight="1">
      <c r="B770" s="199"/>
      <c r="N770" s="152"/>
      <c r="Q770" s="195"/>
      <c r="S770" s="200"/>
      <c r="T770" s="200"/>
      <c r="U770" s="152"/>
      <c r="V770" s="152"/>
      <c r="W770" s="157"/>
    </row>
    <row r="771" ht="15.75" customHeight="1">
      <c r="B771" s="199"/>
      <c r="N771" s="152"/>
      <c r="Q771" s="195"/>
      <c r="S771" s="200"/>
      <c r="T771" s="200"/>
      <c r="U771" s="152"/>
      <c r="V771" s="152"/>
      <c r="W771" s="157"/>
    </row>
    <row r="772" ht="15.75" customHeight="1">
      <c r="B772" s="199"/>
      <c r="N772" s="152"/>
      <c r="Q772" s="195"/>
      <c r="S772" s="200"/>
      <c r="T772" s="200"/>
      <c r="U772" s="152"/>
      <c r="V772" s="152"/>
      <c r="W772" s="157"/>
    </row>
    <row r="773" ht="15.75" customHeight="1">
      <c r="B773" s="199"/>
      <c r="N773" s="152"/>
      <c r="Q773" s="195"/>
      <c r="S773" s="200"/>
      <c r="T773" s="200"/>
      <c r="U773" s="152"/>
      <c r="V773" s="152"/>
      <c r="W773" s="157"/>
    </row>
    <row r="774" ht="15.75" customHeight="1">
      <c r="B774" s="199"/>
      <c r="N774" s="152"/>
      <c r="Q774" s="195"/>
      <c r="S774" s="200"/>
      <c r="T774" s="200"/>
      <c r="U774" s="152"/>
      <c r="V774" s="152"/>
      <c r="W774" s="157"/>
    </row>
    <row r="775" ht="15.75" customHeight="1">
      <c r="B775" s="199"/>
      <c r="N775" s="152"/>
      <c r="Q775" s="195"/>
      <c r="S775" s="200"/>
      <c r="T775" s="200"/>
      <c r="U775" s="152"/>
      <c r="V775" s="152"/>
      <c r="W775" s="157"/>
    </row>
    <row r="776" ht="15.75" customHeight="1">
      <c r="B776" s="199"/>
      <c r="N776" s="152"/>
      <c r="Q776" s="195"/>
      <c r="S776" s="200"/>
      <c r="T776" s="200"/>
      <c r="U776" s="152"/>
      <c r="V776" s="152"/>
      <c r="W776" s="157"/>
    </row>
    <row r="777" ht="15.75" customHeight="1">
      <c r="B777" s="199"/>
      <c r="N777" s="152"/>
      <c r="Q777" s="195"/>
      <c r="S777" s="200"/>
      <c r="T777" s="200"/>
      <c r="U777" s="152"/>
      <c r="V777" s="152"/>
      <c r="W777" s="157"/>
    </row>
    <row r="778" ht="15.75" customHeight="1">
      <c r="B778" s="199"/>
      <c r="N778" s="152"/>
      <c r="Q778" s="195"/>
      <c r="S778" s="200"/>
      <c r="T778" s="200"/>
      <c r="U778" s="152"/>
      <c r="V778" s="152"/>
      <c r="W778" s="157"/>
    </row>
    <row r="779" ht="15.75" customHeight="1">
      <c r="B779" s="199"/>
      <c r="N779" s="152"/>
      <c r="Q779" s="195"/>
      <c r="S779" s="200"/>
      <c r="T779" s="200"/>
      <c r="U779" s="152"/>
      <c r="V779" s="152"/>
      <c r="W779" s="157"/>
    </row>
    <row r="780" ht="15.75" customHeight="1">
      <c r="B780" s="199"/>
      <c r="N780" s="152"/>
      <c r="Q780" s="195"/>
      <c r="S780" s="200"/>
      <c r="T780" s="200"/>
      <c r="U780" s="152"/>
      <c r="V780" s="152"/>
      <c r="W780" s="157"/>
    </row>
    <row r="781" ht="15.75" customHeight="1">
      <c r="B781" s="199"/>
      <c r="N781" s="152"/>
      <c r="Q781" s="195"/>
      <c r="S781" s="200"/>
      <c r="T781" s="200"/>
      <c r="U781" s="152"/>
      <c r="V781" s="152"/>
      <c r="W781" s="157"/>
    </row>
    <row r="782" ht="15.75" customHeight="1">
      <c r="B782" s="199"/>
      <c r="N782" s="152"/>
      <c r="Q782" s="195"/>
      <c r="S782" s="200"/>
      <c r="T782" s="200"/>
      <c r="U782" s="152"/>
      <c r="V782" s="152"/>
      <c r="W782" s="157"/>
    </row>
    <row r="783" ht="15.75" customHeight="1">
      <c r="B783" s="199"/>
      <c r="N783" s="152"/>
      <c r="Q783" s="195"/>
      <c r="S783" s="200"/>
      <c r="T783" s="200"/>
      <c r="U783" s="152"/>
      <c r="V783" s="152"/>
      <c r="W783" s="157"/>
    </row>
    <row r="784" ht="15.75" customHeight="1">
      <c r="B784" s="199"/>
      <c r="N784" s="152"/>
      <c r="Q784" s="195"/>
      <c r="S784" s="200"/>
      <c r="T784" s="200"/>
      <c r="U784" s="152"/>
      <c r="V784" s="152"/>
      <c r="W784" s="157"/>
    </row>
    <row r="785" ht="15.75" customHeight="1">
      <c r="B785" s="199"/>
      <c r="N785" s="152"/>
      <c r="Q785" s="195"/>
      <c r="S785" s="200"/>
      <c r="T785" s="200"/>
      <c r="U785" s="152"/>
      <c r="V785" s="152"/>
      <c r="W785" s="157"/>
    </row>
    <row r="786" ht="15.75" customHeight="1">
      <c r="B786" s="199"/>
      <c r="N786" s="152"/>
      <c r="Q786" s="195"/>
      <c r="S786" s="200"/>
      <c r="T786" s="200"/>
      <c r="U786" s="152"/>
      <c r="V786" s="152"/>
      <c r="W786" s="157"/>
    </row>
    <row r="787" ht="15.75" customHeight="1">
      <c r="B787" s="199"/>
      <c r="N787" s="152"/>
      <c r="Q787" s="195"/>
      <c r="S787" s="200"/>
      <c r="T787" s="200"/>
      <c r="U787" s="152"/>
      <c r="V787" s="152"/>
      <c r="W787" s="157"/>
    </row>
    <row r="788" ht="15.75" customHeight="1">
      <c r="B788" s="199"/>
      <c r="N788" s="152"/>
      <c r="Q788" s="195"/>
      <c r="S788" s="200"/>
      <c r="T788" s="200"/>
      <c r="U788" s="152"/>
      <c r="V788" s="152"/>
      <c r="W788" s="157"/>
    </row>
    <row r="789" ht="15.75" customHeight="1">
      <c r="B789" s="199"/>
      <c r="N789" s="152"/>
      <c r="Q789" s="195"/>
      <c r="S789" s="200"/>
      <c r="T789" s="200"/>
      <c r="U789" s="152"/>
      <c r="V789" s="152"/>
      <c r="W789" s="157"/>
    </row>
    <row r="790" ht="15.75" customHeight="1">
      <c r="B790" s="199"/>
      <c r="N790" s="152"/>
      <c r="Q790" s="195"/>
      <c r="S790" s="200"/>
      <c r="T790" s="200"/>
      <c r="U790" s="152"/>
      <c r="V790" s="152"/>
      <c r="W790" s="157"/>
    </row>
    <row r="791" ht="15.75" customHeight="1">
      <c r="B791" s="199"/>
      <c r="N791" s="152"/>
      <c r="Q791" s="195"/>
      <c r="S791" s="200"/>
      <c r="T791" s="200"/>
      <c r="U791" s="152"/>
      <c r="V791" s="152"/>
      <c r="W791" s="157"/>
    </row>
    <row r="792" ht="15.75" customHeight="1">
      <c r="B792" s="199"/>
      <c r="N792" s="152"/>
      <c r="Q792" s="195"/>
      <c r="S792" s="200"/>
      <c r="T792" s="200"/>
      <c r="U792" s="152"/>
      <c r="V792" s="152"/>
      <c r="W792" s="157"/>
    </row>
    <row r="793" ht="15.75" customHeight="1">
      <c r="B793" s="199"/>
      <c r="N793" s="152"/>
      <c r="Q793" s="195"/>
      <c r="S793" s="200"/>
      <c r="T793" s="200"/>
      <c r="U793" s="152"/>
      <c r="V793" s="152"/>
      <c r="W793" s="157"/>
    </row>
    <row r="794" ht="15.75" customHeight="1">
      <c r="B794" s="199"/>
      <c r="N794" s="152"/>
      <c r="Q794" s="195"/>
      <c r="S794" s="200"/>
      <c r="T794" s="200"/>
      <c r="U794" s="152"/>
      <c r="V794" s="152"/>
      <c r="W794" s="157"/>
    </row>
    <row r="795" ht="15.75" customHeight="1">
      <c r="B795" s="199"/>
      <c r="N795" s="152"/>
      <c r="Q795" s="195"/>
      <c r="S795" s="200"/>
      <c r="T795" s="200"/>
      <c r="U795" s="152"/>
      <c r="V795" s="152"/>
      <c r="W795" s="157"/>
    </row>
    <row r="796" ht="15.75" customHeight="1">
      <c r="B796" s="199"/>
      <c r="N796" s="152"/>
      <c r="Q796" s="195"/>
      <c r="S796" s="200"/>
      <c r="T796" s="200"/>
      <c r="U796" s="152"/>
      <c r="V796" s="152"/>
      <c r="W796" s="157"/>
    </row>
    <row r="797" ht="15.75" customHeight="1">
      <c r="B797" s="199"/>
      <c r="N797" s="152"/>
      <c r="Q797" s="195"/>
      <c r="S797" s="200"/>
      <c r="T797" s="200"/>
      <c r="U797" s="152"/>
      <c r="V797" s="152"/>
      <c r="W797" s="157"/>
    </row>
    <row r="798" ht="15.75" customHeight="1">
      <c r="B798" s="199"/>
      <c r="N798" s="152"/>
      <c r="Q798" s="195"/>
      <c r="S798" s="200"/>
      <c r="T798" s="200"/>
      <c r="U798" s="152"/>
      <c r="V798" s="152"/>
      <c r="W798" s="157"/>
    </row>
    <row r="799" ht="15.75" customHeight="1">
      <c r="B799" s="199"/>
      <c r="N799" s="152"/>
      <c r="Q799" s="195"/>
      <c r="S799" s="200"/>
      <c r="T799" s="200"/>
      <c r="U799" s="152"/>
      <c r="V799" s="152"/>
      <c r="W799" s="157"/>
    </row>
    <row r="800" ht="15.75" customHeight="1">
      <c r="B800" s="199"/>
      <c r="N800" s="152"/>
      <c r="Q800" s="195"/>
      <c r="S800" s="200"/>
      <c r="T800" s="200"/>
      <c r="U800" s="152"/>
      <c r="V800" s="152"/>
      <c r="W800" s="157"/>
    </row>
    <row r="801" ht="15.75" customHeight="1">
      <c r="B801" s="199"/>
      <c r="N801" s="152"/>
      <c r="Q801" s="195"/>
      <c r="S801" s="200"/>
      <c r="T801" s="200"/>
      <c r="U801" s="152"/>
      <c r="V801" s="152"/>
      <c r="W801" s="157"/>
    </row>
    <row r="802" ht="15.75" customHeight="1">
      <c r="B802" s="199"/>
      <c r="N802" s="152"/>
      <c r="Q802" s="195"/>
      <c r="S802" s="200"/>
      <c r="T802" s="200"/>
      <c r="U802" s="152"/>
      <c r="V802" s="152"/>
      <c r="W802" s="157"/>
    </row>
    <row r="803" ht="15.75" customHeight="1">
      <c r="B803" s="199"/>
      <c r="N803" s="152"/>
      <c r="Q803" s="195"/>
      <c r="S803" s="200"/>
      <c r="T803" s="200"/>
      <c r="U803" s="152"/>
      <c r="V803" s="152"/>
      <c r="W803" s="157"/>
    </row>
    <row r="804" ht="15.75" customHeight="1">
      <c r="B804" s="199"/>
      <c r="N804" s="152"/>
      <c r="Q804" s="195"/>
      <c r="S804" s="200"/>
      <c r="T804" s="200"/>
      <c r="U804" s="152"/>
      <c r="V804" s="152"/>
      <c r="W804" s="157"/>
    </row>
    <row r="805" ht="15.75" customHeight="1">
      <c r="B805" s="199"/>
      <c r="N805" s="152"/>
      <c r="Q805" s="195"/>
      <c r="S805" s="200"/>
      <c r="T805" s="200"/>
      <c r="U805" s="152"/>
      <c r="V805" s="152"/>
      <c r="W805" s="157"/>
    </row>
    <row r="806" ht="15.75" customHeight="1">
      <c r="B806" s="199"/>
      <c r="N806" s="152"/>
      <c r="Q806" s="195"/>
      <c r="S806" s="200"/>
      <c r="T806" s="200"/>
      <c r="U806" s="152"/>
      <c r="V806" s="152"/>
      <c r="W806" s="157"/>
    </row>
    <row r="807" ht="15.75" customHeight="1">
      <c r="B807" s="199"/>
      <c r="N807" s="152"/>
      <c r="Q807" s="195"/>
      <c r="S807" s="200"/>
      <c r="T807" s="200"/>
      <c r="U807" s="152"/>
      <c r="V807" s="152"/>
      <c r="W807" s="157"/>
    </row>
    <row r="808" ht="15.75" customHeight="1">
      <c r="B808" s="199"/>
      <c r="N808" s="152"/>
      <c r="Q808" s="195"/>
      <c r="S808" s="200"/>
      <c r="T808" s="200"/>
      <c r="U808" s="152"/>
      <c r="V808" s="152"/>
      <c r="W808" s="157"/>
    </row>
    <row r="809" ht="15.75" customHeight="1">
      <c r="B809" s="199"/>
      <c r="N809" s="152"/>
      <c r="Q809" s="195"/>
      <c r="S809" s="200"/>
      <c r="T809" s="200"/>
      <c r="U809" s="152"/>
      <c r="V809" s="152"/>
      <c r="W809" s="157"/>
    </row>
    <row r="810" ht="15.75" customHeight="1">
      <c r="B810" s="199"/>
      <c r="N810" s="152"/>
      <c r="Q810" s="195"/>
      <c r="S810" s="200"/>
      <c r="T810" s="200"/>
      <c r="U810" s="152"/>
      <c r="V810" s="152"/>
      <c r="W810" s="157"/>
    </row>
    <row r="811" ht="15.75" customHeight="1">
      <c r="B811" s="199"/>
      <c r="N811" s="152"/>
      <c r="Q811" s="195"/>
      <c r="S811" s="200"/>
      <c r="T811" s="200"/>
      <c r="U811" s="152"/>
      <c r="V811" s="152"/>
      <c r="W811" s="157"/>
    </row>
    <row r="812" ht="15.75" customHeight="1">
      <c r="B812" s="199"/>
      <c r="N812" s="152"/>
      <c r="Q812" s="195"/>
      <c r="S812" s="200"/>
      <c r="T812" s="200"/>
      <c r="U812" s="152"/>
      <c r="V812" s="152"/>
      <c r="W812" s="157"/>
    </row>
    <row r="813" ht="15.75" customHeight="1">
      <c r="B813" s="199"/>
      <c r="N813" s="152"/>
      <c r="Q813" s="195"/>
      <c r="S813" s="200"/>
      <c r="T813" s="200"/>
      <c r="U813" s="152"/>
      <c r="V813" s="152"/>
      <c r="W813" s="157"/>
    </row>
    <row r="814" ht="15.75" customHeight="1">
      <c r="B814" s="199"/>
      <c r="N814" s="152"/>
      <c r="Q814" s="195"/>
      <c r="S814" s="200"/>
      <c r="T814" s="200"/>
      <c r="U814" s="152"/>
      <c r="V814" s="152"/>
      <c r="W814" s="157"/>
    </row>
    <row r="815" ht="15.75" customHeight="1">
      <c r="B815" s="199"/>
      <c r="N815" s="152"/>
      <c r="Q815" s="195"/>
      <c r="S815" s="200"/>
      <c r="T815" s="200"/>
      <c r="U815" s="152"/>
      <c r="V815" s="152"/>
      <c r="W815" s="157"/>
    </row>
    <row r="816" ht="15.75" customHeight="1">
      <c r="B816" s="199"/>
      <c r="N816" s="152"/>
      <c r="Q816" s="195"/>
      <c r="S816" s="200"/>
      <c r="T816" s="200"/>
      <c r="U816" s="152"/>
      <c r="V816" s="152"/>
      <c r="W816" s="157"/>
    </row>
    <row r="817" ht="15.75" customHeight="1">
      <c r="B817" s="199"/>
      <c r="N817" s="152"/>
      <c r="Q817" s="195"/>
      <c r="S817" s="200"/>
      <c r="T817" s="200"/>
      <c r="U817" s="152"/>
      <c r="V817" s="152"/>
      <c r="W817" s="157"/>
    </row>
    <row r="818" ht="15.75" customHeight="1">
      <c r="B818" s="199"/>
      <c r="N818" s="152"/>
      <c r="Q818" s="195"/>
      <c r="S818" s="200"/>
      <c r="T818" s="200"/>
      <c r="U818" s="152"/>
      <c r="V818" s="152"/>
      <c r="W818" s="157"/>
    </row>
    <row r="819" ht="15.75" customHeight="1">
      <c r="B819" s="199"/>
      <c r="N819" s="152"/>
      <c r="Q819" s="195"/>
      <c r="S819" s="200"/>
      <c r="T819" s="200"/>
      <c r="U819" s="152"/>
      <c r="V819" s="152"/>
      <c r="W819" s="157"/>
    </row>
    <row r="820" ht="15.75" customHeight="1">
      <c r="B820" s="199"/>
      <c r="N820" s="152"/>
      <c r="Q820" s="195"/>
      <c r="S820" s="200"/>
      <c r="T820" s="200"/>
      <c r="U820" s="152"/>
      <c r="V820" s="152"/>
      <c r="W820" s="157"/>
    </row>
    <row r="821" ht="15.75" customHeight="1">
      <c r="B821" s="199"/>
      <c r="N821" s="152"/>
      <c r="Q821" s="195"/>
      <c r="S821" s="200"/>
      <c r="T821" s="200"/>
      <c r="U821" s="152"/>
      <c r="V821" s="152"/>
      <c r="W821" s="157"/>
    </row>
    <row r="822" ht="15.75" customHeight="1">
      <c r="B822" s="199"/>
      <c r="N822" s="152"/>
      <c r="Q822" s="195"/>
      <c r="S822" s="200"/>
      <c r="T822" s="200"/>
      <c r="U822" s="152"/>
      <c r="V822" s="152"/>
      <c r="W822" s="157"/>
    </row>
    <row r="823" ht="15.75" customHeight="1">
      <c r="B823" s="199"/>
      <c r="N823" s="152"/>
      <c r="Q823" s="195"/>
      <c r="S823" s="200"/>
      <c r="T823" s="200"/>
      <c r="U823" s="152"/>
      <c r="V823" s="152"/>
      <c r="W823" s="157"/>
    </row>
    <row r="824" ht="15.75" customHeight="1">
      <c r="B824" s="199"/>
      <c r="N824" s="152"/>
      <c r="Q824" s="195"/>
      <c r="S824" s="200"/>
      <c r="T824" s="200"/>
      <c r="U824" s="152"/>
      <c r="V824" s="152"/>
      <c r="W824" s="157"/>
    </row>
    <row r="825" ht="15.75" customHeight="1">
      <c r="B825" s="199"/>
      <c r="N825" s="152"/>
      <c r="Q825" s="195"/>
      <c r="S825" s="200"/>
      <c r="T825" s="200"/>
      <c r="U825" s="152"/>
      <c r="V825" s="152"/>
      <c r="W825" s="157"/>
    </row>
    <row r="826" ht="15.75" customHeight="1">
      <c r="B826" s="199"/>
      <c r="N826" s="152"/>
      <c r="Q826" s="195"/>
      <c r="S826" s="200"/>
      <c r="T826" s="200"/>
      <c r="U826" s="152"/>
      <c r="V826" s="152"/>
      <c r="W826" s="157"/>
    </row>
    <row r="827" ht="15.75" customHeight="1">
      <c r="B827" s="199"/>
      <c r="N827" s="152"/>
      <c r="Q827" s="195"/>
      <c r="S827" s="200"/>
      <c r="T827" s="200"/>
      <c r="U827" s="152"/>
      <c r="V827" s="152"/>
      <c r="W827" s="157"/>
    </row>
    <row r="828" ht="15.75" customHeight="1">
      <c r="B828" s="199"/>
      <c r="N828" s="152"/>
      <c r="Q828" s="195"/>
      <c r="S828" s="200"/>
      <c r="T828" s="200"/>
      <c r="U828" s="152"/>
      <c r="V828" s="152"/>
      <c r="W828" s="157"/>
    </row>
    <row r="829" ht="15.75" customHeight="1">
      <c r="B829" s="199"/>
      <c r="N829" s="152"/>
      <c r="Q829" s="195"/>
      <c r="S829" s="200"/>
      <c r="T829" s="200"/>
      <c r="U829" s="152"/>
      <c r="V829" s="152"/>
      <c r="W829" s="157"/>
    </row>
    <row r="830" ht="15.75" customHeight="1">
      <c r="B830" s="199"/>
      <c r="N830" s="152"/>
      <c r="Q830" s="195"/>
      <c r="S830" s="200"/>
      <c r="T830" s="200"/>
      <c r="U830" s="152"/>
      <c r="V830" s="152"/>
      <c r="W830" s="157"/>
    </row>
    <row r="831" ht="15.75" customHeight="1">
      <c r="B831" s="199"/>
      <c r="N831" s="152"/>
      <c r="Q831" s="195"/>
      <c r="S831" s="200"/>
      <c r="T831" s="200"/>
      <c r="U831" s="152"/>
      <c r="V831" s="152"/>
      <c r="W831" s="157"/>
    </row>
    <row r="832" ht="15.75" customHeight="1">
      <c r="B832" s="199"/>
      <c r="N832" s="152"/>
      <c r="Q832" s="195"/>
      <c r="S832" s="200"/>
      <c r="T832" s="200"/>
      <c r="U832" s="152"/>
      <c r="V832" s="152"/>
      <c r="W832" s="157"/>
    </row>
    <row r="833" ht="15.75" customHeight="1">
      <c r="B833" s="199"/>
      <c r="N833" s="152"/>
      <c r="Q833" s="195"/>
      <c r="S833" s="200"/>
      <c r="T833" s="200"/>
      <c r="U833" s="152"/>
      <c r="V833" s="152"/>
      <c r="W833" s="157"/>
    </row>
    <row r="834" ht="15.75" customHeight="1">
      <c r="B834" s="199"/>
      <c r="N834" s="152"/>
      <c r="Q834" s="195"/>
      <c r="S834" s="200"/>
      <c r="T834" s="200"/>
      <c r="U834" s="152"/>
      <c r="V834" s="152"/>
      <c r="W834" s="157"/>
    </row>
    <row r="835" ht="15.75" customHeight="1">
      <c r="B835" s="199"/>
      <c r="N835" s="152"/>
      <c r="Q835" s="195"/>
      <c r="S835" s="200"/>
      <c r="T835" s="200"/>
      <c r="U835" s="152"/>
      <c r="V835" s="152"/>
      <c r="W835" s="157"/>
    </row>
    <row r="836" ht="15.75" customHeight="1">
      <c r="B836" s="199"/>
      <c r="N836" s="152"/>
      <c r="Q836" s="195"/>
      <c r="S836" s="200"/>
      <c r="T836" s="200"/>
      <c r="U836" s="152"/>
      <c r="V836" s="152"/>
      <c r="W836" s="157"/>
    </row>
    <row r="837" ht="15.75" customHeight="1">
      <c r="B837" s="199"/>
      <c r="N837" s="152"/>
      <c r="Q837" s="195"/>
      <c r="S837" s="200"/>
      <c r="T837" s="200"/>
      <c r="U837" s="152"/>
      <c r="V837" s="152"/>
      <c r="W837" s="157"/>
    </row>
    <row r="838" ht="15.75" customHeight="1">
      <c r="B838" s="199"/>
      <c r="N838" s="152"/>
      <c r="Q838" s="195"/>
      <c r="S838" s="200"/>
      <c r="T838" s="200"/>
      <c r="U838" s="152"/>
      <c r="V838" s="152"/>
      <c r="W838" s="157"/>
    </row>
    <row r="839" ht="15.75" customHeight="1">
      <c r="B839" s="199"/>
      <c r="N839" s="152"/>
      <c r="Q839" s="195"/>
      <c r="S839" s="200"/>
      <c r="T839" s="200"/>
      <c r="U839" s="152"/>
      <c r="V839" s="152"/>
      <c r="W839" s="157"/>
    </row>
    <row r="840" ht="15.75" customHeight="1">
      <c r="B840" s="199"/>
      <c r="N840" s="152"/>
      <c r="Q840" s="195"/>
      <c r="S840" s="200"/>
      <c r="T840" s="200"/>
      <c r="U840" s="152"/>
      <c r="V840" s="152"/>
      <c r="W840" s="157"/>
    </row>
    <row r="841" ht="15.75" customHeight="1">
      <c r="B841" s="199"/>
      <c r="N841" s="152"/>
      <c r="Q841" s="195"/>
      <c r="S841" s="200"/>
      <c r="T841" s="200"/>
      <c r="U841" s="152"/>
      <c r="V841" s="152"/>
      <c r="W841" s="157"/>
    </row>
    <row r="842" ht="15.75" customHeight="1">
      <c r="B842" s="199"/>
      <c r="N842" s="152"/>
      <c r="Q842" s="195"/>
      <c r="S842" s="200"/>
      <c r="T842" s="200"/>
      <c r="U842" s="152"/>
      <c r="V842" s="152"/>
      <c r="W842" s="157"/>
    </row>
    <row r="843" ht="15.75" customHeight="1">
      <c r="B843" s="199"/>
      <c r="N843" s="152"/>
      <c r="Q843" s="195"/>
      <c r="S843" s="200"/>
      <c r="T843" s="200"/>
      <c r="U843" s="152"/>
      <c r="V843" s="152"/>
      <c r="W843" s="157"/>
    </row>
    <row r="844" ht="15.75" customHeight="1">
      <c r="B844" s="199"/>
      <c r="N844" s="152"/>
      <c r="Q844" s="195"/>
      <c r="S844" s="200"/>
      <c r="T844" s="200"/>
      <c r="U844" s="152"/>
      <c r="V844" s="152"/>
      <c r="W844" s="157"/>
    </row>
    <row r="845" ht="15.75" customHeight="1">
      <c r="B845" s="199"/>
      <c r="N845" s="152"/>
      <c r="Q845" s="195"/>
      <c r="S845" s="200"/>
      <c r="T845" s="200"/>
      <c r="U845" s="152"/>
      <c r="V845" s="152"/>
      <c r="W845" s="157"/>
    </row>
    <row r="846" ht="15.75" customHeight="1">
      <c r="B846" s="199"/>
      <c r="N846" s="152"/>
      <c r="Q846" s="195"/>
      <c r="S846" s="200"/>
      <c r="T846" s="200"/>
      <c r="U846" s="152"/>
      <c r="V846" s="152"/>
      <c r="W846" s="157"/>
    </row>
    <row r="847" ht="15.75" customHeight="1">
      <c r="B847" s="199"/>
      <c r="N847" s="152"/>
      <c r="Q847" s="195"/>
      <c r="S847" s="200"/>
      <c r="T847" s="200"/>
      <c r="U847" s="152"/>
      <c r="V847" s="152"/>
      <c r="W847" s="157"/>
    </row>
    <row r="848" ht="15.75" customHeight="1">
      <c r="B848" s="199"/>
      <c r="N848" s="152"/>
      <c r="Q848" s="195"/>
      <c r="S848" s="200"/>
      <c r="T848" s="200"/>
      <c r="U848" s="152"/>
      <c r="V848" s="152"/>
      <c r="W848" s="157"/>
    </row>
    <row r="849" ht="15.75" customHeight="1">
      <c r="B849" s="199"/>
      <c r="N849" s="152"/>
      <c r="Q849" s="195"/>
      <c r="S849" s="200"/>
      <c r="T849" s="200"/>
      <c r="U849" s="152"/>
      <c r="V849" s="152"/>
      <c r="W849" s="157"/>
    </row>
    <row r="850" ht="15.75" customHeight="1">
      <c r="B850" s="199"/>
      <c r="N850" s="152"/>
      <c r="Q850" s="195"/>
      <c r="S850" s="200"/>
      <c r="T850" s="200"/>
      <c r="U850" s="152"/>
      <c r="V850" s="152"/>
      <c r="W850" s="157"/>
    </row>
    <row r="851" ht="15.75" customHeight="1">
      <c r="B851" s="199"/>
      <c r="N851" s="152"/>
      <c r="Q851" s="195"/>
      <c r="S851" s="200"/>
      <c r="T851" s="200"/>
      <c r="U851" s="152"/>
      <c r="V851" s="152"/>
      <c r="W851" s="157"/>
    </row>
    <row r="852" ht="15.75" customHeight="1">
      <c r="B852" s="199"/>
      <c r="N852" s="152"/>
      <c r="Q852" s="195"/>
      <c r="S852" s="200"/>
      <c r="T852" s="200"/>
      <c r="U852" s="152"/>
      <c r="V852" s="152"/>
      <c r="W852" s="157"/>
    </row>
    <row r="853" ht="15.75" customHeight="1">
      <c r="B853" s="199"/>
      <c r="N853" s="152"/>
      <c r="Q853" s="195"/>
      <c r="S853" s="200"/>
      <c r="T853" s="200"/>
      <c r="U853" s="152"/>
      <c r="V853" s="152"/>
      <c r="W853" s="157"/>
    </row>
    <row r="854" ht="15.75" customHeight="1">
      <c r="B854" s="199"/>
      <c r="N854" s="152"/>
      <c r="Q854" s="195"/>
      <c r="S854" s="200"/>
      <c r="T854" s="200"/>
      <c r="U854" s="152"/>
      <c r="V854" s="152"/>
      <c r="W854" s="157"/>
    </row>
    <row r="855" ht="15.75" customHeight="1">
      <c r="B855" s="199"/>
      <c r="N855" s="152"/>
      <c r="Q855" s="195"/>
      <c r="S855" s="200"/>
      <c r="T855" s="200"/>
      <c r="U855" s="152"/>
      <c r="V855" s="152"/>
      <c r="W855" s="157"/>
    </row>
    <row r="856" ht="15.75" customHeight="1">
      <c r="B856" s="199"/>
      <c r="N856" s="152"/>
      <c r="Q856" s="195"/>
      <c r="S856" s="200"/>
      <c r="T856" s="200"/>
      <c r="U856" s="152"/>
      <c r="V856" s="152"/>
      <c r="W856" s="157"/>
    </row>
    <row r="857" ht="15.75" customHeight="1">
      <c r="B857" s="199"/>
      <c r="N857" s="152"/>
      <c r="Q857" s="195"/>
      <c r="S857" s="200"/>
      <c r="T857" s="200"/>
      <c r="U857" s="152"/>
      <c r="V857" s="152"/>
      <c r="W857" s="157"/>
    </row>
    <row r="858" ht="15.75" customHeight="1">
      <c r="B858" s="199"/>
      <c r="N858" s="152"/>
      <c r="Q858" s="195"/>
      <c r="S858" s="200"/>
      <c r="T858" s="200"/>
      <c r="U858" s="152"/>
      <c r="V858" s="152"/>
      <c r="W858" s="157"/>
    </row>
    <row r="859" ht="15.75" customHeight="1">
      <c r="B859" s="199"/>
      <c r="N859" s="152"/>
      <c r="Q859" s="195"/>
      <c r="S859" s="200"/>
      <c r="T859" s="200"/>
      <c r="U859" s="152"/>
      <c r="V859" s="152"/>
      <c r="W859" s="157"/>
    </row>
    <row r="860" ht="15.75" customHeight="1">
      <c r="B860" s="199"/>
      <c r="N860" s="152"/>
      <c r="Q860" s="195"/>
      <c r="S860" s="200"/>
      <c r="T860" s="200"/>
      <c r="U860" s="152"/>
      <c r="V860" s="152"/>
      <c r="W860" s="157"/>
    </row>
    <row r="861" ht="15.75" customHeight="1">
      <c r="B861" s="199"/>
      <c r="N861" s="152"/>
      <c r="Q861" s="195"/>
      <c r="S861" s="200"/>
      <c r="T861" s="200"/>
      <c r="U861" s="152"/>
      <c r="V861" s="152"/>
      <c r="W861" s="157"/>
    </row>
    <row r="862" ht="15.75" customHeight="1">
      <c r="B862" s="199"/>
      <c r="N862" s="152"/>
      <c r="Q862" s="195"/>
      <c r="S862" s="200"/>
      <c r="T862" s="200"/>
      <c r="U862" s="152"/>
      <c r="V862" s="152"/>
      <c r="W862" s="157"/>
    </row>
    <row r="863" ht="15.75" customHeight="1">
      <c r="B863" s="199"/>
      <c r="N863" s="152"/>
      <c r="Q863" s="195"/>
      <c r="S863" s="200"/>
      <c r="T863" s="200"/>
      <c r="U863" s="152"/>
      <c r="V863" s="152"/>
      <c r="W863" s="157"/>
    </row>
    <row r="864" ht="15.75" customHeight="1">
      <c r="B864" s="199"/>
      <c r="N864" s="152"/>
      <c r="Q864" s="195"/>
      <c r="S864" s="200"/>
      <c r="T864" s="200"/>
      <c r="U864" s="152"/>
      <c r="V864" s="152"/>
      <c r="W864" s="157"/>
    </row>
    <row r="865" ht="15.75" customHeight="1">
      <c r="B865" s="199"/>
      <c r="N865" s="152"/>
      <c r="Q865" s="195"/>
      <c r="S865" s="200"/>
      <c r="T865" s="200"/>
      <c r="U865" s="152"/>
      <c r="V865" s="152"/>
      <c r="W865" s="157"/>
    </row>
    <row r="866" ht="15.75" customHeight="1">
      <c r="B866" s="199"/>
      <c r="N866" s="152"/>
      <c r="Q866" s="195"/>
      <c r="S866" s="200"/>
      <c r="T866" s="200"/>
      <c r="U866" s="152"/>
      <c r="V866" s="152"/>
      <c r="W866" s="157"/>
    </row>
    <row r="867" ht="15.75" customHeight="1">
      <c r="B867" s="199"/>
      <c r="N867" s="152"/>
      <c r="Q867" s="195"/>
      <c r="S867" s="200"/>
      <c r="T867" s="200"/>
      <c r="U867" s="152"/>
      <c r="V867" s="152"/>
      <c r="W867" s="157"/>
    </row>
    <row r="868" ht="15.75" customHeight="1">
      <c r="B868" s="199"/>
      <c r="N868" s="152"/>
      <c r="Q868" s="195"/>
      <c r="S868" s="200"/>
      <c r="T868" s="200"/>
      <c r="U868" s="152"/>
      <c r="V868" s="152"/>
      <c r="W868" s="157"/>
    </row>
    <row r="869" ht="15.75" customHeight="1">
      <c r="B869" s="199"/>
      <c r="N869" s="152"/>
      <c r="Q869" s="195"/>
      <c r="S869" s="200"/>
      <c r="T869" s="200"/>
      <c r="U869" s="152"/>
      <c r="V869" s="152"/>
      <c r="W869" s="157"/>
    </row>
    <row r="870" ht="15.75" customHeight="1">
      <c r="B870" s="199"/>
      <c r="N870" s="152"/>
      <c r="Q870" s="195"/>
      <c r="S870" s="200"/>
      <c r="T870" s="200"/>
      <c r="U870" s="152"/>
      <c r="V870" s="152"/>
      <c r="W870" s="157"/>
    </row>
    <row r="871" ht="15.75" customHeight="1">
      <c r="B871" s="199"/>
      <c r="N871" s="152"/>
      <c r="Q871" s="195"/>
      <c r="S871" s="200"/>
      <c r="T871" s="200"/>
      <c r="U871" s="152"/>
      <c r="V871" s="152"/>
      <c r="W871" s="157"/>
    </row>
    <row r="872" ht="15.75" customHeight="1">
      <c r="B872" s="199"/>
      <c r="N872" s="152"/>
      <c r="Q872" s="195"/>
      <c r="S872" s="200"/>
      <c r="T872" s="200"/>
      <c r="U872" s="152"/>
      <c r="V872" s="152"/>
      <c r="W872" s="157"/>
    </row>
    <row r="873" ht="15.75" customHeight="1">
      <c r="B873" s="199"/>
      <c r="N873" s="152"/>
      <c r="Q873" s="195"/>
      <c r="S873" s="200"/>
      <c r="T873" s="200"/>
      <c r="U873" s="152"/>
      <c r="V873" s="152"/>
      <c r="W873" s="157"/>
    </row>
    <row r="874" ht="15.75" customHeight="1">
      <c r="B874" s="199"/>
      <c r="N874" s="152"/>
      <c r="Q874" s="195"/>
      <c r="S874" s="200"/>
      <c r="T874" s="200"/>
      <c r="U874" s="152"/>
      <c r="V874" s="152"/>
      <c r="W874" s="157"/>
    </row>
    <row r="875" ht="15.75" customHeight="1">
      <c r="B875" s="199"/>
      <c r="N875" s="152"/>
      <c r="Q875" s="195"/>
      <c r="S875" s="200"/>
      <c r="T875" s="200"/>
      <c r="U875" s="152"/>
      <c r="V875" s="152"/>
      <c r="W875" s="157"/>
    </row>
    <row r="876" ht="15.75" customHeight="1">
      <c r="B876" s="199"/>
      <c r="N876" s="152"/>
      <c r="Q876" s="195"/>
      <c r="S876" s="200"/>
      <c r="T876" s="200"/>
      <c r="U876" s="152"/>
      <c r="V876" s="152"/>
      <c r="W876" s="157"/>
    </row>
    <row r="877" ht="15.75" customHeight="1">
      <c r="B877" s="199"/>
      <c r="N877" s="152"/>
      <c r="Q877" s="195"/>
      <c r="S877" s="200"/>
      <c r="T877" s="200"/>
      <c r="U877" s="152"/>
      <c r="V877" s="152"/>
      <c r="W877" s="157"/>
    </row>
    <row r="878" ht="15.75" customHeight="1">
      <c r="B878" s="199"/>
      <c r="N878" s="152"/>
      <c r="Q878" s="195"/>
      <c r="S878" s="200"/>
      <c r="T878" s="200"/>
      <c r="U878" s="152"/>
      <c r="V878" s="152"/>
      <c r="W878" s="157"/>
    </row>
    <row r="879" ht="15.75" customHeight="1">
      <c r="B879" s="199"/>
      <c r="N879" s="152"/>
      <c r="Q879" s="195"/>
      <c r="S879" s="200"/>
      <c r="T879" s="200"/>
      <c r="U879" s="152"/>
      <c r="V879" s="152"/>
      <c r="W879" s="157"/>
    </row>
    <row r="880" ht="15.75" customHeight="1">
      <c r="B880" s="199"/>
      <c r="N880" s="152"/>
      <c r="Q880" s="195"/>
      <c r="S880" s="200"/>
      <c r="T880" s="200"/>
      <c r="U880" s="152"/>
      <c r="V880" s="152"/>
      <c r="W880" s="157"/>
    </row>
    <row r="881" ht="15.75" customHeight="1">
      <c r="B881" s="199"/>
      <c r="N881" s="152"/>
      <c r="Q881" s="195"/>
      <c r="S881" s="200"/>
      <c r="T881" s="200"/>
      <c r="U881" s="152"/>
      <c r="V881" s="152"/>
      <c r="W881" s="157"/>
    </row>
    <row r="882" ht="15.75" customHeight="1">
      <c r="B882" s="199"/>
      <c r="N882" s="152"/>
      <c r="Q882" s="195"/>
      <c r="S882" s="200"/>
      <c r="T882" s="200"/>
      <c r="U882" s="152"/>
      <c r="V882" s="152"/>
      <c r="W882" s="157"/>
    </row>
    <row r="883" ht="15.75" customHeight="1">
      <c r="B883" s="199"/>
      <c r="N883" s="152"/>
      <c r="Q883" s="195"/>
      <c r="S883" s="200"/>
      <c r="T883" s="200"/>
      <c r="U883" s="152"/>
      <c r="V883" s="152"/>
      <c r="W883" s="157"/>
    </row>
    <row r="884" ht="15.75" customHeight="1">
      <c r="B884" s="199"/>
      <c r="N884" s="152"/>
      <c r="Q884" s="195"/>
      <c r="S884" s="200"/>
      <c r="T884" s="200"/>
      <c r="U884" s="152"/>
      <c r="V884" s="152"/>
      <c r="W884" s="157"/>
    </row>
    <row r="885" ht="15.75" customHeight="1">
      <c r="B885" s="199"/>
      <c r="N885" s="152"/>
      <c r="Q885" s="195"/>
      <c r="S885" s="200"/>
      <c r="T885" s="200"/>
      <c r="U885" s="152"/>
      <c r="V885" s="152"/>
      <c r="W885" s="157"/>
    </row>
    <row r="886" ht="15.75" customHeight="1">
      <c r="B886" s="199"/>
      <c r="N886" s="152"/>
      <c r="Q886" s="195"/>
      <c r="S886" s="200"/>
      <c r="T886" s="200"/>
      <c r="U886" s="152"/>
      <c r="V886" s="152"/>
      <c r="W886" s="157"/>
    </row>
    <row r="887" ht="15.75" customHeight="1">
      <c r="B887" s="199"/>
      <c r="N887" s="152"/>
      <c r="Q887" s="195"/>
      <c r="S887" s="200"/>
      <c r="T887" s="200"/>
      <c r="U887" s="152"/>
      <c r="V887" s="152"/>
      <c r="W887" s="157"/>
    </row>
    <row r="888" ht="15.75" customHeight="1">
      <c r="B888" s="199"/>
      <c r="N888" s="152"/>
      <c r="Q888" s="195"/>
      <c r="S888" s="200"/>
      <c r="T888" s="200"/>
      <c r="U888" s="152"/>
      <c r="V888" s="152"/>
      <c r="W888" s="157"/>
    </row>
    <row r="889" ht="15.75" customHeight="1">
      <c r="B889" s="199"/>
      <c r="N889" s="152"/>
      <c r="Q889" s="195"/>
      <c r="S889" s="200"/>
      <c r="T889" s="200"/>
      <c r="U889" s="152"/>
      <c r="V889" s="152"/>
      <c r="W889" s="157"/>
    </row>
    <row r="890" ht="15.75" customHeight="1">
      <c r="B890" s="199"/>
      <c r="N890" s="152"/>
      <c r="Q890" s="195"/>
      <c r="S890" s="200"/>
      <c r="T890" s="200"/>
      <c r="U890" s="152"/>
      <c r="V890" s="152"/>
      <c r="W890" s="157"/>
    </row>
    <row r="891" ht="15.75" customHeight="1">
      <c r="B891" s="199"/>
      <c r="N891" s="152"/>
      <c r="Q891" s="195"/>
      <c r="S891" s="200"/>
      <c r="T891" s="200"/>
      <c r="U891" s="152"/>
      <c r="V891" s="152"/>
      <c r="W891" s="157"/>
    </row>
    <row r="892" ht="15.75" customHeight="1">
      <c r="B892" s="199"/>
      <c r="N892" s="152"/>
      <c r="Q892" s="195"/>
      <c r="S892" s="200"/>
      <c r="T892" s="200"/>
      <c r="U892" s="152"/>
      <c r="V892" s="152"/>
      <c r="W892" s="157"/>
    </row>
    <row r="893" ht="15.75" customHeight="1">
      <c r="B893" s="199"/>
      <c r="N893" s="152"/>
      <c r="Q893" s="195"/>
      <c r="S893" s="200"/>
      <c r="T893" s="200"/>
      <c r="U893" s="152"/>
      <c r="V893" s="152"/>
      <c r="W893" s="157"/>
    </row>
    <row r="894" ht="15.75" customHeight="1">
      <c r="B894" s="199"/>
      <c r="N894" s="152"/>
      <c r="Q894" s="195"/>
      <c r="S894" s="200"/>
      <c r="T894" s="200"/>
      <c r="U894" s="152"/>
      <c r="V894" s="152"/>
      <c r="W894" s="157"/>
    </row>
    <row r="895" ht="15.75" customHeight="1">
      <c r="B895" s="199"/>
      <c r="N895" s="152"/>
      <c r="Q895" s="195"/>
      <c r="S895" s="200"/>
      <c r="T895" s="200"/>
      <c r="U895" s="152"/>
      <c r="V895" s="152"/>
      <c r="W895" s="157"/>
    </row>
    <row r="896" ht="15.75" customHeight="1">
      <c r="B896" s="199"/>
      <c r="N896" s="152"/>
      <c r="Q896" s="195"/>
      <c r="S896" s="200"/>
      <c r="T896" s="200"/>
      <c r="U896" s="152"/>
      <c r="V896" s="152"/>
      <c r="W896" s="157"/>
    </row>
    <row r="897" ht="15.75" customHeight="1">
      <c r="B897" s="199"/>
      <c r="N897" s="152"/>
      <c r="Q897" s="195"/>
      <c r="S897" s="200"/>
      <c r="T897" s="200"/>
      <c r="U897" s="152"/>
      <c r="V897" s="152"/>
      <c r="W897" s="157"/>
    </row>
    <row r="898" ht="15.75" customHeight="1">
      <c r="B898" s="199"/>
      <c r="N898" s="152"/>
      <c r="Q898" s="195"/>
      <c r="S898" s="200"/>
      <c r="T898" s="200"/>
      <c r="U898" s="152"/>
      <c r="V898" s="152"/>
      <c r="W898" s="157"/>
    </row>
    <row r="899" ht="15.75" customHeight="1">
      <c r="B899" s="199"/>
      <c r="N899" s="152"/>
      <c r="Q899" s="195"/>
      <c r="S899" s="200"/>
      <c r="T899" s="200"/>
      <c r="U899" s="152"/>
      <c r="V899" s="152"/>
      <c r="W899" s="157"/>
    </row>
    <row r="900" ht="15.75" customHeight="1">
      <c r="B900" s="199"/>
      <c r="N900" s="152"/>
      <c r="Q900" s="195"/>
      <c r="S900" s="200"/>
      <c r="T900" s="200"/>
      <c r="U900" s="152"/>
      <c r="V900" s="152"/>
      <c r="W900" s="157"/>
    </row>
    <row r="901" ht="15.75" customHeight="1">
      <c r="B901" s="199"/>
      <c r="N901" s="152"/>
      <c r="Q901" s="195"/>
      <c r="S901" s="200"/>
      <c r="T901" s="200"/>
      <c r="U901" s="152"/>
      <c r="V901" s="152"/>
      <c r="W901" s="157"/>
    </row>
    <row r="902" ht="15.75" customHeight="1">
      <c r="B902" s="199"/>
      <c r="N902" s="152"/>
      <c r="Q902" s="195"/>
      <c r="S902" s="200"/>
      <c r="T902" s="200"/>
      <c r="U902" s="152"/>
      <c r="V902" s="152"/>
      <c r="W902" s="157"/>
    </row>
    <row r="903" ht="15.75" customHeight="1">
      <c r="B903" s="199"/>
      <c r="N903" s="152"/>
      <c r="Q903" s="195"/>
      <c r="S903" s="200"/>
      <c r="T903" s="200"/>
      <c r="U903" s="152"/>
      <c r="V903" s="152"/>
      <c r="W903" s="157"/>
    </row>
    <row r="904" ht="15.75" customHeight="1">
      <c r="B904" s="199"/>
      <c r="N904" s="152"/>
      <c r="Q904" s="195"/>
      <c r="S904" s="200"/>
      <c r="T904" s="200"/>
      <c r="U904" s="152"/>
      <c r="V904" s="152"/>
      <c r="W904" s="157"/>
    </row>
    <row r="905" ht="15.75" customHeight="1">
      <c r="B905" s="199"/>
      <c r="N905" s="152"/>
      <c r="Q905" s="195"/>
      <c r="S905" s="200"/>
      <c r="T905" s="200"/>
      <c r="U905" s="152"/>
      <c r="V905" s="152"/>
      <c r="W905" s="157"/>
    </row>
    <row r="906" ht="15.75" customHeight="1">
      <c r="B906" s="199"/>
      <c r="N906" s="152"/>
      <c r="Q906" s="195"/>
      <c r="S906" s="200"/>
      <c r="T906" s="200"/>
      <c r="U906" s="152"/>
      <c r="V906" s="152"/>
      <c r="W906" s="157"/>
    </row>
    <row r="907" ht="15.75" customHeight="1">
      <c r="B907" s="199"/>
      <c r="N907" s="152"/>
      <c r="Q907" s="195"/>
      <c r="S907" s="200"/>
      <c r="T907" s="200"/>
      <c r="U907" s="152"/>
      <c r="V907" s="152"/>
      <c r="W907" s="157"/>
    </row>
    <row r="908" ht="15.75" customHeight="1">
      <c r="B908" s="199"/>
      <c r="N908" s="152"/>
      <c r="Q908" s="195"/>
      <c r="S908" s="200"/>
      <c r="T908" s="200"/>
      <c r="U908" s="152"/>
      <c r="V908" s="152"/>
      <c r="W908" s="157"/>
    </row>
    <row r="909" ht="15.75" customHeight="1">
      <c r="B909" s="199"/>
      <c r="N909" s="152"/>
      <c r="Q909" s="195"/>
      <c r="S909" s="200"/>
      <c r="T909" s="200"/>
      <c r="U909" s="152"/>
      <c r="V909" s="152"/>
      <c r="W909" s="157"/>
    </row>
    <row r="910" ht="15.75" customHeight="1">
      <c r="B910" s="199"/>
      <c r="N910" s="152"/>
      <c r="Q910" s="195"/>
      <c r="S910" s="200"/>
      <c r="T910" s="200"/>
      <c r="U910" s="152"/>
      <c r="V910" s="152"/>
      <c r="W910" s="157"/>
    </row>
    <row r="911" ht="15.75" customHeight="1">
      <c r="B911" s="199"/>
      <c r="N911" s="152"/>
      <c r="Q911" s="195"/>
      <c r="S911" s="200"/>
      <c r="T911" s="200"/>
      <c r="U911" s="152"/>
      <c r="V911" s="152"/>
      <c r="W911" s="157"/>
    </row>
    <row r="912" ht="15.75" customHeight="1">
      <c r="B912" s="199"/>
      <c r="N912" s="152"/>
      <c r="Q912" s="195"/>
      <c r="S912" s="200"/>
      <c r="T912" s="200"/>
      <c r="U912" s="152"/>
      <c r="V912" s="152"/>
      <c r="W912" s="157"/>
    </row>
    <row r="913" ht="15.75" customHeight="1">
      <c r="B913" s="199"/>
      <c r="N913" s="152"/>
      <c r="Q913" s="195"/>
      <c r="S913" s="200"/>
      <c r="T913" s="200"/>
      <c r="U913" s="152"/>
      <c r="V913" s="152"/>
      <c r="W913" s="157"/>
    </row>
    <row r="914" ht="15.75" customHeight="1">
      <c r="B914" s="199"/>
      <c r="N914" s="152"/>
      <c r="Q914" s="195"/>
      <c r="S914" s="200"/>
      <c r="T914" s="200"/>
      <c r="U914" s="152"/>
      <c r="V914" s="152"/>
      <c r="W914" s="157"/>
    </row>
    <row r="915" ht="15.75" customHeight="1">
      <c r="B915" s="199"/>
      <c r="N915" s="152"/>
      <c r="Q915" s="195"/>
      <c r="S915" s="200"/>
      <c r="T915" s="200"/>
      <c r="U915" s="152"/>
      <c r="V915" s="152"/>
      <c r="W915" s="157"/>
    </row>
    <row r="916" ht="15.75" customHeight="1">
      <c r="B916" s="199"/>
      <c r="N916" s="152"/>
      <c r="Q916" s="195"/>
      <c r="S916" s="200"/>
      <c r="T916" s="200"/>
      <c r="U916" s="152"/>
      <c r="V916" s="152"/>
      <c r="W916" s="157"/>
    </row>
    <row r="917" ht="15.75" customHeight="1">
      <c r="B917" s="199"/>
      <c r="N917" s="152"/>
      <c r="Q917" s="195"/>
      <c r="S917" s="200"/>
      <c r="T917" s="200"/>
      <c r="U917" s="152"/>
      <c r="V917" s="152"/>
      <c r="W917" s="157"/>
    </row>
    <row r="918" ht="15.75" customHeight="1">
      <c r="B918" s="199"/>
      <c r="N918" s="152"/>
      <c r="Q918" s="195"/>
      <c r="S918" s="200"/>
      <c r="T918" s="200"/>
      <c r="U918" s="152"/>
      <c r="V918" s="152"/>
      <c r="W918" s="157"/>
    </row>
    <row r="919" ht="15.75" customHeight="1">
      <c r="B919" s="199"/>
      <c r="N919" s="152"/>
      <c r="Q919" s="195"/>
      <c r="S919" s="200"/>
      <c r="T919" s="200"/>
      <c r="U919" s="152"/>
      <c r="V919" s="152"/>
      <c r="W919" s="157"/>
    </row>
    <row r="920" ht="15.75" customHeight="1">
      <c r="B920" s="199"/>
      <c r="N920" s="152"/>
      <c r="Q920" s="195"/>
      <c r="S920" s="200"/>
      <c r="T920" s="200"/>
      <c r="U920" s="152"/>
      <c r="V920" s="152"/>
      <c r="W920" s="157"/>
    </row>
    <row r="921" ht="15.75" customHeight="1">
      <c r="B921" s="199"/>
      <c r="N921" s="152"/>
      <c r="Q921" s="195"/>
      <c r="S921" s="200"/>
      <c r="T921" s="200"/>
      <c r="U921" s="152"/>
      <c r="V921" s="152"/>
      <c r="W921" s="157"/>
    </row>
    <row r="922" ht="15.75" customHeight="1">
      <c r="B922" s="199"/>
      <c r="N922" s="152"/>
      <c r="Q922" s="195"/>
      <c r="S922" s="200"/>
      <c r="T922" s="200"/>
      <c r="U922" s="152"/>
      <c r="V922" s="152"/>
      <c r="W922" s="157"/>
    </row>
    <row r="923" ht="15.75" customHeight="1">
      <c r="B923" s="199"/>
      <c r="N923" s="152"/>
      <c r="Q923" s="195"/>
      <c r="S923" s="200"/>
      <c r="T923" s="200"/>
      <c r="U923" s="152"/>
      <c r="V923" s="152"/>
      <c r="W923" s="157"/>
    </row>
    <row r="924" ht="15.75" customHeight="1">
      <c r="B924" s="199"/>
      <c r="N924" s="152"/>
      <c r="Q924" s="195"/>
      <c r="S924" s="200"/>
      <c r="T924" s="200"/>
      <c r="U924" s="152"/>
      <c r="V924" s="152"/>
      <c r="W924" s="157"/>
    </row>
    <row r="925" ht="15.75" customHeight="1">
      <c r="B925" s="199"/>
      <c r="N925" s="152"/>
      <c r="Q925" s="195"/>
      <c r="S925" s="200"/>
      <c r="T925" s="200"/>
      <c r="U925" s="152"/>
      <c r="V925" s="152"/>
      <c r="W925" s="157"/>
    </row>
    <row r="926" ht="15.75" customHeight="1">
      <c r="B926" s="199"/>
      <c r="N926" s="152"/>
      <c r="Q926" s="195"/>
      <c r="S926" s="200"/>
      <c r="T926" s="200"/>
      <c r="U926" s="152"/>
      <c r="V926" s="152"/>
      <c r="W926" s="157"/>
    </row>
    <row r="927" ht="15.75" customHeight="1">
      <c r="B927" s="199"/>
      <c r="N927" s="152"/>
      <c r="Q927" s="195"/>
      <c r="S927" s="200"/>
      <c r="T927" s="200"/>
      <c r="U927" s="152"/>
      <c r="V927" s="152"/>
      <c r="W927" s="157"/>
    </row>
    <row r="928" ht="15.75" customHeight="1">
      <c r="B928" s="199"/>
      <c r="N928" s="152"/>
      <c r="Q928" s="195"/>
      <c r="S928" s="200"/>
      <c r="T928" s="200"/>
      <c r="U928" s="152"/>
      <c r="V928" s="152"/>
      <c r="W928" s="157"/>
    </row>
    <row r="929" ht="15.75" customHeight="1">
      <c r="B929" s="199"/>
      <c r="N929" s="152"/>
      <c r="Q929" s="195"/>
      <c r="S929" s="200"/>
      <c r="T929" s="200"/>
      <c r="U929" s="152"/>
      <c r="V929" s="152"/>
      <c r="W929" s="157"/>
    </row>
    <row r="930" ht="15.75" customHeight="1">
      <c r="B930" s="199"/>
      <c r="N930" s="152"/>
      <c r="Q930" s="195"/>
      <c r="S930" s="200"/>
      <c r="T930" s="200"/>
      <c r="U930" s="152"/>
      <c r="V930" s="152"/>
      <c r="W930" s="157"/>
    </row>
    <row r="931" ht="15.75" customHeight="1">
      <c r="B931" s="199"/>
      <c r="N931" s="152"/>
      <c r="Q931" s="195"/>
      <c r="S931" s="200"/>
      <c r="T931" s="200"/>
      <c r="U931" s="152"/>
      <c r="V931" s="152"/>
      <c r="W931" s="157"/>
    </row>
    <row r="932" ht="15.75" customHeight="1">
      <c r="B932" s="199"/>
      <c r="N932" s="152"/>
      <c r="Q932" s="195"/>
      <c r="S932" s="200"/>
      <c r="T932" s="200"/>
      <c r="U932" s="152"/>
      <c r="V932" s="152"/>
      <c r="W932" s="157"/>
    </row>
    <row r="933" ht="15.75" customHeight="1">
      <c r="B933" s="199"/>
      <c r="N933" s="152"/>
      <c r="Q933" s="195"/>
      <c r="S933" s="200"/>
      <c r="T933" s="200"/>
      <c r="U933" s="152"/>
      <c r="V933" s="152"/>
      <c r="W933" s="157"/>
    </row>
    <row r="934" ht="15.75" customHeight="1">
      <c r="B934" s="199"/>
      <c r="N934" s="152"/>
      <c r="Q934" s="195"/>
      <c r="S934" s="200"/>
      <c r="T934" s="200"/>
      <c r="U934" s="152"/>
      <c r="V934" s="152"/>
      <c r="W934" s="157"/>
    </row>
    <row r="935" ht="15.75" customHeight="1">
      <c r="B935" s="199"/>
      <c r="N935" s="152"/>
      <c r="Q935" s="195"/>
      <c r="S935" s="200"/>
      <c r="T935" s="200"/>
      <c r="U935" s="152"/>
      <c r="V935" s="152"/>
      <c r="W935" s="157"/>
    </row>
    <row r="936" ht="15.75" customHeight="1">
      <c r="B936" s="199"/>
      <c r="N936" s="152"/>
      <c r="Q936" s="195"/>
      <c r="S936" s="200"/>
      <c r="T936" s="200"/>
      <c r="U936" s="152"/>
      <c r="V936" s="152"/>
      <c r="W936" s="157"/>
    </row>
    <row r="937" ht="15.75" customHeight="1">
      <c r="B937" s="199"/>
      <c r="N937" s="152"/>
      <c r="Q937" s="195"/>
      <c r="S937" s="200"/>
      <c r="T937" s="200"/>
      <c r="U937" s="152"/>
      <c r="V937" s="152"/>
      <c r="W937" s="157"/>
    </row>
    <row r="938" ht="15.75" customHeight="1">
      <c r="B938" s="199"/>
      <c r="N938" s="152"/>
      <c r="Q938" s="195"/>
      <c r="S938" s="200"/>
      <c r="T938" s="200"/>
      <c r="U938" s="152"/>
      <c r="V938" s="152"/>
      <c r="W938" s="157"/>
    </row>
    <row r="939" ht="15.75" customHeight="1">
      <c r="B939" s="199"/>
      <c r="N939" s="152"/>
      <c r="Q939" s="195"/>
      <c r="S939" s="200"/>
      <c r="T939" s="200"/>
      <c r="U939" s="152"/>
      <c r="V939" s="152"/>
      <c r="W939" s="157"/>
    </row>
    <row r="940" ht="15.75" customHeight="1">
      <c r="B940" s="199"/>
      <c r="N940" s="152"/>
      <c r="Q940" s="195"/>
      <c r="S940" s="200"/>
      <c r="T940" s="200"/>
      <c r="U940" s="152"/>
      <c r="V940" s="152"/>
      <c r="W940" s="157"/>
    </row>
    <row r="941" ht="15.75" customHeight="1">
      <c r="B941" s="199"/>
      <c r="N941" s="152"/>
      <c r="Q941" s="195"/>
      <c r="S941" s="200"/>
      <c r="T941" s="200"/>
      <c r="U941" s="152"/>
      <c r="V941" s="152"/>
      <c r="W941" s="157"/>
    </row>
    <row r="942" ht="15.75" customHeight="1">
      <c r="B942" s="199"/>
      <c r="N942" s="152"/>
      <c r="Q942" s="195"/>
      <c r="S942" s="200"/>
      <c r="T942" s="200"/>
      <c r="U942" s="152"/>
      <c r="V942" s="152"/>
      <c r="W942" s="157"/>
    </row>
    <row r="943" ht="15.75" customHeight="1">
      <c r="B943" s="199"/>
      <c r="N943" s="152"/>
      <c r="Q943" s="195"/>
      <c r="S943" s="200"/>
      <c r="T943" s="200"/>
      <c r="U943" s="152"/>
      <c r="V943" s="152"/>
      <c r="W943" s="157"/>
    </row>
    <row r="944" ht="15.75" customHeight="1">
      <c r="B944" s="199"/>
      <c r="N944" s="152"/>
      <c r="Q944" s="195"/>
      <c r="S944" s="200"/>
      <c r="T944" s="200"/>
      <c r="U944" s="152"/>
      <c r="V944" s="152"/>
      <c r="W944" s="157"/>
    </row>
    <row r="945" ht="15.75" customHeight="1">
      <c r="B945" s="199"/>
      <c r="N945" s="152"/>
      <c r="Q945" s="195"/>
      <c r="S945" s="200"/>
      <c r="T945" s="200"/>
      <c r="U945" s="152"/>
      <c r="V945" s="152"/>
      <c r="W945" s="157"/>
    </row>
    <row r="946" ht="15.75" customHeight="1">
      <c r="B946" s="199"/>
      <c r="N946" s="152"/>
      <c r="Q946" s="195"/>
      <c r="S946" s="200"/>
      <c r="T946" s="200"/>
      <c r="U946" s="152"/>
      <c r="V946" s="152"/>
      <c r="W946" s="157"/>
    </row>
    <row r="947" ht="15.75" customHeight="1">
      <c r="B947" s="199"/>
      <c r="N947" s="152"/>
      <c r="Q947" s="195"/>
      <c r="S947" s="200"/>
      <c r="T947" s="200"/>
      <c r="U947" s="152"/>
      <c r="V947" s="152"/>
      <c r="W947" s="157"/>
    </row>
    <row r="948" ht="15.75" customHeight="1">
      <c r="B948" s="199"/>
      <c r="N948" s="152"/>
      <c r="Q948" s="195"/>
      <c r="S948" s="200"/>
      <c r="T948" s="200"/>
      <c r="U948" s="152"/>
      <c r="V948" s="152"/>
      <c r="W948" s="157"/>
    </row>
    <row r="949" ht="15.75" customHeight="1">
      <c r="B949" s="199"/>
      <c r="N949" s="152"/>
      <c r="Q949" s="195"/>
      <c r="S949" s="200"/>
      <c r="T949" s="200"/>
      <c r="U949" s="152"/>
      <c r="V949" s="152"/>
      <c r="W949" s="157"/>
    </row>
    <row r="950" ht="15.75" customHeight="1">
      <c r="B950" s="199"/>
      <c r="N950" s="152"/>
      <c r="Q950" s="195"/>
      <c r="S950" s="200"/>
      <c r="T950" s="200"/>
      <c r="U950" s="152"/>
      <c r="V950" s="152"/>
      <c r="W950" s="157"/>
    </row>
    <row r="951" ht="15.75" customHeight="1">
      <c r="B951" s="199"/>
      <c r="N951" s="152"/>
      <c r="Q951" s="195"/>
      <c r="S951" s="200"/>
      <c r="T951" s="200"/>
      <c r="U951" s="152"/>
      <c r="V951" s="152"/>
      <c r="W951" s="157"/>
    </row>
    <row r="952" ht="15.75" customHeight="1">
      <c r="B952" s="199"/>
      <c r="N952" s="152"/>
      <c r="Q952" s="195"/>
      <c r="S952" s="200"/>
      <c r="T952" s="200"/>
      <c r="U952" s="152"/>
      <c r="V952" s="152"/>
      <c r="W952" s="157"/>
    </row>
    <row r="953" ht="15.75" customHeight="1">
      <c r="B953" s="199"/>
      <c r="N953" s="152"/>
      <c r="Q953" s="195"/>
      <c r="S953" s="200"/>
      <c r="T953" s="200"/>
      <c r="U953" s="152"/>
      <c r="V953" s="152"/>
      <c r="W953" s="157"/>
    </row>
    <row r="954" ht="15.75" customHeight="1">
      <c r="B954" s="199"/>
      <c r="N954" s="152"/>
      <c r="Q954" s="195"/>
      <c r="S954" s="200"/>
      <c r="T954" s="200"/>
      <c r="U954" s="152"/>
      <c r="V954" s="152"/>
      <c r="W954" s="157"/>
    </row>
    <row r="955" ht="15.75" customHeight="1">
      <c r="B955" s="199"/>
      <c r="N955" s="152"/>
      <c r="Q955" s="195"/>
      <c r="S955" s="200"/>
      <c r="T955" s="200"/>
      <c r="U955" s="152"/>
      <c r="V955" s="152"/>
      <c r="W955" s="157"/>
    </row>
    <row r="956" ht="15.75" customHeight="1">
      <c r="B956" s="199"/>
      <c r="N956" s="152"/>
      <c r="Q956" s="195"/>
      <c r="S956" s="200"/>
      <c r="T956" s="200"/>
      <c r="U956" s="152"/>
      <c r="V956" s="152"/>
      <c r="W956" s="157"/>
    </row>
    <row r="957" ht="15.75" customHeight="1">
      <c r="B957" s="199"/>
      <c r="N957" s="152"/>
      <c r="Q957" s="195"/>
      <c r="S957" s="200"/>
      <c r="T957" s="200"/>
      <c r="U957" s="152"/>
      <c r="V957" s="152"/>
      <c r="W957" s="157"/>
    </row>
    <row r="958" ht="15.75" customHeight="1">
      <c r="B958" s="199"/>
      <c r="N958" s="152"/>
      <c r="Q958" s="195"/>
      <c r="S958" s="200"/>
      <c r="T958" s="200"/>
      <c r="U958" s="152"/>
      <c r="V958" s="152"/>
      <c r="W958" s="157"/>
    </row>
    <row r="959" ht="15.75" customHeight="1">
      <c r="B959" s="199"/>
      <c r="N959" s="152"/>
      <c r="Q959" s="195"/>
      <c r="S959" s="200"/>
      <c r="T959" s="200"/>
      <c r="U959" s="152"/>
      <c r="V959" s="152"/>
      <c r="W959" s="157"/>
    </row>
    <row r="960" ht="15.75" customHeight="1">
      <c r="B960" s="199"/>
      <c r="N960" s="152"/>
      <c r="Q960" s="195"/>
      <c r="S960" s="200"/>
      <c r="T960" s="200"/>
      <c r="U960" s="152"/>
      <c r="V960" s="152"/>
      <c r="W960" s="157"/>
    </row>
    <row r="961" ht="15.75" customHeight="1">
      <c r="B961" s="199"/>
      <c r="N961" s="152"/>
      <c r="Q961" s="195"/>
      <c r="S961" s="200"/>
      <c r="T961" s="200"/>
      <c r="U961" s="152"/>
      <c r="V961" s="152"/>
      <c r="W961" s="157"/>
    </row>
    <row r="962" ht="15.75" customHeight="1">
      <c r="B962" s="199"/>
      <c r="N962" s="152"/>
      <c r="Q962" s="195"/>
      <c r="S962" s="200"/>
      <c r="T962" s="200"/>
      <c r="U962" s="152"/>
      <c r="V962" s="152"/>
      <c r="W962" s="157"/>
    </row>
    <row r="963" ht="15.75" customHeight="1">
      <c r="B963" s="199"/>
      <c r="N963" s="152"/>
      <c r="Q963" s="195"/>
      <c r="S963" s="200"/>
      <c r="T963" s="200"/>
      <c r="U963" s="152"/>
      <c r="V963" s="152"/>
      <c r="W963" s="157"/>
    </row>
    <row r="964" ht="15.75" customHeight="1">
      <c r="B964" s="199"/>
      <c r="N964" s="152"/>
      <c r="Q964" s="195"/>
      <c r="S964" s="200"/>
      <c r="T964" s="200"/>
      <c r="U964" s="152"/>
      <c r="V964" s="152"/>
      <c r="W964" s="157"/>
    </row>
    <row r="965" ht="15.75" customHeight="1">
      <c r="B965" s="199"/>
      <c r="N965" s="152"/>
      <c r="Q965" s="195"/>
      <c r="S965" s="200"/>
      <c r="T965" s="200"/>
      <c r="U965" s="152"/>
      <c r="V965" s="152"/>
      <c r="W965" s="157"/>
    </row>
    <row r="966" ht="15.75" customHeight="1">
      <c r="B966" s="199"/>
      <c r="N966" s="152"/>
      <c r="Q966" s="195"/>
      <c r="S966" s="200"/>
      <c r="T966" s="200"/>
      <c r="U966" s="152"/>
      <c r="V966" s="152"/>
      <c r="W966" s="157"/>
    </row>
    <row r="967" ht="15.75" customHeight="1">
      <c r="B967" s="199"/>
      <c r="N967" s="152"/>
      <c r="Q967" s="195"/>
      <c r="S967" s="200"/>
      <c r="T967" s="200"/>
      <c r="U967" s="152"/>
      <c r="V967" s="152"/>
      <c r="W967" s="157"/>
    </row>
    <row r="968" ht="15.75" customHeight="1">
      <c r="B968" s="199"/>
      <c r="N968" s="152"/>
      <c r="Q968" s="195"/>
      <c r="S968" s="200"/>
      <c r="T968" s="200"/>
      <c r="U968" s="152"/>
      <c r="V968" s="152"/>
      <c r="W968" s="157"/>
    </row>
    <row r="969" ht="15.75" customHeight="1">
      <c r="B969" s="199"/>
      <c r="N969" s="152"/>
      <c r="Q969" s="195"/>
      <c r="S969" s="200"/>
      <c r="T969" s="200"/>
      <c r="U969" s="152"/>
      <c r="V969" s="152"/>
      <c r="W969" s="157"/>
    </row>
    <row r="970" ht="15.75" customHeight="1">
      <c r="B970" s="199"/>
      <c r="N970" s="152"/>
      <c r="Q970" s="195"/>
      <c r="S970" s="200"/>
      <c r="T970" s="200"/>
      <c r="U970" s="152"/>
      <c r="V970" s="152"/>
      <c r="W970" s="157"/>
    </row>
    <row r="971" ht="15.75" customHeight="1">
      <c r="B971" s="199"/>
      <c r="N971" s="152"/>
      <c r="Q971" s="195"/>
      <c r="S971" s="200"/>
      <c r="T971" s="200"/>
      <c r="U971" s="152"/>
      <c r="V971" s="152"/>
      <c r="W971" s="157"/>
    </row>
    <row r="972" ht="15.75" customHeight="1">
      <c r="B972" s="199"/>
      <c r="N972" s="152"/>
      <c r="Q972" s="195"/>
      <c r="S972" s="200"/>
      <c r="T972" s="200"/>
      <c r="U972" s="152"/>
      <c r="V972" s="152"/>
      <c r="W972" s="157"/>
    </row>
    <row r="973" ht="15.75" customHeight="1">
      <c r="B973" s="199"/>
      <c r="N973" s="152"/>
      <c r="Q973" s="195"/>
      <c r="S973" s="200"/>
      <c r="T973" s="200"/>
      <c r="U973" s="152"/>
      <c r="V973" s="152"/>
      <c r="W973" s="157"/>
    </row>
    <row r="974" ht="15.75" customHeight="1">
      <c r="B974" s="199"/>
      <c r="N974" s="152"/>
      <c r="Q974" s="195"/>
      <c r="S974" s="200"/>
      <c r="T974" s="200"/>
      <c r="U974" s="152"/>
      <c r="V974" s="152"/>
      <c r="W974" s="157"/>
    </row>
    <row r="975" ht="15.75" customHeight="1">
      <c r="B975" s="199"/>
      <c r="N975" s="152"/>
      <c r="Q975" s="195"/>
      <c r="S975" s="200"/>
      <c r="T975" s="200"/>
      <c r="U975" s="152"/>
      <c r="V975" s="152"/>
      <c r="W975" s="157"/>
    </row>
    <row r="976" ht="15.75" customHeight="1">
      <c r="B976" s="199"/>
      <c r="N976" s="152"/>
      <c r="Q976" s="195"/>
      <c r="S976" s="200"/>
      <c r="T976" s="200"/>
      <c r="U976" s="152"/>
      <c r="V976" s="152"/>
      <c r="W976" s="157"/>
    </row>
    <row r="977" ht="15.75" customHeight="1">
      <c r="B977" s="199"/>
      <c r="N977" s="152"/>
      <c r="Q977" s="195"/>
      <c r="S977" s="200"/>
      <c r="T977" s="200"/>
      <c r="U977" s="152"/>
      <c r="V977" s="152"/>
      <c r="W977" s="157"/>
    </row>
    <row r="978" ht="15.75" customHeight="1">
      <c r="B978" s="199"/>
      <c r="N978" s="152"/>
      <c r="Q978" s="195"/>
      <c r="S978" s="200"/>
      <c r="T978" s="200"/>
      <c r="U978" s="152"/>
      <c r="V978" s="152"/>
      <c r="W978" s="157"/>
    </row>
    <row r="979" ht="15.75" customHeight="1">
      <c r="B979" s="199"/>
      <c r="N979" s="152"/>
      <c r="Q979" s="195"/>
      <c r="S979" s="200"/>
      <c r="T979" s="200"/>
      <c r="U979" s="152"/>
      <c r="V979" s="152"/>
      <c r="W979" s="157"/>
    </row>
    <row r="980" ht="15.75" customHeight="1">
      <c r="B980" s="199"/>
      <c r="N980" s="152"/>
      <c r="Q980" s="195"/>
      <c r="S980" s="200"/>
      <c r="T980" s="200"/>
      <c r="U980" s="152"/>
      <c r="V980" s="152"/>
      <c r="W980" s="157"/>
    </row>
    <row r="981" ht="15.75" customHeight="1">
      <c r="B981" s="199"/>
      <c r="N981" s="152"/>
      <c r="Q981" s="195"/>
      <c r="S981" s="200"/>
      <c r="T981" s="200"/>
      <c r="U981" s="152"/>
      <c r="V981" s="152"/>
      <c r="W981" s="157"/>
    </row>
    <row r="982" ht="15.75" customHeight="1">
      <c r="B982" s="199"/>
      <c r="N982" s="152"/>
      <c r="Q982" s="195"/>
      <c r="S982" s="200"/>
      <c r="T982" s="200"/>
      <c r="U982" s="152"/>
      <c r="V982" s="152"/>
      <c r="W982" s="157"/>
    </row>
    <row r="983" ht="15.75" customHeight="1">
      <c r="B983" s="199"/>
      <c r="N983" s="152"/>
      <c r="Q983" s="195"/>
      <c r="S983" s="200"/>
      <c r="T983" s="200"/>
      <c r="U983" s="152"/>
      <c r="V983" s="152"/>
      <c r="W983" s="157"/>
    </row>
    <row r="984" ht="15.75" customHeight="1">
      <c r="B984" s="199"/>
      <c r="N984" s="152"/>
      <c r="Q984" s="195"/>
      <c r="S984" s="200"/>
      <c r="T984" s="200"/>
      <c r="U984" s="152"/>
      <c r="V984" s="152"/>
      <c r="W984" s="157"/>
    </row>
    <row r="985" ht="15.75" customHeight="1">
      <c r="B985" s="199"/>
      <c r="N985" s="152"/>
      <c r="Q985" s="195"/>
      <c r="S985" s="200"/>
      <c r="T985" s="200"/>
      <c r="U985" s="152"/>
      <c r="V985" s="152"/>
      <c r="W985" s="157"/>
    </row>
    <row r="986" ht="15.75" customHeight="1">
      <c r="B986" s="199"/>
      <c r="N986" s="152"/>
      <c r="Q986" s="195"/>
      <c r="S986" s="200"/>
      <c r="T986" s="200"/>
      <c r="U986" s="152"/>
      <c r="V986" s="152"/>
      <c r="W986" s="157"/>
    </row>
    <row r="987" ht="15.75" customHeight="1">
      <c r="B987" s="199"/>
      <c r="N987" s="152"/>
      <c r="Q987" s="195"/>
      <c r="S987" s="200"/>
      <c r="T987" s="200"/>
      <c r="U987" s="152"/>
      <c r="V987" s="152"/>
      <c r="W987" s="157"/>
    </row>
    <row r="988" ht="15.75" customHeight="1">
      <c r="B988" s="199"/>
      <c r="N988" s="152"/>
      <c r="Q988" s="195"/>
      <c r="S988" s="200"/>
      <c r="T988" s="200"/>
      <c r="U988" s="152"/>
      <c r="V988" s="152"/>
      <c r="W988" s="157"/>
    </row>
    <row r="989" ht="15.75" customHeight="1">
      <c r="B989" s="199"/>
      <c r="N989" s="152"/>
      <c r="Q989" s="195"/>
      <c r="S989" s="200"/>
      <c r="T989" s="200"/>
      <c r="U989" s="152"/>
      <c r="V989" s="152"/>
      <c r="W989" s="157"/>
    </row>
    <row r="990" ht="15.75" customHeight="1">
      <c r="B990" s="199"/>
      <c r="N990" s="152"/>
      <c r="Q990" s="195"/>
      <c r="S990" s="200"/>
      <c r="T990" s="200"/>
      <c r="U990" s="152"/>
      <c r="V990" s="152"/>
      <c r="W990" s="157"/>
    </row>
    <row r="991" ht="15.75" customHeight="1">
      <c r="B991" s="199"/>
      <c r="N991" s="152"/>
      <c r="Q991" s="195"/>
      <c r="S991" s="200"/>
      <c r="T991" s="200"/>
      <c r="U991" s="152"/>
      <c r="V991" s="152"/>
      <c r="W991" s="157"/>
    </row>
    <row r="992" ht="15.75" customHeight="1">
      <c r="B992" s="199"/>
      <c r="N992" s="152"/>
      <c r="Q992" s="195"/>
      <c r="S992" s="200"/>
      <c r="T992" s="200"/>
      <c r="U992" s="152"/>
      <c r="V992" s="152"/>
      <c r="W992" s="157"/>
    </row>
    <row r="993" ht="15.75" customHeight="1">
      <c r="B993" s="199"/>
      <c r="N993" s="152"/>
      <c r="Q993" s="195"/>
      <c r="S993" s="200"/>
      <c r="T993" s="200"/>
      <c r="U993" s="152"/>
      <c r="V993" s="152"/>
      <c r="W993" s="157"/>
    </row>
    <row r="994" ht="15.75" customHeight="1">
      <c r="B994" s="199"/>
      <c r="N994" s="152"/>
      <c r="Q994" s="195"/>
      <c r="S994" s="200"/>
      <c r="T994" s="200"/>
      <c r="U994" s="152"/>
      <c r="V994" s="152"/>
      <c r="W994" s="157"/>
    </row>
    <row r="995" ht="15.75" customHeight="1">
      <c r="B995" s="199"/>
      <c r="N995" s="152"/>
      <c r="Q995" s="195"/>
      <c r="S995" s="200"/>
      <c r="T995" s="200"/>
      <c r="U995" s="152"/>
      <c r="V995" s="152"/>
      <c r="W995" s="157"/>
    </row>
    <row r="996" ht="15.75" customHeight="1">
      <c r="B996" s="199"/>
      <c r="N996" s="152"/>
      <c r="Q996" s="195"/>
      <c r="S996" s="200"/>
      <c r="T996" s="200"/>
      <c r="U996" s="152"/>
      <c r="V996" s="152"/>
      <c r="W996" s="157"/>
    </row>
    <row r="997" ht="15.75" customHeight="1">
      <c r="B997" s="199"/>
      <c r="N997" s="152"/>
      <c r="Q997" s="195"/>
      <c r="S997" s="200"/>
      <c r="T997" s="200"/>
      <c r="U997" s="152"/>
      <c r="V997" s="152"/>
      <c r="W997" s="157"/>
    </row>
    <row r="998" ht="15.75" customHeight="1">
      <c r="B998" s="199"/>
      <c r="N998" s="152"/>
      <c r="Q998" s="195"/>
      <c r="S998" s="200"/>
      <c r="T998" s="200"/>
      <c r="U998" s="152"/>
      <c r="V998" s="152"/>
      <c r="W998" s="157"/>
    </row>
    <row r="999" ht="15.75" customHeight="1">
      <c r="B999" s="199"/>
      <c r="N999" s="152"/>
      <c r="Q999" s="195"/>
      <c r="S999" s="200"/>
      <c r="T999" s="200"/>
      <c r="U999" s="152"/>
      <c r="V999" s="152"/>
      <c r="W999" s="157"/>
    </row>
    <row r="1000" ht="15.75" customHeight="1">
      <c r="B1000" s="199"/>
      <c r="N1000" s="152"/>
      <c r="Q1000" s="195"/>
      <c r="S1000" s="200"/>
      <c r="T1000" s="200"/>
      <c r="U1000" s="152"/>
      <c r="V1000" s="152"/>
      <c r="W1000" s="157"/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6" width="12.63"/>
    <col customWidth="1" min="8" max="8" width="17.88"/>
    <col customWidth="1" min="9" max="9" width="14.38"/>
    <col customWidth="1" min="10" max="10" width="9.75"/>
    <col customWidth="1" min="20" max="20" width="19.13"/>
  </cols>
  <sheetData>
    <row r="1" ht="15.75" customHeight="1">
      <c r="A1" s="168" t="str">
        <f>Datos!A1</f>
        <v>   Fecha </v>
      </c>
      <c r="B1" s="172" t="str">
        <f>Datos!B1</f>
        <v>NIS</v>
      </c>
      <c r="C1" s="168" t="str">
        <f>Datos!C1</f>
        <v>Cliente</v>
      </c>
      <c r="D1" s="168" t="str">
        <f>Datos!D1</f>
        <v>IVA</v>
      </c>
      <c r="E1" s="168" t="str">
        <f>Datos!E1</f>
        <v>Consumo [kWh]</v>
      </c>
      <c r="F1" s="168" t="str">
        <f>Datos!F1</f>
        <v>Consumo hs punta [kWh]</v>
      </c>
      <c r="G1" s="168" t="str">
        <f>Datos!G1</f>
        <v>Consumo hs valle [kWh]</v>
      </c>
      <c r="H1" s="168" t="str">
        <f>Datos!H1</f>
        <v>Consumo hs resto[kWh]</v>
      </c>
      <c r="I1" s="168" t="str">
        <f>Datos!I1</f>
        <v>Catergoria</v>
      </c>
      <c r="J1" s="168" t="str">
        <f>Datos!J1</f>
        <v>Tarifa punta</v>
      </c>
      <c r="K1" s="168" t="str">
        <f>Datos!K1</f>
        <v>Tarifa valle</v>
      </c>
      <c r="L1" s="168" t="str">
        <f>Datos!L1</f>
        <v>Tarifa resto</v>
      </c>
      <c r="M1" s="168" t="str">
        <f>Datos!M1</f>
        <v>Generacion FV [kWh]</v>
      </c>
      <c r="N1" s="173" t="str">
        <f>Datos!N1</f>
        <v>CONSUMO TOTAL</v>
      </c>
      <c r="O1" s="168" t="str">
        <f>Datos!O1</f>
        <v>Total a pagar S / IVA</v>
      </c>
      <c r="P1" s="168" t="str">
        <f>Datos!P1</f>
        <v>Valor USD</v>
      </c>
      <c r="Q1" s="182" t="str">
        <f>Datos!Q1</f>
        <v>Ahorro (USD)</v>
      </c>
      <c r="R1" s="168" t="str">
        <f>Datos!R1</f>
        <v>Ahorro ($)</v>
      </c>
      <c r="S1" s="183" t="str">
        <f>Datos!S1</f>
        <v>Valor dolar Actual ($)</v>
      </c>
      <c r="T1" s="183" t="str">
        <f>Datos!T1</f>
        <v>Ahorro ($)-A precio actual</v>
      </c>
      <c r="U1" s="173" t="str">
        <f>Datos!U1</f>
        <v>kg CO2e evitados</v>
      </c>
      <c r="V1" s="173" t="str">
        <f>Datos!V1</f>
        <v>Equivalente en árboles</v>
      </c>
      <c r="W1" s="184" t="str">
        <f>Datos!W1</f>
        <v>% de ahorro sobre los consumos</v>
      </c>
      <c r="X1" s="168" t="str">
        <f>Datos!X1</f>
        <v>SIN PANELES S/IVA</v>
      </c>
      <c r="Y1" s="204"/>
      <c r="Z1" s="175"/>
      <c r="AA1" s="176"/>
      <c r="AB1" s="177"/>
      <c r="AC1" s="178"/>
    </row>
    <row r="2" ht="15.75" customHeight="1">
      <c r="A2" s="12">
        <f>IFERROR(__xludf.DUMMYFUNCTION("FILTER(Datos!1:1247,Datos!B:B=5253775)"),45992.0)</f>
        <v>45992</v>
      </c>
      <c r="B2" s="77">
        <f>IFERROR(__xludf.DUMMYFUNCTION("""COMPUTED_VALUE"""),5253775.0)</f>
        <v>5253775</v>
      </c>
      <c r="C2" s="77" t="str">
        <f>IFERROR(__xludf.DUMMYFUNCTION("""COMPUTED_VALUE"""),"Joaquín Elizalde")</f>
        <v>Joaquín Elizalde</v>
      </c>
      <c r="D2" s="29">
        <f>IFERROR(__xludf.DUMMYFUNCTION("""COMPUTED_VALUE"""),0.21)</f>
        <v>0.21</v>
      </c>
      <c r="E2" s="17">
        <f>IFERROR(__xludf.DUMMYFUNCTION("""COMPUTED_VALUE"""),542.0)</f>
        <v>542</v>
      </c>
      <c r="F2" s="17">
        <f>IFERROR(__xludf.DUMMYFUNCTION("""COMPUTED_VALUE"""),0.0)</f>
        <v>0</v>
      </c>
      <c r="G2" s="17">
        <f>IFERROR(__xludf.DUMMYFUNCTION("""COMPUTED_VALUE"""),0.0)</f>
        <v>0</v>
      </c>
      <c r="H2" s="17">
        <f>IFERROR(__xludf.DUMMYFUNCTION("""COMPUTED_VALUE"""),542.0)</f>
        <v>542</v>
      </c>
      <c r="I2" s="17" t="str">
        <f>IFERROR(__xludf.DUMMYFUNCTION("""COMPUTED_VALUE"""),"T1-R2-N1")</f>
        <v>T1-R2-N1</v>
      </c>
      <c r="J2" s="30">
        <f>IFERROR(__xludf.DUMMYFUNCTION("""COMPUTED_VALUE"""),240.5281)</f>
        <v>240.5281</v>
      </c>
      <c r="K2" s="30">
        <f>IFERROR(__xludf.DUMMYFUNCTION("""COMPUTED_VALUE"""),240.5281)</f>
        <v>240.5281</v>
      </c>
      <c r="L2" s="30">
        <f>IFERROR(__xludf.DUMMYFUNCTION("""COMPUTED_VALUE"""),240.5281)</f>
        <v>240.5281</v>
      </c>
      <c r="M2" s="15">
        <f>IFERROR(__xludf.DUMMYFUNCTION("""COMPUTED_VALUE"""),138.3)</f>
        <v>138.3</v>
      </c>
      <c r="N2" s="17">
        <f>IFERROR(__xludf.DUMMYFUNCTION("""COMPUTED_VALUE"""),680.3)</f>
        <v>680.3</v>
      </c>
      <c r="O2" s="31">
        <f>IFERROR(__xludf.DUMMYFUNCTION("""COMPUTED_VALUE"""),130366.23019999999)</f>
        <v>130366.2302</v>
      </c>
      <c r="P2" s="20">
        <f>IFERROR(__xludf.DUMMYFUNCTION("""COMPUTED_VALUE"""),1470.0)</f>
        <v>1470</v>
      </c>
      <c r="Q2" s="181">
        <f>IFERROR(__xludf.DUMMYFUNCTION("""COMPUTED_VALUE"""),22.62927634693878)</f>
        <v>22.62927635</v>
      </c>
      <c r="R2" s="32">
        <f>IFERROR(__xludf.DUMMYFUNCTION("""COMPUTED_VALUE"""),33265.036230000005)</f>
        <v>33265.03623</v>
      </c>
      <c r="S2" s="84">
        <f>IFERROR(__xludf.DUMMYFUNCTION("""COMPUTED_VALUE"""),1465.0)</f>
        <v>1465</v>
      </c>
      <c r="T2" s="34">
        <f>IFERROR(__xludf.DUMMYFUNCTION("""COMPUTED_VALUE"""),40113.78671640103)</f>
        <v>40113.78672</v>
      </c>
      <c r="U2" s="35">
        <f>IFERROR(__xludf.DUMMYFUNCTION("""COMPUTED_VALUE"""),27.660000000000004)</f>
        <v>27.66</v>
      </c>
      <c r="V2" s="36">
        <f>IFERROR(__xludf.DUMMYFUNCTION("""COMPUTED_VALUE"""),1.2572727272727275)</f>
        <v>1.257272727</v>
      </c>
      <c r="W2" s="37">
        <f>IFERROR(__xludf.DUMMYFUNCTION("""COMPUTED_VALUE"""),0.203292665000735)</f>
        <v>0.203292665</v>
      </c>
      <c r="X2" s="31">
        <f>IFERROR(__xludf.DUMMYFUNCTION("""COMPUTED_VALUE"""),163631.26643)</f>
        <v>163631.2664</v>
      </c>
      <c r="Y2" s="165"/>
      <c r="Z2" s="187"/>
      <c r="AA2" s="188"/>
      <c r="AB2" s="188"/>
      <c r="AC2" s="189"/>
      <c r="AD2" s="189"/>
      <c r="AE2" s="189"/>
      <c r="AF2" s="189"/>
      <c r="AG2" s="189"/>
      <c r="AH2" s="189"/>
      <c r="AI2" s="189"/>
      <c r="AJ2" s="189"/>
      <c r="AK2" s="189"/>
      <c r="AL2" s="189"/>
      <c r="AM2" s="189"/>
      <c r="AN2" s="189"/>
      <c r="AO2" s="189"/>
      <c r="AP2" s="189"/>
      <c r="AQ2" s="189"/>
      <c r="AR2" s="189"/>
      <c r="AS2" s="189"/>
      <c r="AT2" s="189"/>
      <c r="AU2" s="189"/>
      <c r="AV2" s="189"/>
    </row>
    <row r="3" ht="15.75" customHeight="1">
      <c r="A3" s="12">
        <f>IFERROR(__xludf.DUMMYFUNCTION("""COMPUTED_VALUE"""),45982.0)</f>
        <v>45982</v>
      </c>
      <c r="B3" s="77">
        <f>IFERROR(__xludf.DUMMYFUNCTION("""COMPUTED_VALUE"""),5253775.0)</f>
        <v>5253775</v>
      </c>
      <c r="C3" s="77" t="str">
        <f>IFERROR(__xludf.DUMMYFUNCTION("""COMPUTED_VALUE"""),"Joaquín Elizalde")</f>
        <v>Joaquín Elizalde</v>
      </c>
      <c r="D3" s="29">
        <f>IFERROR(__xludf.DUMMYFUNCTION("""COMPUTED_VALUE"""),0.27)</f>
        <v>0.27</v>
      </c>
      <c r="E3" s="17">
        <f>IFERROR(__xludf.DUMMYFUNCTION("""COMPUTED_VALUE"""),643.0)</f>
        <v>643</v>
      </c>
      <c r="F3" s="17"/>
      <c r="G3" s="17"/>
      <c r="H3" s="17">
        <f>IFERROR(__xludf.DUMMYFUNCTION("""COMPUTED_VALUE"""),643.0)</f>
        <v>643</v>
      </c>
      <c r="I3" s="17" t="str">
        <f>IFERROR(__xludf.DUMMYFUNCTION("""COMPUTED_VALUE"""),"T1-R2-N1")</f>
        <v>T1-R2-N1</v>
      </c>
      <c r="J3" s="30">
        <f>IFERROR(__xludf.DUMMYFUNCTION("""COMPUTED_VALUE"""),233.1878)</f>
        <v>233.1878</v>
      </c>
      <c r="K3" s="30">
        <f>IFERROR(__xludf.DUMMYFUNCTION("""COMPUTED_VALUE"""),233.1878)</f>
        <v>233.1878</v>
      </c>
      <c r="L3" s="30">
        <f>IFERROR(__xludf.DUMMYFUNCTION("""COMPUTED_VALUE"""),233.1878)</f>
        <v>233.1878</v>
      </c>
      <c r="M3" s="15">
        <f>IFERROR(__xludf.DUMMYFUNCTION("""COMPUTED_VALUE"""),144.5)</f>
        <v>144.5</v>
      </c>
      <c r="N3" s="17">
        <f>IFERROR(__xludf.DUMMYFUNCTION("""COMPUTED_VALUE"""),787.5)</f>
        <v>787.5</v>
      </c>
      <c r="O3" s="31">
        <f>IFERROR(__xludf.DUMMYFUNCTION("""COMPUTED_VALUE"""),149939.7554)</f>
        <v>149939.7554</v>
      </c>
      <c r="P3" s="20">
        <f>IFERROR(__xludf.DUMMYFUNCTION("""COMPUTED_VALUE"""),1470.0)</f>
        <v>1470</v>
      </c>
      <c r="Q3" s="181">
        <f>IFERROR(__xludf.DUMMYFUNCTION("""COMPUTED_VALUE"""),22.92220210884354)</f>
        <v>22.92220211</v>
      </c>
      <c r="R3" s="32">
        <f>IFERROR(__xludf.DUMMYFUNCTION("""COMPUTED_VALUE"""),33695.6371)</f>
        <v>33695.6371</v>
      </c>
      <c r="S3" s="84">
        <f>IFERROR(__xludf.DUMMYFUNCTION("""COMPUTED_VALUE"""),1465.0)</f>
        <v>1465</v>
      </c>
      <c r="T3" s="34">
        <f>IFERROR(__xludf.DUMMYFUNCTION("""COMPUTED_VALUE"""),42647.90313360885)</f>
        <v>42647.90313</v>
      </c>
      <c r="U3" s="35">
        <f>IFERROR(__xludf.DUMMYFUNCTION("""COMPUTED_VALUE"""),28.900000000000002)</f>
        <v>28.9</v>
      </c>
      <c r="V3" s="36">
        <f>IFERROR(__xludf.DUMMYFUNCTION("""COMPUTED_VALUE"""),1.3136363636363637)</f>
        <v>1.313636364</v>
      </c>
      <c r="W3" s="37">
        <f>IFERROR(__xludf.DUMMYFUNCTION("""COMPUTED_VALUE"""),0.1834920634920635)</f>
        <v>0.1834920635</v>
      </c>
      <c r="X3" s="31">
        <f>IFERROR(__xludf.DUMMYFUNCTION("""COMPUTED_VALUE"""),183635.3925)</f>
        <v>183635.3925</v>
      </c>
      <c r="Y3" s="165"/>
      <c r="Z3" s="187"/>
      <c r="AA3" s="188"/>
      <c r="AB3" s="188"/>
      <c r="AC3" s="189"/>
      <c r="AD3" s="189"/>
      <c r="AE3" s="189"/>
      <c r="AF3" s="189"/>
      <c r="AG3" s="189"/>
      <c r="AH3" s="189"/>
      <c r="AI3" s="189"/>
      <c r="AJ3" s="189"/>
      <c r="AK3" s="189"/>
      <c r="AL3" s="189"/>
      <c r="AM3" s="189"/>
      <c r="AN3" s="189"/>
      <c r="AO3" s="189"/>
      <c r="AP3" s="189"/>
      <c r="AQ3" s="189"/>
      <c r="AR3" s="189"/>
      <c r="AS3" s="189"/>
      <c r="AT3" s="189"/>
      <c r="AU3" s="189"/>
      <c r="AV3" s="189"/>
    </row>
    <row r="4" ht="15.75" customHeight="1">
      <c r="A4" s="12">
        <f>IFERROR(__xludf.DUMMYFUNCTION("""COMPUTED_VALUE"""),45931.0)</f>
        <v>45931</v>
      </c>
      <c r="B4" s="77">
        <f>IFERROR(__xludf.DUMMYFUNCTION("""COMPUTED_VALUE"""),5253775.0)</f>
        <v>5253775</v>
      </c>
      <c r="C4" s="77" t="str">
        <f>IFERROR(__xludf.DUMMYFUNCTION("""COMPUTED_VALUE"""),"Joaquín Elizalde")</f>
        <v>Joaquín Elizalde</v>
      </c>
      <c r="D4" s="29">
        <f>IFERROR(__xludf.DUMMYFUNCTION("""COMPUTED_VALUE"""),0.21)</f>
        <v>0.21</v>
      </c>
      <c r="E4" s="17">
        <f>IFERROR(__xludf.DUMMYFUNCTION("""COMPUTED_VALUE"""),598.0)</f>
        <v>598</v>
      </c>
      <c r="F4" s="17"/>
      <c r="G4" s="17"/>
      <c r="H4" s="17">
        <f>IFERROR(__xludf.DUMMYFUNCTION("""COMPUTED_VALUE"""),598.0)</f>
        <v>598</v>
      </c>
      <c r="I4" s="28" t="str">
        <f>IFERROR(__xludf.DUMMYFUNCTION("""COMPUTED_VALUE"""),"T1-R2-N1")</f>
        <v>T1-R2-N1</v>
      </c>
      <c r="J4" s="30">
        <f>IFERROR(__xludf.DUMMYFUNCTION("""COMPUTED_VALUE"""),230.0967)</f>
        <v>230.0967</v>
      </c>
      <c r="K4" s="30">
        <f>IFERROR(__xludf.DUMMYFUNCTION("""COMPUTED_VALUE"""),230.0967)</f>
        <v>230.0967</v>
      </c>
      <c r="L4" s="30">
        <f>IFERROR(__xludf.DUMMYFUNCTION("""COMPUTED_VALUE"""),230.0967)</f>
        <v>230.0967</v>
      </c>
      <c r="M4" s="15">
        <f>IFERROR(__xludf.DUMMYFUNCTION("""COMPUTED_VALUE"""),140.6)</f>
        <v>140.6</v>
      </c>
      <c r="N4" s="17">
        <f>IFERROR(__xludf.DUMMYFUNCTION("""COMPUTED_VALUE"""),738.6)</f>
        <v>738.6</v>
      </c>
      <c r="O4" s="31">
        <f>IFERROR(__xludf.DUMMYFUNCTION("""COMPUTED_VALUE"""),137597.8266)</f>
        <v>137597.8266</v>
      </c>
      <c r="P4" s="20">
        <f>IFERROR(__xludf.DUMMYFUNCTION("""COMPUTED_VALUE"""),1450.0)</f>
        <v>1450</v>
      </c>
      <c r="Q4" s="181">
        <f>IFERROR(__xludf.DUMMYFUNCTION("""COMPUTED_VALUE"""),22.31144553103448)</f>
        <v>22.31144553</v>
      </c>
      <c r="R4" s="32">
        <f>IFERROR(__xludf.DUMMYFUNCTION("""COMPUTED_VALUE"""),32351.596019999994)</f>
        <v>32351.59602</v>
      </c>
      <c r="S4" s="84">
        <f>IFERROR(__xludf.DUMMYFUNCTION("""COMPUTED_VALUE"""),1465.0)</f>
        <v>1465</v>
      </c>
      <c r="T4" s="34">
        <f>IFERROR(__xludf.DUMMYFUNCTION("""COMPUTED_VALUE"""),39550.38392058827)</f>
        <v>39550.38392</v>
      </c>
      <c r="U4" s="35">
        <f>IFERROR(__xludf.DUMMYFUNCTION("""COMPUTED_VALUE"""),28.12)</f>
        <v>28.12</v>
      </c>
      <c r="V4" s="36">
        <f>IFERROR(__xludf.DUMMYFUNCTION("""COMPUTED_VALUE"""),1.2781818181818183)</f>
        <v>1.278181818</v>
      </c>
      <c r="W4" s="37">
        <f>IFERROR(__xludf.DUMMYFUNCTION("""COMPUTED_VALUE"""),0.19036014080693203)</f>
        <v>0.1903601408</v>
      </c>
      <c r="X4" s="31">
        <f>IFERROR(__xludf.DUMMYFUNCTION("""COMPUTED_VALUE"""),169949.42262)</f>
        <v>169949.4226</v>
      </c>
      <c r="Y4" s="165"/>
      <c r="Z4" s="187"/>
      <c r="AA4" s="188"/>
      <c r="AB4" s="188"/>
      <c r="AC4" s="189"/>
    </row>
    <row r="5" ht="15.75" customHeight="1">
      <c r="A5" s="12">
        <f>IFERROR(__xludf.DUMMYFUNCTION("""COMPUTED_VALUE"""),45921.0)</f>
        <v>45921</v>
      </c>
      <c r="B5" s="77">
        <f>IFERROR(__xludf.DUMMYFUNCTION("""COMPUTED_VALUE"""),5253775.0)</f>
        <v>5253775</v>
      </c>
      <c r="C5" s="77" t="str">
        <f>IFERROR(__xludf.DUMMYFUNCTION("""COMPUTED_VALUE"""),"Joaquín Elizalde")</f>
        <v>Joaquín Elizalde</v>
      </c>
      <c r="D5" s="29">
        <f>IFERROR(__xludf.DUMMYFUNCTION("""COMPUTED_VALUE"""),0.21)</f>
        <v>0.21</v>
      </c>
      <c r="E5" s="17">
        <f>IFERROR(__xludf.DUMMYFUNCTION("""COMPUTED_VALUE"""),546.0)</f>
        <v>546</v>
      </c>
      <c r="F5" s="17"/>
      <c r="G5" s="17"/>
      <c r="H5" s="17">
        <f>IFERROR(__xludf.DUMMYFUNCTION("""COMPUTED_VALUE"""),546.0)</f>
        <v>546</v>
      </c>
      <c r="I5" s="28" t="str">
        <f>IFERROR(__xludf.DUMMYFUNCTION("""COMPUTED_VALUE"""),"T1-R2-N1")</f>
        <v>T1-R2-N1</v>
      </c>
      <c r="J5" s="30">
        <f>IFERROR(__xludf.DUMMYFUNCTION("""COMPUTED_VALUE"""),229.758)</f>
        <v>229.758</v>
      </c>
      <c r="K5" s="30">
        <f>IFERROR(__xludf.DUMMYFUNCTION("""COMPUTED_VALUE"""),229.758)</f>
        <v>229.758</v>
      </c>
      <c r="L5" s="30">
        <f>IFERROR(__xludf.DUMMYFUNCTION("""COMPUTED_VALUE"""),229.758)</f>
        <v>229.758</v>
      </c>
      <c r="M5" s="15">
        <f>IFERROR(__xludf.DUMMYFUNCTION("""COMPUTED_VALUE"""),124.1)</f>
        <v>124.1</v>
      </c>
      <c r="N5" s="17">
        <f>IFERROR(__xludf.DUMMYFUNCTION("""COMPUTED_VALUE"""),670.1)</f>
        <v>670.1</v>
      </c>
      <c r="O5" s="31">
        <f>IFERROR(__xludf.DUMMYFUNCTION("""COMPUTED_VALUE"""),125447.868)</f>
        <v>125447.868</v>
      </c>
      <c r="P5" s="20">
        <f>IFERROR(__xludf.DUMMYFUNCTION("""COMPUTED_VALUE"""),1425.0)</f>
        <v>1425</v>
      </c>
      <c r="Q5" s="181">
        <f>IFERROR(__xludf.DUMMYFUNCTION("""COMPUTED_VALUE"""),20.009100210526316)</f>
        <v>20.00910021</v>
      </c>
      <c r="R5" s="32">
        <f>IFERROR(__xludf.DUMMYFUNCTION("""COMPUTED_VALUE"""),28512.967800000002)</f>
        <v>28512.9678</v>
      </c>
      <c r="S5" s="84">
        <f>IFERROR(__xludf.DUMMYFUNCTION("""COMPUTED_VALUE"""),1465.0)</f>
        <v>1465</v>
      </c>
      <c r="T5" s="34">
        <f>IFERROR(__xludf.DUMMYFUNCTION("""COMPUTED_VALUE"""),35469.13148818947)</f>
        <v>35469.13149</v>
      </c>
      <c r="U5" s="35">
        <f>IFERROR(__xludf.DUMMYFUNCTION("""COMPUTED_VALUE"""),24.82)</f>
        <v>24.82</v>
      </c>
      <c r="V5" s="36">
        <f>IFERROR(__xludf.DUMMYFUNCTION("""COMPUTED_VALUE"""),1.1281818181818182)</f>
        <v>1.128181818</v>
      </c>
      <c r="W5" s="37">
        <f>IFERROR(__xludf.DUMMYFUNCTION("""COMPUTED_VALUE"""),0.1851962393672586)</f>
        <v>0.1851962394</v>
      </c>
      <c r="X5" s="31">
        <f>IFERROR(__xludf.DUMMYFUNCTION("""COMPUTED_VALUE"""),153960.8358)</f>
        <v>153960.8358</v>
      </c>
      <c r="Y5" s="165"/>
      <c r="Z5" s="187"/>
      <c r="AA5" s="188"/>
      <c r="AB5" s="188"/>
      <c r="AC5" s="189"/>
    </row>
    <row r="6" ht="15.75" customHeight="1">
      <c r="A6" s="12">
        <f>IFERROR(__xludf.DUMMYFUNCTION("""COMPUTED_VALUE"""),45889.0)</f>
        <v>45889</v>
      </c>
      <c r="B6" s="77">
        <f>IFERROR(__xludf.DUMMYFUNCTION("""COMPUTED_VALUE"""),5253775.0)</f>
        <v>5253775</v>
      </c>
      <c r="C6" s="77" t="str">
        <f>IFERROR(__xludf.DUMMYFUNCTION("""COMPUTED_VALUE"""),"Joaquín Elizalde")</f>
        <v>Joaquín Elizalde</v>
      </c>
      <c r="D6" s="29">
        <f>IFERROR(__xludf.DUMMYFUNCTION("""COMPUTED_VALUE"""),0.21)</f>
        <v>0.21</v>
      </c>
      <c r="E6" s="17">
        <f>IFERROR(__xludf.DUMMYFUNCTION("""COMPUTED_VALUE"""),572.0)</f>
        <v>572</v>
      </c>
      <c r="F6" s="17"/>
      <c r="G6" s="17"/>
      <c r="H6" s="17">
        <f>IFERROR(__xludf.DUMMYFUNCTION("""COMPUTED_VALUE"""),572.0)</f>
        <v>572</v>
      </c>
      <c r="I6" s="28" t="str">
        <f>IFERROR(__xludf.DUMMYFUNCTION("""COMPUTED_VALUE"""),"T1-R2-N1")</f>
        <v>T1-R2-N1</v>
      </c>
      <c r="J6" s="30">
        <f>IFERROR(__xludf.DUMMYFUNCTION("""COMPUTED_VALUE"""),226.8118)</f>
        <v>226.8118</v>
      </c>
      <c r="K6" s="30">
        <f>IFERROR(__xludf.DUMMYFUNCTION("""COMPUTED_VALUE"""),226.8118)</f>
        <v>226.8118</v>
      </c>
      <c r="L6" s="30">
        <f>IFERROR(__xludf.DUMMYFUNCTION("""COMPUTED_VALUE"""),226.8118)</f>
        <v>226.8118</v>
      </c>
      <c r="M6" s="15">
        <f>IFERROR(__xludf.DUMMYFUNCTION("""COMPUTED_VALUE"""),145.3)</f>
        <v>145.3</v>
      </c>
      <c r="N6" s="17">
        <f>IFERROR(__xludf.DUMMYFUNCTION("""COMPUTED_VALUE"""),717.3)</f>
        <v>717.3</v>
      </c>
      <c r="O6" s="31">
        <f>IFERROR(__xludf.DUMMYFUNCTION("""COMPUTED_VALUE"""),129736.3496)</f>
        <v>129736.3496</v>
      </c>
      <c r="P6" s="20">
        <f>IFERROR(__xludf.DUMMYFUNCTION("""COMPUTED_VALUE"""),1340.0)</f>
        <v>1340</v>
      </c>
      <c r="Q6" s="181">
        <f>IFERROR(__xludf.DUMMYFUNCTION("""COMPUTED_VALUE"""),24.593846671641792)</f>
        <v>24.59384667</v>
      </c>
      <c r="R6" s="32">
        <f>IFERROR(__xludf.DUMMYFUNCTION("""COMPUTED_VALUE"""),32955.75454)</f>
        <v>32955.75454</v>
      </c>
      <c r="S6" s="84">
        <f>IFERROR(__xludf.DUMMYFUNCTION("""COMPUTED_VALUE"""),1465.0)</f>
        <v>1465</v>
      </c>
      <c r="T6" s="34">
        <f>IFERROR(__xludf.DUMMYFUNCTION("""COMPUTED_VALUE"""),43596.28230248582)</f>
        <v>43596.2823</v>
      </c>
      <c r="U6" s="35">
        <f>IFERROR(__xludf.DUMMYFUNCTION("""COMPUTED_VALUE"""),29.060000000000002)</f>
        <v>29.06</v>
      </c>
      <c r="V6" s="36">
        <f>IFERROR(__xludf.DUMMYFUNCTION("""COMPUTED_VALUE"""),1.320909090909091)</f>
        <v>1.320909091</v>
      </c>
      <c r="W6" s="37">
        <f>IFERROR(__xludf.DUMMYFUNCTION("""COMPUTED_VALUE"""),0.2025651749616618)</f>
        <v>0.202565175</v>
      </c>
      <c r="X6" s="31">
        <f>IFERROR(__xludf.DUMMYFUNCTION("""COMPUTED_VALUE"""),162692.10414)</f>
        <v>162692.1041</v>
      </c>
      <c r="Y6" s="165"/>
      <c r="Z6" s="187"/>
      <c r="AA6" s="188"/>
      <c r="AB6" s="188"/>
      <c r="AC6" s="189"/>
    </row>
    <row r="7" ht="15.75" customHeight="1">
      <c r="A7" s="12">
        <f>IFERROR(__xludf.DUMMYFUNCTION("""COMPUTED_VALUE"""),45839.0)</f>
        <v>45839</v>
      </c>
      <c r="B7" s="77">
        <f>IFERROR(__xludf.DUMMYFUNCTION("""COMPUTED_VALUE"""),5253775.0)</f>
        <v>5253775</v>
      </c>
      <c r="C7" s="77" t="str">
        <f>IFERROR(__xludf.DUMMYFUNCTION("""COMPUTED_VALUE"""),"Joaquín Elizalde")</f>
        <v>Joaquín Elizalde</v>
      </c>
      <c r="D7" s="29">
        <f>IFERROR(__xludf.DUMMYFUNCTION("""COMPUTED_VALUE"""),0.21)</f>
        <v>0.21</v>
      </c>
      <c r="E7" s="17">
        <f>IFERROR(__xludf.DUMMYFUNCTION("""COMPUTED_VALUE"""),592.0)</f>
        <v>592</v>
      </c>
      <c r="F7" s="17"/>
      <c r="G7" s="17"/>
      <c r="H7" s="17">
        <f>IFERROR(__xludf.DUMMYFUNCTION("""COMPUTED_VALUE"""),592.0)</f>
        <v>592</v>
      </c>
      <c r="I7" s="28" t="str">
        <f>IFERROR(__xludf.DUMMYFUNCTION("""COMPUTED_VALUE"""),"T1-R2-N1")</f>
        <v>T1-R2-N1</v>
      </c>
      <c r="J7" s="30">
        <f>IFERROR(__xludf.DUMMYFUNCTION("""COMPUTED_VALUE"""),217.7287)</f>
        <v>217.7287</v>
      </c>
      <c r="K7" s="30">
        <f>IFERROR(__xludf.DUMMYFUNCTION("""COMPUTED_VALUE"""),217.7287)</f>
        <v>217.7287</v>
      </c>
      <c r="L7" s="30">
        <f>IFERROR(__xludf.DUMMYFUNCTION("""COMPUTED_VALUE"""),217.7287)</f>
        <v>217.7287</v>
      </c>
      <c r="M7" s="15">
        <f>IFERROR(__xludf.DUMMYFUNCTION("""COMPUTED_VALUE"""),129.1)</f>
        <v>129.1</v>
      </c>
      <c r="N7" s="17">
        <f>IFERROR(__xludf.DUMMYFUNCTION("""COMPUTED_VALUE"""),721.1)</f>
        <v>721.1</v>
      </c>
      <c r="O7" s="31">
        <f>IFERROR(__xludf.DUMMYFUNCTION("""COMPUTED_VALUE"""),128895.3904)</f>
        <v>128895.3904</v>
      </c>
      <c r="P7" s="20">
        <f>IFERROR(__xludf.DUMMYFUNCTION("""COMPUTED_VALUE"""),1280.0)</f>
        <v>1280</v>
      </c>
      <c r="Q7" s="181">
        <f>IFERROR(__xludf.DUMMYFUNCTION("""COMPUTED_VALUE"""),21.9599806015625)</f>
        <v>21.9599806</v>
      </c>
      <c r="R7" s="32">
        <f>IFERROR(__xludf.DUMMYFUNCTION("""COMPUTED_VALUE"""),28108.77517)</f>
        <v>28108.77517</v>
      </c>
      <c r="S7" s="84">
        <f>IFERROR(__xludf.DUMMYFUNCTION("""COMPUTED_VALUE"""),1465.0)</f>
        <v>1465</v>
      </c>
      <c r="T7" s="34">
        <f>IFERROR(__xludf.DUMMYFUNCTION("""COMPUTED_VALUE"""),38927.35961335977)</f>
        <v>38927.35961</v>
      </c>
      <c r="U7" s="35">
        <f>IFERROR(__xludf.DUMMYFUNCTION("""COMPUTED_VALUE"""),25.82)</f>
        <v>25.82</v>
      </c>
      <c r="V7" s="36">
        <f>IFERROR(__xludf.DUMMYFUNCTION("""COMPUTED_VALUE"""),1.1736363636363636)</f>
        <v>1.173636364</v>
      </c>
      <c r="W7" s="37">
        <f>IFERROR(__xludf.DUMMYFUNCTION("""COMPUTED_VALUE"""),0.17903203439190124)</f>
        <v>0.1790320344</v>
      </c>
      <c r="X7" s="31">
        <f>IFERROR(__xludf.DUMMYFUNCTION("""COMPUTED_VALUE"""),157004.16557)</f>
        <v>157004.1656</v>
      </c>
      <c r="Y7" s="205"/>
      <c r="Z7" s="187"/>
      <c r="AA7" s="188"/>
      <c r="AB7" s="188"/>
      <c r="AC7" s="189"/>
    </row>
    <row r="8" ht="15.75" customHeight="1">
      <c r="A8" s="12">
        <f>IFERROR(__xludf.DUMMYFUNCTION("""COMPUTED_VALUE"""),45809.0)</f>
        <v>45809</v>
      </c>
      <c r="B8" s="77">
        <f>IFERROR(__xludf.DUMMYFUNCTION("""COMPUTED_VALUE"""),5253775.0)</f>
        <v>5253775</v>
      </c>
      <c r="C8" s="77" t="str">
        <f>IFERROR(__xludf.DUMMYFUNCTION("""COMPUTED_VALUE"""),"Joaquín Elizalde")</f>
        <v>Joaquín Elizalde</v>
      </c>
      <c r="D8" s="29">
        <f>IFERROR(__xludf.DUMMYFUNCTION("""COMPUTED_VALUE"""),0.21)</f>
        <v>0.21</v>
      </c>
      <c r="E8" s="17">
        <f>IFERROR(__xludf.DUMMYFUNCTION("""COMPUTED_VALUE"""),671.0)</f>
        <v>671</v>
      </c>
      <c r="F8" s="17"/>
      <c r="G8" s="17"/>
      <c r="H8" s="17">
        <f>IFERROR(__xludf.DUMMYFUNCTION("""COMPUTED_VALUE"""),671.0)</f>
        <v>671</v>
      </c>
      <c r="I8" s="28" t="str">
        <f>IFERROR(__xludf.DUMMYFUNCTION("""COMPUTED_VALUE"""),"T1-R2-N1")</f>
        <v>T1-R2-N1</v>
      </c>
      <c r="J8" s="30">
        <f>IFERROR(__xludf.DUMMYFUNCTION("""COMPUTED_VALUE"""),217.7284)</f>
        <v>217.7284</v>
      </c>
      <c r="K8" s="30">
        <f>IFERROR(__xludf.DUMMYFUNCTION("""COMPUTED_VALUE"""),217.7284)</f>
        <v>217.7284</v>
      </c>
      <c r="L8" s="30">
        <f>IFERROR(__xludf.DUMMYFUNCTION("""COMPUTED_VALUE"""),217.7284)</f>
        <v>217.7284</v>
      </c>
      <c r="M8" s="15">
        <f>IFERROR(__xludf.DUMMYFUNCTION("""COMPUTED_VALUE"""),145.6)</f>
        <v>145.6</v>
      </c>
      <c r="N8" s="17">
        <f>IFERROR(__xludf.DUMMYFUNCTION("""COMPUTED_VALUE"""),816.6)</f>
        <v>816.6</v>
      </c>
      <c r="O8" s="31">
        <f>IFERROR(__xludf.DUMMYFUNCTION("""COMPUTED_VALUE"""),146095.75639999998)</f>
        <v>146095.7564</v>
      </c>
      <c r="P8" s="20">
        <f>IFERROR(__xludf.DUMMYFUNCTION("""COMPUTED_VALUE"""),1280.0)</f>
        <v>1280</v>
      </c>
      <c r="Q8" s="181">
        <f>IFERROR(__xludf.DUMMYFUNCTION("""COMPUTED_VALUE"""),24.766605499999997)</f>
        <v>24.7666055</v>
      </c>
      <c r="R8" s="32">
        <f>IFERROR(__xludf.DUMMYFUNCTION("""COMPUTED_VALUE"""),31701.255039999996)</f>
        <v>31701.25504</v>
      </c>
      <c r="S8" s="84">
        <f>IFERROR(__xludf.DUMMYFUNCTION("""COMPUTED_VALUE"""),1465.0)</f>
        <v>1465</v>
      </c>
      <c r="T8" s="34">
        <f>IFERROR(__xludf.DUMMYFUNCTION("""COMPUTED_VALUE"""),43902.523239575)</f>
        <v>43902.52324</v>
      </c>
      <c r="U8" s="35">
        <f>IFERROR(__xludf.DUMMYFUNCTION("""COMPUTED_VALUE"""),29.12)</f>
        <v>29.12</v>
      </c>
      <c r="V8" s="36">
        <f>IFERROR(__xludf.DUMMYFUNCTION("""COMPUTED_VALUE"""),1.3236363636363637)</f>
        <v>1.323636364</v>
      </c>
      <c r="W8" s="37">
        <f>IFERROR(__xludf.DUMMYFUNCTION("""COMPUTED_VALUE"""),0.17830026940974775)</f>
        <v>0.1783002694</v>
      </c>
      <c r="X8" s="31">
        <f>IFERROR(__xludf.DUMMYFUNCTION("""COMPUTED_VALUE"""),177797.01143999997)</f>
        <v>177797.0114</v>
      </c>
      <c r="Y8" s="205"/>
      <c r="Z8" s="187"/>
      <c r="AA8" s="188"/>
      <c r="AB8" s="188"/>
      <c r="AC8" s="189"/>
    </row>
    <row r="9" ht="15.75" customHeight="1">
      <c r="A9" s="12">
        <f>IFERROR(__xludf.DUMMYFUNCTION("""COMPUTED_VALUE"""),45778.0)</f>
        <v>45778</v>
      </c>
      <c r="B9" s="77">
        <f>IFERROR(__xludf.DUMMYFUNCTION("""COMPUTED_VALUE"""),5253775.0)</f>
        <v>5253775</v>
      </c>
      <c r="C9" s="77" t="str">
        <f>IFERROR(__xludf.DUMMYFUNCTION("""COMPUTED_VALUE"""),"Joaquín Elizalde")</f>
        <v>Joaquín Elizalde</v>
      </c>
      <c r="D9" s="29">
        <f>IFERROR(__xludf.DUMMYFUNCTION("""COMPUTED_VALUE"""),0.21)</f>
        <v>0.21</v>
      </c>
      <c r="E9" s="17">
        <f>IFERROR(__xludf.DUMMYFUNCTION("""COMPUTED_VALUE"""),444.0)</f>
        <v>444</v>
      </c>
      <c r="F9" s="17"/>
      <c r="G9" s="17"/>
      <c r="H9" s="17">
        <f>IFERROR(__xludf.DUMMYFUNCTION("""COMPUTED_VALUE"""),444.0)</f>
        <v>444</v>
      </c>
      <c r="I9" s="28" t="str">
        <f>IFERROR(__xludf.DUMMYFUNCTION("""COMPUTED_VALUE"""),"T1-R2-N1")</f>
        <v>T1-R2-N1</v>
      </c>
      <c r="J9" s="30">
        <f>IFERROR(__xludf.DUMMYFUNCTION("""COMPUTED_VALUE"""),204.8126)</f>
        <v>204.8126</v>
      </c>
      <c r="K9" s="30">
        <f>IFERROR(__xludf.DUMMYFUNCTION("""COMPUTED_VALUE"""),204.81)</f>
        <v>204.81</v>
      </c>
      <c r="L9" s="30">
        <f>IFERROR(__xludf.DUMMYFUNCTION("""COMPUTED_VALUE"""),204.81)</f>
        <v>204.81</v>
      </c>
      <c r="M9" s="15">
        <f>IFERROR(__xludf.DUMMYFUNCTION("""COMPUTED_VALUE"""),135.6)</f>
        <v>135.6</v>
      </c>
      <c r="N9" s="17">
        <f>IFERROR(__xludf.DUMMYFUNCTION("""COMPUTED_VALUE"""),579.6)</f>
        <v>579.6</v>
      </c>
      <c r="O9" s="31">
        <f>IFERROR(__xludf.DUMMYFUNCTION("""COMPUTED_VALUE"""),90935.64)</f>
        <v>90935.64</v>
      </c>
      <c r="P9" s="20">
        <f>IFERROR(__xludf.DUMMYFUNCTION("""COMPUTED_VALUE"""),1200.0)</f>
        <v>1200</v>
      </c>
      <c r="Q9" s="181">
        <f>IFERROR(__xludf.DUMMYFUNCTION("""COMPUTED_VALUE"""),23.143530000000002)</f>
        <v>23.14353</v>
      </c>
      <c r="R9" s="32">
        <f>IFERROR(__xludf.DUMMYFUNCTION("""COMPUTED_VALUE"""),27772.236)</f>
        <v>27772.236</v>
      </c>
      <c r="S9" s="84">
        <f>IFERROR(__xludf.DUMMYFUNCTION("""COMPUTED_VALUE"""),1465.0)</f>
        <v>1465</v>
      </c>
      <c r="T9" s="34">
        <f>IFERROR(__xludf.DUMMYFUNCTION("""COMPUTED_VALUE"""),41025.3784545)</f>
        <v>41025.37845</v>
      </c>
      <c r="U9" s="35">
        <f>IFERROR(__xludf.DUMMYFUNCTION("""COMPUTED_VALUE"""),27.12)</f>
        <v>27.12</v>
      </c>
      <c r="V9" s="36">
        <f>IFERROR(__xludf.DUMMYFUNCTION("""COMPUTED_VALUE"""),1.2327272727272727)</f>
        <v>1.232727273</v>
      </c>
      <c r="W9" s="37">
        <f>IFERROR(__xludf.DUMMYFUNCTION("""COMPUTED_VALUE"""),0.23395445134575568)</f>
        <v>0.2339544513</v>
      </c>
      <c r="X9" s="31">
        <f>IFERROR(__xludf.DUMMYFUNCTION("""COMPUTED_VALUE"""),118707.876)</f>
        <v>118707.876</v>
      </c>
      <c r="Y9" s="205"/>
      <c r="Z9" s="187"/>
      <c r="AA9" s="188"/>
      <c r="AB9" s="188"/>
      <c r="AC9" s="189"/>
    </row>
    <row r="10" ht="15.75" customHeight="1">
      <c r="A10" s="12">
        <f>IFERROR(__xludf.DUMMYFUNCTION("""COMPUTED_VALUE"""),45748.0)</f>
        <v>45748</v>
      </c>
      <c r="B10" s="77">
        <f>IFERROR(__xludf.DUMMYFUNCTION("""COMPUTED_VALUE"""),5253775.0)</f>
        <v>5253775</v>
      </c>
      <c r="C10" s="77" t="str">
        <f>IFERROR(__xludf.DUMMYFUNCTION("""COMPUTED_VALUE"""),"Joaquín Elizalde")</f>
        <v>Joaquín Elizalde</v>
      </c>
      <c r="D10" s="29">
        <f>IFERROR(__xludf.DUMMYFUNCTION("""COMPUTED_VALUE"""),0.21)</f>
        <v>0.21</v>
      </c>
      <c r="E10" s="17">
        <f>IFERROR(__xludf.DUMMYFUNCTION("""COMPUTED_VALUE"""),459.0)</f>
        <v>459</v>
      </c>
      <c r="F10" s="17"/>
      <c r="G10" s="17"/>
      <c r="H10" s="17">
        <f>IFERROR(__xludf.DUMMYFUNCTION("""COMPUTED_VALUE"""),459.0)</f>
        <v>459</v>
      </c>
      <c r="I10" s="28" t="str">
        <f>IFERROR(__xludf.DUMMYFUNCTION("""COMPUTED_VALUE"""),"T1-R2-N1")</f>
        <v>T1-R2-N1</v>
      </c>
      <c r="J10" s="30">
        <f>IFERROR(__xludf.DUMMYFUNCTION("""COMPUTED_VALUE"""),198.78)</f>
        <v>198.78</v>
      </c>
      <c r="K10" s="30">
        <f>IFERROR(__xludf.DUMMYFUNCTION("""COMPUTED_VALUE"""),198.78)</f>
        <v>198.78</v>
      </c>
      <c r="L10" s="30">
        <f>IFERROR(__xludf.DUMMYFUNCTION("""COMPUTED_VALUE"""),198.78)</f>
        <v>198.78</v>
      </c>
      <c r="M10" s="15">
        <f>IFERROR(__xludf.DUMMYFUNCTION("""COMPUTED_VALUE"""),113.6)</f>
        <v>113.6</v>
      </c>
      <c r="N10" s="17">
        <f>IFERROR(__xludf.DUMMYFUNCTION("""COMPUTED_VALUE"""),572.6)</f>
        <v>572.6</v>
      </c>
      <c r="O10" s="31">
        <f>IFERROR(__xludf.DUMMYFUNCTION("""COMPUTED_VALUE"""),91240.02)</f>
        <v>91240.02</v>
      </c>
      <c r="P10" s="20">
        <f>IFERROR(__xludf.DUMMYFUNCTION("""COMPUTED_VALUE"""),1140.0)</f>
        <v>1140</v>
      </c>
      <c r="Q10" s="181">
        <f>IFERROR(__xludf.DUMMYFUNCTION("""COMPUTED_VALUE"""),19.808252631578945)</f>
        <v>19.80825263</v>
      </c>
      <c r="R10" s="32">
        <f>IFERROR(__xludf.DUMMYFUNCTION("""COMPUTED_VALUE"""),22581.407999999996)</f>
        <v>22581.408</v>
      </c>
      <c r="S10" s="84">
        <f>IFERROR(__xludf.DUMMYFUNCTION("""COMPUTED_VALUE"""),1465.0)</f>
        <v>1465</v>
      </c>
      <c r="T10" s="34">
        <f>IFERROR(__xludf.DUMMYFUNCTION("""COMPUTED_VALUE"""),35113.099027368415)</f>
        <v>35113.09903</v>
      </c>
      <c r="U10" s="35">
        <f>IFERROR(__xludf.DUMMYFUNCTION("""COMPUTED_VALUE"""),22.72)</f>
        <v>22.72</v>
      </c>
      <c r="V10" s="36">
        <f>IFERROR(__xludf.DUMMYFUNCTION("""COMPUTED_VALUE"""),1.0327272727272727)</f>
        <v>1.032727273</v>
      </c>
      <c r="W10" s="37">
        <f>IFERROR(__xludf.DUMMYFUNCTION("""COMPUTED_VALUE"""),0.19839329374781697)</f>
        <v>0.1983932937</v>
      </c>
      <c r="X10" s="31">
        <f>IFERROR(__xludf.DUMMYFUNCTION("""COMPUTED_VALUE"""),113821.428)</f>
        <v>113821.428</v>
      </c>
      <c r="Y10" s="205"/>
      <c r="Z10" s="187"/>
      <c r="AA10" s="188"/>
      <c r="AB10" s="188"/>
      <c r="AC10" s="189"/>
    </row>
    <row r="11" ht="15.75" customHeight="1">
      <c r="A11" s="12">
        <f>IFERROR(__xludf.DUMMYFUNCTION("""COMPUTED_VALUE"""),45717.0)</f>
        <v>45717</v>
      </c>
      <c r="B11" s="77">
        <f>IFERROR(__xludf.DUMMYFUNCTION("""COMPUTED_VALUE"""),5253775.0)</f>
        <v>5253775</v>
      </c>
      <c r="C11" s="77" t="str">
        <f>IFERROR(__xludf.DUMMYFUNCTION("""COMPUTED_VALUE"""),"Joaquín Elizalde")</f>
        <v>Joaquín Elizalde</v>
      </c>
      <c r="D11" s="29">
        <f>IFERROR(__xludf.DUMMYFUNCTION("""COMPUTED_VALUE"""),0.21)</f>
        <v>0.21</v>
      </c>
      <c r="E11" s="17">
        <f>IFERROR(__xludf.DUMMYFUNCTION("""COMPUTED_VALUE"""),503.0)</f>
        <v>503</v>
      </c>
      <c r="F11" s="17"/>
      <c r="G11" s="17"/>
      <c r="H11" s="17">
        <f>IFERROR(__xludf.DUMMYFUNCTION("""COMPUTED_VALUE"""),503.0)</f>
        <v>503</v>
      </c>
      <c r="I11" s="28" t="str">
        <f>IFERROR(__xludf.DUMMYFUNCTION("""COMPUTED_VALUE"""),"T1-R2-N1")</f>
        <v>T1-R2-N1</v>
      </c>
      <c r="J11" s="30">
        <f>IFERROR(__xludf.DUMMYFUNCTION("""COMPUTED_VALUE"""),217.6991)</f>
        <v>217.6991</v>
      </c>
      <c r="K11" s="30">
        <f>IFERROR(__xludf.DUMMYFUNCTION("""COMPUTED_VALUE"""),217.6991)</f>
        <v>217.6991</v>
      </c>
      <c r="L11" s="30">
        <f>IFERROR(__xludf.DUMMYFUNCTION("""COMPUTED_VALUE"""),217.6991)</f>
        <v>217.6991</v>
      </c>
      <c r="M11" s="15">
        <f>IFERROR(__xludf.DUMMYFUNCTION("""COMPUTED_VALUE"""),137.8)</f>
        <v>137.8</v>
      </c>
      <c r="N11" s="17">
        <f>IFERROR(__xludf.DUMMYFUNCTION("""COMPUTED_VALUE"""),640.8)</f>
        <v>640.8</v>
      </c>
      <c r="O11" s="31">
        <f>IFERROR(__xludf.DUMMYFUNCTION("""COMPUTED_VALUE"""),109502.6473)</f>
        <v>109502.6473</v>
      </c>
      <c r="P11" s="20">
        <f>IFERROR(__xludf.DUMMYFUNCTION("""COMPUTED_VALUE"""),1095.75)</f>
        <v>1095.75</v>
      </c>
      <c r="Q11" s="181">
        <f>IFERROR(__xludf.DUMMYFUNCTION("""COMPUTED_VALUE"""),27.377536828656172)</f>
        <v>27.37753683</v>
      </c>
      <c r="R11" s="32">
        <f>IFERROR(__xludf.DUMMYFUNCTION("""COMPUTED_VALUE"""),29998.935980000002)</f>
        <v>29998.93598</v>
      </c>
      <c r="S11" s="84">
        <f>IFERROR(__xludf.DUMMYFUNCTION("""COMPUTED_VALUE"""),1465.0)</f>
        <v>1465</v>
      </c>
      <c r="T11" s="34">
        <f>IFERROR(__xludf.DUMMYFUNCTION("""COMPUTED_VALUE"""),48530.79065931737)</f>
        <v>48530.79066</v>
      </c>
      <c r="U11" s="35">
        <f>IFERROR(__xludf.DUMMYFUNCTION("""COMPUTED_VALUE"""),27.560000000000002)</f>
        <v>27.56</v>
      </c>
      <c r="V11" s="36">
        <f>IFERROR(__xludf.DUMMYFUNCTION("""COMPUTED_VALUE"""),1.252727272727273)</f>
        <v>1.252727273</v>
      </c>
      <c r="W11" s="37">
        <f>IFERROR(__xludf.DUMMYFUNCTION("""COMPUTED_VALUE"""),0.21504369538077406)</f>
        <v>0.2150436954</v>
      </c>
      <c r="X11" s="31">
        <f>IFERROR(__xludf.DUMMYFUNCTION("""COMPUTED_VALUE"""),139501.58328)</f>
        <v>139501.5833</v>
      </c>
      <c r="Y11" s="165"/>
      <c r="Z11" s="187"/>
      <c r="AA11" s="188"/>
      <c r="AB11" s="188"/>
      <c r="AC11" s="189"/>
    </row>
    <row r="12" ht="15.75" customHeight="1">
      <c r="A12" s="12">
        <f>IFERROR(__xludf.DUMMYFUNCTION("""COMPUTED_VALUE"""),45713.0)</f>
        <v>45713</v>
      </c>
      <c r="B12" s="77">
        <f>IFERROR(__xludf.DUMMYFUNCTION("""COMPUTED_VALUE"""),5253775.0)</f>
        <v>5253775</v>
      </c>
      <c r="C12" s="77" t="str">
        <f>IFERROR(__xludf.DUMMYFUNCTION("""COMPUTED_VALUE"""),"Joaquín Elizalde")</f>
        <v>Joaquín Elizalde</v>
      </c>
      <c r="D12" s="29">
        <f>IFERROR(__xludf.DUMMYFUNCTION("""COMPUTED_VALUE"""),0.21)</f>
        <v>0.21</v>
      </c>
      <c r="E12" s="17">
        <f>IFERROR(__xludf.DUMMYFUNCTION("""COMPUTED_VALUE"""),541.0)</f>
        <v>541</v>
      </c>
      <c r="F12" s="17"/>
      <c r="G12" s="17"/>
      <c r="H12" s="17">
        <f>IFERROR(__xludf.DUMMYFUNCTION("""COMPUTED_VALUE"""),541.0)</f>
        <v>541</v>
      </c>
      <c r="I12" s="28" t="str">
        <f>IFERROR(__xludf.DUMMYFUNCTION("""COMPUTED_VALUE"""),"T1-R2-N1")</f>
        <v>T1-R2-N1</v>
      </c>
      <c r="J12" s="30">
        <f>IFERROR(__xludf.DUMMYFUNCTION("""COMPUTED_VALUE"""),204.2284)</f>
        <v>204.2284</v>
      </c>
      <c r="K12" s="30">
        <f>IFERROR(__xludf.DUMMYFUNCTION("""COMPUTED_VALUE"""),204.2284)</f>
        <v>204.2284</v>
      </c>
      <c r="L12" s="30">
        <f>IFERROR(__xludf.DUMMYFUNCTION("""COMPUTED_VALUE"""),204.2284)</f>
        <v>204.2284</v>
      </c>
      <c r="M12" s="15">
        <f>IFERROR(__xludf.DUMMYFUNCTION("""COMPUTED_VALUE"""),146.4)</f>
        <v>146.4</v>
      </c>
      <c r="N12" s="17">
        <f>IFERROR(__xludf.DUMMYFUNCTION("""COMPUTED_VALUE"""),687.4)</f>
        <v>687.4</v>
      </c>
      <c r="O12" s="31">
        <f>IFERROR(__xludf.DUMMYFUNCTION("""COMPUTED_VALUE"""),110487.5644)</f>
        <v>110487.5644</v>
      </c>
      <c r="P12" s="20">
        <f>IFERROR(__xludf.DUMMYFUNCTION("""COMPUTED_VALUE"""),1086.0)</f>
        <v>1086</v>
      </c>
      <c r="Q12" s="181">
        <f>IFERROR(__xludf.DUMMYFUNCTION("""COMPUTED_VALUE"""),27.53134232044199)</f>
        <v>27.53134232</v>
      </c>
      <c r="R12" s="32">
        <f>IFERROR(__xludf.DUMMYFUNCTION("""COMPUTED_VALUE"""),29899.03776)</f>
        <v>29899.03776</v>
      </c>
      <c r="S12" s="84">
        <f>IFERROR(__xludf.DUMMYFUNCTION("""COMPUTED_VALUE"""),1465.0)</f>
        <v>1465</v>
      </c>
      <c r="T12" s="34">
        <f>IFERROR(__xludf.DUMMYFUNCTION("""COMPUTED_VALUE"""),48803.43396433149)</f>
        <v>48803.43396</v>
      </c>
      <c r="U12" s="35">
        <f>IFERROR(__xludf.DUMMYFUNCTION("""COMPUTED_VALUE"""),29.28)</f>
        <v>29.28</v>
      </c>
      <c r="V12" s="36">
        <f>IFERROR(__xludf.DUMMYFUNCTION("""COMPUTED_VALUE"""),1.330909090909091)</f>
        <v>1.330909091</v>
      </c>
      <c r="W12" s="37">
        <f>IFERROR(__xludf.DUMMYFUNCTION("""COMPUTED_VALUE"""),0.2129764329356997)</f>
        <v>0.2129764329</v>
      </c>
      <c r="X12" s="31">
        <f>IFERROR(__xludf.DUMMYFUNCTION("""COMPUTED_VALUE"""),140386.60216)</f>
        <v>140386.6022</v>
      </c>
      <c r="Y12" s="165"/>
      <c r="Z12" s="187"/>
      <c r="AA12" s="188"/>
      <c r="AB12" s="188"/>
      <c r="AC12" s="189"/>
    </row>
    <row r="13" ht="15.75" customHeight="1">
      <c r="A13" s="12">
        <f>IFERROR(__xludf.DUMMYFUNCTION("""COMPUTED_VALUE"""),45682.0)</f>
        <v>45682</v>
      </c>
      <c r="B13" s="77">
        <f>IFERROR(__xludf.DUMMYFUNCTION("""COMPUTED_VALUE"""),5253775.0)</f>
        <v>5253775</v>
      </c>
      <c r="C13" s="77" t="str">
        <f>IFERROR(__xludf.DUMMYFUNCTION("""COMPUTED_VALUE"""),"Joaquín Elizalde")</f>
        <v>Joaquín Elizalde</v>
      </c>
      <c r="D13" s="29">
        <f>IFERROR(__xludf.DUMMYFUNCTION("""COMPUTED_VALUE"""),0.21)</f>
        <v>0.21</v>
      </c>
      <c r="E13" s="17">
        <f>IFERROR(__xludf.DUMMYFUNCTION("""COMPUTED_VALUE"""),319.0)</f>
        <v>319</v>
      </c>
      <c r="F13" s="17"/>
      <c r="G13" s="17"/>
      <c r="H13" s="17">
        <f>IFERROR(__xludf.DUMMYFUNCTION("""COMPUTED_VALUE"""),319.0)</f>
        <v>319</v>
      </c>
      <c r="I13" s="28" t="str">
        <f>IFERROR(__xludf.DUMMYFUNCTION("""COMPUTED_VALUE"""),"T1-R2-N1")</f>
        <v>T1-R2-N1</v>
      </c>
      <c r="J13" s="30">
        <f>IFERROR(__xludf.DUMMYFUNCTION("""COMPUTED_VALUE"""),190.9258)</f>
        <v>190.9258</v>
      </c>
      <c r="K13" s="30">
        <f>IFERROR(__xludf.DUMMYFUNCTION("""COMPUTED_VALUE"""),190.9258)</f>
        <v>190.9258</v>
      </c>
      <c r="L13" s="30">
        <f>IFERROR(__xludf.DUMMYFUNCTION("""COMPUTED_VALUE"""),190.9258)</f>
        <v>190.9258</v>
      </c>
      <c r="M13" s="15">
        <f>IFERROR(__xludf.DUMMYFUNCTION("""COMPUTED_VALUE"""),119.8)</f>
        <v>119.8</v>
      </c>
      <c r="N13" s="17">
        <f>IFERROR(__xludf.DUMMYFUNCTION("""COMPUTED_VALUE"""),438.8)</f>
        <v>438.8</v>
      </c>
      <c r="O13" s="31">
        <f>IFERROR(__xludf.DUMMYFUNCTION("""COMPUTED_VALUE"""),60905.330200000004)</f>
        <v>60905.3302</v>
      </c>
      <c r="P13" s="20">
        <f>IFERROR(__xludf.DUMMYFUNCTION("""COMPUTED_VALUE"""),1075.5)</f>
        <v>1075.5</v>
      </c>
      <c r="Q13" s="181">
        <f>IFERROR(__xludf.DUMMYFUNCTION("""COMPUTED_VALUE"""),21.267234625755464)</f>
        <v>21.26723463</v>
      </c>
      <c r="R13" s="32">
        <f>IFERROR(__xludf.DUMMYFUNCTION("""COMPUTED_VALUE"""),22872.91084)</f>
        <v>22872.91084</v>
      </c>
      <c r="S13" s="84">
        <f>IFERROR(__xludf.DUMMYFUNCTION("""COMPUTED_VALUE"""),1465.0)</f>
        <v>1465</v>
      </c>
      <c r="T13" s="34">
        <f>IFERROR(__xludf.DUMMYFUNCTION("""COMPUTED_VALUE"""),37699.363459345426)</f>
        <v>37699.36346</v>
      </c>
      <c r="U13" s="35">
        <f>IFERROR(__xludf.DUMMYFUNCTION("""COMPUTED_VALUE"""),23.96)</f>
        <v>23.96</v>
      </c>
      <c r="V13" s="36">
        <f>IFERROR(__xludf.DUMMYFUNCTION("""COMPUTED_VALUE"""),1.089090909090909)</f>
        <v>1.089090909</v>
      </c>
      <c r="W13" s="37">
        <f>IFERROR(__xludf.DUMMYFUNCTION("""COMPUTED_VALUE"""),0.2730173199635369)</f>
        <v>0.27301732</v>
      </c>
      <c r="X13" s="31">
        <f>IFERROR(__xludf.DUMMYFUNCTION("""COMPUTED_VALUE"""),83778.24104000001)</f>
        <v>83778.24104</v>
      </c>
      <c r="Y13" s="165"/>
      <c r="Z13" s="187"/>
      <c r="AA13" s="188"/>
      <c r="AB13" s="188"/>
      <c r="AC13" s="189"/>
    </row>
    <row r="14" ht="15.75" customHeight="1">
      <c r="A14" s="12">
        <f>IFERROR(__xludf.DUMMYFUNCTION("""COMPUTED_VALUE"""),45627.0)</f>
        <v>45627</v>
      </c>
      <c r="B14" s="77">
        <f>IFERROR(__xludf.DUMMYFUNCTION("""COMPUTED_VALUE"""),5253775.0)</f>
        <v>5253775</v>
      </c>
      <c r="C14" s="77" t="str">
        <f>IFERROR(__xludf.DUMMYFUNCTION("""COMPUTED_VALUE"""),"Joaquín Elizalde")</f>
        <v>Joaquín Elizalde</v>
      </c>
      <c r="D14" s="29">
        <f>IFERROR(__xludf.DUMMYFUNCTION("""COMPUTED_VALUE"""),0.21)</f>
        <v>0.21</v>
      </c>
      <c r="E14" s="17">
        <f>IFERROR(__xludf.DUMMYFUNCTION("""COMPUTED_VALUE"""),440.0)</f>
        <v>440</v>
      </c>
      <c r="F14" s="17"/>
      <c r="G14" s="17"/>
      <c r="H14" s="17">
        <f>IFERROR(__xludf.DUMMYFUNCTION("""COMPUTED_VALUE"""),440.0)</f>
        <v>440</v>
      </c>
      <c r="I14" s="28" t="str">
        <f>IFERROR(__xludf.DUMMYFUNCTION("""COMPUTED_VALUE"""),"T1-R2-N1")</f>
        <v>T1-R2-N1</v>
      </c>
      <c r="J14" s="30">
        <f>IFERROR(__xludf.DUMMYFUNCTION("""COMPUTED_VALUE"""),198.9647)</f>
        <v>198.9647</v>
      </c>
      <c r="K14" s="30">
        <f>IFERROR(__xludf.DUMMYFUNCTION("""COMPUTED_VALUE"""),198.9647)</f>
        <v>198.9647</v>
      </c>
      <c r="L14" s="30">
        <f>IFERROR(__xludf.DUMMYFUNCTION("""COMPUTED_VALUE"""),198.9647)</f>
        <v>198.9647</v>
      </c>
      <c r="M14" s="15">
        <f>IFERROR(__xludf.DUMMYFUNCTION("""COMPUTED_VALUE"""),149.8)</f>
        <v>149.8</v>
      </c>
      <c r="N14" s="17">
        <f>IFERROR(__xludf.DUMMYFUNCTION("""COMPUTED_VALUE"""),589.8)</f>
        <v>589.8</v>
      </c>
      <c r="O14" s="31">
        <f>IFERROR(__xludf.DUMMYFUNCTION("""COMPUTED_VALUE"""),87544.468)</f>
        <v>87544.468</v>
      </c>
      <c r="P14" s="20">
        <f>IFERROR(__xludf.DUMMYFUNCTION("""COMPUTED_VALUE"""),1055.0)</f>
        <v>1055</v>
      </c>
      <c r="Q14" s="181">
        <f>IFERROR(__xludf.DUMMYFUNCTION("""COMPUTED_VALUE"""),28.25110147867299)</f>
        <v>28.25110148</v>
      </c>
      <c r="R14" s="32">
        <f>IFERROR(__xludf.DUMMYFUNCTION("""COMPUTED_VALUE"""),29804.912060000002)</f>
        <v>29804.91206</v>
      </c>
      <c r="S14" s="84">
        <f>IFERROR(__xludf.DUMMYFUNCTION("""COMPUTED_VALUE"""),1465.0)</f>
        <v>1465</v>
      </c>
      <c r="T14" s="34">
        <f>IFERROR(__xludf.DUMMYFUNCTION("""COMPUTED_VALUE"""),50079.315036169675)</f>
        <v>50079.31504</v>
      </c>
      <c r="U14" s="35">
        <f>IFERROR(__xludf.DUMMYFUNCTION("""COMPUTED_VALUE"""),29.960000000000004)</f>
        <v>29.96</v>
      </c>
      <c r="V14" s="36">
        <f>IFERROR(__xludf.DUMMYFUNCTION("""COMPUTED_VALUE"""),1.361818181818182)</f>
        <v>1.361818182</v>
      </c>
      <c r="W14" s="37">
        <f>IFERROR(__xludf.DUMMYFUNCTION("""COMPUTED_VALUE"""),0.2539844014920312)</f>
        <v>0.2539844015</v>
      </c>
      <c r="X14" s="31">
        <f>IFERROR(__xludf.DUMMYFUNCTION("""COMPUTED_VALUE"""),117349.38006)</f>
        <v>117349.3801</v>
      </c>
      <c r="Y14" s="165"/>
      <c r="Z14" s="187"/>
      <c r="AA14" s="188"/>
      <c r="AB14" s="188"/>
      <c r="AC14" s="189"/>
    </row>
    <row r="15" ht="15.75" customHeight="1">
      <c r="A15" s="12">
        <f>IFERROR(__xludf.DUMMYFUNCTION("""COMPUTED_VALUE"""),45597.0)</f>
        <v>45597</v>
      </c>
      <c r="B15" s="77">
        <f>IFERROR(__xludf.DUMMYFUNCTION("""COMPUTED_VALUE"""),5253775.0)</f>
        <v>5253775</v>
      </c>
      <c r="C15" s="77" t="str">
        <f>IFERROR(__xludf.DUMMYFUNCTION("""COMPUTED_VALUE"""),"Joaquín Elizalde")</f>
        <v>Joaquín Elizalde</v>
      </c>
      <c r="D15" s="29">
        <f>IFERROR(__xludf.DUMMYFUNCTION("""COMPUTED_VALUE"""),0.21)</f>
        <v>0.21</v>
      </c>
      <c r="E15" s="17">
        <f>IFERROR(__xludf.DUMMYFUNCTION("""COMPUTED_VALUE"""),568.0)</f>
        <v>568</v>
      </c>
      <c r="F15" s="17"/>
      <c r="G15" s="17"/>
      <c r="H15" s="17">
        <f>IFERROR(__xludf.DUMMYFUNCTION("""COMPUTED_VALUE"""),568.0)</f>
        <v>568</v>
      </c>
      <c r="I15" s="28" t="str">
        <f>IFERROR(__xludf.DUMMYFUNCTION("""COMPUTED_VALUE"""),"T1-R2-N1")</f>
        <v>T1-R2-N1</v>
      </c>
      <c r="J15" s="30">
        <f>IFERROR(__xludf.DUMMYFUNCTION("""COMPUTED_VALUE"""),195.6098)</f>
        <v>195.6098</v>
      </c>
      <c r="K15" s="30">
        <f>IFERROR(__xludf.DUMMYFUNCTION("""COMPUTED_VALUE"""),195.6098)</f>
        <v>195.6098</v>
      </c>
      <c r="L15" s="30">
        <f>IFERROR(__xludf.DUMMYFUNCTION("""COMPUTED_VALUE"""),195.6098)</f>
        <v>195.6098</v>
      </c>
      <c r="M15" s="15">
        <f>IFERROR(__xludf.DUMMYFUNCTION("""COMPUTED_VALUE"""),154.6)</f>
        <v>154.6</v>
      </c>
      <c r="N15" s="17">
        <f>IFERROR(__xludf.DUMMYFUNCTION("""COMPUTED_VALUE"""),722.6)</f>
        <v>722.6</v>
      </c>
      <c r="O15" s="31">
        <f>IFERROR(__xludf.DUMMYFUNCTION("""COMPUTED_VALUE"""),111106.3664)</f>
        <v>111106.3664</v>
      </c>
      <c r="P15" s="20">
        <f>IFERROR(__xludf.DUMMYFUNCTION("""COMPUTED_VALUE"""),1035.0)</f>
        <v>1035</v>
      </c>
      <c r="Q15" s="181">
        <f>IFERROR(__xludf.DUMMYFUNCTION("""COMPUTED_VALUE"""),29.218623265700483)</f>
        <v>29.21862327</v>
      </c>
      <c r="R15" s="32">
        <f>IFERROR(__xludf.DUMMYFUNCTION("""COMPUTED_VALUE"""),30241.27508)</f>
        <v>30241.27508</v>
      </c>
      <c r="S15" s="84">
        <f>IFERROR(__xludf.DUMMYFUNCTION("""COMPUTED_VALUE"""),1465.0)</f>
        <v>1465</v>
      </c>
      <c r="T15" s="34">
        <f>IFERROR(__xludf.DUMMYFUNCTION("""COMPUTED_VALUE"""),51794.39253194396)</f>
        <v>51794.39253</v>
      </c>
      <c r="U15" s="35">
        <f>IFERROR(__xludf.DUMMYFUNCTION("""COMPUTED_VALUE"""),30.92)</f>
        <v>30.92</v>
      </c>
      <c r="V15" s="36">
        <f>IFERROR(__xludf.DUMMYFUNCTION("""COMPUTED_VALUE"""),1.4054545454545455)</f>
        <v>1.405454545</v>
      </c>
      <c r="W15" s="37">
        <f>IFERROR(__xludf.DUMMYFUNCTION("""COMPUTED_VALUE"""),0.21394962634929424)</f>
        <v>0.2139496263</v>
      </c>
      <c r="X15" s="31">
        <f>IFERROR(__xludf.DUMMYFUNCTION("""COMPUTED_VALUE"""),141347.64148)</f>
        <v>141347.6415</v>
      </c>
      <c r="Y15" s="154"/>
      <c r="AB15" s="165"/>
    </row>
    <row r="16" ht="15.75" customHeight="1">
      <c r="A16" s="12">
        <f>IFERROR(__xludf.DUMMYFUNCTION("""COMPUTED_VALUE"""),45589.0)</f>
        <v>45589</v>
      </c>
      <c r="B16" s="77">
        <f>IFERROR(__xludf.DUMMYFUNCTION("""COMPUTED_VALUE"""),5253775.0)</f>
        <v>5253775</v>
      </c>
      <c r="C16" s="77" t="str">
        <f>IFERROR(__xludf.DUMMYFUNCTION("""COMPUTED_VALUE"""),"Joaquín Elizalde")</f>
        <v>Joaquín Elizalde</v>
      </c>
      <c r="D16" s="29">
        <f>IFERROR(__xludf.DUMMYFUNCTION("""COMPUTED_VALUE"""),0.21)</f>
        <v>0.21</v>
      </c>
      <c r="E16" s="17">
        <f>IFERROR(__xludf.DUMMYFUNCTION("""COMPUTED_VALUE"""),572.0)</f>
        <v>572</v>
      </c>
      <c r="F16" s="17"/>
      <c r="G16" s="17"/>
      <c r="H16" s="17">
        <f>IFERROR(__xludf.DUMMYFUNCTION("""COMPUTED_VALUE"""),572.0)</f>
        <v>572</v>
      </c>
      <c r="I16" s="28" t="str">
        <f>IFERROR(__xludf.DUMMYFUNCTION("""COMPUTED_VALUE"""),"T1-R2-N1")</f>
        <v>T1-R2-N1</v>
      </c>
      <c r="J16" s="30">
        <f>IFERROR(__xludf.DUMMYFUNCTION("""COMPUTED_VALUE"""),191.5508)</f>
        <v>191.5508</v>
      </c>
      <c r="K16" s="30">
        <f>IFERROR(__xludf.DUMMYFUNCTION("""COMPUTED_VALUE"""),191.5508)</f>
        <v>191.5508</v>
      </c>
      <c r="L16" s="30">
        <f>IFERROR(__xludf.DUMMYFUNCTION("""COMPUTED_VALUE"""),191.5508)</f>
        <v>191.5508</v>
      </c>
      <c r="M16" s="15">
        <f>IFERROR(__xludf.DUMMYFUNCTION("""COMPUTED_VALUE"""),150.8)</f>
        <v>150.8</v>
      </c>
      <c r="N16" s="17">
        <f>IFERROR(__xludf.DUMMYFUNCTION("""COMPUTED_VALUE"""),722.8)</f>
        <v>722.8</v>
      </c>
      <c r="O16" s="31">
        <f>IFERROR(__xludf.DUMMYFUNCTION("""COMPUTED_VALUE"""),109567.0576)</f>
        <v>109567.0576</v>
      </c>
      <c r="P16" s="20">
        <f>IFERROR(__xludf.DUMMYFUNCTION("""COMPUTED_VALUE"""),1015.5)</f>
        <v>1015.5</v>
      </c>
      <c r="Q16" s="181">
        <f>IFERROR(__xludf.DUMMYFUNCTION("""COMPUTED_VALUE"""),28.444963702609556)</f>
        <v>28.4449637</v>
      </c>
      <c r="R16" s="32">
        <f>IFERROR(__xludf.DUMMYFUNCTION("""COMPUTED_VALUE"""),28885.860640000003)</f>
        <v>28885.86064</v>
      </c>
      <c r="S16" s="84">
        <f>IFERROR(__xludf.DUMMYFUNCTION("""COMPUTED_VALUE"""),1465.0)</f>
        <v>1465</v>
      </c>
      <c r="T16" s="34">
        <f>IFERROR(__xludf.DUMMYFUNCTION("""COMPUTED_VALUE"""),50422.964907430825)</f>
        <v>50422.96491</v>
      </c>
      <c r="U16" s="35">
        <f>IFERROR(__xludf.DUMMYFUNCTION("""COMPUTED_VALUE"""),30.160000000000004)</f>
        <v>30.16</v>
      </c>
      <c r="V16" s="36">
        <f>IFERROR(__xludf.DUMMYFUNCTION("""COMPUTED_VALUE"""),1.370909090909091)</f>
        <v>1.370909091</v>
      </c>
      <c r="W16" s="37">
        <f>IFERROR(__xludf.DUMMYFUNCTION("""COMPUTED_VALUE"""),0.20863309352517986)</f>
        <v>0.2086330935</v>
      </c>
      <c r="X16" s="31">
        <f>IFERROR(__xludf.DUMMYFUNCTION("""COMPUTED_VALUE"""),138452.91824)</f>
        <v>138452.9182</v>
      </c>
      <c r="Y16" s="165"/>
      <c r="Z16" s="187"/>
      <c r="AA16" s="188"/>
      <c r="AB16" s="188"/>
      <c r="AC16" s="202"/>
      <c r="AD16" s="189"/>
      <c r="AE16" s="189"/>
      <c r="AF16" s="189"/>
      <c r="AG16" s="189"/>
      <c r="AH16" s="189"/>
      <c r="AI16" s="189"/>
      <c r="AJ16" s="189"/>
      <c r="AK16" s="189"/>
      <c r="AL16" s="189"/>
      <c r="AM16" s="189"/>
      <c r="AN16" s="189"/>
      <c r="AO16" s="189"/>
      <c r="AP16" s="189"/>
      <c r="AQ16" s="189"/>
      <c r="AR16" s="189"/>
      <c r="AS16" s="189"/>
      <c r="AT16" s="189"/>
      <c r="AU16" s="189"/>
      <c r="AV16" s="189"/>
    </row>
    <row r="17" ht="15.75" customHeight="1">
      <c r="A17" s="192">
        <f>IFERROR(__xludf.DUMMYFUNCTION("""COMPUTED_VALUE"""),45561.0)</f>
        <v>45561</v>
      </c>
      <c r="B17" s="193">
        <f>IFERROR(__xludf.DUMMYFUNCTION("""COMPUTED_VALUE"""),5253775.0)</f>
        <v>5253775</v>
      </c>
      <c r="C17" s="194" t="str">
        <f>IFERROR(__xludf.DUMMYFUNCTION("""COMPUTED_VALUE"""),"Joaquín Elizalde")</f>
        <v>Joaquín Elizalde</v>
      </c>
      <c r="D17" s="152">
        <f>IFERROR(__xludf.DUMMYFUNCTION("""COMPUTED_VALUE"""),0.21)</f>
        <v>0.21</v>
      </c>
      <c r="E17" s="153">
        <f>IFERROR(__xludf.DUMMYFUNCTION("""COMPUTED_VALUE"""),492.0)</f>
        <v>492</v>
      </c>
      <c r="F17" s="153"/>
      <c r="G17" s="153"/>
      <c r="H17" s="153">
        <f>IFERROR(__xludf.DUMMYFUNCTION("""COMPUTED_VALUE"""),492.0)</f>
        <v>492</v>
      </c>
      <c r="I17" s="151" t="str">
        <f>IFERROR(__xludf.DUMMYFUNCTION("""COMPUTED_VALUE"""),"T1-R2-N1")</f>
        <v>T1-R2-N1</v>
      </c>
      <c r="J17" s="154">
        <f>IFERROR(__xludf.DUMMYFUNCTION("""COMPUTED_VALUE"""),175.9624)</f>
        <v>175.9624</v>
      </c>
      <c r="K17" s="154">
        <f>IFERROR(__xludf.DUMMYFUNCTION("""COMPUTED_VALUE"""),175.9624)</f>
        <v>175.9624</v>
      </c>
      <c r="L17" s="154">
        <f>IFERROR(__xludf.DUMMYFUNCTION("""COMPUTED_VALUE"""),175.9624)</f>
        <v>175.9624</v>
      </c>
      <c r="M17" s="152">
        <f>IFERROR(__xludf.DUMMYFUNCTION("""COMPUTED_VALUE"""),166.8)</f>
        <v>166.8</v>
      </c>
      <c r="N17" s="152">
        <f>IFERROR(__xludf.DUMMYFUNCTION("""COMPUTED_VALUE"""),658.8)</f>
        <v>658.8</v>
      </c>
      <c r="O17" s="154">
        <f>IFERROR(__xludf.DUMMYFUNCTION("""COMPUTED_VALUE"""),86573.5008)</f>
        <v>86573.5008</v>
      </c>
      <c r="P17" s="154">
        <f>IFERROR(__xludf.DUMMYFUNCTION("""COMPUTED_VALUE"""),992.5)</f>
        <v>992.5</v>
      </c>
      <c r="Q17" s="195">
        <f>IFERROR(__xludf.DUMMYFUNCTION("""COMPUTED_VALUE"""),29.572320725440807)</f>
        <v>29.57232073</v>
      </c>
      <c r="R17" s="154">
        <f>IFERROR(__xludf.DUMMYFUNCTION("""COMPUTED_VALUE"""),29350.52832)</f>
        <v>29350.52832</v>
      </c>
      <c r="S17" s="196">
        <f>IFERROR(__xludf.DUMMYFUNCTION("""COMPUTED_VALUE"""),1465.0)</f>
        <v>1465</v>
      </c>
      <c r="T17" s="196">
        <f>IFERROR(__xludf.DUMMYFUNCTION("""COMPUTED_VALUE"""),52421.37433395264)</f>
        <v>52421.37433</v>
      </c>
      <c r="U17" s="152">
        <f>IFERROR(__xludf.DUMMYFUNCTION("""COMPUTED_VALUE"""),33.36000000000001)</f>
        <v>33.36</v>
      </c>
      <c r="V17" s="152">
        <f>IFERROR(__xludf.DUMMYFUNCTION("""COMPUTED_VALUE"""),1.5163636363636366)</f>
        <v>1.516363636</v>
      </c>
      <c r="W17" s="157">
        <f>IFERROR(__xludf.DUMMYFUNCTION("""COMPUTED_VALUE"""),0.2531876138433516)</f>
        <v>0.2531876138</v>
      </c>
      <c r="X17" s="154">
        <f>IFERROR(__xludf.DUMMYFUNCTION("""COMPUTED_VALUE"""),115924.02911999999)</f>
        <v>115924.0291</v>
      </c>
      <c r="Y17" s="154"/>
      <c r="AB17" s="165"/>
    </row>
    <row r="18" ht="15.75" customHeight="1">
      <c r="A18" s="192">
        <f>IFERROR(__xludf.DUMMYFUNCTION("""COMPUTED_VALUE"""),45528.0)</f>
        <v>45528</v>
      </c>
      <c r="B18" s="193">
        <f>IFERROR(__xludf.DUMMYFUNCTION("""COMPUTED_VALUE"""),5253775.0)</f>
        <v>5253775</v>
      </c>
      <c r="C18" s="194" t="str">
        <f>IFERROR(__xludf.DUMMYFUNCTION("""COMPUTED_VALUE"""),"Joaquín Elizalde")</f>
        <v>Joaquín Elizalde</v>
      </c>
      <c r="D18" s="152">
        <f>IFERROR(__xludf.DUMMYFUNCTION("""COMPUTED_VALUE"""),0.21)</f>
        <v>0.21</v>
      </c>
      <c r="E18" s="153">
        <f>IFERROR(__xludf.DUMMYFUNCTION("""COMPUTED_VALUE"""),614.0)</f>
        <v>614</v>
      </c>
      <c r="F18" s="153"/>
      <c r="G18" s="153"/>
      <c r="H18" s="153">
        <f>IFERROR(__xludf.DUMMYFUNCTION("""COMPUTED_VALUE"""),614.0)</f>
        <v>614</v>
      </c>
      <c r="I18" s="151" t="str">
        <f>IFERROR(__xludf.DUMMYFUNCTION("""COMPUTED_VALUE"""),"T1-R2-N1")</f>
        <v>T1-R2-N1</v>
      </c>
      <c r="J18" s="154">
        <f>IFERROR(__xludf.DUMMYFUNCTION("""COMPUTED_VALUE"""),175.6135)</f>
        <v>175.6135</v>
      </c>
      <c r="K18" s="154">
        <f>IFERROR(__xludf.DUMMYFUNCTION("""COMPUTED_VALUE"""),175.6135)</f>
        <v>175.6135</v>
      </c>
      <c r="L18" s="154">
        <f>IFERROR(__xludf.DUMMYFUNCTION("""COMPUTED_VALUE"""),175.6135)</f>
        <v>175.6135</v>
      </c>
      <c r="M18" s="152">
        <f>IFERROR(__xludf.DUMMYFUNCTION("""COMPUTED_VALUE"""),164.8)</f>
        <v>164.8</v>
      </c>
      <c r="N18" s="152">
        <f>IFERROR(__xludf.DUMMYFUNCTION("""COMPUTED_VALUE"""),778.8)</f>
        <v>778.8</v>
      </c>
      <c r="O18" s="154">
        <f>IFERROR(__xludf.DUMMYFUNCTION("""COMPUTED_VALUE"""),107826.689)</f>
        <v>107826.689</v>
      </c>
      <c r="P18" s="154">
        <f>IFERROR(__xludf.DUMMYFUNCTION("""COMPUTED_VALUE"""),973.5)</f>
        <v>973.5</v>
      </c>
      <c r="Q18" s="195">
        <f>IFERROR(__xludf.DUMMYFUNCTION("""COMPUTED_VALUE"""),29.728921212121215)</f>
        <v>29.72892121</v>
      </c>
      <c r="R18" s="154">
        <f>IFERROR(__xludf.DUMMYFUNCTION("""COMPUTED_VALUE"""),28941.1048)</f>
        <v>28941.1048</v>
      </c>
      <c r="S18" s="196">
        <f>IFERROR(__xludf.DUMMYFUNCTION("""COMPUTED_VALUE"""),1465.0)</f>
        <v>1465</v>
      </c>
      <c r="T18" s="196">
        <f>IFERROR(__xludf.DUMMYFUNCTION("""COMPUTED_VALUE"""),52698.972186666666)</f>
        <v>52698.97219</v>
      </c>
      <c r="U18" s="152">
        <f>IFERROR(__xludf.DUMMYFUNCTION("""COMPUTED_VALUE"""),32.96)</f>
        <v>32.96</v>
      </c>
      <c r="V18" s="152">
        <f>IFERROR(__xludf.DUMMYFUNCTION("""COMPUTED_VALUE"""),1.4981818181818183)</f>
        <v>1.498181818</v>
      </c>
      <c r="W18" s="157">
        <f>IFERROR(__xludf.DUMMYFUNCTION("""COMPUTED_VALUE"""),0.21160760143810994)</f>
        <v>0.2116076014</v>
      </c>
      <c r="X18" s="154">
        <f>IFERROR(__xludf.DUMMYFUNCTION("""COMPUTED_VALUE"""),136767.79379999998)</f>
        <v>136767.7938</v>
      </c>
      <c r="Y18" s="154"/>
      <c r="AB18" s="165"/>
    </row>
    <row r="19" ht="15.75" customHeight="1">
      <c r="A19" s="192">
        <f>IFERROR(__xludf.DUMMYFUNCTION("""COMPUTED_VALUE"""),45497.0)</f>
        <v>45497</v>
      </c>
      <c r="B19" s="193">
        <f>IFERROR(__xludf.DUMMYFUNCTION("""COMPUTED_VALUE"""),5253775.0)</f>
        <v>5253775</v>
      </c>
      <c r="C19" s="194" t="str">
        <f>IFERROR(__xludf.DUMMYFUNCTION("""COMPUTED_VALUE"""),"Joaquín Elizalde")</f>
        <v>Joaquín Elizalde</v>
      </c>
      <c r="D19" s="152">
        <f>IFERROR(__xludf.DUMMYFUNCTION("""COMPUTED_VALUE"""),0.21)</f>
        <v>0.21</v>
      </c>
      <c r="E19" s="153">
        <f>IFERROR(__xludf.DUMMYFUNCTION("""COMPUTED_VALUE"""),464.0)</f>
        <v>464</v>
      </c>
      <c r="F19" s="153"/>
      <c r="G19" s="153"/>
      <c r="H19" s="153">
        <f>IFERROR(__xludf.DUMMYFUNCTION("""COMPUTED_VALUE"""),464.0)</f>
        <v>464</v>
      </c>
      <c r="I19" s="151" t="str">
        <f>IFERROR(__xludf.DUMMYFUNCTION("""COMPUTED_VALUE"""),"T1-R2-N1")</f>
        <v>T1-R2-N1</v>
      </c>
      <c r="J19" s="154">
        <f>IFERROR(__xludf.DUMMYFUNCTION("""COMPUTED_VALUE"""),150.4112)</f>
        <v>150.4112</v>
      </c>
      <c r="K19" s="154">
        <f>IFERROR(__xludf.DUMMYFUNCTION("""COMPUTED_VALUE"""),150.4112)</f>
        <v>150.4112</v>
      </c>
      <c r="L19" s="154">
        <f>IFERROR(__xludf.DUMMYFUNCTION("""COMPUTED_VALUE"""),150.4112)</f>
        <v>150.4112</v>
      </c>
      <c r="M19" s="152">
        <f>IFERROR(__xludf.DUMMYFUNCTION("""COMPUTED_VALUE"""),144.0)</f>
        <v>144</v>
      </c>
      <c r="N19" s="152">
        <f>IFERROR(__xludf.DUMMYFUNCTION("""COMPUTED_VALUE"""),608.0)</f>
        <v>608</v>
      </c>
      <c r="O19" s="154">
        <f>IFERROR(__xludf.DUMMYFUNCTION("""COMPUTED_VALUE"""),69790.79680000001)</f>
        <v>69790.7968</v>
      </c>
      <c r="P19" s="154">
        <f>IFERROR(__xludf.DUMMYFUNCTION("""COMPUTED_VALUE"""),953.5)</f>
        <v>953.5</v>
      </c>
      <c r="Q19" s="195">
        <f>IFERROR(__xludf.DUMMYFUNCTION("""COMPUTED_VALUE"""),22.715482747771368)</f>
        <v>22.71548275</v>
      </c>
      <c r="R19" s="154">
        <f>IFERROR(__xludf.DUMMYFUNCTION("""COMPUTED_VALUE"""),21659.2128)</f>
        <v>21659.2128</v>
      </c>
      <c r="S19" s="196">
        <f>IFERROR(__xludf.DUMMYFUNCTION("""COMPUTED_VALUE"""),1465.0)</f>
        <v>1465</v>
      </c>
      <c r="T19" s="196">
        <f>IFERROR(__xludf.DUMMYFUNCTION("""COMPUTED_VALUE"""),40266.600492836915)</f>
        <v>40266.60049</v>
      </c>
      <c r="U19" s="152">
        <f>IFERROR(__xludf.DUMMYFUNCTION("""COMPUTED_VALUE"""),28.8)</f>
        <v>28.8</v>
      </c>
      <c r="V19" s="152">
        <f>IFERROR(__xludf.DUMMYFUNCTION("""COMPUTED_VALUE"""),1.309090909090909)</f>
        <v>1.309090909</v>
      </c>
      <c r="W19" s="157">
        <f>IFERROR(__xludf.DUMMYFUNCTION("""COMPUTED_VALUE"""),0.23684210526315785)</f>
        <v>0.2368421053</v>
      </c>
      <c r="X19" s="154">
        <f>IFERROR(__xludf.DUMMYFUNCTION("""COMPUTED_VALUE"""),91450.00960000002)</f>
        <v>91450.0096</v>
      </c>
      <c r="Y19" s="154"/>
      <c r="AB19" s="165"/>
    </row>
    <row r="20" ht="15.75" customHeight="1">
      <c r="A20" s="192">
        <f>IFERROR(__xludf.DUMMYFUNCTION("""COMPUTED_VALUE"""),45444.0)</f>
        <v>45444</v>
      </c>
      <c r="B20" s="193">
        <f>IFERROR(__xludf.DUMMYFUNCTION("""COMPUTED_VALUE"""),5253775.0)</f>
        <v>5253775</v>
      </c>
      <c r="C20" s="194" t="str">
        <f>IFERROR(__xludf.DUMMYFUNCTION("""COMPUTED_VALUE"""),"Joaquín Elizalde")</f>
        <v>Joaquín Elizalde</v>
      </c>
      <c r="D20" s="152">
        <f>IFERROR(__xludf.DUMMYFUNCTION("""COMPUTED_VALUE"""),0.21)</f>
        <v>0.21</v>
      </c>
      <c r="E20" s="153">
        <f>IFERROR(__xludf.DUMMYFUNCTION("""COMPUTED_VALUE"""),616.0)</f>
        <v>616</v>
      </c>
      <c r="F20" s="153"/>
      <c r="G20" s="153"/>
      <c r="H20" s="153">
        <f>IFERROR(__xludf.DUMMYFUNCTION("""COMPUTED_VALUE"""),616.0)</f>
        <v>616</v>
      </c>
      <c r="I20" s="151" t="str">
        <f>IFERROR(__xludf.DUMMYFUNCTION("""COMPUTED_VALUE"""),"T1-R2-N1")</f>
        <v>T1-R2-N1</v>
      </c>
      <c r="J20" s="154">
        <f>IFERROR(__xludf.DUMMYFUNCTION("""COMPUTED_VALUE"""),148.1356)</f>
        <v>148.1356</v>
      </c>
      <c r="K20" s="154">
        <f>IFERROR(__xludf.DUMMYFUNCTION("""COMPUTED_VALUE"""),148.1356)</f>
        <v>148.1356</v>
      </c>
      <c r="L20" s="154">
        <f>IFERROR(__xludf.DUMMYFUNCTION("""COMPUTED_VALUE"""),148.1356)</f>
        <v>148.1356</v>
      </c>
      <c r="M20" s="152">
        <f>IFERROR(__xludf.DUMMYFUNCTION("""COMPUTED_VALUE"""),163.4)</f>
        <v>163.4</v>
      </c>
      <c r="N20" s="152">
        <f>IFERROR(__xludf.DUMMYFUNCTION("""COMPUTED_VALUE"""),779.4)</f>
        <v>779.4</v>
      </c>
      <c r="O20" s="154">
        <f>IFERROR(__xludf.DUMMYFUNCTION("""COMPUTED_VALUE"""),91251.52960000001)</f>
        <v>91251.5296</v>
      </c>
      <c r="P20" s="154">
        <f>IFERROR(__xludf.DUMMYFUNCTION("""COMPUTED_VALUE"""),934.0)</f>
        <v>934</v>
      </c>
      <c r="Q20" s="195">
        <f>IFERROR(__xludf.DUMMYFUNCTION("""COMPUTED_VALUE"""),25.915799828693793)</f>
        <v>25.91579983</v>
      </c>
      <c r="R20" s="154">
        <f>IFERROR(__xludf.DUMMYFUNCTION("""COMPUTED_VALUE"""),24205.357040000003)</f>
        <v>24205.35704</v>
      </c>
      <c r="S20" s="196">
        <f>IFERROR(__xludf.DUMMYFUNCTION("""COMPUTED_VALUE"""),1465.0)</f>
        <v>1465</v>
      </c>
      <c r="T20" s="196">
        <f>IFERROR(__xludf.DUMMYFUNCTION("""COMPUTED_VALUE"""),45939.642566334056)</f>
        <v>45939.64257</v>
      </c>
      <c r="U20" s="152">
        <f>IFERROR(__xludf.DUMMYFUNCTION("""COMPUTED_VALUE"""),32.68)</f>
        <v>32.68</v>
      </c>
      <c r="V20" s="152">
        <f>IFERROR(__xludf.DUMMYFUNCTION("""COMPUTED_VALUE"""),1.4854545454545454)</f>
        <v>1.485454545</v>
      </c>
      <c r="W20" s="157">
        <f>IFERROR(__xludf.DUMMYFUNCTION("""COMPUTED_VALUE"""),0.2096484475237362)</f>
        <v>0.2096484475</v>
      </c>
      <c r="X20" s="154">
        <f>IFERROR(__xludf.DUMMYFUNCTION("""COMPUTED_VALUE"""),115456.88664000001)</f>
        <v>115456.8866</v>
      </c>
      <c r="Y20" s="154"/>
      <c r="AB20" s="165"/>
    </row>
    <row r="21" ht="15.75" customHeight="1">
      <c r="A21" s="192">
        <f>IFERROR(__xludf.DUMMYFUNCTION("""COMPUTED_VALUE"""),45417.0)</f>
        <v>45417</v>
      </c>
      <c r="B21" s="193">
        <f>IFERROR(__xludf.DUMMYFUNCTION("""COMPUTED_VALUE"""),5253775.0)</f>
        <v>5253775</v>
      </c>
      <c r="C21" s="194" t="str">
        <f>IFERROR(__xludf.DUMMYFUNCTION("""COMPUTED_VALUE"""),"Joaquín Elizalde")</f>
        <v>Joaquín Elizalde</v>
      </c>
      <c r="D21" s="152">
        <f>IFERROR(__xludf.DUMMYFUNCTION("""COMPUTED_VALUE"""),0.21)</f>
        <v>0.21</v>
      </c>
      <c r="E21" s="153">
        <f>IFERROR(__xludf.DUMMYFUNCTION("""COMPUTED_VALUE"""),484.0)</f>
        <v>484</v>
      </c>
      <c r="F21" s="153"/>
      <c r="G21" s="153"/>
      <c r="H21" s="153">
        <f>IFERROR(__xludf.DUMMYFUNCTION("""COMPUTED_VALUE"""),484.0)</f>
        <v>484</v>
      </c>
      <c r="I21" s="151" t="str">
        <f>IFERROR(__xludf.DUMMYFUNCTION("""COMPUTED_VALUE"""),"T1-R2-N1")</f>
        <v>T1-R2-N1</v>
      </c>
      <c r="J21" s="154">
        <f>IFERROR(__xludf.DUMMYFUNCTION("""COMPUTED_VALUE"""),126.8716)</f>
        <v>126.8716</v>
      </c>
      <c r="K21" s="154">
        <f>IFERROR(__xludf.DUMMYFUNCTION("""COMPUTED_VALUE"""),126.8716)</f>
        <v>126.8716</v>
      </c>
      <c r="L21" s="154">
        <f>IFERROR(__xludf.DUMMYFUNCTION("""COMPUTED_VALUE"""),126.8716)</f>
        <v>126.8716</v>
      </c>
      <c r="M21" s="152">
        <f>IFERROR(__xludf.DUMMYFUNCTION("""COMPUTED_VALUE"""),134.7)</f>
        <v>134.7</v>
      </c>
      <c r="N21" s="152">
        <f>IFERROR(__xludf.DUMMYFUNCTION("""COMPUTED_VALUE"""),618.7)</f>
        <v>618.7</v>
      </c>
      <c r="O21" s="154">
        <f>IFERROR(__xludf.DUMMYFUNCTION("""COMPUTED_VALUE"""),61405.854400000004)</f>
        <v>61405.8544</v>
      </c>
      <c r="P21" s="154">
        <f>IFERROR(__xludf.DUMMYFUNCTION("""COMPUTED_VALUE"""),918.0)</f>
        <v>918</v>
      </c>
      <c r="Q21" s="195">
        <f>IFERROR(__xludf.DUMMYFUNCTION("""COMPUTED_VALUE"""),18.61612692810457)</f>
        <v>18.61612693</v>
      </c>
      <c r="R21" s="154">
        <f>IFERROR(__xludf.DUMMYFUNCTION("""COMPUTED_VALUE"""),17089.604519999997)</f>
        <v>17089.60452</v>
      </c>
      <c r="S21" s="196">
        <f>IFERROR(__xludf.DUMMYFUNCTION("""COMPUTED_VALUE"""),1465.0)</f>
        <v>1465</v>
      </c>
      <c r="T21" s="196">
        <f>IFERROR(__xludf.DUMMYFUNCTION("""COMPUTED_VALUE"""),32999.87739910457)</f>
        <v>32999.8774</v>
      </c>
      <c r="U21" s="152">
        <f>IFERROR(__xludf.DUMMYFUNCTION("""COMPUTED_VALUE"""),26.939999999999998)</f>
        <v>26.94</v>
      </c>
      <c r="V21" s="152">
        <f>IFERROR(__xludf.DUMMYFUNCTION("""COMPUTED_VALUE"""),1.2245454545454544)</f>
        <v>1.224545455</v>
      </c>
      <c r="W21" s="157">
        <f>IFERROR(__xludf.DUMMYFUNCTION("""COMPUTED_VALUE"""),0.21771456279295293)</f>
        <v>0.2177145628</v>
      </c>
      <c r="X21" s="154">
        <f>IFERROR(__xludf.DUMMYFUNCTION("""COMPUTED_VALUE"""),78495.45892)</f>
        <v>78495.45892</v>
      </c>
      <c r="Y21" s="154"/>
    </row>
    <row r="22" ht="15.75" customHeight="1">
      <c r="A22" s="192"/>
      <c r="B22" s="193"/>
      <c r="C22" s="194"/>
      <c r="N22" s="152"/>
      <c r="Q22" s="195"/>
      <c r="S22" s="196"/>
      <c r="T22" s="196"/>
      <c r="U22" s="152"/>
      <c r="V22" s="152"/>
      <c r="W22" s="157"/>
    </row>
    <row r="23" ht="15.75" customHeight="1">
      <c r="A23" s="192"/>
      <c r="B23" s="193"/>
      <c r="C23" s="194"/>
      <c r="N23" s="152"/>
      <c r="Q23" s="195"/>
      <c r="S23" s="196"/>
      <c r="T23" s="196"/>
      <c r="U23" s="152"/>
      <c r="V23" s="152"/>
      <c r="W23" s="157"/>
    </row>
    <row r="24" ht="15.75" customHeight="1">
      <c r="A24" s="192"/>
      <c r="B24" s="193"/>
      <c r="C24" s="194"/>
      <c r="N24" s="152"/>
      <c r="Q24" s="195"/>
      <c r="S24" s="196"/>
      <c r="T24" s="196"/>
      <c r="U24" s="152"/>
      <c r="V24" s="152"/>
      <c r="W24" s="157"/>
    </row>
    <row r="25" ht="15.75" customHeight="1">
      <c r="A25" s="192"/>
      <c r="B25" s="193"/>
      <c r="C25" s="194"/>
      <c r="N25" s="152"/>
      <c r="Q25" s="195"/>
      <c r="S25" s="196"/>
      <c r="T25" s="196"/>
      <c r="U25" s="152"/>
      <c r="V25" s="152"/>
      <c r="W25" s="157"/>
    </row>
    <row r="26" ht="15.75" customHeight="1">
      <c r="A26" s="192"/>
      <c r="B26" s="193"/>
      <c r="C26" s="194"/>
      <c r="N26" s="152"/>
      <c r="Q26" s="195"/>
      <c r="S26" s="196"/>
      <c r="T26" s="196"/>
      <c r="U26" s="152"/>
      <c r="V26" s="152"/>
      <c r="W26" s="157"/>
    </row>
    <row r="27" ht="15.75" customHeight="1">
      <c r="A27" s="192"/>
      <c r="B27" s="193"/>
      <c r="C27" s="194"/>
      <c r="N27" s="152"/>
      <c r="Q27" s="195"/>
      <c r="S27" s="196"/>
      <c r="T27" s="196"/>
      <c r="U27" s="152"/>
      <c r="V27" s="152"/>
      <c r="W27" s="157"/>
    </row>
    <row r="28" ht="15.75" customHeight="1">
      <c r="A28" s="192"/>
      <c r="B28" s="193"/>
      <c r="C28" s="194"/>
      <c r="N28" s="152"/>
      <c r="Q28" s="195"/>
      <c r="S28" s="196"/>
      <c r="T28" s="196"/>
      <c r="U28" s="152"/>
      <c r="V28" s="152"/>
      <c r="W28" s="157"/>
    </row>
    <row r="29" ht="15.75" customHeight="1">
      <c r="A29" s="192"/>
      <c r="B29" s="193"/>
      <c r="C29" s="194"/>
      <c r="N29" s="152"/>
      <c r="Q29" s="195"/>
      <c r="S29" s="196"/>
      <c r="T29" s="196"/>
      <c r="U29" s="152"/>
      <c r="V29" s="152"/>
      <c r="W29" s="157"/>
    </row>
    <row r="30" ht="15.75" customHeight="1">
      <c r="A30" s="192"/>
      <c r="B30" s="193"/>
      <c r="C30" s="194"/>
      <c r="N30" s="152"/>
      <c r="Q30" s="195"/>
      <c r="S30" s="196"/>
      <c r="T30" s="196"/>
      <c r="U30" s="152"/>
      <c r="V30" s="152"/>
      <c r="W30" s="157"/>
    </row>
    <row r="31" ht="15.75" customHeight="1">
      <c r="A31" s="192"/>
      <c r="B31" s="193"/>
      <c r="C31" s="194"/>
      <c r="N31" s="152"/>
      <c r="Q31" s="195"/>
      <c r="S31" s="196"/>
      <c r="T31" s="196"/>
      <c r="U31" s="152"/>
      <c r="V31" s="152"/>
      <c r="W31" s="157"/>
    </row>
    <row r="32" ht="15.75" customHeight="1">
      <c r="A32" s="192"/>
      <c r="B32" s="193"/>
      <c r="C32" s="194"/>
      <c r="N32" s="152"/>
      <c r="Q32" s="195"/>
      <c r="S32" s="196"/>
      <c r="T32" s="196"/>
      <c r="U32" s="152"/>
      <c r="V32" s="152"/>
      <c r="W32" s="157"/>
    </row>
    <row r="33" ht="15.75" customHeight="1">
      <c r="A33" s="192"/>
      <c r="B33" s="193"/>
      <c r="C33" s="194"/>
      <c r="N33" s="152"/>
      <c r="Q33" s="195"/>
      <c r="S33" s="196"/>
      <c r="T33" s="196"/>
      <c r="U33" s="152"/>
      <c r="V33" s="152"/>
      <c r="W33" s="157"/>
    </row>
    <row r="34" ht="15.75" customHeight="1">
      <c r="A34" s="192"/>
      <c r="B34" s="193"/>
      <c r="C34" s="194"/>
      <c r="N34" s="152"/>
      <c r="Q34" s="195"/>
      <c r="S34" s="196"/>
      <c r="T34" s="196"/>
      <c r="U34" s="152"/>
      <c r="V34" s="152"/>
      <c r="W34" s="157"/>
    </row>
    <row r="35" ht="15.75" customHeight="1">
      <c r="A35" s="192"/>
      <c r="B35" s="193"/>
      <c r="C35" s="194"/>
      <c r="N35" s="152"/>
      <c r="Q35" s="195"/>
      <c r="S35" s="196"/>
      <c r="T35" s="196"/>
      <c r="U35" s="152"/>
      <c r="V35" s="152"/>
      <c r="W35" s="157"/>
    </row>
    <row r="36" ht="15.75" customHeight="1">
      <c r="A36" s="192"/>
      <c r="B36" s="193"/>
      <c r="C36" s="194"/>
      <c r="N36" s="152"/>
      <c r="Q36" s="195"/>
      <c r="S36" s="196"/>
      <c r="T36" s="196"/>
      <c r="U36" s="152"/>
      <c r="V36" s="152"/>
      <c r="W36" s="157"/>
    </row>
    <row r="37" ht="15.75" customHeight="1">
      <c r="A37" s="192"/>
      <c r="B37" s="193"/>
      <c r="C37" s="194"/>
      <c r="N37" s="152"/>
      <c r="Q37" s="195"/>
      <c r="S37" s="196"/>
      <c r="T37" s="196"/>
      <c r="U37" s="152"/>
      <c r="V37" s="152"/>
      <c r="W37" s="157"/>
    </row>
    <row r="38" ht="15.75" customHeight="1">
      <c r="A38" s="192"/>
      <c r="B38" s="193"/>
      <c r="C38" s="194"/>
      <c r="N38" s="152"/>
      <c r="Q38" s="195"/>
      <c r="S38" s="196"/>
      <c r="T38" s="196"/>
      <c r="U38" s="152"/>
      <c r="V38" s="152"/>
      <c r="W38" s="157"/>
    </row>
    <row r="39" ht="15.75" customHeight="1">
      <c r="A39" s="192"/>
      <c r="B39" s="193"/>
      <c r="C39" s="194"/>
      <c r="N39" s="152"/>
      <c r="Q39" s="195"/>
      <c r="S39" s="196"/>
      <c r="T39" s="196"/>
      <c r="U39" s="152"/>
      <c r="V39" s="152"/>
      <c r="W39" s="157"/>
    </row>
    <row r="40" ht="15.75" customHeight="1">
      <c r="A40" s="192"/>
      <c r="B40" s="193"/>
      <c r="C40" s="194"/>
      <c r="N40" s="152"/>
      <c r="Q40" s="195"/>
      <c r="S40" s="196"/>
      <c r="T40" s="196"/>
      <c r="U40" s="152"/>
      <c r="V40" s="152"/>
      <c r="W40" s="157"/>
    </row>
    <row r="41" ht="15.75" customHeight="1">
      <c r="A41" s="192"/>
      <c r="B41" s="193"/>
      <c r="C41" s="194"/>
      <c r="N41" s="152"/>
      <c r="Q41" s="195"/>
      <c r="S41" s="196"/>
      <c r="T41" s="196"/>
      <c r="U41" s="152"/>
      <c r="V41" s="152"/>
      <c r="W41" s="157"/>
    </row>
    <row r="42" ht="15.75" customHeight="1">
      <c r="A42" s="192"/>
      <c r="B42" s="193"/>
      <c r="C42" s="194"/>
      <c r="N42" s="152"/>
      <c r="Q42" s="195"/>
      <c r="S42" s="196"/>
      <c r="T42" s="196"/>
      <c r="U42" s="152"/>
      <c r="V42" s="152"/>
      <c r="W42" s="157"/>
    </row>
    <row r="43" ht="15.75" customHeight="1">
      <c r="A43" s="192"/>
      <c r="B43" s="193"/>
      <c r="C43" s="194"/>
      <c r="N43" s="152"/>
      <c r="Q43" s="195"/>
      <c r="S43" s="196"/>
      <c r="T43" s="196"/>
      <c r="U43" s="152"/>
      <c r="V43" s="152"/>
      <c r="W43" s="157"/>
    </row>
    <row r="44" ht="15.75" customHeight="1">
      <c r="A44" s="192"/>
      <c r="B44" s="193"/>
      <c r="C44" s="194"/>
      <c r="N44" s="152"/>
      <c r="Q44" s="195"/>
      <c r="S44" s="196"/>
      <c r="T44" s="196"/>
      <c r="U44" s="152"/>
      <c r="V44" s="152"/>
      <c r="W44" s="157"/>
    </row>
    <row r="45" ht="15.75" customHeight="1">
      <c r="A45" s="192"/>
      <c r="B45" s="193"/>
      <c r="C45" s="194"/>
      <c r="N45" s="152"/>
      <c r="Q45" s="195"/>
      <c r="S45" s="196"/>
      <c r="T45" s="196"/>
      <c r="U45" s="152"/>
      <c r="V45" s="152"/>
      <c r="W45" s="157"/>
    </row>
    <row r="46" ht="15.75" customHeight="1">
      <c r="A46" s="192"/>
      <c r="B46" s="193"/>
      <c r="C46" s="194"/>
      <c r="N46" s="152"/>
      <c r="Q46" s="195"/>
      <c r="S46" s="196"/>
      <c r="T46" s="196"/>
      <c r="U46" s="152"/>
      <c r="V46" s="152"/>
      <c r="W46" s="157"/>
    </row>
    <row r="47" ht="15.75" customHeight="1">
      <c r="A47" s="192"/>
      <c r="B47" s="193"/>
      <c r="C47" s="194"/>
      <c r="N47" s="152"/>
      <c r="Q47" s="195"/>
      <c r="S47" s="196"/>
      <c r="T47" s="196"/>
      <c r="U47" s="152"/>
      <c r="V47" s="152"/>
      <c r="W47" s="157"/>
    </row>
    <row r="48" ht="15.75" customHeight="1">
      <c r="A48" s="192"/>
      <c r="B48" s="193"/>
      <c r="C48" s="194"/>
      <c r="N48" s="152"/>
      <c r="Q48" s="195"/>
      <c r="S48" s="196"/>
      <c r="T48" s="196"/>
      <c r="U48" s="152"/>
      <c r="V48" s="152"/>
      <c r="W48" s="157"/>
    </row>
    <row r="49" ht="15.75" customHeight="1">
      <c r="A49" s="192"/>
      <c r="B49" s="193"/>
      <c r="C49" s="194"/>
      <c r="N49" s="152"/>
      <c r="Q49" s="195"/>
      <c r="S49" s="196"/>
      <c r="T49" s="196"/>
      <c r="U49" s="152"/>
      <c r="V49" s="152"/>
      <c r="W49" s="157"/>
    </row>
    <row r="50" ht="15.75" customHeight="1">
      <c r="A50" s="192"/>
      <c r="B50" s="193"/>
      <c r="C50" s="194"/>
      <c r="N50" s="152"/>
      <c r="Q50" s="195"/>
      <c r="S50" s="196"/>
      <c r="T50" s="196"/>
      <c r="U50" s="152"/>
      <c r="V50" s="152"/>
      <c r="W50" s="157"/>
    </row>
    <row r="51" ht="15.75" customHeight="1">
      <c r="A51" s="192"/>
      <c r="B51" s="193"/>
      <c r="C51" s="194"/>
      <c r="N51" s="152"/>
      <c r="Q51" s="195"/>
      <c r="S51" s="196"/>
      <c r="T51" s="196"/>
      <c r="U51" s="152"/>
      <c r="V51" s="152"/>
      <c r="W51" s="157"/>
    </row>
    <row r="52" ht="15.75" customHeight="1">
      <c r="A52" s="192"/>
      <c r="B52" s="193"/>
      <c r="C52" s="194"/>
      <c r="N52" s="152"/>
      <c r="Q52" s="195"/>
      <c r="S52" s="196"/>
      <c r="T52" s="196"/>
      <c r="U52" s="152"/>
      <c r="V52" s="152"/>
      <c r="W52" s="157"/>
    </row>
    <row r="53" ht="15.75" customHeight="1">
      <c r="A53" s="192"/>
      <c r="B53" s="193"/>
      <c r="C53" s="194"/>
      <c r="N53" s="152"/>
      <c r="Q53" s="195"/>
      <c r="S53" s="196"/>
      <c r="T53" s="196"/>
      <c r="U53" s="152"/>
      <c r="V53" s="152"/>
      <c r="W53" s="157"/>
    </row>
    <row r="54" ht="15.75" customHeight="1">
      <c r="A54" s="192"/>
      <c r="B54" s="193"/>
      <c r="C54" s="194"/>
      <c r="N54" s="152"/>
      <c r="Q54" s="195"/>
      <c r="S54" s="196"/>
      <c r="T54" s="196"/>
      <c r="U54" s="152"/>
      <c r="V54" s="152"/>
      <c r="W54" s="157"/>
    </row>
    <row r="55" ht="15.75" customHeight="1">
      <c r="A55" s="192"/>
      <c r="B55" s="193"/>
      <c r="C55" s="194"/>
      <c r="N55" s="152"/>
      <c r="Q55" s="195"/>
      <c r="S55" s="196"/>
      <c r="T55" s="196"/>
      <c r="U55" s="152"/>
      <c r="V55" s="152"/>
      <c r="W55" s="157"/>
    </row>
    <row r="56" ht="15.75" customHeight="1">
      <c r="A56" s="192"/>
      <c r="B56" s="193"/>
      <c r="C56" s="194"/>
      <c r="N56" s="152"/>
      <c r="Q56" s="195"/>
      <c r="S56" s="196"/>
      <c r="T56" s="196"/>
      <c r="U56" s="152"/>
      <c r="V56" s="152"/>
      <c r="W56" s="157"/>
    </row>
    <row r="57" ht="15.75" customHeight="1">
      <c r="A57" s="192"/>
      <c r="B57" s="193"/>
      <c r="C57" s="194"/>
      <c r="N57" s="152"/>
      <c r="Q57" s="195"/>
      <c r="S57" s="196"/>
      <c r="T57" s="196"/>
      <c r="U57" s="152"/>
      <c r="V57" s="152"/>
      <c r="W57" s="157"/>
    </row>
    <row r="58" ht="15.75" customHeight="1">
      <c r="A58" s="192"/>
      <c r="B58" s="193"/>
      <c r="C58" s="194"/>
      <c r="N58" s="152"/>
      <c r="Q58" s="195"/>
      <c r="S58" s="196"/>
      <c r="T58" s="196"/>
      <c r="U58" s="152"/>
      <c r="V58" s="152"/>
      <c r="W58" s="157"/>
    </row>
    <row r="59" ht="15.75" customHeight="1">
      <c r="A59" s="192"/>
      <c r="B59" s="193"/>
      <c r="C59" s="194"/>
      <c r="N59" s="152"/>
      <c r="Q59" s="195"/>
      <c r="S59" s="196"/>
      <c r="T59" s="196"/>
      <c r="U59" s="152"/>
      <c r="V59" s="152"/>
      <c r="W59" s="157"/>
    </row>
    <row r="60" ht="15.75" customHeight="1">
      <c r="A60" s="192"/>
      <c r="B60" s="193"/>
      <c r="C60" s="194"/>
      <c r="N60" s="152"/>
      <c r="Q60" s="195"/>
      <c r="S60" s="196"/>
      <c r="T60" s="196"/>
      <c r="U60" s="152"/>
      <c r="V60" s="152"/>
      <c r="W60" s="157"/>
    </row>
    <row r="61" ht="15.75" customHeight="1">
      <c r="A61" s="192"/>
      <c r="B61" s="193"/>
      <c r="C61" s="194"/>
      <c r="N61" s="152"/>
      <c r="Q61" s="195"/>
      <c r="S61" s="196"/>
      <c r="T61" s="196"/>
      <c r="U61" s="152"/>
      <c r="V61" s="152"/>
      <c r="W61" s="157"/>
    </row>
    <row r="62" ht="15.75" customHeight="1">
      <c r="A62" s="192"/>
      <c r="B62" s="193"/>
      <c r="C62" s="194"/>
      <c r="N62" s="152"/>
      <c r="Q62" s="195"/>
      <c r="S62" s="196"/>
      <c r="T62" s="196"/>
      <c r="U62" s="152"/>
      <c r="V62" s="152"/>
      <c r="W62" s="157"/>
    </row>
    <row r="63" ht="15.75" customHeight="1">
      <c r="A63" s="192"/>
      <c r="B63" s="193"/>
      <c r="C63" s="194"/>
      <c r="N63" s="152"/>
      <c r="Q63" s="195"/>
      <c r="S63" s="196"/>
      <c r="T63" s="196"/>
      <c r="U63" s="152"/>
      <c r="V63" s="152"/>
      <c r="W63" s="157"/>
    </row>
    <row r="64" ht="15.75" customHeight="1">
      <c r="A64" s="192"/>
      <c r="B64" s="193"/>
      <c r="C64" s="194"/>
      <c r="N64" s="152"/>
      <c r="Q64" s="195"/>
      <c r="S64" s="196"/>
      <c r="T64" s="196"/>
      <c r="U64" s="152"/>
      <c r="V64" s="152"/>
      <c r="W64" s="157"/>
    </row>
    <row r="65" ht="15.75" customHeight="1">
      <c r="A65" s="192"/>
      <c r="B65" s="193"/>
      <c r="C65" s="194"/>
      <c r="N65" s="152"/>
      <c r="Q65" s="195"/>
      <c r="S65" s="196"/>
      <c r="T65" s="196"/>
      <c r="U65" s="152"/>
      <c r="V65" s="152"/>
      <c r="W65" s="157"/>
    </row>
    <row r="66" ht="15.75" customHeight="1">
      <c r="A66" s="192"/>
      <c r="B66" s="193"/>
      <c r="C66" s="194"/>
      <c r="N66" s="152"/>
      <c r="Q66" s="195"/>
      <c r="S66" s="196"/>
      <c r="T66" s="196"/>
      <c r="U66" s="152"/>
      <c r="V66" s="152"/>
      <c r="W66" s="157"/>
    </row>
    <row r="67" ht="15.75" customHeight="1">
      <c r="A67" s="192"/>
      <c r="B67" s="193"/>
      <c r="C67" s="194"/>
      <c r="N67" s="152"/>
      <c r="Q67" s="195"/>
      <c r="S67" s="196"/>
      <c r="T67" s="196"/>
      <c r="U67" s="152"/>
      <c r="V67" s="152"/>
      <c r="W67" s="157"/>
    </row>
    <row r="68" ht="15.75" customHeight="1">
      <c r="A68" s="192"/>
      <c r="B68" s="193"/>
      <c r="C68" s="194"/>
      <c r="N68" s="152"/>
      <c r="Q68" s="195"/>
      <c r="S68" s="196"/>
      <c r="T68" s="196"/>
      <c r="U68" s="152"/>
      <c r="V68" s="152"/>
      <c r="W68" s="157"/>
    </row>
    <row r="69" ht="15.75" customHeight="1">
      <c r="A69" s="192"/>
      <c r="B69" s="193"/>
      <c r="C69" s="194"/>
      <c r="N69" s="152"/>
      <c r="Q69" s="195"/>
      <c r="S69" s="196"/>
      <c r="T69" s="196"/>
      <c r="U69" s="152"/>
      <c r="V69" s="152"/>
      <c r="W69" s="157"/>
    </row>
    <row r="70" ht="15.75" customHeight="1">
      <c r="A70" s="192"/>
      <c r="B70" s="193"/>
      <c r="C70" s="194"/>
      <c r="N70" s="152"/>
      <c r="Q70" s="195"/>
      <c r="S70" s="196"/>
      <c r="T70" s="196"/>
      <c r="U70" s="152"/>
      <c r="V70" s="152"/>
      <c r="W70" s="157"/>
    </row>
    <row r="71" ht="15.75" customHeight="1">
      <c r="A71" s="192"/>
      <c r="B71" s="193"/>
      <c r="C71" s="194"/>
      <c r="N71" s="152"/>
      <c r="Q71" s="195"/>
      <c r="S71" s="196"/>
      <c r="T71" s="196"/>
      <c r="U71" s="152"/>
      <c r="V71" s="152"/>
      <c r="W71" s="157"/>
    </row>
    <row r="72" ht="15.75" customHeight="1">
      <c r="A72" s="192"/>
      <c r="B72" s="193"/>
      <c r="C72" s="194"/>
      <c r="N72" s="152"/>
      <c r="Q72" s="195"/>
      <c r="S72" s="196"/>
      <c r="T72" s="196"/>
      <c r="U72" s="152"/>
      <c r="V72" s="152"/>
      <c r="W72" s="157"/>
    </row>
    <row r="73" ht="15.75" customHeight="1">
      <c r="A73" s="192"/>
      <c r="B73" s="193"/>
      <c r="C73" s="194"/>
      <c r="N73" s="152"/>
      <c r="Q73" s="195"/>
      <c r="S73" s="196"/>
      <c r="T73" s="196"/>
      <c r="U73" s="152"/>
      <c r="V73" s="152"/>
      <c r="W73" s="157"/>
    </row>
    <row r="74" ht="15.75" customHeight="1">
      <c r="A74" s="192"/>
      <c r="B74" s="193"/>
      <c r="C74" s="194"/>
      <c r="N74" s="152"/>
      <c r="Q74" s="195"/>
      <c r="S74" s="196"/>
      <c r="T74" s="196"/>
      <c r="U74" s="152"/>
      <c r="V74" s="152"/>
      <c r="W74" s="157"/>
    </row>
    <row r="75" ht="15.75" customHeight="1">
      <c r="A75" s="192"/>
      <c r="B75" s="193"/>
      <c r="C75" s="194"/>
      <c r="N75" s="152"/>
      <c r="Q75" s="195"/>
      <c r="S75" s="196"/>
      <c r="T75" s="196"/>
      <c r="U75" s="152"/>
      <c r="V75" s="152"/>
      <c r="W75" s="157"/>
    </row>
    <row r="76" ht="15.75" customHeight="1">
      <c r="A76" s="192"/>
      <c r="B76" s="193"/>
      <c r="C76" s="194"/>
      <c r="N76" s="152"/>
      <c r="Q76" s="195"/>
      <c r="S76" s="196"/>
      <c r="T76" s="196"/>
      <c r="U76" s="152"/>
      <c r="V76" s="152"/>
      <c r="W76" s="157"/>
    </row>
    <row r="77" ht="15.75" customHeight="1">
      <c r="A77" s="192"/>
      <c r="B77" s="193"/>
      <c r="C77" s="194"/>
      <c r="N77" s="152"/>
      <c r="Q77" s="195"/>
      <c r="S77" s="196"/>
      <c r="T77" s="196"/>
      <c r="U77" s="152"/>
      <c r="V77" s="152"/>
      <c r="W77" s="157"/>
    </row>
    <row r="78" ht="15.75" customHeight="1">
      <c r="A78" s="192"/>
      <c r="B78" s="193"/>
      <c r="C78" s="194"/>
      <c r="N78" s="152"/>
      <c r="Q78" s="195"/>
      <c r="S78" s="196"/>
      <c r="T78" s="196"/>
      <c r="U78" s="152"/>
      <c r="V78" s="152"/>
      <c r="W78" s="157"/>
    </row>
    <row r="79" ht="15.75" customHeight="1">
      <c r="A79" s="192"/>
      <c r="B79" s="193"/>
      <c r="C79" s="194"/>
      <c r="N79" s="152"/>
      <c r="Q79" s="195"/>
      <c r="S79" s="196"/>
      <c r="T79" s="196"/>
      <c r="U79" s="152"/>
      <c r="V79" s="152"/>
      <c r="W79" s="157"/>
    </row>
    <row r="80" ht="15.75" customHeight="1">
      <c r="A80" s="192"/>
      <c r="B80" s="193"/>
      <c r="C80" s="194"/>
      <c r="N80" s="152"/>
      <c r="Q80" s="195"/>
      <c r="S80" s="196"/>
      <c r="T80" s="196"/>
      <c r="U80" s="152"/>
      <c r="V80" s="152"/>
      <c r="W80" s="157"/>
    </row>
    <row r="81" ht="15.75" customHeight="1">
      <c r="A81" s="192"/>
      <c r="B81" s="193"/>
      <c r="C81" s="194"/>
      <c r="N81" s="152"/>
      <c r="Q81" s="195"/>
      <c r="S81" s="196"/>
      <c r="T81" s="196"/>
      <c r="U81" s="152"/>
      <c r="V81" s="152"/>
      <c r="W81" s="157"/>
    </row>
    <row r="82" ht="15.75" customHeight="1">
      <c r="A82" s="192"/>
      <c r="B82" s="193"/>
      <c r="C82" s="194"/>
      <c r="N82" s="152"/>
      <c r="Q82" s="195"/>
      <c r="S82" s="196"/>
      <c r="T82" s="196"/>
      <c r="U82" s="152"/>
      <c r="V82" s="152"/>
      <c r="W82" s="157"/>
    </row>
    <row r="83" ht="15.75" customHeight="1">
      <c r="A83" s="192"/>
      <c r="B83" s="193"/>
      <c r="C83" s="194"/>
      <c r="N83" s="152"/>
      <c r="Q83" s="195"/>
      <c r="S83" s="196"/>
      <c r="T83" s="196"/>
      <c r="U83" s="152"/>
      <c r="V83" s="152"/>
      <c r="W83" s="157"/>
    </row>
    <row r="84" ht="15.75" customHeight="1">
      <c r="A84" s="192"/>
      <c r="B84" s="193"/>
      <c r="C84" s="194"/>
      <c r="N84" s="152"/>
      <c r="Q84" s="195"/>
      <c r="S84" s="196"/>
      <c r="T84" s="196"/>
      <c r="U84" s="152"/>
      <c r="V84" s="152"/>
      <c r="W84" s="157"/>
    </row>
    <row r="85" ht="15.75" customHeight="1">
      <c r="A85" s="192"/>
      <c r="B85" s="193"/>
      <c r="C85" s="194"/>
      <c r="N85" s="152"/>
      <c r="Q85" s="195"/>
      <c r="S85" s="196"/>
      <c r="T85" s="196"/>
      <c r="U85" s="152"/>
      <c r="V85" s="152"/>
      <c r="W85" s="157"/>
    </row>
    <row r="86" ht="15.75" customHeight="1">
      <c r="A86" s="192"/>
      <c r="B86" s="193"/>
      <c r="C86" s="194"/>
      <c r="N86" s="152"/>
      <c r="Q86" s="195"/>
      <c r="S86" s="196"/>
      <c r="T86" s="196"/>
      <c r="U86" s="152"/>
      <c r="V86" s="152"/>
      <c r="W86" s="157"/>
    </row>
    <row r="87" ht="15.75" customHeight="1">
      <c r="A87" s="192"/>
      <c r="B87" s="193"/>
      <c r="C87" s="194"/>
      <c r="N87" s="152"/>
      <c r="Q87" s="195"/>
      <c r="S87" s="196"/>
      <c r="T87" s="196"/>
      <c r="U87" s="152"/>
      <c r="V87" s="152"/>
      <c r="W87" s="157"/>
    </row>
    <row r="88" ht="15.75" customHeight="1">
      <c r="A88" s="192"/>
      <c r="B88" s="193"/>
      <c r="C88" s="194"/>
      <c r="N88" s="152"/>
      <c r="Q88" s="195"/>
      <c r="S88" s="196"/>
      <c r="T88" s="196"/>
      <c r="U88" s="152"/>
      <c r="V88" s="152"/>
      <c r="W88" s="157"/>
    </row>
    <row r="89" ht="15.75" customHeight="1">
      <c r="A89" s="192"/>
      <c r="B89" s="193"/>
      <c r="C89" s="194"/>
      <c r="N89" s="152"/>
      <c r="Q89" s="195"/>
      <c r="S89" s="196"/>
      <c r="T89" s="196"/>
      <c r="U89" s="152"/>
      <c r="V89" s="152"/>
      <c r="W89" s="157"/>
    </row>
    <row r="90" ht="15.75" customHeight="1">
      <c r="A90" s="192"/>
      <c r="B90" s="193"/>
      <c r="C90" s="194"/>
      <c r="N90" s="152"/>
      <c r="Q90" s="195"/>
      <c r="S90" s="196"/>
      <c r="T90" s="196"/>
      <c r="U90" s="152"/>
      <c r="V90" s="152"/>
      <c r="W90" s="157"/>
    </row>
    <row r="91" ht="15.75" customHeight="1">
      <c r="A91" s="192"/>
      <c r="B91" s="193"/>
      <c r="C91" s="194"/>
      <c r="N91" s="152"/>
      <c r="Q91" s="195"/>
      <c r="S91" s="196"/>
      <c r="T91" s="196"/>
      <c r="U91" s="152"/>
      <c r="V91" s="152"/>
      <c r="W91" s="157"/>
    </row>
    <row r="92" ht="15.75" customHeight="1">
      <c r="A92" s="192"/>
      <c r="B92" s="193"/>
      <c r="C92" s="194"/>
      <c r="N92" s="152"/>
      <c r="Q92" s="195"/>
      <c r="S92" s="196"/>
      <c r="T92" s="196"/>
      <c r="U92" s="152"/>
      <c r="V92" s="152"/>
      <c r="W92" s="157"/>
    </row>
    <row r="93" ht="15.75" customHeight="1">
      <c r="A93" s="192"/>
      <c r="B93" s="193"/>
      <c r="C93" s="194"/>
      <c r="N93" s="152"/>
      <c r="Q93" s="195"/>
      <c r="S93" s="196"/>
      <c r="T93" s="196"/>
      <c r="U93" s="152"/>
      <c r="V93" s="152"/>
      <c r="W93" s="157"/>
    </row>
    <row r="94" ht="15.75" customHeight="1">
      <c r="A94" s="192"/>
      <c r="B94" s="193"/>
      <c r="C94" s="194"/>
      <c r="N94" s="152"/>
      <c r="Q94" s="195"/>
      <c r="S94" s="196"/>
      <c r="T94" s="196"/>
      <c r="U94" s="152"/>
      <c r="V94" s="152"/>
      <c r="W94" s="157"/>
    </row>
    <row r="95" ht="15.75" customHeight="1">
      <c r="A95" s="192"/>
      <c r="B95" s="193"/>
      <c r="C95" s="194"/>
      <c r="N95" s="152"/>
      <c r="Q95" s="195"/>
      <c r="S95" s="196"/>
      <c r="T95" s="196"/>
      <c r="U95" s="152"/>
      <c r="V95" s="152"/>
      <c r="W95" s="157"/>
    </row>
    <row r="96" ht="15.75" customHeight="1">
      <c r="A96" s="192"/>
      <c r="B96" s="193"/>
      <c r="C96" s="194"/>
      <c r="N96" s="152"/>
      <c r="Q96" s="195"/>
      <c r="S96" s="196"/>
      <c r="T96" s="196"/>
      <c r="U96" s="152"/>
      <c r="V96" s="152"/>
      <c r="W96" s="157"/>
    </row>
    <row r="97" ht="15.75" customHeight="1">
      <c r="A97" s="192"/>
      <c r="B97" s="193"/>
      <c r="C97" s="194"/>
      <c r="N97" s="152"/>
      <c r="Q97" s="195"/>
      <c r="S97" s="196"/>
      <c r="T97" s="196"/>
      <c r="U97" s="152"/>
      <c r="V97" s="152"/>
      <c r="W97" s="157"/>
    </row>
    <row r="98" ht="15.75" customHeight="1">
      <c r="A98" s="192"/>
      <c r="B98" s="193"/>
      <c r="C98" s="194"/>
      <c r="N98" s="152"/>
      <c r="Q98" s="195"/>
      <c r="S98" s="196"/>
      <c r="T98" s="196"/>
      <c r="U98" s="152"/>
      <c r="V98" s="152"/>
      <c r="W98" s="157"/>
    </row>
    <row r="99" ht="15.75" customHeight="1">
      <c r="A99" s="192"/>
      <c r="B99" s="193"/>
      <c r="C99" s="194"/>
      <c r="N99" s="152"/>
      <c r="Q99" s="195"/>
      <c r="S99" s="196"/>
      <c r="T99" s="196"/>
      <c r="U99" s="152"/>
      <c r="V99" s="152"/>
      <c r="W99" s="157"/>
    </row>
    <row r="100" ht="15.75" customHeight="1">
      <c r="A100" s="192"/>
      <c r="B100" s="193"/>
      <c r="C100" s="194"/>
      <c r="N100" s="152"/>
      <c r="Q100" s="195"/>
      <c r="S100" s="196"/>
      <c r="T100" s="196"/>
      <c r="U100" s="152"/>
      <c r="V100" s="152"/>
      <c r="W100" s="157"/>
    </row>
    <row r="101" ht="15.75" customHeight="1">
      <c r="A101" s="192"/>
      <c r="B101" s="193"/>
      <c r="C101" s="194"/>
      <c r="N101" s="152"/>
      <c r="Q101" s="195"/>
      <c r="S101" s="196"/>
      <c r="T101" s="196"/>
      <c r="U101" s="152"/>
      <c r="V101" s="152"/>
      <c r="W101" s="157"/>
    </row>
    <row r="102" ht="15.75" customHeight="1">
      <c r="A102" s="192"/>
      <c r="B102" s="193"/>
      <c r="C102" s="194"/>
      <c r="N102" s="152"/>
      <c r="Q102" s="195"/>
      <c r="S102" s="196"/>
      <c r="T102" s="196"/>
      <c r="U102" s="152"/>
      <c r="V102" s="152"/>
      <c r="W102" s="157"/>
    </row>
    <row r="103" ht="15.75" customHeight="1">
      <c r="A103" s="192"/>
      <c r="B103" s="193"/>
      <c r="C103" s="194"/>
      <c r="N103" s="152"/>
      <c r="Q103" s="195"/>
      <c r="S103" s="196"/>
      <c r="T103" s="196"/>
      <c r="U103" s="152"/>
      <c r="V103" s="152"/>
      <c r="W103" s="157"/>
    </row>
    <row r="104" ht="15.75" customHeight="1">
      <c r="A104" s="192"/>
      <c r="B104" s="193"/>
      <c r="C104" s="194"/>
      <c r="N104" s="152"/>
      <c r="Q104" s="195"/>
      <c r="S104" s="196"/>
      <c r="T104" s="196"/>
      <c r="U104" s="152"/>
      <c r="V104" s="152"/>
      <c r="W104" s="157"/>
    </row>
    <row r="105" ht="15.75" customHeight="1">
      <c r="A105" s="192"/>
      <c r="B105" s="193"/>
      <c r="C105" s="194"/>
      <c r="N105" s="152"/>
      <c r="Q105" s="195"/>
      <c r="S105" s="196"/>
      <c r="T105" s="196"/>
      <c r="U105" s="152"/>
      <c r="V105" s="152"/>
      <c r="W105" s="157"/>
    </row>
    <row r="106" ht="15.75" customHeight="1">
      <c r="A106" s="192"/>
      <c r="B106" s="193"/>
      <c r="C106" s="194"/>
      <c r="N106" s="152"/>
      <c r="Q106" s="195"/>
      <c r="S106" s="196"/>
      <c r="T106" s="196"/>
      <c r="U106" s="152"/>
      <c r="V106" s="152"/>
      <c r="W106" s="157"/>
    </row>
    <row r="107" ht="15.75" customHeight="1">
      <c r="A107" s="192"/>
      <c r="B107" s="193"/>
      <c r="C107" s="194"/>
      <c r="N107" s="152"/>
      <c r="Q107" s="195"/>
      <c r="S107" s="196"/>
      <c r="T107" s="196"/>
      <c r="U107" s="152"/>
      <c r="V107" s="152"/>
      <c r="W107" s="157"/>
    </row>
    <row r="108" ht="15.75" customHeight="1">
      <c r="A108" s="192"/>
      <c r="B108" s="193"/>
      <c r="C108" s="194"/>
      <c r="N108" s="152"/>
      <c r="Q108" s="195"/>
      <c r="S108" s="196"/>
      <c r="T108" s="196"/>
      <c r="U108" s="152"/>
      <c r="V108" s="152"/>
      <c r="W108" s="157"/>
    </row>
    <row r="109" ht="15.75" customHeight="1">
      <c r="A109" s="192"/>
      <c r="B109" s="193"/>
      <c r="C109" s="194"/>
      <c r="N109" s="152"/>
      <c r="Q109" s="195"/>
      <c r="S109" s="196"/>
      <c r="T109" s="196"/>
      <c r="U109" s="152"/>
      <c r="V109" s="152"/>
      <c r="W109" s="157"/>
    </row>
    <row r="110" ht="15.75" customHeight="1">
      <c r="A110" s="192"/>
      <c r="B110" s="193"/>
      <c r="C110" s="194"/>
      <c r="N110" s="152"/>
      <c r="Q110" s="195"/>
      <c r="S110" s="196"/>
      <c r="T110" s="196"/>
      <c r="U110" s="152"/>
      <c r="V110" s="152"/>
      <c r="W110" s="157"/>
    </row>
    <row r="111" ht="15.75" customHeight="1">
      <c r="A111" s="192"/>
      <c r="B111" s="193"/>
      <c r="C111" s="194"/>
      <c r="N111" s="152"/>
      <c r="Q111" s="195"/>
      <c r="S111" s="196"/>
      <c r="T111" s="196"/>
      <c r="U111" s="152"/>
      <c r="V111" s="152"/>
      <c r="W111" s="157"/>
    </row>
    <row r="112" ht="15.75" customHeight="1">
      <c r="A112" s="192"/>
      <c r="B112" s="193"/>
      <c r="C112" s="194"/>
      <c r="N112" s="152"/>
      <c r="Q112" s="195"/>
      <c r="S112" s="196"/>
      <c r="T112" s="196"/>
      <c r="U112" s="152"/>
      <c r="V112" s="152"/>
      <c r="W112" s="157"/>
    </row>
    <row r="113" ht="15.75" customHeight="1">
      <c r="A113" s="192"/>
      <c r="B113" s="193"/>
      <c r="C113" s="194"/>
      <c r="N113" s="152"/>
      <c r="Q113" s="195"/>
      <c r="S113" s="196"/>
      <c r="T113" s="196"/>
      <c r="U113" s="152"/>
      <c r="V113" s="152"/>
      <c r="W113" s="157"/>
    </row>
    <row r="114" ht="15.75" customHeight="1">
      <c r="A114" s="192"/>
      <c r="B114" s="193"/>
      <c r="C114" s="194"/>
      <c r="N114" s="152"/>
      <c r="Q114" s="195"/>
      <c r="S114" s="196"/>
      <c r="T114" s="196"/>
      <c r="U114" s="152"/>
      <c r="V114" s="152"/>
      <c r="W114" s="157"/>
    </row>
    <row r="115" ht="15.75" customHeight="1">
      <c r="A115" s="192"/>
      <c r="B115" s="193"/>
      <c r="C115" s="194"/>
      <c r="N115" s="152"/>
      <c r="Q115" s="195"/>
      <c r="S115" s="196"/>
      <c r="T115" s="196"/>
      <c r="U115" s="152"/>
      <c r="V115" s="152"/>
      <c r="W115" s="157"/>
    </row>
    <row r="116" ht="15.75" customHeight="1">
      <c r="A116" s="192"/>
      <c r="B116" s="193"/>
      <c r="C116" s="194"/>
      <c r="N116" s="152"/>
      <c r="Q116" s="195"/>
      <c r="S116" s="196"/>
      <c r="T116" s="196"/>
      <c r="U116" s="152"/>
      <c r="V116" s="152"/>
      <c r="W116" s="157"/>
    </row>
    <row r="117" ht="15.75" customHeight="1">
      <c r="A117" s="192"/>
      <c r="B117" s="193"/>
      <c r="C117" s="194"/>
      <c r="N117" s="152"/>
      <c r="Q117" s="195"/>
      <c r="S117" s="196"/>
      <c r="T117" s="196"/>
      <c r="U117" s="152"/>
      <c r="V117" s="152"/>
      <c r="W117" s="157"/>
    </row>
    <row r="118" ht="15.75" customHeight="1">
      <c r="A118" s="192"/>
      <c r="B118" s="193"/>
      <c r="C118" s="194"/>
      <c r="N118" s="152"/>
      <c r="Q118" s="195"/>
      <c r="S118" s="196"/>
      <c r="T118" s="196"/>
      <c r="U118" s="152"/>
      <c r="V118" s="152"/>
      <c r="W118" s="157"/>
    </row>
    <row r="119" ht="15.75" customHeight="1">
      <c r="A119" s="192"/>
      <c r="B119" s="193"/>
      <c r="C119" s="194"/>
      <c r="N119" s="152"/>
      <c r="Q119" s="195"/>
      <c r="S119" s="196"/>
      <c r="T119" s="196"/>
      <c r="U119" s="152"/>
      <c r="V119" s="152"/>
      <c r="W119" s="157"/>
    </row>
    <row r="120" ht="15.75" customHeight="1">
      <c r="A120" s="192"/>
      <c r="B120" s="193"/>
      <c r="C120" s="194"/>
      <c r="N120" s="152"/>
      <c r="Q120" s="195"/>
      <c r="S120" s="196"/>
      <c r="T120" s="196"/>
      <c r="U120" s="152"/>
      <c r="V120" s="152"/>
      <c r="W120" s="157"/>
    </row>
    <row r="121" ht="15.75" customHeight="1">
      <c r="A121" s="192"/>
      <c r="B121" s="193"/>
      <c r="C121" s="194"/>
      <c r="N121" s="152"/>
      <c r="Q121" s="195"/>
      <c r="S121" s="196"/>
      <c r="T121" s="196"/>
      <c r="U121" s="152"/>
      <c r="V121" s="152"/>
      <c r="W121" s="157"/>
    </row>
    <row r="122" ht="15.75" customHeight="1">
      <c r="A122" s="192"/>
      <c r="B122" s="193"/>
      <c r="C122" s="194"/>
      <c r="N122" s="152"/>
      <c r="Q122" s="195"/>
      <c r="S122" s="196"/>
      <c r="T122" s="196"/>
      <c r="U122" s="152"/>
      <c r="V122" s="152"/>
      <c r="W122" s="157"/>
    </row>
    <row r="123" ht="15.75" customHeight="1">
      <c r="A123" s="192"/>
      <c r="B123" s="193"/>
      <c r="C123" s="194"/>
      <c r="N123" s="152"/>
      <c r="Q123" s="195"/>
      <c r="S123" s="196"/>
      <c r="T123" s="196"/>
      <c r="U123" s="152"/>
      <c r="V123" s="152"/>
      <c r="W123" s="157"/>
    </row>
    <row r="124" ht="15.75" customHeight="1">
      <c r="A124" s="192"/>
      <c r="B124" s="193"/>
      <c r="C124" s="194"/>
      <c r="N124" s="152"/>
      <c r="Q124" s="195"/>
      <c r="S124" s="196"/>
      <c r="T124" s="196"/>
      <c r="U124" s="152"/>
      <c r="V124" s="152"/>
      <c r="W124" s="157"/>
    </row>
    <row r="125" ht="15.75" customHeight="1">
      <c r="A125" s="192"/>
      <c r="B125" s="193"/>
      <c r="C125" s="194"/>
      <c r="N125" s="152"/>
      <c r="Q125" s="195"/>
      <c r="S125" s="196"/>
      <c r="T125" s="196"/>
      <c r="U125" s="152"/>
      <c r="V125" s="152"/>
      <c r="W125" s="157"/>
    </row>
    <row r="126" ht="15.75" customHeight="1">
      <c r="A126" s="192"/>
      <c r="B126" s="193"/>
      <c r="C126" s="194"/>
      <c r="N126" s="152"/>
      <c r="Q126" s="195"/>
      <c r="S126" s="196"/>
      <c r="T126" s="196"/>
      <c r="U126" s="152"/>
      <c r="V126" s="152"/>
      <c r="W126" s="157"/>
    </row>
    <row r="127" ht="15.75" customHeight="1">
      <c r="A127" s="192"/>
      <c r="B127" s="193"/>
      <c r="C127" s="194"/>
      <c r="N127" s="152"/>
      <c r="Q127" s="195"/>
      <c r="S127" s="196"/>
      <c r="T127" s="196"/>
      <c r="U127" s="152"/>
      <c r="V127" s="152"/>
      <c r="W127" s="157"/>
    </row>
    <row r="128" ht="15.75" customHeight="1">
      <c r="A128" s="192"/>
      <c r="B128" s="193"/>
      <c r="C128" s="194"/>
      <c r="N128" s="152"/>
      <c r="Q128" s="195"/>
      <c r="S128" s="196"/>
      <c r="T128" s="196"/>
      <c r="U128" s="152"/>
      <c r="V128" s="152"/>
      <c r="W128" s="157"/>
    </row>
    <row r="129" ht="15.75" customHeight="1">
      <c r="A129" s="192"/>
      <c r="B129" s="193"/>
      <c r="C129" s="194"/>
      <c r="N129" s="152"/>
      <c r="Q129" s="195"/>
      <c r="S129" s="196"/>
      <c r="T129" s="196"/>
      <c r="U129" s="152"/>
      <c r="V129" s="152"/>
      <c r="W129" s="157"/>
    </row>
    <row r="130" ht="15.75" customHeight="1">
      <c r="A130" s="192"/>
      <c r="B130" s="193"/>
      <c r="C130" s="194"/>
      <c r="N130" s="152"/>
      <c r="Q130" s="195"/>
      <c r="S130" s="196"/>
      <c r="T130" s="196"/>
      <c r="U130" s="152"/>
      <c r="V130" s="152"/>
      <c r="W130" s="157"/>
    </row>
    <row r="131" ht="15.75" customHeight="1">
      <c r="A131" s="192"/>
      <c r="B131" s="193"/>
      <c r="C131" s="194"/>
      <c r="N131" s="152"/>
      <c r="Q131" s="195"/>
      <c r="S131" s="196"/>
      <c r="T131" s="196"/>
      <c r="U131" s="152"/>
      <c r="V131" s="152"/>
      <c r="W131" s="157"/>
    </row>
    <row r="132" ht="15.75" customHeight="1">
      <c r="A132" s="192"/>
      <c r="B132" s="193"/>
      <c r="C132" s="194"/>
      <c r="N132" s="152"/>
      <c r="Q132" s="195"/>
      <c r="S132" s="196"/>
      <c r="T132" s="196"/>
      <c r="U132" s="152"/>
      <c r="V132" s="152"/>
      <c r="W132" s="157"/>
    </row>
    <row r="133" ht="15.75" customHeight="1">
      <c r="A133" s="192"/>
      <c r="B133" s="193"/>
      <c r="C133" s="194"/>
      <c r="N133" s="152"/>
      <c r="Q133" s="195"/>
      <c r="S133" s="196"/>
      <c r="T133" s="196"/>
      <c r="U133" s="152"/>
      <c r="V133" s="152"/>
      <c r="W133" s="157"/>
    </row>
    <row r="134" ht="15.75" customHeight="1">
      <c r="A134" s="192"/>
      <c r="B134" s="193"/>
      <c r="C134" s="194"/>
      <c r="N134" s="152"/>
      <c r="Q134" s="195"/>
      <c r="S134" s="196"/>
      <c r="T134" s="196"/>
      <c r="U134" s="152"/>
      <c r="V134" s="152"/>
      <c r="W134" s="157"/>
    </row>
    <row r="135" ht="15.75" customHeight="1">
      <c r="A135" s="192"/>
      <c r="B135" s="193"/>
      <c r="C135" s="194"/>
      <c r="N135" s="152"/>
      <c r="Q135" s="195"/>
      <c r="S135" s="196"/>
      <c r="T135" s="196"/>
      <c r="U135" s="152"/>
      <c r="V135" s="152"/>
      <c r="W135" s="157"/>
    </row>
    <row r="136" ht="15.75" customHeight="1">
      <c r="A136" s="192"/>
      <c r="B136" s="193"/>
      <c r="C136" s="194"/>
      <c r="N136" s="152"/>
      <c r="Q136" s="195"/>
      <c r="S136" s="196"/>
      <c r="T136" s="196"/>
      <c r="U136" s="152"/>
      <c r="V136" s="152"/>
      <c r="W136" s="157"/>
    </row>
    <row r="137" ht="15.75" customHeight="1">
      <c r="A137" s="192"/>
      <c r="B137" s="193"/>
      <c r="C137" s="194"/>
      <c r="N137" s="152"/>
      <c r="Q137" s="195"/>
      <c r="S137" s="196"/>
      <c r="T137" s="196"/>
      <c r="U137" s="152"/>
      <c r="V137" s="152"/>
      <c r="W137" s="157"/>
    </row>
    <row r="138" ht="15.75" customHeight="1">
      <c r="A138" s="192"/>
      <c r="B138" s="193"/>
      <c r="C138" s="194"/>
      <c r="N138" s="152"/>
      <c r="Q138" s="195"/>
      <c r="S138" s="196"/>
      <c r="T138" s="196"/>
      <c r="U138" s="152"/>
      <c r="V138" s="152"/>
      <c r="W138" s="157"/>
    </row>
    <row r="139" ht="15.75" customHeight="1">
      <c r="A139" s="192"/>
      <c r="B139" s="193"/>
      <c r="C139" s="194"/>
      <c r="N139" s="152"/>
      <c r="Q139" s="195"/>
      <c r="S139" s="196"/>
      <c r="T139" s="196"/>
      <c r="U139" s="152"/>
      <c r="V139" s="152"/>
      <c r="W139" s="157"/>
    </row>
    <row r="140" ht="15.75" customHeight="1">
      <c r="A140" s="192"/>
      <c r="B140" s="193"/>
      <c r="C140" s="194"/>
      <c r="N140" s="152"/>
      <c r="Q140" s="195"/>
      <c r="S140" s="196"/>
      <c r="T140" s="196"/>
      <c r="U140" s="152"/>
      <c r="V140" s="152"/>
      <c r="W140" s="157"/>
    </row>
    <row r="141" ht="15.75" customHeight="1">
      <c r="A141" s="192"/>
      <c r="B141" s="193"/>
      <c r="C141" s="194"/>
      <c r="N141" s="152"/>
      <c r="Q141" s="195"/>
      <c r="S141" s="196"/>
      <c r="T141" s="196"/>
      <c r="U141" s="152"/>
      <c r="V141" s="152"/>
      <c r="W141" s="157"/>
    </row>
    <row r="142" ht="15.75" customHeight="1">
      <c r="A142" s="192"/>
      <c r="B142" s="193"/>
      <c r="C142" s="194"/>
      <c r="N142" s="152"/>
      <c r="Q142" s="195"/>
      <c r="S142" s="196"/>
      <c r="T142" s="196"/>
      <c r="U142" s="152"/>
      <c r="V142" s="152"/>
      <c r="W142" s="157"/>
    </row>
    <row r="143" ht="15.75" customHeight="1">
      <c r="A143" s="192"/>
      <c r="B143" s="193"/>
      <c r="C143" s="194"/>
      <c r="N143" s="152"/>
      <c r="Q143" s="195"/>
      <c r="S143" s="196"/>
      <c r="T143" s="196"/>
      <c r="U143" s="152"/>
      <c r="V143" s="152"/>
      <c r="W143" s="157"/>
    </row>
    <row r="144" ht="15.75" customHeight="1">
      <c r="A144" s="192"/>
      <c r="B144" s="193"/>
      <c r="C144" s="194"/>
      <c r="N144" s="152"/>
      <c r="Q144" s="195"/>
      <c r="S144" s="196"/>
      <c r="T144" s="196"/>
      <c r="U144" s="152"/>
      <c r="V144" s="152"/>
      <c r="W144" s="157"/>
    </row>
    <row r="145" ht="15.75" customHeight="1">
      <c r="A145" s="192"/>
      <c r="B145" s="193"/>
      <c r="C145" s="194"/>
      <c r="N145" s="152"/>
      <c r="Q145" s="195"/>
      <c r="S145" s="196"/>
      <c r="T145" s="196"/>
      <c r="U145" s="152"/>
      <c r="V145" s="152"/>
      <c r="W145" s="157"/>
    </row>
    <row r="146" ht="15.75" customHeight="1">
      <c r="A146" s="192"/>
      <c r="B146" s="193"/>
      <c r="C146" s="194"/>
      <c r="N146" s="152"/>
      <c r="Q146" s="195"/>
      <c r="S146" s="196"/>
      <c r="T146" s="196"/>
      <c r="U146" s="152"/>
      <c r="V146" s="152"/>
      <c r="W146" s="157"/>
    </row>
    <row r="147" ht="15.75" customHeight="1">
      <c r="A147" s="192"/>
      <c r="B147" s="193"/>
      <c r="C147" s="194"/>
      <c r="N147" s="152"/>
      <c r="Q147" s="195"/>
      <c r="S147" s="196"/>
      <c r="T147" s="196"/>
      <c r="U147" s="152"/>
      <c r="V147" s="152"/>
      <c r="W147" s="157"/>
    </row>
    <row r="148" ht="15.75" customHeight="1">
      <c r="A148" s="192"/>
      <c r="B148" s="193"/>
      <c r="C148" s="194"/>
      <c r="N148" s="152"/>
      <c r="Q148" s="195"/>
      <c r="S148" s="196"/>
      <c r="T148" s="196"/>
      <c r="U148" s="152"/>
      <c r="V148" s="152"/>
      <c r="W148" s="157"/>
    </row>
    <row r="149" ht="15.75" customHeight="1">
      <c r="A149" s="192"/>
      <c r="B149" s="193"/>
      <c r="C149" s="194"/>
      <c r="N149" s="152"/>
      <c r="Q149" s="195"/>
      <c r="S149" s="196"/>
      <c r="T149" s="196"/>
      <c r="U149" s="152"/>
      <c r="V149" s="152"/>
      <c r="W149" s="157"/>
    </row>
    <row r="150" ht="15.75" customHeight="1">
      <c r="A150" s="192"/>
      <c r="B150" s="193"/>
      <c r="C150" s="194"/>
      <c r="N150" s="152"/>
      <c r="Q150" s="195"/>
      <c r="S150" s="196"/>
      <c r="T150" s="196"/>
      <c r="U150" s="152"/>
      <c r="V150" s="152"/>
      <c r="W150" s="157"/>
    </row>
    <row r="151" ht="15.75" customHeight="1">
      <c r="A151" s="192"/>
      <c r="B151" s="193"/>
      <c r="C151" s="194"/>
      <c r="N151" s="152"/>
      <c r="Q151" s="195"/>
      <c r="S151" s="196"/>
      <c r="T151" s="196"/>
      <c r="U151" s="152"/>
      <c r="V151" s="152"/>
      <c r="W151" s="157"/>
    </row>
    <row r="152" ht="15.75" customHeight="1">
      <c r="A152" s="192"/>
      <c r="B152" s="193"/>
      <c r="C152" s="194"/>
      <c r="N152" s="152"/>
      <c r="Q152" s="195"/>
      <c r="S152" s="196"/>
      <c r="T152" s="196"/>
      <c r="U152" s="152"/>
      <c r="V152" s="152"/>
      <c r="W152" s="157"/>
    </row>
    <row r="153" ht="15.75" customHeight="1">
      <c r="A153" s="192"/>
      <c r="B153" s="193"/>
      <c r="C153" s="194"/>
      <c r="N153" s="152"/>
      <c r="Q153" s="195"/>
      <c r="S153" s="196"/>
      <c r="T153" s="196"/>
      <c r="U153" s="152"/>
      <c r="V153" s="152"/>
      <c r="W153" s="157"/>
    </row>
    <row r="154" ht="15.75" customHeight="1">
      <c r="A154" s="192"/>
      <c r="B154" s="193"/>
      <c r="C154" s="194"/>
      <c r="N154" s="152"/>
      <c r="Q154" s="195"/>
      <c r="S154" s="196"/>
      <c r="T154" s="196"/>
      <c r="U154" s="152"/>
      <c r="V154" s="152"/>
      <c r="W154" s="157"/>
    </row>
    <row r="155" ht="15.75" customHeight="1">
      <c r="A155" s="192"/>
      <c r="B155" s="193"/>
      <c r="C155" s="194"/>
      <c r="N155" s="152"/>
      <c r="Q155" s="195"/>
      <c r="S155" s="196"/>
      <c r="T155" s="196"/>
      <c r="U155" s="152"/>
      <c r="V155" s="152"/>
      <c r="W155" s="157"/>
    </row>
    <row r="156" ht="15.75" customHeight="1">
      <c r="A156" s="192"/>
      <c r="B156" s="193"/>
      <c r="C156" s="194"/>
      <c r="N156" s="152"/>
      <c r="Q156" s="195"/>
      <c r="S156" s="196"/>
      <c r="T156" s="196"/>
      <c r="U156" s="152"/>
      <c r="V156" s="152"/>
      <c r="W156" s="157"/>
    </row>
    <row r="157" ht="15.75" customHeight="1">
      <c r="A157" s="192"/>
      <c r="B157" s="193"/>
      <c r="C157" s="194"/>
      <c r="N157" s="152"/>
      <c r="Q157" s="195"/>
      <c r="S157" s="196"/>
      <c r="T157" s="196"/>
      <c r="U157" s="152"/>
      <c r="V157" s="152"/>
      <c r="W157" s="157"/>
    </row>
    <row r="158" ht="15.75" customHeight="1">
      <c r="A158" s="192"/>
      <c r="B158" s="193"/>
      <c r="C158" s="194"/>
      <c r="N158" s="152"/>
      <c r="Q158" s="195"/>
      <c r="S158" s="196"/>
      <c r="T158" s="196"/>
      <c r="U158" s="152"/>
      <c r="V158" s="152"/>
      <c r="W158" s="157"/>
    </row>
    <row r="159" ht="15.75" customHeight="1">
      <c r="A159" s="192"/>
      <c r="B159" s="193"/>
      <c r="C159" s="194"/>
      <c r="N159" s="152"/>
      <c r="Q159" s="195"/>
      <c r="S159" s="196"/>
      <c r="T159" s="196"/>
      <c r="U159" s="152"/>
      <c r="V159" s="152"/>
      <c r="W159" s="157"/>
    </row>
    <row r="160" ht="15.75" customHeight="1">
      <c r="A160" s="192"/>
      <c r="B160" s="193"/>
      <c r="C160" s="194"/>
      <c r="N160" s="152"/>
      <c r="Q160" s="195"/>
      <c r="S160" s="196"/>
      <c r="T160" s="196"/>
      <c r="U160" s="152"/>
      <c r="V160" s="152"/>
      <c r="W160" s="157"/>
    </row>
    <row r="161" ht="15.75" customHeight="1">
      <c r="A161" s="192"/>
      <c r="B161" s="193"/>
      <c r="C161" s="194"/>
      <c r="N161" s="152"/>
      <c r="Q161" s="195"/>
      <c r="S161" s="196"/>
      <c r="T161" s="196"/>
      <c r="U161" s="152"/>
      <c r="V161" s="152"/>
      <c r="W161" s="157"/>
    </row>
    <row r="162" ht="15.75" customHeight="1">
      <c r="A162" s="192"/>
      <c r="B162" s="193"/>
      <c r="C162" s="194"/>
      <c r="N162" s="152"/>
      <c r="Q162" s="195"/>
      <c r="S162" s="196"/>
      <c r="T162" s="196"/>
      <c r="U162" s="152"/>
      <c r="V162" s="152"/>
      <c r="W162" s="157"/>
    </row>
    <row r="163" ht="15.75" customHeight="1">
      <c r="A163" s="192"/>
      <c r="B163" s="193"/>
      <c r="C163" s="194"/>
      <c r="N163" s="152"/>
      <c r="Q163" s="195"/>
      <c r="S163" s="196"/>
      <c r="T163" s="196"/>
      <c r="U163" s="152"/>
      <c r="V163" s="152"/>
      <c r="W163" s="157"/>
    </row>
    <row r="164" ht="15.75" customHeight="1">
      <c r="A164" s="192"/>
      <c r="B164" s="193"/>
      <c r="C164" s="194"/>
      <c r="N164" s="152"/>
      <c r="Q164" s="195"/>
      <c r="S164" s="196"/>
      <c r="T164" s="196"/>
      <c r="U164" s="152"/>
      <c r="V164" s="152"/>
      <c r="W164" s="157"/>
    </row>
    <row r="165" ht="15.75" customHeight="1">
      <c r="A165" s="192"/>
      <c r="B165" s="193"/>
      <c r="C165" s="194"/>
      <c r="N165" s="152"/>
      <c r="Q165" s="195"/>
      <c r="S165" s="196"/>
      <c r="T165" s="196"/>
      <c r="U165" s="152"/>
      <c r="V165" s="152"/>
      <c r="W165" s="157"/>
    </row>
    <row r="166" ht="15.75" customHeight="1">
      <c r="A166" s="192"/>
      <c r="B166" s="193"/>
      <c r="C166" s="194"/>
      <c r="N166" s="152"/>
      <c r="Q166" s="195"/>
      <c r="S166" s="196"/>
      <c r="T166" s="196"/>
      <c r="U166" s="152"/>
      <c r="V166" s="152"/>
      <c r="W166" s="157"/>
    </row>
    <row r="167" ht="15.75" customHeight="1">
      <c r="A167" s="192"/>
      <c r="B167" s="193"/>
      <c r="C167" s="194"/>
      <c r="N167" s="152"/>
      <c r="Q167" s="195"/>
      <c r="S167" s="196"/>
      <c r="T167" s="196"/>
      <c r="U167" s="152"/>
      <c r="V167" s="152"/>
      <c r="W167" s="157"/>
    </row>
    <row r="168" ht="15.75" customHeight="1">
      <c r="A168" s="192"/>
      <c r="B168" s="193"/>
      <c r="C168" s="194"/>
      <c r="N168" s="152"/>
      <c r="Q168" s="195"/>
      <c r="S168" s="196"/>
      <c r="T168" s="196"/>
      <c r="U168" s="152"/>
      <c r="V168" s="152"/>
      <c r="W168" s="157"/>
    </row>
    <row r="169" ht="15.75" customHeight="1">
      <c r="A169" s="192"/>
      <c r="B169" s="193"/>
      <c r="C169" s="194"/>
      <c r="N169" s="152"/>
      <c r="Q169" s="195"/>
      <c r="S169" s="196"/>
      <c r="T169" s="196"/>
      <c r="U169" s="152"/>
      <c r="V169" s="152"/>
      <c r="W169" s="157"/>
    </row>
    <row r="170" ht="15.75" customHeight="1">
      <c r="A170" s="192"/>
      <c r="B170" s="193"/>
      <c r="C170" s="194"/>
      <c r="N170" s="152"/>
      <c r="Q170" s="195"/>
      <c r="S170" s="196"/>
      <c r="T170" s="196"/>
      <c r="U170" s="152"/>
      <c r="V170" s="152"/>
      <c r="W170" s="157"/>
    </row>
    <row r="171" ht="15.75" customHeight="1">
      <c r="A171" s="192"/>
      <c r="B171" s="193"/>
      <c r="C171" s="194"/>
      <c r="N171" s="152"/>
      <c r="Q171" s="195"/>
      <c r="S171" s="196"/>
      <c r="T171" s="196"/>
      <c r="U171" s="152"/>
      <c r="V171" s="152"/>
      <c r="W171" s="157"/>
    </row>
    <row r="172" ht="15.75" customHeight="1">
      <c r="A172" s="192"/>
      <c r="B172" s="193"/>
      <c r="C172" s="194"/>
      <c r="N172" s="152"/>
      <c r="Q172" s="195"/>
      <c r="S172" s="196"/>
      <c r="T172" s="196"/>
      <c r="U172" s="152"/>
      <c r="V172" s="152"/>
      <c r="W172" s="157"/>
    </row>
    <row r="173" ht="15.75" customHeight="1">
      <c r="A173" s="192"/>
      <c r="B173" s="193"/>
      <c r="C173" s="194"/>
      <c r="N173" s="152"/>
      <c r="Q173" s="195"/>
      <c r="S173" s="196"/>
      <c r="T173" s="196"/>
      <c r="U173" s="152"/>
      <c r="V173" s="152"/>
      <c r="W173" s="157"/>
    </row>
    <row r="174" ht="15.75" customHeight="1">
      <c r="A174" s="192"/>
      <c r="B174" s="193"/>
      <c r="C174" s="194"/>
      <c r="N174" s="152"/>
      <c r="Q174" s="195"/>
      <c r="S174" s="196"/>
      <c r="T174" s="196"/>
      <c r="U174" s="152"/>
      <c r="V174" s="152"/>
      <c r="W174" s="157"/>
    </row>
    <row r="175" ht="15.75" customHeight="1">
      <c r="A175" s="192"/>
      <c r="B175" s="193"/>
      <c r="C175" s="194"/>
      <c r="N175" s="152"/>
      <c r="Q175" s="195"/>
      <c r="S175" s="196"/>
      <c r="T175" s="196"/>
      <c r="U175" s="152"/>
      <c r="V175" s="152"/>
      <c r="W175" s="157"/>
    </row>
    <row r="176" ht="15.75" customHeight="1">
      <c r="A176" s="192"/>
      <c r="B176" s="193"/>
      <c r="C176" s="194"/>
      <c r="N176" s="152"/>
      <c r="Q176" s="195"/>
      <c r="S176" s="196"/>
      <c r="T176" s="196"/>
      <c r="U176" s="152"/>
      <c r="V176" s="152"/>
      <c r="W176" s="157"/>
    </row>
    <row r="177" ht="15.75" customHeight="1">
      <c r="A177" s="192"/>
      <c r="B177" s="193"/>
      <c r="C177" s="194"/>
      <c r="N177" s="152"/>
      <c r="Q177" s="195"/>
      <c r="S177" s="196"/>
      <c r="T177" s="196"/>
      <c r="U177" s="152"/>
      <c r="V177" s="152"/>
      <c r="W177" s="157"/>
    </row>
    <row r="178" ht="15.75" customHeight="1">
      <c r="A178" s="192"/>
      <c r="B178" s="193"/>
      <c r="C178" s="194"/>
      <c r="N178" s="152"/>
      <c r="Q178" s="195"/>
      <c r="S178" s="196"/>
      <c r="T178" s="196"/>
      <c r="U178" s="152"/>
      <c r="V178" s="152"/>
      <c r="W178" s="157"/>
    </row>
    <row r="179" ht="15.75" customHeight="1">
      <c r="A179" s="192"/>
      <c r="B179" s="193"/>
      <c r="C179" s="194"/>
      <c r="N179" s="152"/>
      <c r="Q179" s="195"/>
      <c r="S179" s="196"/>
      <c r="T179" s="196"/>
      <c r="U179" s="152"/>
      <c r="V179" s="152"/>
      <c r="W179" s="157"/>
    </row>
    <row r="180" ht="15.75" customHeight="1">
      <c r="A180" s="192"/>
      <c r="B180" s="193"/>
      <c r="C180" s="194"/>
      <c r="N180" s="152"/>
      <c r="Q180" s="195"/>
      <c r="S180" s="196"/>
      <c r="T180" s="196"/>
      <c r="U180" s="152"/>
      <c r="V180" s="152"/>
      <c r="W180" s="157"/>
    </row>
    <row r="181" ht="15.75" customHeight="1">
      <c r="A181" s="192"/>
      <c r="B181" s="193"/>
      <c r="C181" s="194"/>
      <c r="N181" s="152"/>
      <c r="Q181" s="195"/>
      <c r="S181" s="196"/>
      <c r="T181" s="196"/>
      <c r="U181" s="152"/>
      <c r="V181" s="152"/>
      <c r="W181" s="157"/>
    </row>
    <row r="182" ht="15.75" customHeight="1">
      <c r="A182" s="192"/>
      <c r="B182" s="193"/>
      <c r="C182" s="194"/>
      <c r="N182" s="152"/>
      <c r="Q182" s="195"/>
      <c r="S182" s="196"/>
      <c r="T182" s="196"/>
      <c r="U182" s="152"/>
      <c r="V182" s="152"/>
      <c r="W182" s="157"/>
    </row>
    <row r="183" ht="15.75" customHeight="1">
      <c r="A183" s="192"/>
      <c r="B183" s="193"/>
      <c r="C183" s="194"/>
      <c r="N183" s="152"/>
      <c r="Q183" s="195"/>
      <c r="S183" s="196"/>
      <c r="T183" s="196"/>
      <c r="U183" s="152"/>
      <c r="V183" s="152"/>
      <c r="W183" s="157"/>
    </row>
    <row r="184" ht="15.75" customHeight="1">
      <c r="A184" s="192"/>
      <c r="B184" s="193"/>
      <c r="C184" s="194"/>
      <c r="N184" s="152"/>
      <c r="Q184" s="195"/>
      <c r="S184" s="196"/>
      <c r="T184" s="196"/>
      <c r="U184" s="152"/>
      <c r="V184" s="152"/>
      <c r="W184" s="157"/>
    </row>
    <row r="185" ht="15.75" customHeight="1">
      <c r="A185" s="192"/>
      <c r="B185" s="193"/>
      <c r="C185" s="194"/>
      <c r="N185" s="152"/>
      <c r="Q185" s="195"/>
      <c r="S185" s="196"/>
      <c r="T185" s="196"/>
      <c r="U185" s="152"/>
      <c r="V185" s="152"/>
      <c r="W185" s="157"/>
    </row>
    <row r="186" ht="15.75" customHeight="1">
      <c r="A186" s="192"/>
      <c r="B186" s="193"/>
      <c r="C186" s="194"/>
      <c r="N186" s="152"/>
      <c r="Q186" s="195"/>
      <c r="S186" s="196"/>
      <c r="T186" s="196"/>
      <c r="U186" s="152"/>
      <c r="V186" s="152"/>
      <c r="W186" s="157"/>
    </row>
    <row r="187" ht="15.75" customHeight="1">
      <c r="A187" s="192"/>
      <c r="B187" s="193"/>
      <c r="C187" s="194"/>
      <c r="N187" s="152"/>
      <c r="Q187" s="195"/>
      <c r="S187" s="196"/>
      <c r="T187" s="196"/>
      <c r="U187" s="152"/>
      <c r="V187" s="152"/>
      <c r="W187" s="157"/>
    </row>
    <row r="188" ht="15.75" customHeight="1">
      <c r="A188" s="192"/>
      <c r="B188" s="193"/>
      <c r="C188" s="194"/>
      <c r="N188" s="152"/>
      <c r="Q188" s="195"/>
      <c r="S188" s="196"/>
      <c r="T188" s="196"/>
      <c r="U188" s="152"/>
      <c r="V188" s="152"/>
      <c r="W188" s="157"/>
    </row>
    <row r="189" ht="15.75" customHeight="1">
      <c r="A189" s="192"/>
      <c r="B189" s="193"/>
      <c r="C189" s="194"/>
      <c r="N189" s="152"/>
      <c r="Q189" s="195"/>
      <c r="S189" s="196"/>
      <c r="T189" s="196"/>
      <c r="U189" s="152"/>
      <c r="V189" s="152"/>
      <c r="W189" s="157"/>
    </row>
    <row r="190" ht="15.75" customHeight="1">
      <c r="A190" s="192"/>
      <c r="B190" s="193"/>
      <c r="C190" s="194"/>
      <c r="N190" s="152"/>
      <c r="Q190" s="195"/>
      <c r="S190" s="196"/>
      <c r="T190" s="196"/>
      <c r="U190" s="152"/>
      <c r="V190" s="152"/>
      <c r="W190" s="157"/>
    </row>
    <row r="191" ht="15.75" customHeight="1">
      <c r="A191" s="192"/>
      <c r="B191" s="193"/>
      <c r="C191" s="194"/>
      <c r="N191" s="152"/>
      <c r="Q191" s="195"/>
      <c r="S191" s="196"/>
      <c r="T191" s="196"/>
      <c r="U191" s="152"/>
      <c r="V191" s="152"/>
      <c r="W191" s="157"/>
    </row>
    <row r="192" ht="15.75" customHeight="1">
      <c r="A192" s="192"/>
      <c r="B192" s="193"/>
      <c r="C192" s="194"/>
      <c r="N192" s="152"/>
      <c r="Q192" s="195"/>
      <c r="S192" s="196"/>
      <c r="T192" s="196"/>
      <c r="U192" s="152"/>
      <c r="V192" s="152"/>
      <c r="W192" s="157"/>
    </row>
    <row r="193" ht="15.75" customHeight="1">
      <c r="A193" s="192"/>
      <c r="B193" s="193"/>
      <c r="C193" s="194"/>
      <c r="N193" s="152"/>
      <c r="Q193" s="195"/>
      <c r="S193" s="196"/>
      <c r="T193" s="196"/>
      <c r="U193" s="152"/>
      <c r="V193" s="152"/>
      <c r="W193" s="157"/>
    </row>
    <row r="194" ht="15.75" customHeight="1">
      <c r="A194" s="192"/>
      <c r="B194" s="193"/>
      <c r="C194" s="194"/>
      <c r="N194" s="152"/>
      <c r="Q194" s="195"/>
      <c r="S194" s="196"/>
      <c r="T194" s="196"/>
      <c r="U194" s="152"/>
      <c r="V194" s="152"/>
      <c r="W194" s="157"/>
    </row>
    <row r="195" ht="15.75" customHeight="1">
      <c r="A195" s="192"/>
      <c r="B195" s="193"/>
      <c r="C195" s="194"/>
      <c r="N195" s="152"/>
      <c r="Q195" s="195"/>
      <c r="S195" s="196"/>
      <c r="T195" s="196"/>
      <c r="U195" s="152"/>
      <c r="V195" s="152"/>
      <c r="W195" s="157"/>
    </row>
    <row r="196" ht="15.75" customHeight="1">
      <c r="A196" s="192"/>
      <c r="B196" s="193"/>
      <c r="C196" s="194"/>
      <c r="N196" s="152"/>
      <c r="Q196" s="195"/>
      <c r="S196" s="196"/>
      <c r="T196" s="196"/>
      <c r="U196" s="152"/>
      <c r="V196" s="152"/>
      <c r="W196" s="157"/>
    </row>
    <row r="197" ht="15.75" customHeight="1">
      <c r="A197" s="192"/>
      <c r="B197" s="193"/>
      <c r="C197" s="194"/>
      <c r="N197" s="152"/>
      <c r="Q197" s="195"/>
      <c r="S197" s="196"/>
      <c r="T197" s="196"/>
      <c r="U197" s="152"/>
      <c r="V197" s="152"/>
      <c r="W197" s="157"/>
    </row>
    <row r="198" ht="15.75" customHeight="1">
      <c r="A198" s="192"/>
      <c r="B198" s="193"/>
      <c r="C198" s="194"/>
      <c r="N198" s="152"/>
      <c r="Q198" s="195"/>
      <c r="S198" s="196"/>
      <c r="T198" s="196"/>
      <c r="U198" s="152"/>
      <c r="V198" s="152"/>
      <c r="W198" s="157"/>
    </row>
    <row r="199" ht="15.75" customHeight="1">
      <c r="A199" s="192"/>
      <c r="B199" s="193"/>
      <c r="C199" s="194"/>
      <c r="N199" s="152"/>
      <c r="Q199" s="195"/>
      <c r="S199" s="196"/>
      <c r="T199" s="196"/>
      <c r="U199" s="152"/>
      <c r="V199" s="152"/>
      <c r="W199" s="157"/>
    </row>
    <row r="200" ht="15.75" customHeight="1">
      <c r="A200" s="192"/>
      <c r="B200" s="193"/>
      <c r="C200" s="194"/>
      <c r="N200" s="152"/>
      <c r="Q200" s="195"/>
      <c r="S200" s="196"/>
      <c r="T200" s="196"/>
      <c r="U200" s="152"/>
      <c r="V200" s="152"/>
      <c r="W200" s="157"/>
    </row>
    <row r="201" ht="15.75" customHeight="1">
      <c r="A201" s="192"/>
      <c r="B201" s="193"/>
      <c r="C201" s="194"/>
      <c r="N201" s="152"/>
      <c r="Q201" s="195"/>
      <c r="S201" s="196"/>
      <c r="T201" s="196"/>
      <c r="U201" s="152"/>
      <c r="V201" s="152"/>
      <c r="W201" s="157"/>
    </row>
    <row r="202" ht="15.75" customHeight="1">
      <c r="A202" s="192"/>
      <c r="B202" s="193"/>
      <c r="C202" s="194"/>
      <c r="N202" s="152"/>
      <c r="Q202" s="195"/>
      <c r="S202" s="196"/>
      <c r="T202" s="196"/>
      <c r="U202" s="152"/>
      <c r="V202" s="152"/>
      <c r="W202" s="157"/>
    </row>
    <row r="203" ht="15.75" customHeight="1">
      <c r="A203" s="192"/>
      <c r="B203" s="193"/>
      <c r="C203" s="194"/>
      <c r="N203" s="152"/>
      <c r="Q203" s="195"/>
      <c r="S203" s="196"/>
      <c r="T203" s="196"/>
      <c r="U203" s="152"/>
      <c r="V203" s="152"/>
      <c r="W203" s="157"/>
    </row>
    <row r="204" ht="15.75" customHeight="1">
      <c r="A204" s="192"/>
      <c r="B204" s="193"/>
      <c r="C204" s="194"/>
      <c r="N204" s="152"/>
      <c r="Q204" s="195"/>
      <c r="S204" s="196"/>
      <c r="T204" s="196"/>
      <c r="U204" s="152"/>
      <c r="V204" s="152"/>
      <c r="W204" s="157"/>
    </row>
    <row r="205" ht="15.75" customHeight="1">
      <c r="A205" s="192"/>
      <c r="B205" s="193"/>
      <c r="C205" s="194"/>
      <c r="N205" s="152"/>
      <c r="Q205" s="195"/>
      <c r="S205" s="196"/>
      <c r="T205" s="196"/>
      <c r="U205" s="152"/>
      <c r="V205" s="152"/>
      <c r="W205" s="157"/>
    </row>
    <row r="206" ht="15.75" customHeight="1">
      <c r="A206" s="192"/>
      <c r="B206" s="193"/>
      <c r="C206" s="194"/>
      <c r="N206" s="152"/>
      <c r="Q206" s="195"/>
      <c r="S206" s="196"/>
      <c r="T206" s="196"/>
      <c r="U206" s="152"/>
      <c r="V206" s="152"/>
      <c r="W206" s="157"/>
    </row>
    <row r="207" ht="15.75" customHeight="1">
      <c r="A207" s="192"/>
      <c r="B207" s="193"/>
      <c r="C207" s="194"/>
      <c r="N207" s="152"/>
      <c r="Q207" s="195"/>
      <c r="S207" s="196"/>
      <c r="T207" s="196"/>
      <c r="U207" s="152"/>
      <c r="V207" s="152"/>
      <c r="W207" s="157"/>
    </row>
    <row r="208" ht="15.75" customHeight="1">
      <c r="A208" s="192"/>
      <c r="B208" s="193"/>
      <c r="C208" s="194"/>
      <c r="N208" s="152"/>
      <c r="Q208" s="195"/>
      <c r="S208" s="196"/>
      <c r="T208" s="196"/>
      <c r="U208" s="152"/>
      <c r="V208" s="152"/>
      <c r="W208" s="157"/>
    </row>
    <row r="209" ht="15.75" customHeight="1">
      <c r="A209" s="192"/>
      <c r="B209" s="193"/>
      <c r="C209" s="194"/>
      <c r="N209" s="152"/>
      <c r="Q209" s="195"/>
      <c r="S209" s="196"/>
      <c r="T209" s="196"/>
      <c r="U209" s="152"/>
      <c r="V209" s="152"/>
      <c r="W209" s="157"/>
    </row>
    <row r="210" ht="15.75" customHeight="1">
      <c r="A210" s="192"/>
      <c r="B210" s="193"/>
      <c r="C210" s="194"/>
      <c r="N210" s="152"/>
      <c r="Q210" s="195"/>
      <c r="S210" s="196"/>
      <c r="T210" s="196"/>
      <c r="U210" s="152"/>
      <c r="V210" s="152"/>
      <c r="W210" s="157"/>
    </row>
    <row r="211" ht="15.75" customHeight="1">
      <c r="A211" s="192"/>
      <c r="B211" s="193"/>
      <c r="C211" s="194"/>
      <c r="N211" s="152"/>
      <c r="Q211" s="195"/>
      <c r="S211" s="196"/>
      <c r="T211" s="196"/>
      <c r="U211" s="152"/>
      <c r="V211" s="152"/>
      <c r="W211" s="157"/>
    </row>
    <row r="212" ht="15.75" customHeight="1">
      <c r="A212" s="192"/>
      <c r="B212" s="193"/>
      <c r="C212" s="194"/>
      <c r="N212" s="152"/>
      <c r="Q212" s="195"/>
      <c r="S212" s="196"/>
      <c r="T212" s="196"/>
      <c r="U212" s="152"/>
      <c r="V212" s="152"/>
      <c r="W212" s="157"/>
    </row>
    <row r="213" ht="15.75" customHeight="1">
      <c r="A213" s="192"/>
      <c r="B213" s="193"/>
      <c r="C213" s="194"/>
      <c r="N213" s="152"/>
      <c r="Q213" s="195"/>
      <c r="S213" s="196"/>
      <c r="T213" s="196"/>
      <c r="U213" s="152"/>
      <c r="V213" s="152"/>
      <c r="W213" s="157"/>
    </row>
    <row r="214" ht="15.75" customHeight="1">
      <c r="A214" s="192"/>
      <c r="B214" s="193"/>
      <c r="C214" s="194"/>
      <c r="N214" s="152"/>
      <c r="Q214" s="195"/>
      <c r="S214" s="196"/>
      <c r="T214" s="196"/>
      <c r="U214" s="152"/>
      <c r="V214" s="152"/>
      <c r="W214" s="157"/>
    </row>
    <row r="215" ht="15.75" customHeight="1">
      <c r="A215" s="192"/>
      <c r="B215" s="193"/>
      <c r="C215" s="194"/>
      <c r="N215" s="152"/>
      <c r="Q215" s="195"/>
      <c r="S215" s="196"/>
      <c r="T215" s="196"/>
      <c r="U215" s="152"/>
      <c r="V215" s="152"/>
      <c r="W215" s="157"/>
    </row>
    <row r="216" ht="15.75" customHeight="1">
      <c r="A216" s="192"/>
      <c r="B216" s="193"/>
      <c r="C216" s="194"/>
      <c r="N216" s="152"/>
      <c r="Q216" s="195"/>
      <c r="S216" s="196"/>
      <c r="T216" s="196"/>
      <c r="U216" s="152"/>
      <c r="V216" s="152"/>
      <c r="W216" s="157"/>
    </row>
    <row r="217" ht="15.75" customHeight="1">
      <c r="A217" s="192"/>
      <c r="B217" s="193"/>
      <c r="C217" s="194"/>
      <c r="N217" s="152"/>
      <c r="Q217" s="195"/>
      <c r="S217" s="196"/>
      <c r="T217" s="196"/>
      <c r="U217" s="152"/>
      <c r="V217" s="152"/>
      <c r="W217" s="157"/>
    </row>
    <row r="218" ht="15.75" customHeight="1">
      <c r="A218" s="192"/>
      <c r="B218" s="193"/>
      <c r="C218" s="194"/>
      <c r="N218" s="152"/>
      <c r="Q218" s="195"/>
      <c r="S218" s="196"/>
      <c r="T218" s="196"/>
      <c r="U218" s="152"/>
      <c r="V218" s="152"/>
      <c r="W218" s="157"/>
    </row>
    <row r="219" ht="15.75" customHeight="1">
      <c r="A219" s="192"/>
      <c r="B219" s="193"/>
      <c r="C219" s="194"/>
      <c r="N219" s="152"/>
      <c r="Q219" s="195"/>
      <c r="S219" s="196"/>
      <c r="T219" s="196"/>
      <c r="U219" s="152"/>
      <c r="V219" s="152"/>
      <c r="W219" s="157"/>
    </row>
    <row r="220" ht="15.75" customHeight="1">
      <c r="A220" s="192"/>
      <c r="B220" s="193"/>
      <c r="C220" s="194"/>
      <c r="N220" s="152"/>
      <c r="Q220" s="195"/>
      <c r="S220" s="196"/>
      <c r="T220" s="196"/>
      <c r="U220" s="152"/>
      <c r="V220" s="152"/>
      <c r="W220" s="157"/>
    </row>
    <row r="221" ht="15.75" customHeight="1">
      <c r="A221" s="167"/>
      <c r="B221" s="199"/>
      <c r="N221" s="152"/>
      <c r="Q221" s="195"/>
      <c r="S221" s="200"/>
      <c r="T221" s="200"/>
      <c r="U221" s="152"/>
      <c r="V221" s="152"/>
      <c r="W221" s="157"/>
    </row>
    <row r="222" ht="15.75" customHeight="1">
      <c r="A222" s="167"/>
      <c r="B222" s="199"/>
      <c r="N222" s="152"/>
      <c r="Q222" s="195"/>
      <c r="S222" s="200"/>
      <c r="T222" s="200"/>
      <c r="U222" s="152"/>
      <c r="V222" s="152"/>
      <c r="W222" s="157"/>
    </row>
    <row r="223" ht="15.75" customHeight="1">
      <c r="A223" s="167"/>
      <c r="B223" s="199"/>
      <c r="N223" s="152"/>
      <c r="Q223" s="195"/>
      <c r="S223" s="200"/>
      <c r="T223" s="200"/>
      <c r="U223" s="152"/>
      <c r="V223" s="152"/>
      <c r="W223" s="157"/>
    </row>
    <row r="224" ht="15.75" customHeight="1">
      <c r="A224" s="167"/>
      <c r="B224" s="199"/>
      <c r="N224" s="152"/>
      <c r="Q224" s="195"/>
      <c r="S224" s="200"/>
      <c r="T224" s="200"/>
      <c r="U224" s="152"/>
      <c r="V224" s="152"/>
      <c r="W224" s="157"/>
    </row>
    <row r="225" ht="15.75" customHeight="1">
      <c r="A225" s="167"/>
      <c r="B225" s="199"/>
      <c r="N225" s="152"/>
      <c r="Q225" s="195"/>
      <c r="S225" s="200"/>
      <c r="T225" s="200"/>
      <c r="U225" s="152"/>
      <c r="V225" s="152"/>
      <c r="W225" s="157"/>
    </row>
    <row r="226" ht="15.75" customHeight="1">
      <c r="A226" s="167"/>
      <c r="B226" s="199"/>
      <c r="N226" s="152"/>
      <c r="Q226" s="195"/>
      <c r="S226" s="200"/>
      <c r="T226" s="200"/>
      <c r="U226" s="152"/>
      <c r="V226" s="152"/>
      <c r="W226" s="157"/>
    </row>
    <row r="227" ht="15.75" customHeight="1">
      <c r="A227" s="167"/>
      <c r="B227" s="199"/>
      <c r="N227" s="152"/>
      <c r="Q227" s="195"/>
      <c r="S227" s="200"/>
      <c r="T227" s="200"/>
      <c r="U227" s="152"/>
      <c r="V227" s="152"/>
      <c r="W227" s="157"/>
    </row>
    <row r="228" ht="15.75" customHeight="1">
      <c r="A228" s="167"/>
      <c r="B228" s="199"/>
      <c r="N228" s="152"/>
      <c r="Q228" s="195"/>
      <c r="S228" s="200"/>
      <c r="T228" s="200"/>
      <c r="U228" s="152"/>
      <c r="V228" s="152"/>
      <c r="W228" s="157"/>
    </row>
    <row r="229" ht="15.75" customHeight="1">
      <c r="A229" s="167"/>
      <c r="B229" s="199"/>
      <c r="N229" s="152"/>
      <c r="Q229" s="195"/>
      <c r="S229" s="200"/>
      <c r="T229" s="200"/>
      <c r="U229" s="152"/>
      <c r="V229" s="152"/>
      <c r="W229" s="157"/>
    </row>
    <row r="230" ht="15.75" customHeight="1">
      <c r="A230" s="167"/>
      <c r="B230" s="199"/>
      <c r="N230" s="152"/>
      <c r="Q230" s="195"/>
      <c r="S230" s="200"/>
      <c r="T230" s="200"/>
      <c r="U230" s="152"/>
      <c r="V230" s="152"/>
      <c r="W230" s="157"/>
    </row>
    <row r="231" ht="15.75" customHeight="1">
      <c r="A231" s="167"/>
      <c r="B231" s="199"/>
      <c r="N231" s="152"/>
      <c r="Q231" s="195"/>
      <c r="S231" s="200"/>
      <c r="T231" s="200"/>
      <c r="U231" s="152"/>
      <c r="V231" s="152"/>
      <c r="W231" s="157"/>
    </row>
    <row r="232" ht="15.75" customHeight="1">
      <c r="A232" s="167"/>
      <c r="B232" s="199"/>
      <c r="N232" s="152"/>
      <c r="Q232" s="195"/>
      <c r="S232" s="200"/>
      <c r="T232" s="200"/>
      <c r="U232" s="152"/>
      <c r="V232" s="152"/>
      <c r="W232" s="157"/>
    </row>
    <row r="233" ht="15.75" customHeight="1">
      <c r="A233" s="167"/>
      <c r="B233" s="199"/>
      <c r="N233" s="152"/>
      <c r="Q233" s="195"/>
      <c r="S233" s="200"/>
      <c r="T233" s="200"/>
      <c r="U233" s="152"/>
      <c r="V233" s="152"/>
      <c r="W233" s="157"/>
    </row>
    <row r="234" ht="15.75" customHeight="1">
      <c r="A234" s="167"/>
      <c r="B234" s="199"/>
      <c r="N234" s="152"/>
      <c r="Q234" s="195"/>
      <c r="S234" s="200"/>
      <c r="T234" s="200"/>
      <c r="U234" s="152"/>
      <c r="V234" s="152"/>
      <c r="W234" s="157"/>
    </row>
    <row r="235" ht="15.75" customHeight="1">
      <c r="A235" s="167"/>
      <c r="B235" s="199"/>
      <c r="N235" s="152"/>
      <c r="Q235" s="195"/>
      <c r="S235" s="200"/>
      <c r="T235" s="200"/>
      <c r="U235" s="152"/>
      <c r="V235" s="152"/>
      <c r="W235" s="157"/>
    </row>
    <row r="236" ht="15.75" customHeight="1">
      <c r="A236" s="167"/>
      <c r="B236" s="199"/>
      <c r="N236" s="152"/>
      <c r="Q236" s="195"/>
      <c r="S236" s="200"/>
      <c r="T236" s="200"/>
      <c r="U236" s="152"/>
      <c r="V236" s="152"/>
      <c r="W236" s="157"/>
    </row>
    <row r="237" ht="15.75" customHeight="1">
      <c r="A237" s="167"/>
      <c r="B237" s="199"/>
      <c r="N237" s="152"/>
      <c r="Q237" s="195"/>
      <c r="S237" s="200"/>
      <c r="T237" s="200"/>
      <c r="U237" s="152"/>
      <c r="V237" s="152"/>
      <c r="W237" s="157"/>
    </row>
    <row r="238" ht="15.75" customHeight="1">
      <c r="A238" s="167"/>
      <c r="B238" s="199"/>
      <c r="N238" s="152"/>
      <c r="Q238" s="195"/>
      <c r="S238" s="200"/>
      <c r="T238" s="200"/>
      <c r="U238" s="152"/>
      <c r="V238" s="152"/>
      <c r="W238" s="157"/>
    </row>
    <row r="239" ht="15.75" customHeight="1">
      <c r="A239" s="167"/>
      <c r="B239" s="199"/>
      <c r="N239" s="152"/>
      <c r="Q239" s="195"/>
      <c r="S239" s="200"/>
      <c r="T239" s="200"/>
      <c r="U239" s="152"/>
      <c r="V239" s="152"/>
      <c r="W239" s="157"/>
    </row>
    <row r="240" ht="15.75" customHeight="1">
      <c r="A240" s="167"/>
      <c r="B240" s="199"/>
      <c r="N240" s="152"/>
      <c r="Q240" s="195"/>
      <c r="S240" s="200"/>
      <c r="T240" s="200"/>
      <c r="U240" s="152"/>
      <c r="V240" s="152"/>
      <c r="W240" s="157"/>
    </row>
    <row r="241" ht="15.75" customHeight="1">
      <c r="A241" s="167"/>
      <c r="B241" s="199"/>
      <c r="N241" s="152"/>
      <c r="Q241" s="195"/>
      <c r="S241" s="200"/>
      <c r="T241" s="200"/>
      <c r="U241" s="152"/>
      <c r="V241" s="152"/>
      <c r="W241" s="157"/>
    </row>
    <row r="242" ht="15.75" customHeight="1">
      <c r="A242" s="167"/>
      <c r="B242" s="199"/>
      <c r="N242" s="152"/>
      <c r="Q242" s="195"/>
      <c r="S242" s="200"/>
      <c r="T242" s="200"/>
      <c r="U242" s="152"/>
      <c r="V242" s="152"/>
      <c r="W242" s="157"/>
    </row>
    <row r="243" ht="15.75" customHeight="1">
      <c r="A243" s="167"/>
      <c r="B243" s="199"/>
      <c r="N243" s="152"/>
      <c r="Q243" s="195"/>
      <c r="S243" s="200"/>
      <c r="T243" s="200"/>
      <c r="U243" s="152"/>
      <c r="V243" s="152"/>
      <c r="W243" s="157"/>
    </row>
    <row r="244" ht="15.75" customHeight="1">
      <c r="A244" s="167"/>
      <c r="B244" s="199"/>
      <c r="N244" s="152"/>
      <c r="Q244" s="195"/>
      <c r="S244" s="200"/>
      <c r="T244" s="200"/>
      <c r="U244" s="152"/>
      <c r="V244" s="152"/>
      <c r="W244" s="157"/>
    </row>
    <row r="245" ht="15.75" customHeight="1">
      <c r="A245" s="167"/>
      <c r="B245" s="199"/>
      <c r="N245" s="152"/>
      <c r="Q245" s="195"/>
      <c r="S245" s="200"/>
      <c r="T245" s="200"/>
      <c r="U245" s="152"/>
      <c r="V245" s="152"/>
      <c r="W245" s="157"/>
    </row>
    <row r="246" ht="15.75" customHeight="1">
      <c r="A246" s="167"/>
      <c r="B246" s="199"/>
      <c r="N246" s="152"/>
      <c r="Q246" s="195"/>
      <c r="S246" s="200"/>
      <c r="T246" s="200"/>
      <c r="U246" s="152"/>
      <c r="V246" s="152"/>
      <c r="W246" s="157"/>
    </row>
    <row r="247" ht="15.75" customHeight="1">
      <c r="A247" s="167"/>
      <c r="B247" s="199"/>
      <c r="N247" s="152"/>
      <c r="Q247" s="195"/>
      <c r="S247" s="200"/>
      <c r="T247" s="200"/>
      <c r="U247" s="152"/>
      <c r="V247" s="152"/>
      <c r="W247" s="157"/>
    </row>
    <row r="248" ht="15.75" customHeight="1">
      <c r="A248" s="167"/>
      <c r="B248" s="199"/>
      <c r="N248" s="152"/>
      <c r="Q248" s="195"/>
      <c r="S248" s="200"/>
      <c r="T248" s="200"/>
      <c r="U248" s="152"/>
      <c r="V248" s="152"/>
      <c r="W248" s="157"/>
    </row>
    <row r="249" ht="15.75" customHeight="1">
      <c r="A249" s="167"/>
      <c r="B249" s="199"/>
      <c r="N249" s="152"/>
      <c r="Q249" s="195"/>
      <c r="S249" s="200"/>
      <c r="T249" s="200"/>
      <c r="U249" s="152"/>
      <c r="V249" s="152"/>
      <c r="W249" s="157"/>
    </row>
    <row r="250" ht="15.75" customHeight="1">
      <c r="A250" s="167"/>
      <c r="B250" s="199"/>
      <c r="N250" s="152"/>
      <c r="Q250" s="195"/>
      <c r="S250" s="200"/>
      <c r="T250" s="200"/>
      <c r="U250" s="152"/>
      <c r="V250" s="152"/>
      <c r="W250" s="157"/>
    </row>
    <row r="251" ht="15.75" customHeight="1">
      <c r="A251" s="167"/>
      <c r="B251" s="199"/>
      <c r="N251" s="152"/>
      <c r="Q251" s="195"/>
      <c r="S251" s="200"/>
      <c r="T251" s="200"/>
      <c r="U251" s="152"/>
      <c r="V251" s="152"/>
      <c r="W251" s="157"/>
    </row>
    <row r="252" ht="15.75" customHeight="1">
      <c r="A252" s="167"/>
      <c r="B252" s="199"/>
      <c r="N252" s="152"/>
      <c r="Q252" s="195"/>
      <c r="S252" s="200"/>
      <c r="T252" s="200"/>
      <c r="U252" s="152"/>
      <c r="V252" s="152"/>
      <c r="W252" s="157"/>
    </row>
    <row r="253" ht="15.75" customHeight="1">
      <c r="A253" s="167"/>
      <c r="B253" s="199"/>
      <c r="N253" s="152"/>
      <c r="Q253" s="195"/>
      <c r="S253" s="200"/>
      <c r="T253" s="200"/>
      <c r="U253" s="152"/>
      <c r="V253" s="152"/>
      <c r="W253" s="157"/>
    </row>
    <row r="254" ht="15.75" customHeight="1">
      <c r="A254" s="167"/>
      <c r="B254" s="199"/>
      <c r="N254" s="152"/>
      <c r="Q254" s="195"/>
      <c r="S254" s="200"/>
      <c r="T254" s="200"/>
      <c r="U254" s="152"/>
      <c r="V254" s="152"/>
      <c r="W254" s="157"/>
    </row>
    <row r="255" ht="15.75" customHeight="1">
      <c r="A255" s="167"/>
      <c r="B255" s="199"/>
      <c r="N255" s="152"/>
      <c r="Q255" s="195"/>
      <c r="S255" s="200"/>
      <c r="T255" s="200"/>
      <c r="U255" s="152"/>
      <c r="V255" s="152"/>
      <c r="W255" s="157"/>
    </row>
    <row r="256" ht="15.75" customHeight="1">
      <c r="A256" s="167"/>
      <c r="B256" s="199"/>
      <c r="N256" s="152"/>
      <c r="Q256" s="195"/>
      <c r="S256" s="200"/>
      <c r="T256" s="200"/>
      <c r="U256" s="152"/>
      <c r="V256" s="152"/>
      <c r="W256" s="157"/>
    </row>
    <row r="257" ht="15.75" customHeight="1">
      <c r="A257" s="167"/>
      <c r="B257" s="199"/>
      <c r="N257" s="152"/>
      <c r="Q257" s="195"/>
      <c r="S257" s="200"/>
      <c r="T257" s="200"/>
      <c r="U257" s="152"/>
      <c r="V257" s="152"/>
      <c r="W257" s="157"/>
    </row>
    <row r="258" ht="15.75" customHeight="1">
      <c r="A258" s="167"/>
      <c r="B258" s="199"/>
      <c r="N258" s="152"/>
      <c r="Q258" s="195"/>
      <c r="S258" s="200"/>
      <c r="T258" s="200"/>
      <c r="U258" s="152"/>
      <c r="V258" s="152"/>
      <c r="W258" s="157"/>
    </row>
    <row r="259" ht="15.75" customHeight="1">
      <c r="A259" s="167"/>
      <c r="B259" s="199"/>
      <c r="N259" s="152"/>
      <c r="Q259" s="195"/>
      <c r="S259" s="200"/>
      <c r="T259" s="200"/>
      <c r="U259" s="152"/>
      <c r="V259" s="152"/>
      <c r="W259" s="157"/>
    </row>
    <row r="260" ht="15.75" customHeight="1">
      <c r="A260" s="167"/>
      <c r="B260" s="199"/>
      <c r="N260" s="152"/>
      <c r="Q260" s="195"/>
      <c r="S260" s="200"/>
      <c r="T260" s="200"/>
      <c r="U260" s="152"/>
      <c r="V260" s="152"/>
      <c r="W260" s="157"/>
    </row>
    <row r="261" ht="15.75" customHeight="1">
      <c r="A261" s="167"/>
      <c r="B261" s="199"/>
      <c r="N261" s="152"/>
      <c r="Q261" s="195"/>
      <c r="S261" s="200"/>
      <c r="T261" s="200"/>
      <c r="U261" s="152"/>
      <c r="V261" s="152"/>
      <c r="W261" s="157"/>
    </row>
    <row r="262" ht="15.75" customHeight="1">
      <c r="A262" s="167"/>
      <c r="B262" s="199"/>
      <c r="N262" s="152"/>
      <c r="Q262" s="195"/>
      <c r="S262" s="200"/>
      <c r="T262" s="200"/>
      <c r="U262" s="152"/>
      <c r="V262" s="152"/>
      <c r="W262" s="157"/>
    </row>
    <row r="263" ht="15.75" customHeight="1">
      <c r="A263" s="167"/>
      <c r="B263" s="199"/>
      <c r="N263" s="152"/>
      <c r="Q263" s="195"/>
      <c r="S263" s="200"/>
      <c r="T263" s="200"/>
      <c r="U263" s="152"/>
      <c r="V263" s="152"/>
      <c r="W263" s="157"/>
    </row>
    <row r="264" ht="15.75" customHeight="1">
      <c r="A264" s="167"/>
      <c r="B264" s="199"/>
      <c r="N264" s="152"/>
      <c r="Q264" s="195"/>
      <c r="S264" s="200"/>
      <c r="T264" s="200"/>
      <c r="U264" s="152"/>
      <c r="V264" s="152"/>
      <c r="W264" s="157"/>
    </row>
    <row r="265" ht="15.75" customHeight="1">
      <c r="A265" s="167"/>
      <c r="B265" s="199"/>
      <c r="N265" s="152"/>
      <c r="Q265" s="195"/>
      <c r="S265" s="200"/>
      <c r="T265" s="200"/>
      <c r="U265" s="152"/>
      <c r="V265" s="152"/>
      <c r="W265" s="157"/>
    </row>
    <row r="266" ht="15.75" customHeight="1">
      <c r="A266" s="167"/>
      <c r="B266" s="199"/>
      <c r="N266" s="152"/>
      <c r="Q266" s="195"/>
      <c r="S266" s="200"/>
      <c r="T266" s="200"/>
      <c r="U266" s="152"/>
      <c r="V266" s="152"/>
      <c r="W266" s="157"/>
    </row>
    <row r="267" ht="15.75" customHeight="1">
      <c r="A267" s="167"/>
      <c r="B267" s="199"/>
      <c r="N267" s="152"/>
      <c r="Q267" s="195"/>
      <c r="S267" s="200"/>
      <c r="T267" s="200"/>
      <c r="U267" s="152"/>
      <c r="V267" s="152"/>
      <c r="W267" s="157"/>
    </row>
    <row r="268" ht="15.75" customHeight="1">
      <c r="A268" s="167"/>
      <c r="B268" s="199"/>
      <c r="N268" s="152"/>
      <c r="Q268" s="195"/>
      <c r="S268" s="200"/>
      <c r="T268" s="200"/>
      <c r="U268" s="152"/>
      <c r="V268" s="152"/>
      <c r="W268" s="157"/>
    </row>
    <row r="269" ht="15.75" customHeight="1">
      <c r="A269" s="167"/>
      <c r="B269" s="199"/>
      <c r="N269" s="152"/>
      <c r="Q269" s="195"/>
      <c r="S269" s="200"/>
      <c r="T269" s="200"/>
      <c r="U269" s="152"/>
      <c r="V269" s="152"/>
      <c r="W269" s="157"/>
    </row>
    <row r="270" ht="15.75" customHeight="1">
      <c r="A270" s="167"/>
      <c r="B270" s="199"/>
      <c r="N270" s="152"/>
      <c r="Q270" s="195"/>
      <c r="S270" s="200"/>
      <c r="T270" s="200"/>
      <c r="U270" s="152"/>
      <c r="V270" s="152"/>
      <c r="W270" s="157"/>
    </row>
    <row r="271" ht="15.75" customHeight="1">
      <c r="A271" s="167"/>
      <c r="B271" s="199"/>
      <c r="N271" s="152"/>
      <c r="Q271" s="195"/>
      <c r="S271" s="200"/>
      <c r="T271" s="200"/>
      <c r="U271" s="152"/>
      <c r="V271" s="152"/>
      <c r="W271" s="157"/>
    </row>
    <row r="272" ht="15.75" customHeight="1">
      <c r="A272" s="167"/>
      <c r="B272" s="199"/>
      <c r="N272" s="152"/>
      <c r="Q272" s="195"/>
      <c r="S272" s="200"/>
      <c r="T272" s="200"/>
      <c r="U272" s="152"/>
      <c r="V272" s="152"/>
      <c r="W272" s="157"/>
    </row>
    <row r="273" ht="15.75" customHeight="1">
      <c r="A273" s="167"/>
      <c r="B273" s="199"/>
      <c r="N273" s="152"/>
      <c r="Q273" s="195"/>
      <c r="S273" s="200"/>
      <c r="T273" s="200"/>
      <c r="U273" s="152"/>
      <c r="V273" s="152"/>
      <c r="W273" s="157"/>
    </row>
    <row r="274" ht="15.75" customHeight="1">
      <c r="A274" s="167"/>
      <c r="B274" s="199"/>
      <c r="N274" s="152"/>
      <c r="Q274" s="195"/>
      <c r="S274" s="200"/>
      <c r="T274" s="200"/>
      <c r="U274" s="152"/>
      <c r="V274" s="152"/>
      <c r="W274" s="157"/>
    </row>
    <row r="275" ht="15.75" customHeight="1">
      <c r="A275" s="167"/>
      <c r="B275" s="199"/>
      <c r="N275" s="152"/>
      <c r="Q275" s="195"/>
      <c r="S275" s="200"/>
      <c r="T275" s="200"/>
      <c r="U275" s="152"/>
      <c r="V275" s="152"/>
      <c r="W275" s="157"/>
    </row>
    <row r="276" ht="15.75" customHeight="1">
      <c r="A276" s="167"/>
      <c r="B276" s="199"/>
      <c r="N276" s="152"/>
      <c r="Q276" s="195"/>
      <c r="S276" s="200"/>
      <c r="T276" s="200"/>
      <c r="U276" s="152"/>
      <c r="V276" s="152"/>
      <c r="W276" s="157"/>
    </row>
    <row r="277" ht="15.75" customHeight="1">
      <c r="A277" s="167"/>
      <c r="B277" s="199"/>
      <c r="N277" s="152"/>
      <c r="Q277" s="195"/>
      <c r="S277" s="200"/>
      <c r="T277" s="200"/>
      <c r="U277" s="152"/>
      <c r="V277" s="152"/>
      <c r="W277" s="157"/>
    </row>
    <row r="278" ht="15.75" customHeight="1">
      <c r="A278" s="167"/>
      <c r="B278" s="199"/>
      <c r="N278" s="152"/>
      <c r="Q278" s="195"/>
      <c r="S278" s="200"/>
      <c r="T278" s="200"/>
      <c r="U278" s="152"/>
      <c r="V278" s="152"/>
      <c r="W278" s="157"/>
    </row>
    <row r="279" ht="15.75" customHeight="1">
      <c r="A279" s="167"/>
      <c r="B279" s="199"/>
      <c r="N279" s="152"/>
      <c r="Q279" s="195"/>
      <c r="S279" s="200"/>
      <c r="T279" s="200"/>
      <c r="U279" s="152"/>
      <c r="V279" s="152"/>
      <c r="W279" s="157"/>
    </row>
    <row r="280" ht="15.75" customHeight="1">
      <c r="A280" s="167"/>
      <c r="B280" s="199"/>
      <c r="N280" s="152"/>
      <c r="Q280" s="195"/>
      <c r="S280" s="200"/>
      <c r="T280" s="200"/>
      <c r="U280" s="152"/>
      <c r="V280" s="152"/>
      <c r="W280" s="157"/>
    </row>
    <row r="281" ht="15.75" customHeight="1">
      <c r="A281" s="167"/>
      <c r="B281" s="199"/>
      <c r="N281" s="152"/>
      <c r="Q281" s="195"/>
      <c r="S281" s="200"/>
      <c r="T281" s="200"/>
      <c r="U281" s="152"/>
      <c r="V281" s="152"/>
      <c r="W281" s="157"/>
    </row>
    <row r="282" ht="15.75" customHeight="1">
      <c r="A282" s="167"/>
      <c r="B282" s="199"/>
      <c r="N282" s="152"/>
      <c r="Q282" s="195"/>
      <c r="S282" s="200"/>
      <c r="T282" s="200"/>
      <c r="U282" s="152"/>
      <c r="V282" s="152"/>
      <c r="W282" s="157"/>
    </row>
    <row r="283" ht="15.75" customHeight="1">
      <c r="A283" s="167"/>
      <c r="B283" s="199"/>
      <c r="N283" s="152"/>
      <c r="Q283" s="195"/>
      <c r="S283" s="200"/>
      <c r="T283" s="200"/>
      <c r="U283" s="152"/>
      <c r="V283" s="152"/>
      <c r="W283" s="157"/>
    </row>
    <row r="284" ht="15.75" customHeight="1">
      <c r="A284" s="167"/>
      <c r="B284" s="199"/>
      <c r="N284" s="152"/>
      <c r="Q284" s="195"/>
      <c r="S284" s="200"/>
      <c r="T284" s="200"/>
      <c r="U284" s="152"/>
      <c r="V284" s="152"/>
      <c r="W284" s="157"/>
    </row>
    <row r="285" ht="15.75" customHeight="1">
      <c r="A285" s="167"/>
      <c r="B285" s="199"/>
      <c r="N285" s="152"/>
      <c r="Q285" s="195"/>
      <c r="S285" s="200"/>
      <c r="T285" s="200"/>
      <c r="U285" s="152"/>
      <c r="V285" s="152"/>
      <c r="W285" s="157"/>
    </row>
    <row r="286" ht="15.75" customHeight="1">
      <c r="A286" s="167"/>
      <c r="B286" s="199"/>
      <c r="N286" s="152"/>
      <c r="Q286" s="195"/>
      <c r="S286" s="200"/>
      <c r="T286" s="200"/>
      <c r="U286" s="152"/>
      <c r="V286" s="152"/>
      <c r="W286" s="157"/>
    </row>
    <row r="287" ht="15.75" customHeight="1">
      <c r="A287" s="167"/>
      <c r="B287" s="199"/>
      <c r="N287" s="152"/>
      <c r="Q287" s="195"/>
      <c r="S287" s="200"/>
      <c r="T287" s="200"/>
      <c r="U287" s="152"/>
      <c r="V287" s="152"/>
      <c r="W287" s="157"/>
    </row>
    <row r="288" ht="15.75" customHeight="1">
      <c r="A288" s="167"/>
      <c r="B288" s="199"/>
      <c r="N288" s="152"/>
      <c r="Q288" s="195"/>
      <c r="S288" s="200"/>
      <c r="T288" s="200"/>
      <c r="U288" s="152"/>
      <c r="V288" s="152"/>
      <c r="W288" s="157"/>
    </row>
    <row r="289" ht="15.75" customHeight="1">
      <c r="A289" s="167"/>
      <c r="B289" s="199"/>
      <c r="N289" s="152"/>
      <c r="Q289" s="195"/>
      <c r="S289" s="200"/>
      <c r="T289" s="200"/>
      <c r="U289" s="152"/>
      <c r="V289" s="152"/>
      <c r="W289" s="157"/>
    </row>
    <row r="290" ht="15.75" customHeight="1">
      <c r="A290" s="167"/>
      <c r="B290" s="199"/>
      <c r="N290" s="152"/>
      <c r="Q290" s="195"/>
      <c r="S290" s="200"/>
      <c r="T290" s="200"/>
      <c r="U290" s="152"/>
      <c r="V290" s="152"/>
      <c r="W290" s="157"/>
    </row>
    <row r="291" ht="15.75" customHeight="1">
      <c r="A291" s="167"/>
      <c r="B291" s="199"/>
      <c r="N291" s="152"/>
      <c r="Q291" s="195"/>
      <c r="S291" s="200"/>
      <c r="T291" s="200"/>
      <c r="U291" s="152"/>
      <c r="V291" s="152"/>
      <c r="W291" s="157"/>
    </row>
    <row r="292" ht="15.75" customHeight="1">
      <c r="A292" s="167"/>
      <c r="B292" s="199"/>
      <c r="N292" s="152"/>
      <c r="Q292" s="195"/>
      <c r="S292" s="200"/>
      <c r="T292" s="200"/>
      <c r="U292" s="152"/>
      <c r="V292" s="152"/>
      <c r="W292" s="157"/>
    </row>
    <row r="293" ht="15.75" customHeight="1">
      <c r="A293" s="167"/>
      <c r="B293" s="199"/>
      <c r="N293" s="152"/>
      <c r="Q293" s="195"/>
      <c r="S293" s="200"/>
      <c r="T293" s="200"/>
      <c r="U293" s="152"/>
      <c r="V293" s="152"/>
      <c r="W293" s="157"/>
    </row>
    <row r="294" ht="15.75" customHeight="1">
      <c r="A294" s="167"/>
      <c r="B294" s="199"/>
      <c r="N294" s="152"/>
      <c r="Q294" s="195"/>
      <c r="S294" s="200"/>
      <c r="T294" s="200"/>
      <c r="U294" s="152"/>
      <c r="V294" s="152"/>
      <c r="W294" s="157"/>
    </row>
    <row r="295" ht="15.75" customHeight="1">
      <c r="A295" s="167"/>
      <c r="B295" s="199"/>
      <c r="N295" s="152"/>
      <c r="Q295" s="195"/>
      <c r="S295" s="200"/>
      <c r="T295" s="200"/>
      <c r="U295" s="152"/>
      <c r="V295" s="152"/>
      <c r="W295" s="157"/>
    </row>
    <row r="296" ht="15.75" customHeight="1">
      <c r="A296" s="167"/>
      <c r="B296" s="199"/>
      <c r="N296" s="152"/>
      <c r="Q296" s="195"/>
      <c r="S296" s="200"/>
      <c r="T296" s="200"/>
      <c r="U296" s="152"/>
      <c r="V296" s="152"/>
      <c r="W296" s="157"/>
    </row>
    <row r="297" ht="15.75" customHeight="1">
      <c r="A297" s="167"/>
      <c r="B297" s="199"/>
      <c r="N297" s="152"/>
      <c r="Q297" s="195"/>
      <c r="S297" s="200"/>
      <c r="T297" s="200"/>
      <c r="U297" s="152"/>
      <c r="V297" s="152"/>
      <c r="W297" s="157"/>
    </row>
    <row r="298" ht="15.75" customHeight="1">
      <c r="A298" s="167"/>
      <c r="B298" s="199"/>
      <c r="N298" s="152"/>
      <c r="Q298" s="195"/>
      <c r="S298" s="200"/>
      <c r="T298" s="200"/>
      <c r="U298" s="152"/>
      <c r="V298" s="152"/>
      <c r="W298" s="157"/>
    </row>
    <row r="299" ht="15.75" customHeight="1">
      <c r="A299" s="167"/>
      <c r="B299" s="199"/>
      <c r="N299" s="152"/>
      <c r="Q299" s="195"/>
      <c r="S299" s="200"/>
      <c r="T299" s="200"/>
      <c r="U299" s="152"/>
      <c r="V299" s="152"/>
      <c r="W299" s="157"/>
    </row>
    <row r="300" ht="15.75" customHeight="1">
      <c r="A300" s="167"/>
      <c r="B300" s="199"/>
      <c r="N300" s="152"/>
      <c r="Q300" s="195"/>
      <c r="S300" s="200"/>
      <c r="T300" s="200"/>
      <c r="U300" s="152"/>
      <c r="V300" s="152"/>
      <c r="W300" s="157"/>
    </row>
    <row r="301" ht="15.75" customHeight="1">
      <c r="A301" s="167"/>
      <c r="B301" s="199"/>
      <c r="N301" s="152"/>
      <c r="Q301" s="195"/>
      <c r="S301" s="200"/>
      <c r="T301" s="200"/>
      <c r="U301" s="152"/>
      <c r="V301" s="152"/>
      <c r="W301" s="157"/>
    </row>
    <row r="302" ht="15.75" customHeight="1">
      <c r="A302" s="167"/>
      <c r="B302" s="199"/>
      <c r="N302" s="152"/>
      <c r="Q302" s="195"/>
      <c r="S302" s="200"/>
      <c r="T302" s="200"/>
      <c r="U302" s="152"/>
      <c r="V302" s="152"/>
      <c r="W302" s="157"/>
    </row>
    <row r="303" ht="15.75" customHeight="1">
      <c r="A303" s="167"/>
      <c r="B303" s="199"/>
      <c r="N303" s="152"/>
      <c r="Q303" s="195"/>
      <c r="S303" s="200"/>
      <c r="T303" s="200"/>
      <c r="U303" s="152"/>
      <c r="V303" s="152"/>
      <c r="W303" s="157"/>
    </row>
    <row r="304" ht="15.75" customHeight="1">
      <c r="A304" s="167"/>
      <c r="B304" s="199"/>
      <c r="N304" s="152"/>
      <c r="Q304" s="195"/>
      <c r="S304" s="200"/>
      <c r="T304" s="200"/>
      <c r="U304" s="152"/>
      <c r="V304" s="152"/>
      <c r="W304" s="157"/>
    </row>
    <row r="305" ht="15.75" customHeight="1">
      <c r="A305" s="167"/>
      <c r="B305" s="199"/>
      <c r="N305" s="152"/>
      <c r="Q305" s="195"/>
      <c r="S305" s="200"/>
      <c r="T305" s="200"/>
      <c r="U305" s="152"/>
      <c r="V305" s="152"/>
      <c r="W305" s="157"/>
    </row>
    <row r="306" ht="15.75" customHeight="1">
      <c r="A306" s="167"/>
      <c r="B306" s="199"/>
      <c r="N306" s="152"/>
      <c r="Q306" s="195"/>
      <c r="S306" s="200"/>
      <c r="T306" s="200"/>
      <c r="U306" s="152"/>
      <c r="V306" s="152"/>
      <c r="W306" s="157"/>
    </row>
    <row r="307" ht="15.75" customHeight="1">
      <c r="A307" s="167"/>
      <c r="B307" s="199"/>
      <c r="N307" s="152"/>
      <c r="Q307" s="195"/>
      <c r="S307" s="200"/>
      <c r="T307" s="200"/>
      <c r="U307" s="152"/>
      <c r="V307" s="152"/>
      <c r="W307" s="157"/>
    </row>
    <row r="308" ht="15.75" customHeight="1">
      <c r="A308" s="167"/>
      <c r="B308" s="199"/>
      <c r="N308" s="152"/>
      <c r="Q308" s="195"/>
      <c r="S308" s="200"/>
      <c r="T308" s="200"/>
      <c r="U308" s="152"/>
      <c r="V308" s="152"/>
      <c r="W308" s="157"/>
    </row>
    <row r="309" ht="15.75" customHeight="1">
      <c r="A309" s="167"/>
      <c r="B309" s="199"/>
      <c r="N309" s="152"/>
      <c r="Q309" s="195"/>
      <c r="S309" s="200"/>
      <c r="T309" s="200"/>
      <c r="U309" s="152"/>
      <c r="V309" s="152"/>
      <c r="W309" s="157"/>
    </row>
    <row r="310" ht="15.75" customHeight="1">
      <c r="A310" s="167"/>
      <c r="B310" s="199"/>
      <c r="N310" s="152"/>
      <c r="Q310" s="195"/>
      <c r="S310" s="200"/>
      <c r="T310" s="200"/>
      <c r="U310" s="152"/>
      <c r="V310" s="152"/>
      <c r="W310" s="157"/>
    </row>
    <row r="311" ht="15.75" customHeight="1">
      <c r="A311" s="167"/>
      <c r="B311" s="199"/>
      <c r="N311" s="152"/>
      <c r="Q311" s="195"/>
      <c r="S311" s="200"/>
      <c r="T311" s="200"/>
      <c r="U311" s="152"/>
      <c r="V311" s="152"/>
      <c r="W311" s="157"/>
    </row>
    <row r="312" ht="15.75" customHeight="1">
      <c r="A312" s="167"/>
      <c r="B312" s="199"/>
      <c r="N312" s="152"/>
      <c r="Q312" s="195"/>
      <c r="S312" s="200"/>
      <c r="T312" s="200"/>
      <c r="U312" s="152"/>
      <c r="V312" s="152"/>
      <c r="W312" s="157"/>
    </row>
    <row r="313" ht="15.75" customHeight="1">
      <c r="A313" s="167"/>
      <c r="B313" s="199"/>
      <c r="N313" s="152"/>
      <c r="Q313" s="195"/>
      <c r="S313" s="200"/>
      <c r="T313" s="200"/>
      <c r="U313" s="152"/>
      <c r="V313" s="152"/>
      <c r="W313" s="157"/>
    </row>
    <row r="314" ht="15.75" customHeight="1">
      <c r="A314" s="167"/>
      <c r="B314" s="199"/>
      <c r="N314" s="152"/>
      <c r="Q314" s="195"/>
      <c r="S314" s="200"/>
      <c r="T314" s="200"/>
      <c r="U314" s="152"/>
      <c r="V314" s="152"/>
      <c r="W314" s="157"/>
    </row>
    <row r="315" ht="15.75" customHeight="1">
      <c r="A315" s="167"/>
      <c r="B315" s="199"/>
      <c r="N315" s="152"/>
      <c r="Q315" s="195"/>
      <c r="S315" s="200"/>
      <c r="T315" s="200"/>
      <c r="U315" s="152"/>
      <c r="V315" s="152"/>
      <c r="W315" s="157"/>
    </row>
    <row r="316" ht="15.75" customHeight="1">
      <c r="A316" s="167"/>
      <c r="B316" s="199"/>
      <c r="N316" s="152"/>
      <c r="Q316" s="195"/>
      <c r="S316" s="200"/>
      <c r="T316" s="200"/>
      <c r="U316" s="152"/>
      <c r="V316" s="152"/>
      <c r="W316" s="157"/>
    </row>
    <row r="317" ht="15.75" customHeight="1">
      <c r="A317" s="167"/>
      <c r="B317" s="199"/>
      <c r="N317" s="152"/>
      <c r="Q317" s="195"/>
      <c r="S317" s="200"/>
      <c r="T317" s="200"/>
      <c r="U317" s="152"/>
      <c r="V317" s="152"/>
      <c r="W317" s="157"/>
    </row>
    <row r="318" ht="15.75" customHeight="1">
      <c r="A318" s="167"/>
      <c r="B318" s="199"/>
      <c r="N318" s="152"/>
      <c r="Q318" s="195"/>
      <c r="S318" s="200"/>
      <c r="T318" s="200"/>
      <c r="U318" s="152"/>
      <c r="V318" s="152"/>
      <c r="W318" s="157"/>
    </row>
    <row r="319" ht="15.75" customHeight="1">
      <c r="A319" s="167"/>
      <c r="B319" s="199"/>
      <c r="N319" s="152"/>
      <c r="Q319" s="195"/>
      <c r="S319" s="200"/>
      <c r="T319" s="200"/>
      <c r="U319" s="152"/>
      <c r="V319" s="152"/>
      <c r="W319" s="157"/>
    </row>
    <row r="320" ht="15.75" customHeight="1">
      <c r="A320" s="167"/>
      <c r="B320" s="199"/>
      <c r="N320" s="152"/>
      <c r="Q320" s="195"/>
      <c r="S320" s="200"/>
      <c r="T320" s="200"/>
      <c r="U320" s="152"/>
      <c r="V320" s="152"/>
      <c r="W320" s="157"/>
    </row>
    <row r="321" ht="15.75" customHeight="1">
      <c r="A321" s="167"/>
      <c r="B321" s="199"/>
      <c r="N321" s="152"/>
      <c r="Q321" s="195"/>
      <c r="S321" s="200"/>
      <c r="T321" s="200"/>
      <c r="U321" s="152"/>
      <c r="V321" s="152"/>
      <c r="W321" s="157"/>
    </row>
    <row r="322" ht="15.75" customHeight="1">
      <c r="A322" s="167"/>
      <c r="B322" s="199"/>
      <c r="N322" s="152"/>
      <c r="Q322" s="195"/>
      <c r="S322" s="200"/>
      <c r="T322" s="200"/>
      <c r="U322" s="152"/>
      <c r="V322" s="152"/>
      <c r="W322" s="157"/>
    </row>
    <row r="323" ht="15.75" customHeight="1">
      <c r="A323" s="167"/>
      <c r="B323" s="199"/>
      <c r="N323" s="152"/>
      <c r="Q323" s="195"/>
      <c r="S323" s="200"/>
      <c r="T323" s="200"/>
      <c r="U323" s="152"/>
      <c r="V323" s="152"/>
      <c r="W323" s="157"/>
    </row>
    <row r="324" ht="15.75" customHeight="1">
      <c r="A324" s="167"/>
      <c r="B324" s="199"/>
      <c r="N324" s="152"/>
      <c r="Q324" s="195"/>
      <c r="S324" s="200"/>
      <c r="T324" s="200"/>
      <c r="U324" s="152"/>
      <c r="V324" s="152"/>
      <c r="W324" s="157"/>
    </row>
    <row r="325" ht="15.75" customHeight="1">
      <c r="A325" s="167"/>
      <c r="B325" s="199"/>
      <c r="N325" s="152"/>
      <c r="Q325" s="195"/>
      <c r="S325" s="200"/>
      <c r="T325" s="200"/>
      <c r="U325" s="152"/>
      <c r="V325" s="152"/>
      <c r="W325" s="157"/>
    </row>
    <row r="326" ht="15.75" customHeight="1">
      <c r="A326" s="167"/>
      <c r="B326" s="199"/>
      <c r="N326" s="152"/>
      <c r="Q326" s="195"/>
      <c r="S326" s="200"/>
      <c r="T326" s="200"/>
      <c r="U326" s="152"/>
      <c r="V326" s="152"/>
      <c r="W326" s="157"/>
    </row>
    <row r="327" ht="15.75" customHeight="1">
      <c r="A327" s="167"/>
      <c r="B327" s="199"/>
      <c r="N327" s="152"/>
      <c r="Q327" s="195"/>
      <c r="S327" s="200"/>
      <c r="T327" s="200"/>
      <c r="U327" s="152"/>
      <c r="V327" s="152"/>
      <c r="W327" s="157"/>
    </row>
    <row r="328" ht="15.75" customHeight="1">
      <c r="A328" s="167"/>
      <c r="B328" s="199"/>
      <c r="N328" s="152"/>
      <c r="Q328" s="195"/>
      <c r="S328" s="200"/>
      <c r="T328" s="200"/>
      <c r="U328" s="152"/>
      <c r="V328" s="152"/>
      <c r="W328" s="157"/>
    </row>
    <row r="329" ht="15.75" customHeight="1">
      <c r="A329" s="167"/>
      <c r="B329" s="199"/>
      <c r="N329" s="152"/>
      <c r="Q329" s="195"/>
      <c r="S329" s="200"/>
      <c r="T329" s="200"/>
      <c r="U329" s="152"/>
      <c r="V329" s="152"/>
      <c r="W329" s="157"/>
    </row>
    <row r="330" ht="15.75" customHeight="1">
      <c r="A330" s="167"/>
      <c r="B330" s="199"/>
      <c r="N330" s="152"/>
      <c r="Q330" s="195"/>
      <c r="S330" s="200"/>
      <c r="T330" s="200"/>
      <c r="U330" s="152"/>
      <c r="V330" s="152"/>
      <c r="W330" s="157"/>
    </row>
    <row r="331" ht="15.75" customHeight="1">
      <c r="A331" s="167"/>
      <c r="B331" s="199"/>
      <c r="N331" s="152"/>
      <c r="Q331" s="195"/>
      <c r="S331" s="200"/>
      <c r="T331" s="200"/>
      <c r="U331" s="152"/>
      <c r="V331" s="152"/>
      <c r="W331" s="157"/>
    </row>
    <row r="332" ht="15.75" customHeight="1">
      <c r="A332" s="167"/>
      <c r="B332" s="199"/>
      <c r="N332" s="152"/>
      <c r="Q332" s="195"/>
      <c r="S332" s="200"/>
      <c r="T332" s="200"/>
      <c r="U332" s="152"/>
      <c r="V332" s="152"/>
      <c r="W332" s="157"/>
    </row>
    <row r="333" ht="15.75" customHeight="1">
      <c r="A333" s="167"/>
      <c r="B333" s="199"/>
      <c r="N333" s="152"/>
      <c r="Q333" s="195"/>
      <c r="S333" s="200"/>
      <c r="T333" s="200"/>
      <c r="U333" s="152"/>
      <c r="V333" s="152"/>
      <c r="W333" s="157"/>
    </row>
    <row r="334" ht="15.75" customHeight="1">
      <c r="A334" s="167"/>
      <c r="B334" s="199"/>
      <c r="N334" s="152"/>
      <c r="Q334" s="195"/>
      <c r="S334" s="200"/>
      <c r="T334" s="200"/>
      <c r="U334" s="152"/>
      <c r="V334" s="152"/>
      <c r="W334" s="157"/>
    </row>
    <row r="335" ht="15.75" customHeight="1">
      <c r="A335" s="167"/>
      <c r="B335" s="199"/>
      <c r="N335" s="152"/>
      <c r="Q335" s="195"/>
      <c r="S335" s="200"/>
      <c r="T335" s="200"/>
      <c r="U335" s="152"/>
      <c r="V335" s="152"/>
      <c r="W335" s="157"/>
    </row>
    <row r="336" ht="15.75" customHeight="1">
      <c r="A336" s="167"/>
      <c r="B336" s="199"/>
      <c r="N336" s="152"/>
      <c r="Q336" s="195"/>
      <c r="S336" s="200"/>
      <c r="T336" s="200"/>
      <c r="U336" s="152"/>
      <c r="V336" s="152"/>
      <c r="W336" s="157"/>
    </row>
    <row r="337" ht="15.75" customHeight="1">
      <c r="A337" s="167"/>
      <c r="B337" s="199"/>
      <c r="N337" s="152"/>
      <c r="Q337" s="195"/>
      <c r="S337" s="200"/>
      <c r="T337" s="200"/>
      <c r="U337" s="152"/>
      <c r="V337" s="152"/>
      <c r="W337" s="157"/>
    </row>
    <row r="338" ht="15.75" customHeight="1">
      <c r="A338" s="167"/>
      <c r="B338" s="199"/>
      <c r="N338" s="152"/>
      <c r="Q338" s="195"/>
      <c r="S338" s="200"/>
      <c r="T338" s="200"/>
      <c r="U338" s="152"/>
      <c r="V338" s="152"/>
      <c r="W338" s="157"/>
    </row>
    <row r="339" ht="15.75" customHeight="1">
      <c r="A339" s="167"/>
      <c r="B339" s="199"/>
      <c r="N339" s="152"/>
      <c r="Q339" s="195"/>
      <c r="S339" s="200"/>
      <c r="T339" s="200"/>
      <c r="U339" s="152"/>
      <c r="V339" s="152"/>
      <c r="W339" s="157"/>
    </row>
    <row r="340" ht="15.75" customHeight="1">
      <c r="A340" s="167"/>
      <c r="B340" s="199"/>
      <c r="N340" s="152"/>
      <c r="Q340" s="195"/>
      <c r="S340" s="200"/>
      <c r="T340" s="200"/>
      <c r="U340" s="152"/>
      <c r="V340" s="152"/>
      <c r="W340" s="157"/>
    </row>
    <row r="341" ht="15.75" customHeight="1">
      <c r="A341" s="167"/>
      <c r="B341" s="199"/>
      <c r="N341" s="152"/>
      <c r="Q341" s="195"/>
      <c r="S341" s="200"/>
      <c r="T341" s="200"/>
      <c r="U341" s="152"/>
      <c r="V341" s="152"/>
      <c r="W341" s="157"/>
    </row>
    <row r="342" ht="15.75" customHeight="1">
      <c r="A342" s="167"/>
      <c r="B342" s="199"/>
      <c r="N342" s="152"/>
      <c r="Q342" s="195"/>
      <c r="S342" s="200"/>
      <c r="T342" s="200"/>
      <c r="U342" s="152"/>
      <c r="V342" s="152"/>
      <c r="W342" s="157"/>
    </row>
    <row r="343" ht="15.75" customHeight="1">
      <c r="A343" s="167"/>
      <c r="B343" s="199"/>
      <c r="N343" s="152"/>
      <c r="Q343" s="195"/>
      <c r="S343" s="200"/>
      <c r="T343" s="200"/>
      <c r="U343" s="152"/>
      <c r="V343" s="152"/>
      <c r="W343" s="157"/>
    </row>
    <row r="344" ht="15.75" customHeight="1">
      <c r="A344" s="167"/>
      <c r="B344" s="199"/>
      <c r="N344" s="152"/>
      <c r="Q344" s="195"/>
      <c r="S344" s="200"/>
      <c r="T344" s="200"/>
      <c r="U344" s="152"/>
      <c r="V344" s="152"/>
      <c r="W344" s="157"/>
    </row>
    <row r="345" ht="15.75" customHeight="1">
      <c r="A345" s="167"/>
      <c r="B345" s="199"/>
      <c r="N345" s="152"/>
      <c r="Q345" s="195"/>
      <c r="S345" s="200"/>
      <c r="T345" s="200"/>
      <c r="U345" s="152"/>
      <c r="V345" s="152"/>
      <c r="W345" s="157"/>
    </row>
    <row r="346" ht="15.75" customHeight="1">
      <c r="A346" s="167"/>
      <c r="B346" s="199"/>
      <c r="N346" s="152"/>
      <c r="Q346" s="195"/>
      <c r="S346" s="200"/>
      <c r="T346" s="200"/>
      <c r="U346" s="152"/>
      <c r="V346" s="152"/>
      <c r="W346" s="157"/>
    </row>
    <row r="347" ht="15.75" customHeight="1">
      <c r="A347" s="167"/>
      <c r="B347" s="199"/>
      <c r="N347" s="152"/>
      <c r="Q347" s="195"/>
      <c r="S347" s="200"/>
      <c r="T347" s="200"/>
      <c r="U347" s="152"/>
      <c r="V347" s="152"/>
      <c r="W347" s="157"/>
    </row>
    <row r="348" ht="15.75" customHeight="1">
      <c r="A348" s="167"/>
      <c r="B348" s="199"/>
      <c r="N348" s="152"/>
      <c r="Q348" s="195"/>
      <c r="S348" s="200"/>
      <c r="T348" s="200"/>
      <c r="U348" s="152"/>
      <c r="V348" s="152"/>
      <c r="W348" s="157"/>
    </row>
    <row r="349" ht="15.75" customHeight="1">
      <c r="A349" s="167"/>
      <c r="B349" s="199"/>
      <c r="N349" s="152"/>
      <c r="Q349" s="195"/>
      <c r="S349" s="200"/>
      <c r="T349" s="200"/>
      <c r="U349" s="152"/>
      <c r="V349" s="152"/>
      <c r="W349" s="157"/>
    </row>
    <row r="350" ht="15.75" customHeight="1">
      <c r="A350" s="167"/>
      <c r="B350" s="199"/>
      <c r="N350" s="152"/>
      <c r="Q350" s="195"/>
      <c r="S350" s="200"/>
      <c r="T350" s="200"/>
      <c r="U350" s="152"/>
      <c r="V350" s="152"/>
      <c r="W350" s="157"/>
    </row>
    <row r="351" ht="15.75" customHeight="1">
      <c r="A351" s="167"/>
      <c r="B351" s="199"/>
      <c r="N351" s="152"/>
      <c r="Q351" s="195"/>
      <c r="S351" s="200"/>
      <c r="T351" s="200"/>
      <c r="U351" s="152"/>
      <c r="V351" s="152"/>
      <c r="W351" s="157"/>
    </row>
    <row r="352" ht="15.75" customHeight="1">
      <c r="A352" s="167"/>
      <c r="B352" s="199"/>
      <c r="N352" s="152"/>
      <c r="Q352" s="195"/>
      <c r="S352" s="200"/>
      <c r="T352" s="200"/>
      <c r="U352" s="152"/>
      <c r="V352" s="152"/>
      <c r="W352" s="157"/>
    </row>
    <row r="353" ht="15.75" customHeight="1">
      <c r="A353" s="167"/>
      <c r="B353" s="199"/>
      <c r="N353" s="152"/>
      <c r="Q353" s="195"/>
      <c r="S353" s="200"/>
      <c r="T353" s="200"/>
      <c r="U353" s="152"/>
      <c r="V353" s="152"/>
      <c r="W353" s="157"/>
    </row>
    <row r="354" ht="15.75" customHeight="1">
      <c r="A354" s="167"/>
      <c r="B354" s="199"/>
      <c r="N354" s="152"/>
      <c r="Q354" s="195"/>
      <c r="S354" s="200"/>
      <c r="T354" s="200"/>
      <c r="U354" s="152"/>
      <c r="V354" s="152"/>
      <c r="W354" s="157"/>
    </row>
    <row r="355" ht="15.75" customHeight="1">
      <c r="A355" s="167"/>
      <c r="B355" s="199"/>
      <c r="N355" s="152"/>
      <c r="Q355" s="195"/>
      <c r="S355" s="200"/>
      <c r="T355" s="200"/>
      <c r="U355" s="152"/>
      <c r="V355" s="152"/>
      <c r="W355" s="157"/>
    </row>
    <row r="356" ht="15.75" customHeight="1">
      <c r="A356" s="167"/>
      <c r="B356" s="199"/>
      <c r="N356" s="152"/>
      <c r="Q356" s="195"/>
      <c r="S356" s="200"/>
      <c r="T356" s="200"/>
      <c r="U356" s="152"/>
      <c r="V356" s="152"/>
      <c r="W356" s="157"/>
    </row>
    <row r="357" ht="15.75" customHeight="1">
      <c r="A357" s="167"/>
      <c r="B357" s="199"/>
      <c r="N357" s="152"/>
      <c r="Q357" s="195"/>
      <c r="S357" s="200"/>
      <c r="T357" s="200"/>
      <c r="U357" s="152"/>
      <c r="V357" s="152"/>
      <c r="W357" s="157"/>
    </row>
    <row r="358" ht="15.75" customHeight="1">
      <c r="A358" s="167"/>
      <c r="B358" s="199"/>
      <c r="N358" s="152"/>
      <c r="Q358" s="195"/>
      <c r="S358" s="200"/>
      <c r="T358" s="200"/>
      <c r="U358" s="152"/>
      <c r="V358" s="152"/>
      <c r="W358" s="157"/>
    </row>
    <row r="359" ht="15.75" customHeight="1">
      <c r="A359" s="167"/>
      <c r="B359" s="199"/>
      <c r="N359" s="152"/>
      <c r="Q359" s="195"/>
      <c r="S359" s="200"/>
      <c r="T359" s="200"/>
      <c r="U359" s="152"/>
      <c r="V359" s="152"/>
      <c r="W359" s="157"/>
    </row>
    <row r="360" ht="15.75" customHeight="1">
      <c r="A360" s="167"/>
      <c r="B360" s="199"/>
      <c r="N360" s="152"/>
      <c r="Q360" s="195"/>
      <c r="S360" s="200"/>
      <c r="T360" s="200"/>
      <c r="U360" s="152"/>
      <c r="V360" s="152"/>
      <c r="W360" s="157"/>
    </row>
    <row r="361" ht="15.75" customHeight="1">
      <c r="A361" s="167"/>
      <c r="B361" s="199"/>
      <c r="N361" s="152"/>
      <c r="Q361" s="195"/>
      <c r="S361" s="200"/>
      <c r="T361" s="200"/>
      <c r="U361" s="152"/>
      <c r="V361" s="152"/>
      <c r="W361" s="157"/>
    </row>
    <row r="362" ht="15.75" customHeight="1">
      <c r="A362" s="167"/>
      <c r="B362" s="199"/>
      <c r="N362" s="152"/>
      <c r="Q362" s="195"/>
      <c r="S362" s="200"/>
      <c r="T362" s="200"/>
      <c r="U362" s="152"/>
      <c r="V362" s="152"/>
      <c r="W362" s="157"/>
    </row>
    <row r="363" ht="15.75" customHeight="1">
      <c r="A363" s="167"/>
      <c r="B363" s="199"/>
      <c r="N363" s="152"/>
      <c r="Q363" s="195"/>
      <c r="S363" s="200"/>
      <c r="T363" s="200"/>
      <c r="U363" s="152"/>
      <c r="V363" s="152"/>
      <c r="W363" s="157"/>
    </row>
    <row r="364" ht="15.75" customHeight="1">
      <c r="A364" s="167"/>
      <c r="B364" s="199"/>
      <c r="N364" s="152"/>
      <c r="Q364" s="195"/>
      <c r="S364" s="200"/>
      <c r="T364" s="200"/>
      <c r="U364" s="152"/>
      <c r="V364" s="152"/>
      <c r="W364" s="157"/>
    </row>
    <row r="365" ht="15.75" customHeight="1">
      <c r="A365" s="167"/>
      <c r="B365" s="199"/>
      <c r="N365" s="152"/>
      <c r="Q365" s="195"/>
      <c r="S365" s="200"/>
      <c r="T365" s="200"/>
      <c r="U365" s="152"/>
      <c r="V365" s="152"/>
      <c r="W365" s="157"/>
    </row>
    <row r="366" ht="15.75" customHeight="1">
      <c r="A366" s="167"/>
      <c r="B366" s="199"/>
      <c r="N366" s="152"/>
      <c r="Q366" s="195"/>
      <c r="S366" s="200"/>
      <c r="T366" s="200"/>
      <c r="U366" s="152"/>
      <c r="V366" s="152"/>
      <c r="W366" s="157"/>
    </row>
    <row r="367" ht="15.75" customHeight="1">
      <c r="A367" s="167"/>
      <c r="B367" s="199"/>
      <c r="N367" s="152"/>
      <c r="Q367" s="195"/>
      <c r="S367" s="200"/>
      <c r="T367" s="200"/>
      <c r="U367" s="152"/>
      <c r="V367" s="152"/>
      <c r="W367" s="157"/>
    </row>
    <row r="368" ht="15.75" customHeight="1">
      <c r="A368" s="167"/>
      <c r="B368" s="199"/>
      <c r="N368" s="152"/>
      <c r="Q368" s="195"/>
      <c r="S368" s="200"/>
      <c r="T368" s="200"/>
      <c r="U368" s="152"/>
      <c r="V368" s="152"/>
      <c r="W368" s="157"/>
    </row>
    <row r="369" ht="15.75" customHeight="1">
      <c r="A369" s="167"/>
      <c r="B369" s="199"/>
      <c r="N369" s="152"/>
      <c r="Q369" s="195"/>
      <c r="S369" s="200"/>
      <c r="T369" s="200"/>
      <c r="U369" s="152"/>
      <c r="V369" s="152"/>
      <c r="W369" s="157"/>
    </row>
    <row r="370" ht="15.75" customHeight="1">
      <c r="A370" s="167"/>
      <c r="B370" s="199"/>
      <c r="N370" s="152"/>
      <c r="Q370" s="195"/>
      <c r="S370" s="200"/>
      <c r="T370" s="200"/>
      <c r="U370" s="152"/>
      <c r="V370" s="152"/>
      <c r="W370" s="157"/>
    </row>
    <row r="371" ht="15.75" customHeight="1">
      <c r="A371" s="167"/>
      <c r="B371" s="199"/>
      <c r="N371" s="152"/>
      <c r="Q371" s="195"/>
      <c r="S371" s="200"/>
      <c r="T371" s="200"/>
      <c r="U371" s="152"/>
      <c r="V371" s="152"/>
      <c r="W371" s="157"/>
    </row>
    <row r="372" ht="15.75" customHeight="1">
      <c r="A372" s="167"/>
      <c r="B372" s="199"/>
      <c r="N372" s="152"/>
      <c r="Q372" s="195"/>
      <c r="S372" s="200"/>
      <c r="T372" s="200"/>
      <c r="U372" s="152"/>
      <c r="V372" s="152"/>
      <c r="W372" s="157"/>
    </row>
    <row r="373" ht="15.75" customHeight="1">
      <c r="A373" s="167"/>
      <c r="B373" s="199"/>
      <c r="N373" s="152"/>
      <c r="Q373" s="195"/>
      <c r="S373" s="200"/>
      <c r="T373" s="200"/>
      <c r="U373" s="152"/>
      <c r="V373" s="152"/>
      <c r="W373" s="157"/>
    </row>
    <row r="374" ht="15.75" customHeight="1">
      <c r="A374" s="167"/>
      <c r="B374" s="199"/>
      <c r="N374" s="152"/>
      <c r="Q374" s="195"/>
      <c r="S374" s="200"/>
      <c r="T374" s="200"/>
      <c r="U374" s="152"/>
      <c r="V374" s="152"/>
      <c r="W374" s="157"/>
    </row>
    <row r="375" ht="15.75" customHeight="1">
      <c r="A375" s="167"/>
      <c r="B375" s="199"/>
      <c r="N375" s="152"/>
      <c r="Q375" s="195"/>
      <c r="S375" s="200"/>
      <c r="T375" s="200"/>
      <c r="U375" s="152"/>
      <c r="V375" s="152"/>
      <c r="W375" s="157"/>
    </row>
    <row r="376" ht="15.75" customHeight="1">
      <c r="A376" s="167"/>
      <c r="B376" s="199"/>
      <c r="N376" s="152"/>
      <c r="Q376" s="195"/>
      <c r="S376" s="200"/>
      <c r="T376" s="200"/>
      <c r="U376" s="152"/>
      <c r="V376" s="152"/>
      <c r="W376" s="157"/>
    </row>
    <row r="377" ht="15.75" customHeight="1">
      <c r="A377" s="167"/>
      <c r="B377" s="199"/>
      <c r="N377" s="152"/>
      <c r="Q377" s="195"/>
      <c r="S377" s="200"/>
      <c r="T377" s="200"/>
      <c r="U377" s="152"/>
      <c r="V377" s="152"/>
      <c r="W377" s="157"/>
    </row>
    <row r="378" ht="15.75" customHeight="1">
      <c r="A378" s="167"/>
      <c r="B378" s="199"/>
      <c r="N378" s="152"/>
      <c r="Q378" s="195"/>
      <c r="S378" s="200"/>
      <c r="T378" s="200"/>
      <c r="U378" s="152"/>
      <c r="V378" s="152"/>
      <c r="W378" s="157"/>
    </row>
    <row r="379" ht="15.75" customHeight="1">
      <c r="A379" s="167"/>
      <c r="B379" s="199"/>
      <c r="N379" s="152"/>
      <c r="Q379" s="195"/>
      <c r="S379" s="200"/>
      <c r="T379" s="200"/>
      <c r="U379" s="152"/>
      <c r="V379" s="152"/>
      <c r="W379" s="157"/>
    </row>
    <row r="380" ht="15.75" customHeight="1">
      <c r="A380" s="167"/>
      <c r="B380" s="199"/>
      <c r="N380" s="152"/>
      <c r="Q380" s="195"/>
      <c r="S380" s="200"/>
      <c r="T380" s="200"/>
      <c r="U380" s="152"/>
      <c r="V380" s="152"/>
      <c r="W380" s="157"/>
    </row>
    <row r="381" ht="15.75" customHeight="1">
      <c r="A381" s="167"/>
      <c r="B381" s="199"/>
      <c r="N381" s="152"/>
      <c r="Q381" s="195"/>
      <c r="S381" s="200"/>
      <c r="T381" s="200"/>
      <c r="U381" s="152"/>
      <c r="V381" s="152"/>
      <c r="W381" s="157"/>
    </row>
    <row r="382" ht="15.75" customHeight="1">
      <c r="A382" s="167"/>
      <c r="B382" s="199"/>
      <c r="N382" s="152"/>
      <c r="Q382" s="195"/>
      <c r="S382" s="200"/>
      <c r="T382" s="200"/>
      <c r="U382" s="152"/>
      <c r="V382" s="152"/>
      <c r="W382" s="157"/>
    </row>
    <row r="383" ht="15.75" customHeight="1">
      <c r="A383" s="167"/>
      <c r="B383" s="199"/>
      <c r="N383" s="152"/>
      <c r="Q383" s="195"/>
      <c r="S383" s="200"/>
      <c r="T383" s="200"/>
      <c r="U383" s="152"/>
      <c r="V383" s="152"/>
      <c r="W383" s="157"/>
    </row>
    <row r="384" ht="15.75" customHeight="1">
      <c r="A384" s="167"/>
      <c r="B384" s="199"/>
      <c r="N384" s="152"/>
      <c r="Q384" s="195"/>
      <c r="S384" s="200"/>
      <c r="T384" s="200"/>
      <c r="U384" s="152"/>
      <c r="V384" s="152"/>
      <c r="W384" s="157"/>
    </row>
    <row r="385" ht="15.75" customHeight="1">
      <c r="A385" s="167"/>
      <c r="B385" s="199"/>
      <c r="N385" s="152"/>
      <c r="Q385" s="195"/>
      <c r="S385" s="200"/>
      <c r="T385" s="200"/>
      <c r="U385" s="152"/>
      <c r="V385" s="152"/>
      <c r="W385" s="157"/>
    </row>
    <row r="386" ht="15.75" customHeight="1">
      <c r="A386" s="167"/>
      <c r="B386" s="199"/>
      <c r="N386" s="152"/>
      <c r="Q386" s="195"/>
      <c r="S386" s="200"/>
      <c r="T386" s="200"/>
      <c r="U386" s="152"/>
      <c r="V386" s="152"/>
      <c r="W386" s="157"/>
    </row>
    <row r="387" ht="15.75" customHeight="1">
      <c r="A387" s="167"/>
      <c r="B387" s="199"/>
      <c r="N387" s="152"/>
      <c r="Q387" s="195"/>
      <c r="S387" s="200"/>
      <c r="T387" s="200"/>
      <c r="U387" s="152"/>
      <c r="V387" s="152"/>
      <c r="W387" s="157"/>
    </row>
    <row r="388" ht="15.75" customHeight="1">
      <c r="A388" s="167"/>
      <c r="B388" s="199"/>
      <c r="N388" s="152"/>
      <c r="Q388" s="195"/>
      <c r="S388" s="200"/>
      <c r="T388" s="200"/>
      <c r="U388" s="152"/>
      <c r="V388" s="152"/>
      <c r="W388" s="157"/>
    </row>
    <row r="389" ht="15.75" customHeight="1">
      <c r="A389" s="167"/>
      <c r="B389" s="199"/>
      <c r="N389" s="152"/>
      <c r="Q389" s="195"/>
      <c r="S389" s="200"/>
      <c r="T389" s="200"/>
      <c r="U389" s="152"/>
      <c r="V389" s="152"/>
      <c r="W389" s="157"/>
    </row>
    <row r="390" ht="15.75" customHeight="1">
      <c r="A390" s="167"/>
      <c r="B390" s="199"/>
      <c r="N390" s="152"/>
      <c r="Q390" s="195"/>
      <c r="S390" s="200"/>
      <c r="T390" s="200"/>
      <c r="U390" s="152"/>
      <c r="V390" s="152"/>
      <c r="W390" s="157"/>
    </row>
    <row r="391" ht="15.75" customHeight="1">
      <c r="A391" s="167"/>
      <c r="B391" s="199"/>
      <c r="N391" s="152"/>
      <c r="Q391" s="195"/>
      <c r="S391" s="200"/>
      <c r="T391" s="200"/>
      <c r="U391" s="152"/>
      <c r="V391" s="152"/>
      <c r="W391" s="157"/>
    </row>
    <row r="392" ht="15.75" customHeight="1">
      <c r="A392" s="167"/>
      <c r="B392" s="199"/>
      <c r="N392" s="152"/>
      <c r="Q392" s="195"/>
      <c r="S392" s="200"/>
      <c r="T392" s="200"/>
      <c r="U392" s="152"/>
      <c r="V392" s="152"/>
      <c r="W392" s="157"/>
    </row>
    <row r="393" ht="15.75" customHeight="1">
      <c r="A393" s="167"/>
      <c r="B393" s="199"/>
      <c r="N393" s="152"/>
      <c r="Q393" s="195"/>
      <c r="S393" s="200"/>
      <c r="T393" s="200"/>
      <c r="U393" s="152"/>
      <c r="V393" s="152"/>
      <c r="W393" s="157"/>
    </row>
    <row r="394" ht="15.75" customHeight="1">
      <c r="A394" s="167"/>
      <c r="B394" s="199"/>
      <c r="N394" s="152"/>
      <c r="Q394" s="195"/>
      <c r="S394" s="200"/>
      <c r="T394" s="200"/>
      <c r="U394" s="152"/>
      <c r="V394" s="152"/>
      <c r="W394" s="157"/>
    </row>
    <row r="395" ht="15.75" customHeight="1">
      <c r="A395" s="167"/>
      <c r="B395" s="199"/>
      <c r="N395" s="152"/>
      <c r="Q395" s="195"/>
      <c r="S395" s="200"/>
      <c r="T395" s="200"/>
      <c r="U395" s="152"/>
      <c r="V395" s="152"/>
      <c r="W395" s="157"/>
    </row>
    <row r="396" ht="15.75" customHeight="1">
      <c r="A396" s="167"/>
      <c r="B396" s="199"/>
      <c r="N396" s="152"/>
      <c r="Q396" s="195"/>
      <c r="S396" s="200"/>
      <c r="T396" s="200"/>
      <c r="U396" s="152"/>
      <c r="V396" s="152"/>
      <c r="W396" s="157"/>
    </row>
    <row r="397" ht="15.75" customHeight="1">
      <c r="A397" s="167"/>
      <c r="B397" s="199"/>
      <c r="N397" s="152"/>
      <c r="Q397" s="195"/>
      <c r="S397" s="200"/>
      <c r="T397" s="200"/>
      <c r="U397" s="152"/>
      <c r="V397" s="152"/>
      <c r="W397" s="157"/>
    </row>
    <row r="398" ht="15.75" customHeight="1">
      <c r="A398" s="167"/>
      <c r="B398" s="199"/>
      <c r="N398" s="152"/>
      <c r="Q398" s="195"/>
      <c r="S398" s="200"/>
      <c r="T398" s="200"/>
      <c r="U398" s="152"/>
      <c r="V398" s="152"/>
      <c r="W398" s="157"/>
    </row>
    <row r="399" ht="15.75" customHeight="1">
      <c r="A399" s="167"/>
      <c r="B399" s="199"/>
      <c r="N399" s="152"/>
      <c r="Q399" s="195"/>
      <c r="S399" s="200"/>
      <c r="T399" s="200"/>
      <c r="U399" s="152"/>
      <c r="V399" s="152"/>
      <c r="W399" s="157"/>
    </row>
    <row r="400" ht="15.75" customHeight="1">
      <c r="A400" s="167"/>
      <c r="B400" s="199"/>
      <c r="N400" s="152"/>
      <c r="Q400" s="195"/>
      <c r="S400" s="200"/>
      <c r="T400" s="200"/>
      <c r="U400" s="152"/>
      <c r="V400" s="152"/>
      <c r="W400" s="157"/>
    </row>
    <row r="401" ht="15.75" customHeight="1">
      <c r="A401" s="167"/>
      <c r="B401" s="199"/>
      <c r="N401" s="152"/>
      <c r="Q401" s="195"/>
      <c r="S401" s="200"/>
      <c r="T401" s="200"/>
      <c r="U401" s="152"/>
      <c r="V401" s="152"/>
      <c r="W401" s="157"/>
    </row>
    <row r="402" ht="15.75" customHeight="1">
      <c r="A402" s="167"/>
      <c r="B402" s="199"/>
      <c r="N402" s="152"/>
      <c r="Q402" s="195"/>
      <c r="S402" s="200"/>
      <c r="T402" s="200"/>
      <c r="U402" s="152"/>
      <c r="V402" s="152"/>
      <c r="W402" s="157"/>
    </row>
    <row r="403" ht="15.75" customHeight="1">
      <c r="A403" s="167"/>
      <c r="B403" s="199"/>
      <c r="N403" s="152"/>
      <c r="Q403" s="195"/>
      <c r="S403" s="200"/>
      <c r="T403" s="200"/>
      <c r="U403" s="152"/>
      <c r="V403" s="152"/>
      <c r="W403" s="157"/>
    </row>
    <row r="404" ht="15.75" customHeight="1">
      <c r="A404" s="167"/>
      <c r="B404" s="199"/>
      <c r="N404" s="152"/>
      <c r="Q404" s="195"/>
      <c r="S404" s="200"/>
      <c r="T404" s="200"/>
      <c r="U404" s="152"/>
      <c r="V404" s="152"/>
      <c r="W404" s="157"/>
    </row>
    <row r="405" ht="15.75" customHeight="1">
      <c r="A405" s="167"/>
      <c r="B405" s="199"/>
      <c r="N405" s="152"/>
      <c r="Q405" s="195"/>
      <c r="S405" s="200"/>
      <c r="T405" s="200"/>
      <c r="U405" s="152"/>
      <c r="V405" s="152"/>
      <c r="W405" s="157"/>
    </row>
    <row r="406" ht="15.75" customHeight="1">
      <c r="A406" s="167"/>
      <c r="B406" s="199"/>
      <c r="N406" s="152"/>
      <c r="Q406" s="195"/>
      <c r="S406" s="200"/>
      <c r="T406" s="200"/>
      <c r="U406" s="152"/>
      <c r="V406" s="152"/>
      <c r="W406" s="157"/>
    </row>
    <row r="407" ht="15.75" customHeight="1">
      <c r="A407" s="167"/>
      <c r="B407" s="199"/>
      <c r="N407" s="152"/>
      <c r="Q407" s="195"/>
      <c r="S407" s="200"/>
      <c r="T407" s="200"/>
      <c r="U407" s="152"/>
      <c r="V407" s="152"/>
      <c r="W407" s="157"/>
    </row>
    <row r="408" ht="15.75" customHeight="1">
      <c r="A408" s="167"/>
      <c r="B408" s="199"/>
      <c r="N408" s="152"/>
      <c r="Q408" s="195"/>
      <c r="S408" s="200"/>
      <c r="T408" s="200"/>
      <c r="U408" s="152"/>
      <c r="V408" s="152"/>
      <c r="W408" s="157"/>
    </row>
    <row r="409" ht="15.75" customHeight="1">
      <c r="A409" s="167"/>
      <c r="B409" s="199"/>
      <c r="N409" s="152"/>
      <c r="Q409" s="195"/>
      <c r="S409" s="200"/>
      <c r="T409" s="200"/>
      <c r="U409" s="152"/>
      <c r="V409" s="152"/>
      <c r="W409" s="157"/>
    </row>
    <row r="410" ht="15.75" customHeight="1">
      <c r="A410" s="167"/>
      <c r="B410" s="199"/>
      <c r="N410" s="152"/>
      <c r="Q410" s="195"/>
      <c r="S410" s="200"/>
      <c r="T410" s="200"/>
      <c r="U410" s="152"/>
      <c r="V410" s="152"/>
      <c r="W410" s="157"/>
    </row>
    <row r="411" ht="15.75" customHeight="1">
      <c r="A411" s="167"/>
      <c r="B411" s="199"/>
      <c r="N411" s="152"/>
      <c r="Q411" s="195"/>
      <c r="S411" s="200"/>
      <c r="T411" s="200"/>
      <c r="U411" s="152"/>
      <c r="V411" s="152"/>
      <c r="W411" s="157"/>
    </row>
    <row r="412" ht="15.75" customHeight="1">
      <c r="A412" s="167"/>
      <c r="B412" s="199"/>
      <c r="N412" s="152"/>
      <c r="Q412" s="195"/>
      <c r="S412" s="200"/>
      <c r="T412" s="200"/>
      <c r="U412" s="152"/>
      <c r="V412" s="152"/>
      <c r="W412" s="157"/>
    </row>
    <row r="413" ht="15.75" customHeight="1">
      <c r="A413" s="167"/>
      <c r="B413" s="199"/>
      <c r="N413" s="152"/>
      <c r="Q413" s="195"/>
      <c r="S413" s="200"/>
      <c r="T413" s="200"/>
      <c r="U413" s="152"/>
      <c r="V413" s="152"/>
      <c r="W413" s="157"/>
    </row>
    <row r="414" ht="15.75" customHeight="1">
      <c r="A414" s="167"/>
      <c r="B414" s="199"/>
      <c r="N414" s="152"/>
      <c r="Q414" s="195"/>
      <c r="S414" s="200"/>
      <c r="T414" s="200"/>
      <c r="U414" s="152"/>
      <c r="V414" s="152"/>
      <c r="W414" s="157"/>
    </row>
    <row r="415" ht="15.75" customHeight="1">
      <c r="A415" s="167"/>
      <c r="B415" s="199"/>
      <c r="N415" s="152"/>
      <c r="Q415" s="195"/>
      <c r="S415" s="200"/>
      <c r="T415" s="200"/>
      <c r="U415" s="152"/>
      <c r="V415" s="152"/>
      <c r="W415" s="157"/>
    </row>
    <row r="416" ht="15.75" customHeight="1">
      <c r="A416" s="167"/>
      <c r="B416" s="199"/>
      <c r="N416" s="152"/>
      <c r="Q416" s="195"/>
      <c r="S416" s="200"/>
      <c r="T416" s="200"/>
      <c r="U416" s="152"/>
      <c r="V416" s="152"/>
      <c r="W416" s="157"/>
    </row>
    <row r="417" ht="15.75" customHeight="1">
      <c r="A417" s="167"/>
      <c r="B417" s="199"/>
      <c r="N417" s="152"/>
      <c r="Q417" s="195"/>
      <c r="S417" s="200"/>
      <c r="T417" s="200"/>
      <c r="U417" s="152"/>
      <c r="V417" s="152"/>
      <c r="W417" s="157"/>
    </row>
    <row r="418" ht="15.75" customHeight="1">
      <c r="A418" s="167"/>
      <c r="B418" s="199"/>
      <c r="N418" s="152"/>
      <c r="Q418" s="195"/>
      <c r="S418" s="200"/>
      <c r="T418" s="200"/>
      <c r="U418" s="152"/>
      <c r="V418" s="152"/>
      <c r="W418" s="157"/>
    </row>
    <row r="419" ht="15.75" customHeight="1">
      <c r="A419" s="167"/>
      <c r="B419" s="199"/>
      <c r="N419" s="152"/>
      <c r="Q419" s="195"/>
      <c r="S419" s="200"/>
      <c r="T419" s="200"/>
      <c r="U419" s="152"/>
      <c r="V419" s="152"/>
      <c r="W419" s="157"/>
    </row>
    <row r="420" ht="15.75" customHeight="1">
      <c r="A420" s="167"/>
      <c r="B420" s="199"/>
      <c r="N420" s="152"/>
      <c r="Q420" s="195"/>
      <c r="S420" s="200"/>
      <c r="T420" s="200"/>
      <c r="U420" s="152"/>
      <c r="V420" s="152"/>
      <c r="W420" s="157"/>
    </row>
    <row r="421" ht="15.75" customHeight="1">
      <c r="A421" s="167"/>
      <c r="B421" s="199"/>
      <c r="N421" s="152"/>
      <c r="Q421" s="195"/>
      <c r="S421" s="200"/>
      <c r="T421" s="200"/>
      <c r="U421" s="152"/>
      <c r="V421" s="152"/>
      <c r="W421" s="157"/>
    </row>
    <row r="422" ht="15.75" customHeight="1">
      <c r="A422" s="167"/>
      <c r="B422" s="199"/>
      <c r="N422" s="152"/>
      <c r="Q422" s="195"/>
      <c r="S422" s="200"/>
      <c r="T422" s="200"/>
      <c r="U422" s="152"/>
      <c r="V422" s="152"/>
      <c r="W422" s="157"/>
    </row>
    <row r="423" ht="15.75" customHeight="1">
      <c r="A423" s="167"/>
      <c r="B423" s="199"/>
      <c r="N423" s="152"/>
      <c r="Q423" s="195"/>
      <c r="S423" s="200"/>
      <c r="T423" s="200"/>
      <c r="U423" s="152"/>
      <c r="V423" s="152"/>
      <c r="W423" s="157"/>
    </row>
    <row r="424" ht="15.75" customHeight="1">
      <c r="A424" s="167"/>
      <c r="B424" s="199"/>
      <c r="N424" s="152"/>
      <c r="Q424" s="195"/>
      <c r="S424" s="200"/>
      <c r="T424" s="200"/>
      <c r="U424" s="152"/>
      <c r="V424" s="152"/>
      <c r="W424" s="157"/>
    </row>
    <row r="425" ht="15.75" customHeight="1">
      <c r="A425" s="167"/>
      <c r="B425" s="199"/>
      <c r="N425" s="152"/>
      <c r="Q425" s="195"/>
      <c r="S425" s="200"/>
      <c r="T425" s="200"/>
      <c r="U425" s="152"/>
      <c r="V425" s="152"/>
      <c r="W425" s="157"/>
    </row>
    <row r="426" ht="15.75" customHeight="1">
      <c r="A426" s="167"/>
      <c r="B426" s="199"/>
      <c r="N426" s="152"/>
      <c r="Q426" s="195"/>
      <c r="S426" s="200"/>
      <c r="T426" s="200"/>
      <c r="U426" s="152"/>
      <c r="V426" s="152"/>
      <c r="W426" s="157"/>
    </row>
    <row r="427" ht="15.75" customHeight="1">
      <c r="A427" s="167"/>
      <c r="B427" s="199"/>
      <c r="N427" s="152"/>
      <c r="Q427" s="195"/>
      <c r="S427" s="200"/>
      <c r="T427" s="200"/>
      <c r="U427" s="152"/>
      <c r="V427" s="152"/>
      <c r="W427" s="157"/>
    </row>
    <row r="428" ht="15.75" customHeight="1">
      <c r="A428" s="167"/>
      <c r="B428" s="199"/>
      <c r="N428" s="152"/>
      <c r="Q428" s="195"/>
      <c r="S428" s="200"/>
      <c r="T428" s="200"/>
      <c r="U428" s="152"/>
      <c r="V428" s="152"/>
      <c r="W428" s="157"/>
    </row>
    <row r="429" ht="15.75" customHeight="1">
      <c r="A429" s="167"/>
      <c r="B429" s="199"/>
      <c r="N429" s="152"/>
      <c r="Q429" s="195"/>
      <c r="S429" s="200"/>
      <c r="T429" s="200"/>
      <c r="U429" s="152"/>
      <c r="V429" s="152"/>
      <c r="W429" s="157"/>
    </row>
    <row r="430" ht="15.75" customHeight="1">
      <c r="A430" s="167"/>
      <c r="B430" s="199"/>
      <c r="N430" s="152"/>
      <c r="Q430" s="195"/>
      <c r="S430" s="200"/>
      <c r="T430" s="200"/>
      <c r="U430" s="152"/>
      <c r="V430" s="152"/>
      <c r="W430" s="157"/>
    </row>
    <row r="431" ht="15.75" customHeight="1">
      <c r="A431" s="167"/>
      <c r="B431" s="199"/>
      <c r="N431" s="152"/>
      <c r="Q431" s="195"/>
      <c r="S431" s="200"/>
      <c r="T431" s="200"/>
      <c r="U431" s="152"/>
      <c r="V431" s="152"/>
      <c r="W431" s="157"/>
    </row>
    <row r="432" ht="15.75" customHeight="1">
      <c r="A432" s="167"/>
      <c r="B432" s="199"/>
      <c r="N432" s="152"/>
      <c r="Q432" s="195"/>
      <c r="S432" s="200"/>
      <c r="T432" s="200"/>
      <c r="U432" s="152"/>
      <c r="V432" s="152"/>
      <c r="W432" s="157"/>
    </row>
    <row r="433" ht="15.75" customHeight="1">
      <c r="A433" s="167"/>
      <c r="B433" s="199"/>
      <c r="N433" s="152"/>
      <c r="Q433" s="195"/>
      <c r="S433" s="200"/>
      <c r="T433" s="200"/>
      <c r="U433" s="152"/>
      <c r="V433" s="152"/>
      <c r="W433" s="157"/>
    </row>
    <row r="434" ht="15.75" customHeight="1">
      <c r="A434" s="167"/>
      <c r="B434" s="199"/>
      <c r="N434" s="152"/>
      <c r="Q434" s="195"/>
      <c r="S434" s="200"/>
      <c r="T434" s="200"/>
      <c r="U434" s="152"/>
      <c r="V434" s="152"/>
      <c r="W434" s="157"/>
    </row>
    <row r="435" ht="15.75" customHeight="1">
      <c r="A435" s="167"/>
      <c r="B435" s="199"/>
      <c r="N435" s="152"/>
      <c r="Q435" s="195"/>
      <c r="S435" s="200"/>
      <c r="T435" s="200"/>
      <c r="U435" s="152"/>
      <c r="V435" s="152"/>
      <c r="W435" s="157"/>
    </row>
    <row r="436" ht="15.75" customHeight="1">
      <c r="A436" s="167"/>
      <c r="B436" s="199"/>
      <c r="N436" s="152"/>
      <c r="Q436" s="195"/>
      <c r="S436" s="200"/>
      <c r="T436" s="200"/>
      <c r="U436" s="152"/>
      <c r="V436" s="152"/>
      <c r="W436" s="157"/>
    </row>
    <row r="437" ht="15.75" customHeight="1">
      <c r="A437" s="167"/>
      <c r="B437" s="199"/>
      <c r="N437" s="152"/>
      <c r="Q437" s="195"/>
      <c r="S437" s="200"/>
      <c r="T437" s="200"/>
      <c r="U437" s="152"/>
      <c r="V437" s="152"/>
      <c r="W437" s="157"/>
    </row>
    <row r="438" ht="15.75" customHeight="1">
      <c r="A438" s="167"/>
      <c r="B438" s="199"/>
      <c r="N438" s="152"/>
      <c r="Q438" s="195"/>
      <c r="S438" s="200"/>
      <c r="T438" s="200"/>
      <c r="U438" s="152"/>
      <c r="V438" s="152"/>
      <c r="W438" s="157"/>
    </row>
    <row r="439" ht="15.75" customHeight="1">
      <c r="A439" s="167"/>
      <c r="B439" s="199"/>
      <c r="N439" s="152"/>
      <c r="Q439" s="195"/>
      <c r="S439" s="200"/>
      <c r="T439" s="200"/>
      <c r="U439" s="152"/>
      <c r="V439" s="152"/>
      <c r="W439" s="157"/>
    </row>
    <row r="440" ht="15.75" customHeight="1">
      <c r="A440" s="167"/>
      <c r="B440" s="199"/>
      <c r="N440" s="152"/>
      <c r="Q440" s="195"/>
      <c r="S440" s="200"/>
      <c r="T440" s="200"/>
      <c r="U440" s="152"/>
      <c r="V440" s="152"/>
      <c r="W440" s="157"/>
    </row>
    <row r="441" ht="15.75" customHeight="1">
      <c r="A441" s="167"/>
      <c r="B441" s="199"/>
      <c r="N441" s="152"/>
      <c r="Q441" s="195"/>
      <c r="S441" s="200"/>
      <c r="T441" s="200"/>
      <c r="U441" s="152"/>
      <c r="V441" s="152"/>
      <c r="W441" s="157"/>
    </row>
    <row r="442" ht="15.75" customHeight="1">
      <c r="A442" s="167"/>
      <c r="B442" s="199"/>
      <c r="N442" s="152"/>
      <c r="Q442" s="195"/>
      <c r="S442" s="200"/>
      <c r="T442" s="200"/>
      <c r="U442" s="152"/>
      <c r="V442" s="152"/>
      <c r="W442" s="157"/>
    </row>
    <row r="443" ht="15.75" customHeight="1">
      <c r="A443" s="167"/>
      <c r="B443" s="199"/>
      <c r="N443" s="152"/>
      <c r="Q443" s="195"/>
      <c r="S443" s="200"/>
      <c r="T443" s="200"/>
      <c r="U443" s="152"/>
      <c r="V443" s="152"/>
      <c r="W443" s="157"/>
    </row>
    <row r="444" ht="15.75" customHeight="1">
      <c r="A444" s="167"/>
      <c r="B444" s="199"/>
      <c r="N444" s="152"/>
      <c r="Q444" s="195"/>
      <c r="S444" s="200"/>
      <c r="T444" s="200"/>
      <c r="U444" s="152"/>
      <c r="V444" s="152"/>
      <c r="W444" s="157"/>
    </row>
    <row r="445" ht="15.75" customHeight="1">
      <c r="A445" s="167"/>
      <c r="B445" s="199"/>
      <c r="N445" s="152"/>
      <c r="Q445" s="195"/>
      <c r="S445" s="200"/>
      <c r="T445" s="200"/>
      <c r="U445" s="152"/>
      <c r="V445" s="152"/>
      <c r="W445" s="157"/>
    </row>
    <row r="446" ht="15.75" customHeight="1">
      <c r="A446" s="167"/>
      <c r="B446" s="199"/>
      <c r="N446" s="152"/>
      <c r="Q446" s="195"/>
      <c r="S446" s="200"/>
      <c r="T446" s="200"/>
      <c r="U446" s="152"/>
      <c r="V446" s="152"/>
      <c r="W446" s="157"/>
    </row>
    <row r="447" ht="15.75" customHeight="1">
      <c r="A447" s="167"/>
      <c r="B447" s="199"/>
      <c r="N447" s="152"/>
      <c r="Q447" s="195"/>
      <c r="S447" s="200"/>
      <c r="T447" s="200"/>
      <c r="U447" s="152"/>
      <c r="V447" s="152"/>
      <c r="W447" s="157"/>
    </row>
    <row r="448" ht="15.75" customHeight="1">
      <c r="A448" s="167"/>
      <c r="B448" s="199"/>
      <c r="N448" s="152"/>
      <c r="Q448" s="195"/>
      <c r="S448" s="200"/>
      <c r="T448" s="200"/>
      <c r="U448" s="152"/>
      <c r="V448" s="152"/>
      <c r="W448" s="157"/>
    </row>
    <row r="449" ht="15.75" customHeight="1">
      <c r="A449" s="167"/>
      <c r="B449" s="199"/>
      <c r="N449" s="152"/>
      <c r="Q449" s="195"/>
      <c r="S449" s="200"/>
      <c r="T449" s="200"/>
      <c r="U449" s="152"/>
      <c r="V449" s="152"/>
      <c r="W449" s="157"/>
    </row>
    <row r="450" ht="15.75" customHeight="1">
      <c r="A450" s="167"/>
      <c r="B450" s="199"/>
      <c r="N450" s="152"/>
      <c r="Q450" s="195"/>
      <c r="S450" s="200"/>
      <c r="T450" s="200"/>
      <c r="U450" s="152"/>
      <c r="V450" s="152"/>
      <c r="W450" s="157"/>
    </row>
    <row r="451" ht="15.75" customHeight="1">
      <c r="A451" s="167"/>
      <c r="B451" s="199"/>
      <c r="N451" s="152"/>
      <c r="Q451" s="195"/>
      <c r="S451" s="200"/>
      <c r="T451" s="200"/>
      <c r="U451" s="152"/>
      <c r="V451" s="152"/>
      <c r="W451" s="157"/>
    </row>
    <row r="452" ht="15.75" customHeight="1">
      <c r="A452" s="167"/>
      <c r="B452" s="199"/>
      <c r="N452" s="152"/>
      <c r="Q452" s="195"/>
      <c r="S452" s="200"/>
      <c r="T452" s="200"/>
      <c r="U452" s="152"/>
      <c r="V452" s="152"/>
      <c r="W452" s="157"/>
    </row>
    <row r="453" ht="15.75" customHeight="1">
      <c r="A453" s="167"/>
      <c r="B453" s="199"/>
      <c r="N453" s="152"/>
      <c r="Q453" s="195"/>
      <c r="S453" s="200"/>
      <c r="T453" s="200"/>
      <c r="U453" s="152"/>
      <c r="V453" s="152"/>
      <c r="W453" s="157"/>
    </row>
    <row r="454" ht="15.75" customHeight="1">
      <c r="A454" s="167"/>
      <c r="B454" s="199"/>
      <c r="N454" s="152"/>
      <c r="Q454" s="195"/>
      <c r="S454" s="200"/>
      <c r="T454" s="200"/>
      <c r="U454" s="152"/>
      <c r="V454" s="152"/>
      <c r="W454" s="157"/>
    </row>
    <row r="455" ht="15.75" customHeight="1">
      <c r="A455" s="167"/>
      <c r="B455" s="199"/>
      <c r="N455" s="152"/>
      <c r="Q455" s="195"/>
      <c r="S455" s="200"/>
      <c r="T455" s="200"/>
      <c r="U455" s="152"/>
      <c r="V455" s="152"/>
      <c r="W455" s="157"/>
    </row>
    <row r="456" ht="15.75" customHeight="1">
      <c r="A456" s="167"/>
      <c r="B456" s="199"/>
      <c r="N456" s="152"/>
      <c r="Q456" s="195"/>
      <c r="S456" s="200"/>
      <c r="T456" s="200"/>
      <c r="U456" s="152"/>
      <c r="V456" s="152"/>
      <c r="W456" s="157"/>
    </row>
    <row r="457" ht="15.75" customHeight="1">
      <c r="A457" s="167"/>
      <c r="B457" s="199"/>
      <c r="N457" s="152"/>
      <c r="Q457" s="195"/>
      <c r="S457" s="200"/>
      <c r="T457" s="200"/>
      <c r="U457" s="152"/>
      <c r="V457" s="152"/>
      <c r="W457" s="157"/>
    </row>
    <row r="458" ht="15.75" customHeight="1">
      <c r="A458" s="167"/>
      <c r="B458" s="199"/>
      <c r="N458" s="152"/>
      <c r="Q458" s="195"/>
      <c r="S458" s="200"/>
      <c r="T458" s="200"/>
      <c r="U458" s="152"/>
      <c r="V458" s="152"/>
      <c r="W458" s="157"/>
    </row>
    <row r="459" ht="15.75" customHeight="1">
      <c r="A459" s="167"/>
      <c r="B459" s="199"/>
      <c r="N459" s="152"/>
      <c r="Q459" s="195"/>
      <c r="S459" s="200"/>
      <c r="T459" s="200"/>
      <c r="U459" s="152"/>
      <c r="V459" s="152"/>
      <c r="W459" s="157"/>
    </row>
    <row r="460" ht="15.75" customHeight="1">
      <c r="A460" s="167"/>
      <c r="B460" s="199"/>
      <c r="N460" s="152"/>
      <c r="Q460" s="195"/>
      <c r="S460" s="200"/>
      <c r="T460" s="200"/>
      <c r="U460" s="152"/>
      <c r="V460" s="152"/>
      <c r="W460" s="157"/>
    </row>
    <row r="461" ht="15.75" customHeight="1">
      <c r="A461" s="167"/>
      <c r="B461" s="199"/>
      <c r="N461" s="152"/>
      <c r="Q461" s="195"/>
      <c r="S461" s="200"/>
      <c r="T461" s="200"/>
      <c r="U461" s="152"/>
      <c r="V461" s="152"/>
      <c r="W461" s="157"/>
    </row>
    <row r="462" ht="15.75" customHeight="1">
      <c r="A462" s="167"/>
      <c r="B462" s="199"/>
      <c r="N462" s="152"/>
      <c r="Q462" s="195"/>
      <c r="S462" s="200"/>
      <c r="T462" s="200"/>
      <c r="U462" s="152"/>
      <c r="V462" s="152"/>
      <c r="W462" s="157"/>
    </row>
    <row r="463" ht="15.75" customHeight="1">
      <c r="A463" s="167"/>
      <c r="B463" s="199"/>
      <c r="N463" s="152"/>
      <c r="Q463" s="195"/>
      <c r="S463" s="200"/>
      <c r="T463" s="200"/>
      <c r="U463" s="152"/>
      <c r="V463" s="152"/>
      <c r="W463" s="157"/>
    </row>
    <row r="464" ht="15.75" customHeight="1">
      <c r="A464" s="167"/>
      <c r="B464" s="199"/>
      <c r="N464" s="152"/>
      <c r="Q464" s="195"/>
      <c r="S464" s="200"/>
      <c r="T464" s="200"/>
      <c r="U464" s="152"/>
      <c r="V464" s="152"/>
      <c r="W464" s="157"/>
    </row>
    <row r="465" ht="15.75" customHeight="1">
      <c r="A465" s="167"/>
      <c r="B465" s="199"/>
      <c r="N465" s="152"/>
      <c r="Q465" s="195"/>
      <c r="S465" s="200"/>
      <c r="T465" s="200"/>
      <c r="U465" s="152"/>
      <c r="V465" s="152"/>
      <c r="W465" s="157"/>
    </row>
    <row r="466" ht="15.75" customHeight="1">
      <c r="A466" s="167"/>
      <c r="B466" s="199"/>
      <c r="N466" s="152"/>
      <c r="Q466" s="195"/>
      <c r="S466" s="200"/>
      <c r="T466" s="200"/>
      <c r="U466" s="152"/>
      <c r="V466" s="152"/>
      <c r="W466" s="157"/>
    </row>
    <row r="467" ht="15.75" customHeight="1">
      <c r="A467" s="167"/>
      <c r="B467" s="199"/>
      <c r="N467" s="152"/>
      <c r="Q467" s="195"/>
      <c r="S467" s="200"/>
      <c r="T467" s="200"/>
      <c r="U467" s="152"/>
      <c r="V467" s="152"/>
      <c r="W467" s="157"/>
    </row>
    <row r="468" ht="15.75" customHeight="1">
      <c r="A468" s="167"/>
      <c r="B468" s="199"/>
      <c r="N468" s="152"/>
      <c r="Q468" s="195"/>
      <c r="S468" s="200"/>
      <c r="T468" s="200"/>
      <c r="U468" s="152"/>
      <c r="V468" s="152"/>
      <c r="W468" s="157"/>
    </row>
    <row r="469" ht="15.75" customHeight="1">
      <c r="A469" s="167"/>
      <c r="B469" s="199"/>
      <c r="N469" s="152"/>
      <c r="Q469" s="195"/>
      <c r="S469" s="200"/>
      <c r="T469" s="200"/>
      <c r="U469" s="152"/>
      <c r="V469" s="152"/>
      <c r="W469" s="157"/>
    </row>
    <row r="470" ht="15.75" customHeight="1">
      <c r="A470" s="167"/>
      <c r="B470" s="199"/>
      <c r="N470" s="152"/>
      <c r="Q470" s="195"/>
      <c r="S470" s="200"/>
      <c r="T470" s="200"/>
      <c r="U470" s="152"/>
      <c r="V470" s="152"/>
      <c r="W470" s="157"/>
    </row>
    <row r="471" ht="15.75" customHeight="1">
      <c r="A471" s="167"/>
      <c r="B471" s="199"/>
      <c r="N471" s="152"/>
      <c r="Q471" s="195"/>
      <c r="S471" s="200"/>
      <c r="T471" s="200"/>
      <c r="U471" s="152"/>
      <c r="V471" s="152"/>
      <c r="W471" s="157"/>
    </row>
    <row r="472" ht="15.75" customHeight="1">
      <c r="A472" s="167"/>
      <c r="B472" s="199"/>
      <c r="N472" s="152"/>
      <c r="Q472" s="195"/>
      <c r="S472" s="200"/>
      <c r="T472" s="200"/>
      <c r="U472" s="152"/>
      <c r="V472" s="152"/>
      <c r="W472" s="157"/>
    </row>
    <row r="473" ht="15.75" customHeight="1">
      <c r="A473" s="167"/>
      <c r="B473" s="199"/>
      <c r="N473" s="152"/>
      <c r="Q473" s="195"/>
      <c r="S473" s="200"/>
      <c r="T473" s="200"/>
      <c r="U473" s="152"/>
      <c r="V473" s="152"/>
      <c r="W473" s="157"/>
    </row>
    <row r="474" ht="15.75" customHeight="1">
      <c r="A474" s="167"/>
      <c r="B474" s="199"/>
      <c r="N474" s="152"/>
      <c r="Q474" s="195"/>
      <c r="S474" s="200"/>
      <c r="T474" s="200"/>
      <c r="U474" s="152"/>
      <c r="V474" s="152"/>
      <c r="W474" s="157"/>
    </row>
    <row r="475" ht="15.75" customHeight="1">
      <c r="A475" s="167"/>
      <c r="B475" s="199"/>
      <c r="N475" s="152"/>
      <c r="Q475" s="195"/>
      <c r="S475" s="200"/>
      <c r="T475" s="200"/>
      <c r="U475" s="152"/>
      <c r="V475" s="152"/>
      <c r="W475" s="157"/>
    </row>
    <row r="476" ht="15.75" customHeight="1">
      <c r="A476" s="167"/>
      <c r="B476" s="199"/>
      <c r="N476" s="152"/>
      <c r="Q476" s="195"/>
      <c r="S476" s="200"/>
      <c r="T476" s="200"/>
      <c r="U476" s="152"/>
      <c r="V476" s="152"/>
      <c r="W476" s="157"/>
    </row>
    <row r="477" ht="15.75" customHeight="1">
      <c r="A477" s="167"/>
      <c r="B477" s="199"/>
      <c r="N477" s="152"/>
      <c r="Q477" s="195"/>
      <c r="S477" s="200"/>
      <c r="T477" s="200"/>
      <c r="U477" s="152"/>
      <c r="V477" s="152"/>
      <c r="W477" s="157"/>
    </row>
    <row r="478" ht="15.75" customHeight="1">
      <c r="A478" s="167"/>
      <c r="B478" s="199"/>
      <c r="N478" s="152"/>
      <c r="Q478" s="195"/>
      <c r="S478" s="200"/>
      <c r="T478" s="200"/>
      <c r="U478" s="152"/>
      <c r="V478" s="152"/>
      <c r="W478" s="157"/>
    </row>
    <row r="479" ht="15.75" customHeight="1">
      <c r="A479" s="167"/>
      <c r="B479" s="199"/>
      <c r="N479" s="152"/>
      <c r="Q479" s="195"/>
      <c r="S479" s="200"/>
      <c r="T479" s="200"/>
      <c r="U479" s="152"/>
      <c r="V479" s="152"/>
      <c r="W479" s="157"/>
    </row>
    <row r="480" ht="15.75" customHeight="1">
      <c r="A480" s="167"/>
      <c r="B480" s="199"/>
      <c r="N480" s="152"/>
      <c r="Q480" s="195"/>
      <c r="S480" s="200"/>
      <c r="T480" s="200"/>
      <c r="U480" s="152"/>
      <c r="V480" s="152"/>
      <c r="W480" s="157"/>
    </row>
    <row r="481" ht="15.75" customHeight="1">
      <c r="A481" s="167"/>
      <c r="B481" s="199"/>
      <c r="N481" s="152"/>
      <c r="Q481" s="195"/>
      <c r="S481" s="200"/>
      <c r="T481" s="200"/>
      <c r="U481" s="152"/>
      <c r="V481" s="152"/>
      <c r="W481" s="157"/>
    </row>
    <row r="482" ht="15.75" customHeight="1">
      <c r="A482" s="167"/>
      <c r="B482" s="199"/>
      <c r="N482" s="152"/>
      <c r="Q482" s="195"/>
      <c r="S482" s="200"/>
      <c r="T482" s="200"/>
      <c r="U482" s="152"/>
      <c r="V482" s="152"/>
      <c r="W482" s="157"/>
    </row>
    <row r="483" ht="15.75" customHeight="1">
      <c r="A483" s="167"/>
      <c r="B483" s="199"/>
      <c r="N483" s="152"/>
      <c r="Q483" s="195"/>
      <c r="S483" s="200"/>
      <c r="T483" s="200"/>
      <c r="U483" s="152"/>
      <c r="V483" s="152"/>
      <c r="W483" s="157"/>
    </row>
    <row r="484" ht="15.75" customHeight="1">
      <c r="A484" s="167"/>
      <c r="B484" s="199"/>
      <c r="N484" s="152"/>
      <c r="Q484" s="195"/>
      <c r="S484" s="200"/>
      <c r="T484" s="200"/>
      <c r="U484" s="152"/>
      <c r="V484" s="152"/>
      <c r="W484" s="157"/>
    </row>
    <row r="485" ht="15.75" customHeight="1">
      <c r="A485" s="167"/>
      <c r="B485" s="199"/>
      <c r="N485" s="152"/>
      <c r="Q485" s="195"/>
      <c r="S485" s="200"/>
      <c r="T485" s="200"/>
      <c r="U485" s="152"/>
      <c r="V485" s="152"/>
      <c r="W485" s="157"/>
    </row>
    <row r="486" ht="15.75" customHeight="1">
      <c r="A486" s="167"/>
      <c r="B486" s="199"/>
      <c r="N486" s="152"/>
      <c r="Q486" s="195"/>
      <c r="S486" s="200"/>
      <c r="T486" s="200"/>
      <c r="U486" s="152"/>
      <c r="V486" s="152"/>
      <c r="W486" s="157"/>
    </row>
    <row r="487" ht="15.75" customHeight="1">
      <c r="A487" s="167"/>
      <c r="B487" s="199"/>
      <c r="N487" s="152"/>
      <c r="Q487" s="195"/>
      <c r="S487" s="200"/>
      <c r="T487" s="200"/>
      <c r="U487" s="152"/>
      <c r="V487" s="152"/>
      <c r="W487" s="157"/>
    </row>
    <row r="488" ht="15.75" customHeight="1">
      <c r="A488" s="167"/>
      <c r="B488" s="199"/>
      <c r="N488" s="152"/>
      <c r="Q488" s="195"/>
      <c r="S488" s="200"/>
      <c r="T488" s="200"/>
      <c r="U488" s="152"/>
      <c r="V488" s="152"/>
      <c r="W488" s="157"/>
    </row>
    <row r="489" ht="15.75" customHeight="1">
      <c r="A489" s="167"/>
      <c r="B489" s="199"/>
      <c r="N489" s="152"/>
      <c r="Q489" s="195"/>
      <c r="S489" s="200"/>
      <c r="T489" s="200"/>
      <c r="U489" s="152"/>
      <c r="V489" s="152"/>
      <c r="W489" s="157"/>
    </row>
    <row r="490" ht="15.75" customHeight="1">
      <c r="A490" s="167"/>
      <c r="B490" s="199"/>
      <c r="N490" s="152"/>
      <c r="Q490" s="195"/>
      <c r="S490" s="200"/>
      <c r="T490" s="200"/>
      <c r="U490" s="152"/>
      <c r="V490" s="152"/>
      <c r="W490" s="157"/>
    </row>
    <row r="491" ht="15.75" customHeight="1">
      <c r="A491" s="167"/>
      <c r="B491" s="199"/>
      <c r="N491" s="152"/>
      <c r="Q491" s="195"/>
      <c r="S491" s="200"/>
      <c r="T491" s="200"/>
      <c r="U491" s="152"/>
      <c r="V491" s="152"/>
      <c r="W491" s="157"/>
    </row>
    <row r="492" ht="15.75" customHeight="1">
      <c r="A492" s="167"/>
      <c r="B492" s="199"/>
      <c r="N492" s="152"/>
      <c r="Q492" s="195"/>
      <c r="S492" s="200"/>
      <c r="T492" s="200"/>
      <c r="U492" s="152"/>
      <c r="V492" s="152"/>
      <c r="W492" s="157"/>
    </row>
    <row r="493" ht="15.75" customHeight="1">
      <c r="A493" s="167"/>
      <c r="B493" s="199"/>
      <c r="N493" s="152"/>
      <c r="Q493" s="195"/>
      <c r="S493" s="200"/>
      <c r="T493" s="200"/>
      <c r="U493" s="152"/>
      <c r="V493" s="152"/>
      <c r="W493" s="157"/>
    </row>
    <row r="494" ht="15.75" customHeight="1">
      <c r="A494" s="167"/>
      <c r="B494" s="199"/>
      <c r="N494" s="152"/>
      <c r="Q494" s="195"/>
      <c r="S494" s="200"/>
      <c r="T494" s="200"/>
      <c r="U494" s="152"/>
      <c r="V494" s="152"/>
      <c r="W494" s="157"/>
    </row>
    <row r="495" ht="15.75" customHeight="1">
      <c r="A495" s="167"/>
      <c r="B495" s="199"/>
      <c r="N495" s="152"/>
      <c r="Q495" s="195"/>
      <c r="S495" s="200"/>
      <c r="T495" s="200"/>
      <c r="U495" s="152"/>
      <c r="V495" s="152"/>
      <c r="W495" s="157"/>
    </row>
    <row r="496" ht="15.75" customHeight="1">
      <c r="A496" s="167"/>
      <c r="B496" s="199"/>
      <c r="N496" s="152"/>
      <c r="Q496" s="195"/>
      <c r="S496" s="200"/>
      <c r="T496" s="200"/>
      <c r="U496" s="152"/>
      <c r="V496" s="152"/>
      <c r="W496" s="157"/>
    </row>
    <row r="497" ht="15.75" customHeight="1">
      <c r="A497" s="167"/>
      <c r="B497" s="199"/>
      <c r="N497" s="152"/>
      <c r="Q497" s="195"/>
      <c r="S497" s="200"/>
      <c r="T497" s="200"/>
      <c r="U497" s="152"/>
      <c r="V497" s="152"/>
      <c r="W497" s="157"/>
    </row>
    <row r="498" ht="15.75" customHeight="1">
      <c r="A498" s="167"/>
      <c r="B498" s="199"/>
      <c r="N498" s="152"/>
      <c r="Q498" s="195"/>
      <c r="S498" s="200"/>
      <c r="T498" s="200"/>
      <c r="U498" s="152"/>
      <c r="V498" s="152"/>
      <c r="W498" s="157"/>
    </row>
    <row r="499" ht="15.75" customHeight="1">
      <c r="A499" s="167"/>
      <c r="B499" s="199"/>
      <c r="N499" s="152"/>
      <c r="Q499" s="195"/>
      <c r="S499" s="200"/>
      <c r="T499" s="200"/>
      <c r="U499" s="152"/>
      <c r="V499" s="152"/>
      <c r="W499" s="157"/>
    </row>
    <row r="500" ht="15.75" customHeight="1">
      <c r="A500" s="167"/>
      <c r="B500" s="199"/>
      <c r="N500" s="152"/>
      <c r="Q500" s="195"/>
      <c r="S500" s="200"/>
      <c r="T500" s="200"/>
      <c r="U500" s="152"/>
      <c r="V500" s="152"/>
      <c r="W500" s="157"/>
    </row>
    <row r="501" ht="15.75" customHeight="1">
      <c r="A501" s="167"/>
      <c r="B501" s="199"/>
      <c r="N501" s="152"/>
      <c r="Q501" s="195"/>
      <c r="S501" s="200"/>
      <c r="T501" s="200"/>
      <c r="U501" s="152"/>
      <c r="V501" s="152"/>
      <c r="W501" s="157"/>
    </row>
    <row r="502" ht="15.75" customHeight="1">
      <c r="A502" s="167"/>
      <c r="B502" s="199"/>
      <c r="N502" s="152"/>
      <c r="Q502" s="195"/>
      <c r="S502" s="200"/>
      <c r="T502" s="200"/>
      <c r="U502" s="152"/>
      <c r="V502" s="152"/>
      <c r="W502" s="157"/>
    </row>
    <row r="503" ht="15.75" customHeight="1">
      <c r="A503" s="167"/>
      <c r="B503" s="199"/>
      <c r="N503" s="152"/>
      <c r="Q503" s="195"/>
      <c r="S503" s="200"/>
      <c r="T503" s="200"/>
      <c r="U503" s="152"/>
      <c r="V503" s="152"/>
      <c r="W503" s="157"/>
    </row>
    <row r="504" ht="15.75" customHeight="1">
      <c r="A504" s="167"/>
      <c r="B504" s="199"/>
      <c r="N504" s="152"/>
      <c r="Q504" s="195"/>
      <c r="S504" s="200"/>
      <c r="T504" s="200"/>
      <c r="U504" s="152"/>
      <c r="V504" s="152"/>
      <c r="W504" s="157"/>
    </row>
    <row r="505" ht="15.75" customHeight="1">
      <c r="A505" s="167"/>
      <c r="B505" s="199"/>
      <c r="N505" s="152"/>
      <c r="Q505" s="195"/>
      <c r="S505" s="200"/>
      <c r="T505" s="200"/>
      <c r="U505" s="152"/>
      <c r="V505" s="152"/>
      <c r="W505" s="157"/>
    </row>
    <row r="506" ht="15.75" customHeight="1">
      <c r="A506" s="167"/>
      <c r="B506" s="199"/>
      <c r="N506" s="152"/>
      <c r="Q506" s="195"/>
      <c r="S506" s="200"/>
      <c r="T506" s="200"/>
      <c r="U506" s="152"/>
      <c r="V506" s="152"/>
      <c r="W506" s="157"/>
    </row>
    <row r="507" ht="15.75" customHeight="1">
      <c r="A507" s="167"/>
      <c r="B507" s="199"/>
      <c r="N507" s="152"/>
      <c r="Q507" s="195"/>
      <c r="S507" s="200"/>
      <c r="T507" s="200"/>
      <c r="U507" s="152"/>
      <c r="V507" s="152"/>
      <c r="W507" s="157"/>
    </row>
    <row r="508" ht="15.75" customHeight="1">
      <c r="A508" s="167"/>
      <c r="B508" s="199"/>
      <c r="N508" s="152"/>
      <c r="Q508" s="195"/>
      <c r="S508" s="200"/>
      <c r="T508" s="200"/>
      <c r="U508" s="152"/>
      <c r="V508" s="152"/>
      <c r="W508" s="157"/>
    </row>
    <row r="509" ht="15.75" customHeight="1">
      <c r="A509" s="167"/>
      <c r="B509" s="199"/>
      <c r="N509" s="152"/>
      <c r="Q509" s="195"/>
      <c r="S509" s="200"/>
      <c r="T509" s="200"/>
      <c r="U509" s="152"/>
      <c r="V509" s="152"/>
      <c r="W509" s="157"/>
    </row>
    <row r="510" ht="15.75" customHeight="1">
      <c r="A510" s="167"/>
      <c r="B510" s="199"/>
      <c r="N510" s="152"/>
      <c r="Q510" s="195"/>
      <c r="S510" s="200"/>
      <c r="T510" s="200"/>
      <c r="U510" s="152"/>
      <c r="V510" s="152"/>
      <c r="W510" s="157"/>
    </row>
    <row r="511" ht="15.75" customHeight="1">
      <c r="A511" s="167"/>
      <c r="B511" s="199"/>
      <c r="N511" s="152"/>
      <c r="Q511" s="195"/>
      <c r="S511" s="200"/>
      <c r="T511" s="200"/>
      <c r="U511" s="152"/>
      <c r="V511" s="152"/>
      <c r="W511" s="157"/>
    </row>
    <row r="512" ht="15.75" customHeight="1">
      <c r="A512" s="167"/>
      <c r="B512" s="199"/>
      <c r="N512" s="152"/>
      <c r="Q512" s="195"/>
      <c r="S512" s="200"/>
      <c r="T512" s="200"/>
      <c r="U512" s="152"/>
      <c r="V512" s="152"/>
      <c r="W512" s="157"/>
    </row>
    <row r="513" ht="15.75" customHeight="1">
      <c r="A513" s="167"/>
      <c r="B513" s="199"/>
      <c r="N513" s="152"/>
      <c r="Q513" s="195"/>
      <c r="S513" s="200"/>
      <c r="T513" s="200"/>
      <c r="U513" s="152"/>
      <c r="V513" s="152"/>
      <c r="W513" s="157"/>
    </row>
    <row r="514" ht="15.75" customHeight="1">
      <c r="A514" s="167"/>
      <c r="B514" s="199"/>
      <c r="N514" s="152"/>
      <c r="Q514" s="195"/>
      <c r="S514" s="200"/>
      <c r="T514" s="200"/>
      <c r="U514" s="152"/>
      <c r="V514" s="152"/>
      <c r="W514" s="157"/>
    </row>
    <row r="515" ht="15.75" customHeight="1">
      <c r="A515" s="167"/>
      <c r="B515" s="199"/>
      <c r="N515" s="152"/>
      <c r="Q515" s="195"/>
      <c r="S515" s="200"/>
      <c r="T515" s="200"/>
      <c r="U515" s="152"/>
      <c r="V515" s="152"/>
      <c r="W515" s="157"/>
    </row>
    <row r="516" ht="15.75" customHeight="1">
      <c r="A516" s="167"/>
      <c r="B516" s="199"/>
      <c r="N516" s="152"/>
      <c r="Q516" s="195"/>
      <c r="S516" s="200"/>
      <c r="T516" s="200"/>
      <c r="U516" s="152"/>
      <c r="V516" s="152"/>
      <c r="W516" s="157"/>
    </row>
    <row r="517" ht="15.75" customHeight="1">
      <c r="A517" s="167"/>
      <c r="B517" s="199"/>
      <c r="N517" s="152"/>
      <c r="Q517" s="195"/>
      <c r="S517" s="200"/>
      <c r="T517" s="200"/>
      <c r="U517" s="152"/>
      <c r="V517" s="152"/>
      <c r="W517" s="157"/>
    </row>
    <row r="518" ht="15.75" customHeight="1">
      <c r="A518" s="167"/>
      <c r="B518" s="199"/>
      <c r="N518" s="152"/>
      <c r="Q518" s="195"/>
      <c r="S518" s="200"/>
      <c r="T518" s="200"/>
      <c r="U518" s="152"/>
      <c r="V518" s="152"/>
      <c r="W518" s="157"/>
    </row>
    <row r="519" ht="15.75" customHeight="1">
      <c r="A519" s="167"/>
      <c r="B519" s="199"/>
      <c r="N519" s="152"/>
      <c r="Q519" s="195"/>
      <c r="S519" s="200"/>
      <c r="T519" s="200"/>
      <c r="U519" s="152"/>
      <c r="V519" s="152"/>
      <c r="W519" s="157"/>
    </row>
    <row r="520" ht="15.75" customHeight="1">
      <c r="A520" s="167"/>
      <c r="B520" s="199"/>
      <c r="N520" s="152"/>
      <c r="Q520" s="195"/>
      <c r="S520" s="200"/>
      <c r="T520" s="200"/>
      <c r="U520" s="152"/>
      <c r="V520" s="152"/>
      <c r="W520" s="157"/>
    </row>
    <row r="521" ht="15.75" customHeight="1">
      <c r="A521" s="167"/>
      <c r="B521" s="199"/>
      <c r="N521" s="152"/>
      <c r="Q521" s="195"/>
      <c r="S521" s="200"/>
      <c r="T521" s="200"/>
      <c r="U521" s="152"/>
      <c r="V521" s="152"/>
      <c r="W521" s="157"/>
    </row>
    <row r="522" ht="15.75" customHeight="1">
      <c r="A522" s="167"/>
      <c r="B522" s="199"/>
      <c r="N522" s="152"/>
      <c r="Q522" s="195"/>
      <c r="S522" s="200"/>
      <c r="T522" s="200"/>
      <c r="U522" s="152"/>
      <c r="V522" s="152"/>
      <c r="W522" s="157"/>
    </row>
    <row r="523" ht="15.75" customHeight="1">
      <c r="A523" s="167"/>
      <c r="B523" s="199"/>
      <c r="N523" s="152"/>
      <c r="Q523" s="195"/>
      <c r="S523" s="200"/>
      <c r="T523" s="200"/>
      <c r="U523" s="152"/>
      <c r="V523" s="152"/>
      <c r="W523" s="157"/>
    </row>
    <row r="524" ht="15.75" customHeight="1">
      <c r="A524" s="167"/>
      <c r="B524" s="199"/>
      <c r="N524" s="152"/>
      <c r="Q524" s="195"/>
      <c r="S524" s="200"/>
      <c r="T524" s="200"/>
      <c r="U524" s="152"/>
      <c r="V524" s="152"/>
      <c r="W524" s="157"/>
    </row>
    <row r="525" ht="15.75" customHeight="1">
      <c r="A525" s="167"/>
      <c r="B525" s="199"/>
      <c r="N525" s="152"/>
      <c r="Q525" s="195"/>
      <c r="S525" s="200"/>
      <c r="T525" s="200"/>
      <c r="U525" s="152"/>
      <c r="V525" s="152"/>
      <c r="W525" s="157"/>
    </row>
    <row r="526" ht="15.75" customHeight="1">
      <c r="A526" s="167"/>
      <c r="B526" s="199"/>
      <c r="N526" s="152"/>
      <c r="Q526" s="195"/>
      <c r="S526" s="200"/>
      <c r="T526" s="200"/>
      <c r="U526" s="152"/>
      <c r="V526" s="152"/>
      <c r="W526" s="157"/>
    </row>
    <row r="527" ht="15.75" customHeight="1">
      <c r="A527" s="167"/>
      <c r="B527" s="199"/>
      <c r="N527" s="152"/>
      <c r="Q527" s="195"/>
      <c r="S527" s="200"/>
      <c r="T527" s="200"/>
      <c r="U527" s="152"/>
      <c r="V527" s="152"/>
      <c r="W527" s="157"/>
    </row>
    <row r="528" ht="15.75" customHeight="1">
      <c r="A528" s="167"/>
      <c r="B528" s="199"/>
      <c r="N528" s="152"/>
      <c r="Q528" s="195"/>
      <c r="S528" s="200"/>
      <c r="T528" s="200"/>
      <c r="U528" s="152"/>
      <c r="V528" s="152"/>
      <c r="W528" s="157"/>
    </row>
    <row r="529" ht="15.75" customHeight="1">
      <c r="A529" s="167"/>
      <c r="B529" s="199"/>
      <c r="N529" s="152"/>
      <c r="Q529" s="195"/>
      <c r="S529" s="200"/>
      <c r="T529" s="200"/>
      <c r="U529" s="152"/>
      <c r="V529" s="152"/>
      <c r="W529" s="157"/>
    </row>
    <row r="530" ht="15.75" customHeight="1">
      <c r="A530" s="167"/>
      <c r="B530" s="199"/>
      <c r="N530" s="152"/>
      <c r="Q530" s="195"/>
      <c r="S530" s="200"/>
      <c r="T530" s="200"/>
      <c r="U530" s="152"/>
      <c r="V530" s="152"/>
      <c r="W530" s="157"/>
    </row>
    <row r="531" ht="15.75" customHeight="1">
      <c r="A531" s="167"/>
      <c r="B531" s="199"/>
      <c r="N531" s="152"/>
      <c r="Q531" s="195"/>
      <c r="S531" s="200"/>
      <c r="T531" s="200"/>
      <c r="U531" s="152"/>
      <c r="V531" s="152"/>
      <c r="W531" s="157"/>
    </row>
    <row r="532" ht="15.75" customHeight="1">
      <c r="A532" s="167"/>
      <c r="B532" s="199"/>
      <c r="N532" s="152"/>
      <c r="Q532" s="195"/>
      <c r="S532" s="200"/>
      <c r="T532" s="200"/>
      <c r="U532" s="152"/>
      <c r="V532" s="152"/>
      <c r="W532" s="157"/>
    </row>
    <row r="533" ht="15.75" customHeight="1">
      <c r="A533" s="167"/>
      <c r="B533" s="199"/>
      <c r="N533" s="152"/>
      <c r="Q533" s="195"/>
      <c r="S533" s="200"/>
      <c r="T533" s="200"/>
      <c r="U533" s="152"/>
      <c r="V533" s="152"/>
      <c r="W533" s="157"/>
    </row>
    <row r="534" ht="15.75" customHeight="1">
      <c r="A534" s="167"/>
      <c r="B534" s="199"/>
      <c r="N534" s="152"/>
      <c r="Q534" s="195"/>
      <c r="S534" s="200"/>
      <c r="T534" s="200"/>
      <c r="U534" s="152"/>
      <c r="V534" s="152"/>
      <c r="W534" s="157"/>
    </row>
    <row r="535" ht="15.75" customHeight="1">
      <c r="A535" s="167"/>
      <c r="B535" s="199"/>
      <c r="N535" s="152"/>
      <c r="Q535" s="195"/>
      <c r="S535" s="200"/>
      <c r="T535" s="200"/>
      <c r="U535" s="152"/>
      <c r="V535" s="152"/>
      <c r="W535" s="157"/>
    </row>
    <row r="536" ht="15.75" customHeight="1">
      <c r="A536" s="167"/>
      <c r="B536" s="199"/>
      <c r="N536" s="152"/>
      <c r="Q536" s="195"/>
      <c r="S536" s="200"/>
      <c r="T536" s="200"/>
      <c r="U536" s="152"/>
      <c r="V536" s="152"/>
      <c r="W536" s="157"/>
    </row>
    <row r="537" ht="15.75" customHeight="1">
      <c r="A537" s="167"/>
      <c r="B537" s="199"/>
      <c r="N537" s="152"/>
      <c r="Q537" s="195"/>
      <c r="S537" s="200"/>
      <c r="T537" s="200"/>
      <c r="U537" s="152"/>
      <c r="V537" s="152"/>
      <c r="W537" s="157"/>
    </row>
    <row r="538" ht="15.75" customHeight="1">
      <c r="A538" s="167"/>
      <c r="B538" s="199"/>
      <c r="N538" s="152"/>
      <c r="Q538" s="195"/>
      <c r="S538" s="200"/>
      <c r="T538" s="200"/>
      <c r="U538" s="152"/>
      <c r="V538" s="152"/>
      <c r="W538" s="157"/>
    </row>
    <row r="539" ht="15.75" customHeight="1">
      <c r="A539" s="167"/>
      <c r="B539" s="199"/>
      <c r="N539" s="152"/>
      <c r="Q539" s="195"/>
      <c r="S539" s="200"/>
      <c r="T539" s="200"/>
      <c r="U539" s="152"/>
      <c r="V539" s="152"/>
      <c r="W539" s="157"/>
    </row>
    <row r="540" ht="15.75" customHeight="1">
      <c r="A540" s="167"/>
      <c r="B540" s="199"/>
      <c r="N540" s="152"/>
      <c r="Q540" s="195"/>
      <c r="S540" s="200"/>
      <c r="T540" s="200"/>
      <c r="U540" s="152"/>
      <c r="V540" s="152"/>
      <c r="W540" s="157"/>
    </row>
    <row r="541" ht="15.75" customHeight="1">
      <c r="A541" s="167"/>
      <c r="B541" s="199"/>
      <c r="N541" s="152"/>
      <c r="Q541" s="195"/>
      <c r="S541" s="200"/>
      <c r="T541" s="200"/>
      <c r="U541" s="152"/>
      <c r="V541" s="152"/>
      <c r="W541" s="157"/>
    </row>
    <row r="542" ht="15.75" customHeight="1">
      <c r="A542" s="167"/>
      <c r="B542" s="199"/>
      <c r="N542" s="152"/>
      <c r="Q542" s="195"/>
      <c r="S542" s="200"/>
      <c r="T542" s="200"/>
      <c r="U542" s="152"/>
      <c r="V542" s="152"/>
      <c r="W542" s="157"/>
    </row>
    <row r="543" ht="15.75" customHeight="1">
      <c r="A543" s="167"/>
      <c r="B543" s="199"/>
      <c r="N543" s="152"/>
      <c r="Q543" s="195"/>
      <c r="S543" s="200"/>
      <c r="T543" s="200"/>
      <c r="U543" s="152"/>
      <c r="V543" s="152"/>
      <c r="W543" s="157"/>
    </row>
    <row r="544" ht="15.75" customHeight="1">
      <c r="A544" s="167"/>
      <c r="B544" s="199"/>
      <c r="N544" s="152"/>
      <c r="Q544" s="195"/>
      <c r="S544" s="200"/>
      <c r="T544" s="200"/>
      <c r="U544" s="152"/>
      <c r="V544" s="152"/>
      <c r="W544" s="157"/>
    </row>
    <row r="545" ht="15.75" customHeight="1">
      <c r="A545" s="167"/>
      <c r="B545" s="199"/>
      <c r="N545" s="152"/>
      <c r="Q545" s="195"/>
      <c r="S545" s="200"/>
      <c r="T545" s="200"/>
      <c r="U545" s="152"/>
      <c r="V545" s="152"/>
      <c r="W545" s="157"/>
    </row>
    <row r="546" ht="15.75" customHeight="1">
      <c r="A546" s="167"/>
      <c r="B546" s="199"/>
      <c r="N546" s="152"/>
      <c r="Q546" s="195"/>
      <c r="S546" s="200"/>
      <c r="T546" s="200"/>
      <c r="U546" s="152"/>
      <c r="V546" s="152"/>
      <c r="W546" s="157"/>
    </row>
    <row r="547" ht="15.75" customHeight="1">
      <c r="A547" s="167"/>
      <c r="B547" s="199"/>
      <c r="N547" s="152"/>
      <c r="Q547" s="195"/>
      <c r="S547" s="200"/>
      <c r="T547" s="200"/>
      <c r="U547" s="152"/>
      <c r="V547" s="152"/>
      <c r="W547" s="157"/>
    </row>
    <row r="548" ht="15.75" customHeight="1">
      <c r="A548" s="167"/>
      <c r="B548" s="199"/>
      <c r="N548" s="152"/>
      <c r="Q548" s="195"/>
      <c r="S548" s="200"/>
      <c r="T548" s="200"/>
      <c r="U548" s="152"/>
      <c r="V548" s="152"/>
      <c r="W548" s="157"/>
    </row>
    <row r="549" ht="15.75" customHeight="1">
      <c r="A549" s="167"/>
      <c r="B549" s="199"/>
      <c r="N549" s="152"/>
      <c r="Q549" s="195"/>
      <c r="S549" s="200"/>
      <c r="T549" s="200"/>
      <c r="U549" s="152"/>
      <c r="V549" s="152"/>
      <c r="W549" s="157"/>
    </row>
    <row r="550" ht="15.75" customHeight="1">
      <c r="A550" s="167"/>
      <c r="B550" s="199"/>
      <c r="N550" s="152"/>
      <c r="Q550" s="195"/>
      <c r="S550" s="200"/>
      <c r="T550" s="200"/>
      <c r="U550" s="152"/>
      <c r="V550" s="152"/>
      <c r="W550" s="157"/>
    </row>
    <row r="551" ht="15.75" customHeight="1">
      <c r="A551" s="167"/>
      <c r="B551" s="199"/>
      <c r="N551" s="152"/>
      <c r="Q551" s="195"/>
      <c r="S551" s="200"/>
      <c r="T551" s="200"/>
      <c r="U551" s="152"/>
      <c r="V551" s="152"/>
      <c r="W551" s="157"/>
    </row>
    <row r="552" ht="15.75" customHeight="1">
      <c r="A552" s="167"/>
      <c r="B552" s="199"/>
      <c r="N552" s="152"/>
      <c r="Q552" s="195"/>
      <c r="S552" s="200"/>
      <c r="T552" s="200"/>
      <c r="U552" s="152"/>
      <c r="V552" s="152"/>
      <c r="W552" s="157"/>
    </row>
    <row r="553" ht="15.75" customHeight="1">
      <c r="A553" s="167"/>
      <c r="B553" s="199"/>
      <c r="N553" s="152"/>
      <c r="Q553" s="195"/>
      <c r="S553" s="200"/>
      <c r="T553" s="200"/>
      <c r="U553" s="152"/>
      <c r="V553" s="152"/>
      <c r="W553" s="157"/>
    </row>
    <row r="554" ht="15.75" customHeight="1">
      <c r="A554" s="167"/>
      <c r="B554" s="199"/>
      <c r="N554" s="152"/>
      <c r="Q554" s="195"/>
      <c r="S554" s="200"/>
      <c r="T554" s="200"/>
      <c r="U554" s="152"/>
      <c r="V554" s="152"/>
      <c r="W554" s="157"/>
    </row>
    <row r="555" ht="15.75" customHeight="1">
      <c r="A555" s="167"/>
      <c r="B555" s="199"/>
      <c r="N555" s="152"/>
      <c r="Q555" s="195"/>
      <c r="S555" s="200"/>
      <c r="T555" s="200"/>
      <c r="U555" s="152"/>
      <c r="V555" s="152"/>
      <c r="W555" s="157"/>
    </row>
    <row r="556" ht="15.75" customHeight="1">
      <c r="A556" s="167"/>
      <c r="B556" s="199"/>
      <c r="N556" s="152"/>
      <c r="Q556" s="195"/>
      <c r="S556" s="200"/>
      <c r="T556" s="200"/>
      <c r="U556" s="152"/>
      <c r="V556" s="152"/>
      <c r="W556" s="157"/>
    </row>
    <row r="557" ht="15.75" customHeight="1">
      <c r="A557" s="167"/>
      <c r="B557" s="199"/>
      <c r="N557" s="152"/>
      <c r="Q557" s="195"/>
      <c r="S557" s="200"/>
      <c r="T557" s="200"/>
      <c r="U557" s="152"/>
      <c r="V557" s="152"/>
      <c r="W557" s="157"/>
    </row>
    <row r="558" ht="15.75" customHeight="1">
      <c r="A558" s="167"/>
      <c r="B558" s="199"/>
      <c r="N558" s="152"/>
      <c r="Q558" s="195"/>
      <c r="S558" s="200"/>
      <c r="T558" s="200"/>
      <c r="U558" s="152"/>
      <c r="V558" s="152"/>
      <c r="W558" s="157"/>
    </row>
    <row r="559" ht="15.75" customHeight="1">
      <c r="A559" s="167"/>
      <c r="B559" s="199"/>
      <c r="N559" s="152"/>
      <c r="Q559" s="195"/>
      <c r="S559" s="200"/>
      <c r="T559" s="200"/>
      <c r="U559" s="152"/>
      <c r="V559" s="152"/>
      <c r="W559" s="157"/>
    </row>
    <row r="560" ht="15.75" customHeight="1">
      <c r="A560" s="167"/>
      <c r="B560" s="199"/>
      <c r="N560" s="152"/>
      <c r="Q560" s="195"/>
      <c r="S560" s="200"/>
      <c r="T560" s="200"/>
      <c r="U560" s="152"/>
      <c r="V560" s="152"/>
      <c r="W560" s="157"/>
    </row>
    <row r="561" ht="15.75" customHeight="1">
      <c r="A561" s="167"/>
      <c r="B561" s="199"/>
      <c r="N561" s="152"/>
      <c r="Q561" s="195"/>
      <c r="S561" s="200"/>
      <c r="T561" s="200"/>
      <c r="U561" s="152"/>
      <c r="V561" s="152"/>
      <c r="W561" s="157"/>
    </row>
    <row r="562" ht="15.75" customHeight="1">
      <c r="A562" s="167"/>
      <c r="B562" s="199"/>
      <c r="N562" s="152"/>
      <c r="Q562" s="195"/>
      <c r="S562" s="200"/>
      <c r="T562" s="200"/>
      <c r="U562" s="152"/>
      <c r="V562" s="152"/>
      <c r="W562" s="157"/>
    </row>
    <row r="563" ht="15.75" customHeight="1">
      <c r="A563" s="167"/>
      <c r="B563" s="199"/>
      <c r="N563" s="152"/>
      <c r="Q563" s="195"/>
      <c r="S563" s="200"/>
      <c r="T563" s="200"/>
      <c r="U563" s="152"/>
      <c r="V563" s="152"/>
      <c r="W563" s="157"/>
    </row>
    <row r="564" ht="15.75" customHeight="1">
      <c r="A564" s="167"/>
      <c r="B564" s="199"/>
      <c r="N564" s="152"/>
      <c r="Q564" s="195"/>
      <c r="S564" s="200"/>
      <c r="T564" s="200"/>
      <c r="U564" s="152"/>
      <c r="V564" s="152"/>
      <c r="W564" s="157"/>
    </row>
    <row r="565" ht="15.75" customHeight="1">
      <c r="A565" s="167"/>
      <c r="B565" s="199"/>
      <c r="N565" s="152"/>
      <c r="Q565" s="195"/>
      <c r="S565" s="200"/>
      <c r="T565" s="200"/>
      <c r="U565" s="152"/>
      <c r="V565" s="152"/>
      <c r="W565" s="157"/>
    </row>
    <row r="566" ht="15.75" customHeight="1">
      <c r="A566" s="167"/>
      <c r="B566" s="199"/>
      <c r="N566" s="152"/>
      <c r="Q566" s="195"/>
      <c r="S566" s="200"/>
      <c r="T566" s="200"/>
      <c r="U566" s="152"/>
      <c r="V566" s="152"/>
      <c r="W566" s="157"/>
    </row>
    <row r="567" ht="15.75" customHeight="1">
      <c r="A567" s="167"/>
      <c r="B567" s="199"/>
      <c r="N567" s="152"/>
      <c r="Q567" s="195"/>
      <c r="S567" s="200"/>
      <c r="T567" s="200"/>
      <c r="U567" s="152"/>
      <c r="V567" s="152"/>
      <c r="W567" s="157"/>
    </row>
    <row r="568" ht="15.75" customHeight="1">
      <c r="A568" s="167"/>
      <c r="B568" s="199"/>
      <c r="N568" s="152"/>
      <c r="Q568" s="195"/>
      <c r="S568" s="200"/>
      <c r="T568" s="200"/>
      <c r="U568" s="152"/>
      <c r="V568" s="152"/>
      <c r="W568" s="157"/>
    </row>
    <row r="569" ht="15.75" customHeight="1">
      <c r="A569" s="167"/>
      <c r="B569" s="199"/>
      <c r="N569" s="152"/>
      <c r="Q569" s="195"/>
      <c r="S569" s="200"/>
      <c r="T569" s="200"/>
      <c r="U569" s="152"/>
      <c r="V569" s="152"/>
      <c r="W569" s="157"/>
    </row>
    <row r="570" ht="15.75" customHeight="1">
      <c r="A570" s="167"/>
      <c r="B570" s="199"/>
      <c r="N570" s="152"/>
      <c r="Q570" s="195"/>
      <c r="S570" s="200"/>
      <c r="T570" s="200"/>
      <c r="U570" s="152"/>
      <c r="V570" s="152"/>
      <c r="W570" s="157"/>
    </row>
    <row r="571" ht="15.75" customHeight="1">
      <c r="A571" s="167"/>
      <c r="B571" s="199"/>
      <c r="N571" s="152"/>
      <c r="Q571" s="195"/>
      <c r="S571" s="200"/>
      <c r="T571" s="200"/>
      <c r="U571" s="152"/>
      <c r="V571" s="152"/>
      <c r="W571" s="157"/>
    </row>
    <row r="572" ht="15.75" customHeight="1">
      <c r="A572" s="167"/>
      <c r="B572" s="199"/>
      <c r="N572" s="152"/>
      <c r="Q572" s="195"/>
      <c r="S572" s="200"/>
      <c r="T572" s="200"/>
      <c r="U572" s="152"/>
      <c r="V572" s="152"/>
      <c r="W572" s="157"/>
    </row>
    <row r="573" ht="15.75" customHeight="1">
      <c r="A573" s="167"/>
      <c r="B573" s="199"/>
      <c r="N573" s="152"/>
      <c r="Q573" s="195"/>
      <c r="S573" s="200"/>
      <c r="T573" s="200"/>
      <c r="U573" s="152"/>
      <c r="V573" s="152"/>
      <c r="W573" s="157"/>
    </row>
    <row r="574" ht="15.75" customHeight="1">
      <c r="A574" s="167"/>
      <c r="B574" s="199"/>
      <c r="N574" s="152"/>
      <c r="Q574" s="195"/>
      <c r="S574" s="200"/>
      <c r="T574" s="200"/>
      <c r="U574" s="152"/>
      <c r="V574" s="152"/>
      <c r="W574" s="157"/>
    </row>
    <row r="575" ht="15.75" customHeight="1">
      <c r="A575" s="167"/>
      <c r="B575" s="199"/>
      <c r="N575" s="152"/>
      <c r="Q575" s="195"/>
      <c r="S575" s="200"/>
      <c r="T575" s="200"/>
      <c r="U575" s="152"/>
      <c r="V575" s="152"/>
      <c r="W575" s="157"/>
    </row>
    <row r="576" ht="15.75" customHeight="1">
      <c r="A576" s="167"/>
      <c r="B576" s="199"/>
      <c r="N576" s="152"/>
      <c r="Q576" s="195"/>
      <c r="S576" s="200"/>
      <c r="T576" s="200"/>
      <c r="U576" s="152"/>
      <c r="V576" s="152"/>
      <c r="W576" s="157"/>
    </row>
    <row r="577" ht="15.75" customHeight="1">
      <c r="A577" s="167"/>
      <c r="B577" s="199"/>
      <c r="N577" s="152"/>
      <c r="Q577" s="195"/>
      <c r="S577" s="200"/>
      <c r="T577" s="200"/>
      <c r="U577" s="152"/>
      <c r="V577" s="152"/>
      <c r="W577" s="157"/>
    </row>
    <row r="578" ht="15.75" customHeight="1">
      <c r="A578" s="167"/>
      <c r="B578" s="199"/>
      <c r="N578" s="152"/>
      <c r="Q578" s="195"/>
      <c r="S578" s="200"/>
      <c r="T578" s="200"/>
      <c r="U578" s="152"/>
      <c r="V578" s="152"/>
      <c r="W578" s="157"/>
    </row>
    <row r="579" ht="15.75" customHeight="1">
      <c r="A579" s="167"/>
      <c r="B579" s="199"/>
      <c r="N579" s="152"/>
      <c r="Q579" s="195"/>
      <c r="S579" s="200"/>
      <c r="T579" s="200"/>
      <c r="U579" s="152"/>
      <c r="V579" s="152"/>
      <c r="W579" s="157"/>
    </row>
    <row r="580" ht="15.75" customHeight="1">
      <c r="A580" s="167"/>
      <c r="B580" s="199"/>
      <c r="N580" s="152"/>
      <c r="Q580" s="195"/>
      <c r="S580" s="200"/>
      <c r="T580" s="200"/>
      <c r="U580" s="152"/>
      <c r="V580" s="152"/>
      <c r="W580" s="157"/>
    </row>
    <row r="581" ht="15.75" customHeight="1">
      <c r="A581" s="167"/>
      <c r="B581" s="199"/>
      <c r="N581" s="152"/>
      <c r="Q581" s="195"/>
      <c r="S581" s="200"/>
      <c r="T581" s="200"/>
      <c r="U581" s="152"/>
      <c r="V581" s="152"/>
      <c r="W581" s="157"/>
    </row>
    <row r="582" ht="15.75" customHeight="1">
      <c r="A582" s="167"/>
      <c r="B582" s="199"/>
      <c r="N582" s="152"/>
      <c r="Q582" s="195"/>
      <c r="S582" s="200"/>
      <c r="T582" s="200"/>
      <c r="U582" s="152"/>
      <c r="V582" s="152"/>
      <c r="W582" s="157"/>
    </row>
    <row r="583" ht="15.75" customHeight="1">
      <c r="A583" s="167"/>
      <c r="B583" s="199"/>
      <c r="N583" s="152"/>
      <c r="Q583" s="195"/>
      <c r="S583" s="200"/>
      <c r="T583" s="200"/>
      <c r="U583" s="152"/>
      <c r="V583" s="152"/>
      <c r="W583" s="157"/>
    </row>
    <row r="584" ht="15.75" customHeight="1">
      <c r="A584" s="167"/>
      <c r="B584" s="199"/>
      <c r="N584" s="152"/>
      <c r="Q584" s="195"/>
      <c r="S584" s="200"/>
      <c r="T584" s="200"/>
      <c r="U584" s="152"/>
      <c r="V584" s="152"/>
      <c r="W584" s="157"/>
    </row>
    <row r="585" ht="15.75" customHeight="1">
      <c r="A585" s="167"/>
      <c r="B585" s="199"/>
      <c r="N585" s="152"/>
      <c r="Q585" s="195"/>
      <c r="S585" s="200"/>
      <c r="T585" s="200"/>
      <c r="U585" s="152"/>
      <c r="V585" s="152"/>
      <c r="W585" s="157"/>
    </row>
    <row r="586" ht="15.75" customHeight="1">
      <c r="A586" s="167"/>
      <c r="B586" s="199"/>
      <c r="N586" s="152"/>
      <c r="Q586" s="195"/>
      <c r="S586" s="200"/>
      <c r="T586" s="200"/>
      <c r="U586" s="152"/>
      <c r="V586" s="152"/>
      <c r="W586" s="157"/>
    </row>
    <row r="587" ht="15.75" customHeight="1">
      <c r="A587" s="167"/>
      <c r="B587" s="199"/>
      <c r="N587" s="152"/>
      <c r="Q587" s="195"/>
      <c r="S587" s="200"/>
      <c r="T587" s="200"/>
      <c r="U587" s="152"/>
      <c r="V587" s="152"/>
      <c r="W587" s="157"/>
    </row>
    <row r="588" ht="15.75" customHeight="1">
      <c r="A588" s="167"/>
      <c r="B588" s="199"/>
      <c r="N588" s="152"/>
      <c r="Q588" s="195"/>
      <c r="S588" s="200"/>
      <c r="T588" s="200"/>
      <c r="U588" s="152"/>
      <c r="V588" s="152"/>
      <c r="W588" s="157"/>
    </row>
    <row r="589" ht="15.75" customHeight="1">
      <c r="A589" s="167"/>
      <c r="B589" s="199"/>
      <c r="N589" s="152"/>
      <c r="Q589" s="195"/>
      <c r="S589" s="200"/>
      <c r="T589" s="200"/>
      <c r="U589" s="152"/>
      <c r="V589" s="152"/>
      <c r="W589" s="157"/>
    </row>
    <row r="590" ht="15.75" customHeight="1">
      <c r="A590" s="167"/>
      <c r="B590" s="199"/>
      <c r="N590" s="152"/>
      <c r="Q590" s="195"/>
      <c r="S590" s="200"/>
      <c r="T590" s="200"/>
      <c r="U590" s="152"/>
      <c r="V590" s="152"/>
      <c r="W590" s="157"/>
    </row>
    <row r="591" ht="15.75" customHeight="1">
      <c r="A591" s="167"/>
      <c r="B591" s="199"/>
      <c r="N591" s="152"/>
      <c r="Q591" s="195"/>
      <c r="S591" s="200"/>
      <c r="T591" s="200"/>
      <c r="U591" s="152"/>
      <c r="V591" s="152"/>
      <c r="W591" s="157"/>
    </row>
    <row r="592" ht="15.75" customHeight="1">
      <c r="A592" s="167"/>
      <c r="B592" s="199"/>
      <c r="N592" s="152"/>
      <c r="Q592" s="195"/>
      <c r="S592" s="200"/>
      <c r="T592" s="200"/>
      <c r="U592" s="152"/>
      <c r="V592" s="152"/>
      <c r="W592" s="157"/>
    </row>
    <row r="593" ht="15.75" customHeight="1">
      <c r="A593" s="167"/>
      <c r="B593" s="199"/>
      <c r="N593" s="152"/>
      <c r="Q593" s="195"/>
      <c r="S593" s="200"/>
      <c r="T593" s="200"/>
      <c r="U593" s="152"/>
      <c r="V593" s="152"/>
      <c r="W593" s="157"/>
    </row>
    <row r="594" ht="15.75" customHeight="1">
      <c r="A594" s="167"/>
      <c r="B594" s="199"/>
      <c r="N594" s="152"/>
      <c r="Q594" s="195"/>
      <c r="S594" s="200"/>
      <c r="T594" s="200"/>
      <c r="U594" s="152"/>
      <c r="V594" s="152"/>
      <c r="W594" s="157"/>
    </row>
    <row r="595" ht="15.75" customHeight="1">
      <c r="A595" s="167"/>
      <c r="B595" s="199"/>
      <c r="N595" s="152"/>
      <c r="Q595" s="195"/>
      <c r="S595" s="200"/>
      <c r="T595" s="200"/>
      <c r="U595" s="152"/>
      <c r="V595" s="152"/>
      <c r="W595" s="157"/>
    </row>
    <row r="596" ht="15.75" customHeight="1">
      <c r="A596" s="167"/>
      <c r="B596" s="199"/>
      <c r="N596" s="152"/>
      <c r="Q596" s="195"/>
      <c r="S596" s="200"/>
      <c r="T596" s="200"/>
      <c r="U596" s="152"/>
      <c r="V596" s="152"/>
      <c r="W596" s="157"/>
    </row>
    <row r="597" ht="15.75" customHeight="1">
      <c r="A597" s="167"/>
      <c r="B597" s="199"/>
      <c r="N597" s="152"/>
      <c r="Q597" s="195"/>
      <c r="S597" s="200"/>
      <c r="T597" s="200"/>
      <c r="U597" s="152"/>
      <c r="V597" s="152"/>
      <c r="W597" s="157"/>
    </row>
    <row r="598" ht="15.75" customHeight="1">
      <c r="A598" s="167"/>
      <c r="B598" s="199"/>
      <c r="N598" s="152"/>
      <c r="Q598" s="195"/>
      <c r="S598" s="200"/>
      <c r="T598" s="200"/>
      <c r="U598" s="152"/>
      <c r="V598" s="152"/>
      <c r="W598" s="157"/>
    </row>
    <row r="599" ht="15.75" customHeight="1">
      <c r="A599" s="167"/>
      <c r="B599" s="199"/>
      <c r="N599" s="152"/>
      <c r="Q599" s="195"/>
      <c r="S599" s="200"/>
      <c r="T599" s="200"/>
      <c r="U599" s="152"/>
      <c r="V599" s="152"/>
      <c r="W599" s="157"/>
    </row>
    <row r="600" ht="15.75" customHeight="1">
      <c r="A600" s="167"/>
      <c r="B600" s="199"/>
      <c r="N600" s="152"/>
      <c r="Q600" s="195"/>
      <c r="S600" s="200"/>
      <c r="T600" s="200"/>
      <c r="U600" s="152"/>
      <c r="V600" s="152"/>
      <c r="W600" s="157"/>
    </row>
    <row r="601" ht="15.75" customHeight="1">
      <c r="A601" s="167"/>
      <c r="B601" s="199"/>
      <c r="N601" s="152"/>
      <c r="Q601" s="195"/>
      <c r="S601" s="200"/>
      <c r="T601" s="200"/>
      <c r="U601" s="152"/>
      <c r="V601" s="152"/>
      <c r="W601" s="157"/>
    </row>
    <row r="602" ht="15.75" customHeight="1">
      <c r="A602" s="167"/>
      <c r="B602" s="199"/>
      <c r="N602" s="152"/>
      <c r="Q602" s="195"/>
      <c r="S602" s="200"/>
      <c r="T602" s="200"/>
      <c r="U602" s="152"/>
      <c r="V602" s="152"/>
      <c r="W602" s="157"/>
    </row>
    <row r="603" ht="15.75" customHeight="1">
      <c r="A603" s="167"/>
      <c r="B603" s="199"/>
      <c r="N603" s="152"/>
      <c r="Q603" s="195"/>
      <c r="S603" s="200"/>
      <c r="T603" s="200"/>
      <c r="U603" s="152"/>
      <c r="V603" s="152"/>
      <c r="W603" s="157"/>
    </row>
    <row r="604" ht="15.75" customHeight="1">
      <c r="A604" s="167"/>
      <c r="B604" s="199"/>
      <c r="N604" s="152"/>
      <c r="Q604" s="195"/>
      <c r="S604" s="200"/>
      <c r="T604" s="200"/>
      <c r="U604" s="152"/>
      <c r="V604" s="152"/>
      <c r="W604" s="157"/>
    </row>
    <row r="605" ht="15.75" customHeight="1">
      <c r="A605" s="167"/>
      <c r="B605" s="199"/>
      <c r="N605" s="152"/>
      <c r="Q605" s="195"/>
      <c r="S605" s="200"/>
      <c r="T605" s="200"/>
      <c r="U605" s="152"/>
      <c r="V605" s="152"/>
      <c r="W605" s="157"/>
    </row>
    <row r="606" ht="15.75" customHeight="1">
      <c r="A606" s="167"/>
      <c r="B606" s="199"/>
      <c r="N606" s="152"/>
      <c r="Q606" s="195"/>
      <c r="S606" s="200"/>
      <c r="T606" s="200"/>
      <c r="U606" s="152"/>
      <c r="V606" s="152"/>
      <c r="W606" s="157"/>
    </row>
    <row r="607" ht="15.75" customHeight="1">
      <c r="A607" s="167"/>
      <c r="B607" s="199"/>
      <c r="N607" s="152"/>
      <c r="Q607" s="195"/>
      <c r="S607" s="200"/>
      <c r="T607" s="200"/>
      <c r="U607" s="152"/>
      <c r="V607" s="152"/>
      <c r="W607" s="157"/>
    </row>
    <row r="608" ht="15.75" customHeight="1">
      <c r="A608" s="167"/>
      <c r="B608" s="199"/>
      <c r="N608" s="152"/>
      <c r="Q608" s="195"/>
      <c r="S608" s="200"/>
      <c r="T608" s="200"/>
      <c r="U608" s="152"/>
      <c r="V608" s="152"/>
      <c r="W608" s="157"/>
    </row>
    <row r="609" ht="15.75" customHeight="1">
      <c r="A609" s="167"/>
      <c r="B609" s="199"/>
      <c r="N609" s="152"/>
      <c r="Q609" s="195"/>
      <c r="S609" s="200"/>
      <c r="T609" s="200"/>
      <c r="U609" s="152"/>
      <c r="V609" s="152"/>
      <c r="W609" s="157"/>
    </row>
    <row r="610" ht="15.75" customHeight="1">
      <c r="A610" s="167"/>
      <c r="B610" s="199"/>
      <c r="N610" s="152"/>
      <c r="Q610" s="195"/>
      <c r="S610" s="200"/>
      <c r="T610" s="200"/>
      <c r="U610" s="152"/>
      <c r="V610" s="152"/>
      <c r="W610" s="157"/>
    </row>
    <row r="611" ht="15.75" customHeight="1">
      <c r="A611" s="167"/>
      <c r="B611" s="199"/>
      <c r="N611" s="152"/>
      <c r="Q611" s="195"/>
      <c r="S611" s="200"/>
      <c r="T611" s="200"/>
      <c r="U611" s="152"/>
      <c r="V611" s="152"/>
      <c r="W611" s="157"/>
    </row>
    <row r="612" ht="15.75" customHeight="1">
      <c r="A612" s="167"/>
      <c r="B612" s="199"/>
      <c r="N612" s="152"/>
      <c r="Q612" s="195"/>
      <c r="S612" s="200"/>
      <c r="T612" s="200"/>
      <c r="U612" s="152"/>
      <c r="V612" s="152"/>
      <c r="W612" s="157"/>
    </row>
    <row r="613" ht="15.75" customHeight="1">
      <c r="A613" s="167"/>
      <c r="B613" s="199"/>
      <c r="N613" s="152"/>
      <c r="Q613" s="195"/>
      <c r="S613" s="200"/>
      <c r="T613" s="200"/>
      <c r="U613" s="152"/>
      <c r="V613" s="152"/>
      <c r="W613" s="157"/>
    </row>
    <row r="614" ht="15.75" customHeight="1">
      <c r="A614" s="167"/>
      <c r="B614" s="199"/>
      <c r="N614" s="152"/>
      <c r="Q614" s="195"/>
      <c r="S614" s="200"/>
      <c r="T614" s="200"/>
      <c r="U614" s="152"/>
      <c r="V614" s="152"/>
      <c r="W614" s="157"/>
    </row>
    <row r="615" ht="15.75" customHeight="1">
      <c r="A615" s="167"/>
      <c r="B615" s="199"/>
      <c r="N615" s="152"/>
      <c r="Q615" s="195"/>
      <c r="S615" s="200"/>
      <c r="T615" s="200"/>
      <c r="U615" s="152"/>
      <c r="V615" s="152"/>
      <c r="W615" s="157"/>
    </row>
    <row r="616" ht="15.75" customHeight="1">
      <c r="A616" s="167"/>
      <c r="B616" s="199"/>
      <c r="N616" s="152"/>
      <c r="Q616" s="195"/>
      <c r="S616" s="200"/>
      <c r="T616" s="200"/>
      <c r="U616" s="152"/>
      <c r="V616" s="152"/>
      <c r="W616" s="157"/>
    </row>
    <row r="617" ht="15.75" customHeight="1">
      <c r="A617" s="167"/>
      <c r="B617" s="199"/>
      <c r="N617" s="152"/>
      <c r="Q617" s="195"/>
      <c r="S617" s="200"/>
      <c r="T617" s="200"/>
      <c r="U617" s="152"/>
      <c r="V617" s="152"/>
      <c r="W617" s="157"/>
    </row>
    <row r="618" ht="15.75" customHeight="1">
      <c r="A618" s="167"/>
      <c r="B618" s="199"/>
      <c r="N618" s="152"/>
      <c r="Q618" s="195"/>
      <c r="S618" s="200"/>
      <c r="T618" s="200"/>
      <c r="U618" s="152"/>
      <c r="V618" s="152"/>
      <c r="W618" s="157"/>
    </row>
    <row r="619" ht="15.75" customHeight="1">
      <c r="A619" s="167"/>
      <c r="B619" s="199"/>
      <c r="N619" s="152"/>
      <c r="Q619" s="195"/>
      <c r="S619" s="200"/>
      <c r="T619" s="200"/>
      <c r="U619" s="152"/>
      <c r="V619" s="152"/>
      <c r="W619" s="157"/>
    </row>
    <row r="620" ht="15.75" customHeight="1">
      <c r="A620" s="167"/>
      <c r="B620" s="199"/>
      <c r="N620" s="152"/>
      <c r="Q620" s="195"/>
      <c r="S620" s="200"/>
      <c r="T620" s="200"/>
      <c r="U620" s="152"/>
      <c r="V620" s="152"/>
      <c r="W620" s="157"/>
    </row>
    <row r="621" ht="15.75" customHeight="1">
      <c r="A621" s="167"/>
      <c r="B621" s="199"/>
      <c r="N621" s="152"/>
      <c r="Q621" s="195"/>
      <c r="S621" s="200"/>
      <c r="T621" s="200"/>
      <c r="U621" s="152"/>
      <c r="V621" s="152"/>
      <c r="W621" s="157"/>
    </row>
    <row r="622" ht="15.75" customHeight="1">
      <c r="A622" s="167"/>
      <c r="B622" s="199"/>
      <c r="N622" s="152"/>
      <c r="Q622" s="195"/>
      <c r="S622" s="200"/>
      <c r="T622" s="200"/>
      <c r="U622" s="152"/>
      <c r="V622" s="152"/>
      <c r="W622" s="157"/>
    </row>
    <row r="623" ht="15.75" customHeight="1">
      <c r="A623" s="167"/>
      <c r="B623" s="199"/>
      <c r="N623" s="152"/>
      <c r="Q623" s="195"/>
      <c r="S623" s="200"/>
      <c r="T623" s="200"/>
      <c r="U623" s="152"/>
      <c r="V623" s="152"/>
      <c r="W623" s="157"/>
    </row>
    <row r="624" ht="15.75" customHeight="1">
      <c r="A624" s="167"/>
      <c r="B624" s="199"/>
      <c r="N624" s="152"/>
      <c r="Q624" s="195"/>
      <c r="S624" s="200"/>
      <c r="T624" s="200"/>
      <c r="U624" s="152"/>
      <c r="V624" s="152"/>
      <c r="W624" s="157"/>
    </row>
    <row r="625" ht="15.75" customHeight="1">
      <c r="A625" s="167"/>
      <c r="B625" s="199"/>
      <c r="N625" s="152"/>
      <c r="Q625" s="195"/>
      <c r="S625" s="200"/>
      <c r="T625" s="200"/>
      <c r="U625" s="152"/>
      <c r="V625" s="152"/>
      <c r="W625" s="157"/>
    </row>
    <row r="626" ht="15.75" customHeight="1">
      <c r="A626" s="167"/>
      <c r="B626" s="199"/>
      <c r="N626" s="152"/>
      <c r="Q626" s="195"/>
      <c r="S626" s="200"/>
      <c r="T626" s="200"/>
      <c r="U626" s="152"/>
      <c r="V626" s="152"/>
      <c r="W626" s="157"/>
    </row>
    <row r="627" ht="15.75" customHeight="1">
      <c r="A627" s="167"/>
      <c r="B627" s="199"/>
      <c r="N627" s="152"/>
      <c r="Q627" s="195"/>
      <c r="S627" s="200"/>
      <c r="T627" s="200"/>
      <c r="U627" s="152"/>
      <c r="V627" s="152"/>
      <c r="W627" s="157"/>
    </row>
    <row r="628" ht="15.75" customHeight="1">
      <c r="A628" s="167"/>
      <c r="B628" s="199"/>
      <c r="N628" s="152"/>
      <c r="Q628" s="195"/>
      <c r="S628" s="200"/>
      <c r="T628" s="200"/>
      <c r="U628" s="152"/>
      <c r="V628" s="152"/>
      <c r="W628" s="157"/>
    </row>
    <row r="629" ht="15.75" customHeight="1">
      <c r="A629" s="167"/>
      <c r="B629" s="199"/>
      <c r="N629" s="152"/>
      <c r="Q629" s="195"/>
      <c r="S629" s="200"/>
      <c r="T629" s="200"/>
      <c r="U629" s="152"/>
      <c r="V629" s="152"/>
      <c r="W629" s="157"/>
    </row>
    <row r="630" ht="15.75" customHeight="1">
      <c r="A630" s="167"/>
      <c r="B630" s="199"/>
      <c r="N630" s="152"/>
      <c r="Q630" s="195"/>
      <c r="S630" s="200"/>
      <c r="T630" s="200"/>
      <c r="U630" s="152"/>
      <c r="V630" s="152"/>
      <c r="W630" s="157"/>
    </row>
    <row r="631" ht="15.75" customHeight="1">
      <c r="A631" s="167"/>
      <c r="B631" s="199"/>
      <c r="N631" s="152"/>
      <c r="Q631" s="195"/>
      <c r="S631" s="200"/>
      <c r="T631" s="200"/>
      <c r="U631" s="152"/>
      <c r="V631" s="152"/>
      <c r="W631" s="157"/>
    </row>
    <row r="632" ht="15.75" customHeight="1">
      <c r="A632" s="167"/>
      <c r="B632" s="199"/>
      <c r="N632" s="152"/>
      <c r="Q632" s="195"/>
      <c r="S632" s="200"/>
      <c r="T632" s="200"/>
      <c r="U632" s="152"/>
      <c r="V632" s="152"/>
      <c r="W632" s="157"/>
    </row>
    <row r="633" ht="15.75" customHeight="1">
      <c r="A633" s="167"/>
      <c r="B633" s="199"/>
      <c r="N633" s="152"/>
      <c r="Q633" s="195"/>
      <c r="S633" s="200"/>
      <c r="T633" s="200"/>
      <c r="U633" s="152"/>
      <c r="V633" s="152"/>
      <c r="W633" s="157"/>
    </row>
    <row r="634" ht="15.75" customHeight="1">
      <c r="A634" s="167"/>
      <c r="B634" s="199"/>
      <c r="N634" s="152"/>
      <c r="Q634" s="195"/>
      <c r="S634" s="200"/>
      <c r="T634" s="200"/>
      <c r="U634" s="152"/>
      <c r="V634" s="152"/>
      <c r="W634" s="157"/>
    </row>
    <row r="635" ht="15.75" customHeight="1">
      <c r="A635" s="167"/>
      <c r="B635" s="199"/>
      <c r="N635" s="152"/>
      <c r="Q635" s="195"/>
      <c r="S635" s="200"/>
      <c r="T635" s="200"/>
      <c r="U635" s="152"/>
      <c r="V635" s="152"/>
      <c r="W635" s="157"/>
    </row>
    <row r="636" ht="15.75" customHeight="1">
      <c r="A636" s="167"/>
      <c r="B636" s="199"/>
      <c r="N636" s="152"/>
      <c r="Q636" s="195"/>
      <c r="S636" s="200"/>
      <c r="T636" s="200"/>
      <c r="U636" s="152"/>
      <c r="V636" s="152"/>
      <c r="W636" s="157"/>
    </row>
    <row r="637" ht="15.75" customHeight="1">
      <c r="A637" s="167"/>
      <c r="B637" s="199"/>
      <c r="N637" s="152"/>
      <c r="Q637" s="195"/>
      <c r="S637" s="200"/>
      <c r="T637" s="200"/>
      <c r="U637" s="152"/>
      <c r="V637" s="152"/>
      <c r="W637" s="157"/>
    </row>
    <row r="638" ht="15.75" customHeight="1">
      <c r="A638" s="167"/>
      <c r="B638" s="199"/>
      <c r="N638" s="152"/>
      <c r="Q638" s="195"/>
      <c r="S638" s="200"/>
      <c r="T638" s="200"/>
      <c r="U638" s="152"/>
      <c r="V638" s="152"/>
      <c r="W638" s="157"/>
    </row>
    <row r="639" ht="15.75" customHeight="1">
      <c r="A639" s="167"/>
      <c r="B639" s="199"/>
      <c r="N639" s="152"/>
      <c r="Q639" s="195"/>
      <c r="S639" s="200"/>
      <c r="T639" s="200"/>
      <c r="U639" s="152"/>
      <c r="V639" s="152"/>
      <c r="W639" s="157"/>
    </row>
    <row r="640" ht="15.75" customHeight="1">
      <c r="A640" s="167"/>
      <c r="B640" s="199"/>
      <c r="N640" s="152"/>
      <c r="Q640" s="195"/>
      <c r="S640" s="200"/>
      <c r="T640" s="200"/>
      <c r="U640" s="152"/>
      <c r="V640" s="152"/>
      <c r="W640" s="157"/>
    </row>
    <row r="641" ht="15.75" customHeight="1">
      <c r="A641" s="167"/>
      <c r="B641" s="199"/>
      <c r="N641" s="152"/>
      <c r="Q641" s="195"/>
      <c r="S641" s="200"/>
      <c r="T641" s="200"/>
      <c r="U641" s="152"/>
      <c r="V641" s="152"/>
      <c r="W641" s="157"/>
    </row>
    <row r="642" ht="15.75" customHeight="1">
      <c r="A642" s="167"/>
      <c r="B642" s="199"/>
      <c r="N642" s="152"/>
      <c r="Q642" s="195"/>
      <c r="S642" s="200"/>
      <c r="T642" s="200"/>
      <c r="U642" s="152"/>
      <c r="V642" s="152"/>
      <c r="W642" s="157"/>
    </row>
    <row r="643" ht="15.75" customHeight="1">
      <c r="A643" s="167"/>
      <c r="B643" s="199"/>
      <c r="N643" s="152"/>
      <c r="Q643" s="195"/>
      <c r="S643" s="200"/>
      <c r="T643" s="200"/>
      <c r="U643" s="152"/>
      <c r="V643" s="152"/>
      <c r="W643" s="157"/>
    </row>
    <row r="644" ht="15.75" customHeight="1">
      <c r="A644" s="167"/>
      <c r="B644" s="199"/>
      <c r="N644" s="152"/>
      <c r="Q644" s="195"/>
      <c r="S644" s="200"/>
      <c r="T644" s="200"/>
      <c r="U644" s="152"/>
      <c r="V644" s="152"/>
      <c r="W644" s="157"/>
    </row>
    <row r="645" ht="15.75" customHeight="1">
      <c r="A645" s="167"/>
      <c r="B645" s="199"/>
      <c r="N645" s="152"/>
      <c r="Q645" s="195"/>
      <c r="S645" s="200"/>
      <c r="T645" s="200"/>
      <c r="U645" s="152"/>
      <c r="V645" s="152"/>
      <c r="W645" s="157"/>
    </row>
    <row r="646" ht="15.75" customHeight="1">
      <c r="A646" s="167"/>
      <c r="B646" s="199"/>
      <c r="N646" s="152"/>
      <c r="Q646" s="195"/>
      <c r="S646" s="200"/>
      <c r="T646" s="200"/>
      <c r="U646" s="152"/>
      <c r="V646" s="152"/>
      <c r="W646" s="157"/>
    </row>
    <row r="647" ht="15.75" customHeight="1">
      <c r="A647" s="167"/>
      <c r="B647" s="199"/>
      <c r="N647" s="152"/>
      <c r="Q647" s="195"/>
      <c r="S647" s="200"/>
      <c r="T647" s="200"/>
      <c r="U647" s="152"/>
      <c r="V647" s="152"/>
      <c r="W647" s="157"/>
    </row>
    <row r="648" ht="15.75" customHeight="1">
      <c r="A648" s="167"/>
      <c r="B648" s="199"/>
      <c r="N648" s="152"/>
      <c r="Q648" s="195"/>
      <c r="S648" s="200"/>
      <c r="T648" s="200"/>
      <c r="U648" s="152"/>
      <c r="V648" s="152"/>
      <c r="W648" s="157"/>
    </row>
    <row r="649" ht="15.75" customHeight="1">
      <c r="A649" s="167"/>
      <c r="B649" s="199"/>
      <c r="N649" s="152"/>
      <c r="Q649" s="195"/>
      <c r="S649" s="200"/>
      <c r="T649" s="200"/>
      <c r="U649" s="152"/>
      <c r="V649" s="152"/>
      <c r="W649" s="157"/>
    </row>
    <row r="650" ht="15.75" customHeight="1">
      <c r="A650" s="167"/>
      <c r="B650" s="199"/>
      <c r="N650" s="152"/>
      <c r="Q650" s="195"/>
      <c r="S650" s="200"/>
      <c r="T650" s="200"/>
      <c r="U650" s="152"/>
      <c r="V650" s="152"/>
      <c r="W650" s="157"/>
    </row>
    <row r="651" ht="15.75" customHeight="1">
      <c r="A651" s="167"/>
      <c r="B651" s="199"/>
      <c r="N651" s="152"/>
      <c r="Q651" s="195"/>
      <c r="S651" s="200"/>
      <c r="T651" s="200"/>
      <c r="U651" s="152"/>
      <c r="V651" s="152"/>
      <c r="W651" s="157"/>
    </row>
    <row r="652" ht="15.75" customHeight="1">
      <c r="A652" s="167"/>
      <c r="B652" s="199"/>
      <c r="N652" s="152"/>
      <c r="Q652" s="195"/>
      <c r="S652" s="200"/>
      <c r="T652" s="200"/>
      <c r="U652" s="152"/>
      <c r="V652" s="152"/>
      <c r="W652" s="157"/>
    </row>
    <row r="653" ht="15.75" customHeight="1">
      <c r="A653" s="167"/>
      <c r="B653" s="199"/>
      <c r="N653" s="152"/>
      <c r="Q653" s="195"/>
      <c r="S653" s="200"/>
      <c r="T653" s="200"/>
      <c r="U653" s="152"/>
      <c r="V653" s="152"/>
      <c r="W653" s="157"/>
    </row>
    <row r="654" ht="15.75" customHeight="1">
      <c r="A654" s="167"/>
      <c r="B654" s="199"/>
      <c r="N654" s="152"/>
      <c r="Q654" s="195"/>
      <c r="S654" s="200"/>
      <c r="T654" s="200"/>
      <c r="U654" s="152"/>
      <c r="V654" s="152"/>
      <c r="W654" s="157"/>
    </row>
    <row r="655" ht="15.75" customHeight="1">
      <c r="A655" s="167"/>
      <c r="B655" s="199"/>
      <c r="N655" s="152"/>
      <c r="Q655" s="195"/>
      <c r="S655" s="200"/>
      <c r="T655" s="200"/>
      <c r="U655" s="152"/>
      <c r="V655" s="152"/>
      <c r="W655" s="157"/>
    </row>
    <row r="656" ht="15.75" customHeight="1">
      <c r="A656" s="167"/>
      <c r="B656" s="199"/>
      <c r="N656" s="152"/>
      <c r="Q656" s="195"/>
      <c r="S656" s="200"/>
      <c r="T656" s="200"/>
      <c r="U656" s="152"/>
      <c r="V656" s="152"/>
      <c r="W656" s="157"/>
    </row>
    <row r="657" ht="15.75" customHeight="1">
      <c r="A657" s="167"/>
      <c r="B657" s="199"/>
      <c r="N657" s="152"/>
      <c r="Q657" s="195"/>
      <c r="S657" s="200"/>
      <c r="T657" s="200"/>
      <c r="U657" s="152"/>
      <c r="V657" s="152"/>
      <c r="W657" s="157"/>
    </row>
    <row r="658" ht="15.75" customHeight="1">
      <c r="A658" s="167"/>
      <c r="B658" s="199"/>
      <c r="N658" s="152"/>
      <c r="Q658" s="195"/>
      <c r="S658" s="200"/>
      <c r="T658" s="200"/>
      <c r="U658" s="152"/>
      <c r="V658" s="152"/>
      <c r="W658" s="157"/>
    </row>
    <row r="659" ht="15.75" customHeight="1">
      <c r="A659" s="167"/>
      <c r="B659" s="199"/>
      <c r="N659" s="152"/>
      <c r="Q659" s="195"/>
      <c r="S659" s="200"/>
      <c r="T659" s="200"/>
      <c r="U659" s="152"/>
      <c r="V659" s="152"/>
      <c r="W659" s="157"/>
    </row>
    <row r="660" ht="15.75" customHeight="1">
      <c r="A660" s="167"/>
      <c r="B660" s="199"/>
      <c r="N660" s="152"/>
      <c r="Q660" s="195"/>
      <c r="S660" s="200"/>
      <c r="T660" s="200"/>
      <c r="U660" s="152"/>
      <c r="V660" s="152"/>
      <c r="W660" s="157"/>
    </row>
    <row r="661" ht="15.75" customHeight="1">
      <c r="A661" s="167"/>
      <c r="B661" s="199"/>
      <c r="N661" s="152"/>
      <c r="Q661" s="195"/>
      <c r="S661" s="200"/>
      <c r="T661" s="200"/>
      <c r="U661" s="152"/>
      <c r="V661" s="152"/>
      <c r="W661" s="157"/>
    </row>
    <row r="662" ht="15.75" customHeight="1">
      <c r="A662" s="167"/>
      <c r="B662" s="199"/>
      <c r="N662" s="152"/>
      <c r="Q662" s="195"/>
      <c r="S662" s="200"/>
      <c r="T662" s="200"/>
      <c r="U662" s="152"/>
      <c r="V662" s="152"/>
      <c r="W662" s="157"/>
    </row>
    <row r="663" ht="15.75" customHeight="1">
      <c r="A663" s="167"/>
      <c r="B663" s="199"/>
      <c r="N663" s="152"/>
      <c r="Q663" s="195"/>
      <c r="S663" s="200"/>
      <c r="T663" s="200"/>
      <c r="U663" s="152"/>
      <c r="V663" s="152"/>
      <c r="W663" s="157"/>
    </row>
    <row r="664" ht="15.75" customHeight="1">
      <c r="A664" s="167"/>
      <c r="B664" s="199"/>
      <c r="N664" s="152"/>
      <c r="Q664" s="195"/>
      <c r="S664" s="200"/>
      <c r="T664" s="200"/>
      <c r="U664" s="152"/>
      <c r="V664" s="152"/>
      <c r="W664" s="157"/>
    </row>
    <row r="665" ht="15.75" customHeight="1">
      <c r="A665" s="167"/>
      <c r="B665" s="199"/>
      <c r="N665" s="152"/>
      <c r="Q665" s="195"/>
      <c r="S665" s="200"/>
      <c r="T665" s="200"/>
      <c r="U665" s="152"/>
      <c r="V665" s="152"/>
      <c r="W665" s="157"/>
    </row>
    <row r="666" ht="15.75" customHeight="1">
      <c r="A666" s="167"/>
      <c r="B666" s="199"/>
      <c r="N666" s="152"/>
      <c r="Q666" s="195"/>
      <c r="S666" s="200"/>
      <c r="T666" s="200"/>
      <c r="U666" s="152"/>
      <c r="V666" s="152"/>
      <c r="W666" s="157"/>
    </row>
    <row r="667" ht="15.75" customHeight="1">
      <c r="A667" s="167"/>
      <c r="B667" s="199"/>
      <c r="N667" s="152"/>
      <c r="Q667" s="195"/>
      <c r="S667" s="200"/>
      <c r="T667" s="200"/>
      <c r="U667" s="152"/>
      <c r="V667" s="152"/>
      <c r="W667" s="157"/>
    </row>
    <row r="668" ht="15.75" customHeight="1">
      <c r="A668" s="167"/>
      <c r="B668" s="199"/>
      <c r="N668" s="152"/>
      <c r="Q668" s="195"/>
      <c r="S668" s="200"/>
      <c r="T668" s="200"/>
      <c r="U668" s="152"/>
      <c r="V668" s="152"/>
      <c r="W668" s="157"/>
    </row>
    <row r="669" ht="15.75" customHeight="1">
      <c r="A669" s="167"/>
      <c r="B669" s="199"/>
      <c r="N669" s="152"/>
      <c r="Q669" s="195"/>
      <c r="S669" s="200"/>
      <c r="T669" s="200"/>
      <c r="U669" s="152"/>
      <c r="V669" s="152"/>
      <c r="W669" s="157"/>
    </row>
    <row r="670" ht="15.75" customHeight="1">
      <c r="A670" s="167"/>
      <c r="B670" s="199"/>
      <c r="N670" s="152"/>
      <c r="Q670" s="195"/>
      <c r="S670" s="200"/>
      <c r="T670" s="200"/>
      <c r="U670" s="152"/>
      <c r="V670" s="152"/>
      <c r="W670" s="157"/>
    </row>
    <row r="671" ht="15.75" customHeight="1">
      <c r="A671" s="167"/>
      <c r="B671" s="199"/>
      <c r="N671" s="152"/>
      <c r="Q671" s="195"/>
      <c r="S671" s="200"/>
      <c r="T671" s="200"/>
      <c r="U671" s="152"/>
      <c r="V671" s="152"/>
      <c r="W671" s="157"/>
    </row>
    <row r="672" ht="15.75" customHeight="1">
      <c r="A672" s="167"/>
      <c r="B672" s="199"/>
      <c r="N672" s="152"/>
      <c r="Q672" s="195"/>
      <c r="S672" s="200"/>
      <c r="T672" s="200"/>
      <c r="U672" s="152"/>
      <c r="V672" s="152"/>
      <c r="W672" s="157"/>
    </row>
    <row r="673" ht="15.75" customHeight="1">
      <c r="A673" s="167"/>
      <c r="B673" s="199"/>
      <c r="N673" s="152"/>
      <c r="Q673" s="195"/>
      <c r="S673" s="200"/>
      <c r="T673" s="200"/>
      <c r="U673" s="152"/>
      <c r="V673" s="152"/>
      <c r="W673" s="157"/>
    </row>
    <row r="674" ht="15.75" customHeight="1">
      <c r="A674" s="167"/>
      <c r="B674" s="199"/>
      <c r="N674" s="152"/>
      <c r="Q674" s="195"/>
      <c r="S674" s="200"/>
      <c r="T674" s="200"/>
      <c r="U674" s="152"/>
      <c r="V674" s="152"/>
      <c r="W674" s="157"/>
    </row>
    <row r="675" ht="15.75" customHeight="1">
      <c r="A675" s="167"/>
      <c r="B675" s="199"/>
      <c r="N675" s="152"/>
      <c r="Q675" s="195"/>
      <c r="S675" s="200"/>
      <c r="T675" s="200"/>
      <c r="U675" s="152"/>
      <c r="V675" s="152"/>
      <c r="W675" s="157"/>
    </row>
    <row r="676" ht="15.75" customHeight="1">
      <c r="A676" s="167"/>
      <c r="B676" s="199"/>
      <c r="N676" s="152"/>
      <c r="Q676" s="195"/>
      <c r="S676" s="200"/>
      <c r="T676" s="200"/>
      <c r="U676" s="152"/>
      <c r="V676" s="152"/>
      <c r="W676" s="157"/>
    </row>
    <row r="677" ht="15.75" customHeight="1">
      <c r="A677" s="167"/>
      <c r="B677" s="199"/>
      <c r="N677" s="152"/>
      <c r="Q677" s="195"/>
      <c r="S677" s="200"/>
      <c r="T677" s="200"/>
      <c r="U677" s="152"/>
      <c r="V677" s="152"/>
      <c r="W677" s="157"/>
    </row>
    <row r="678" ht="15.75" customHeight="1">
      <c r="A678" s="167"/>
      <c r="B678" s="199"/>
      <c r="N678" s="152"/>
      <c r="Q678" s="195"/>
      <c r="S678" s="200"/>
      <c r="T678" s="200"/>
      <c r="U678" s="152"/>
      <c r="V678" s="152"/>
      <c r="W678" s="157"/>
    </row>
    <row r="679" ht="15.75" customHeight="1">
      <c r="A679" s="167"/>
      <c r="B679" s="199"/>
      <c r="N679" s="152"/>
      <c r="Q679" s="195"/>
      <c r="S679" s="200"/>
      <c r="T679" s="200"/>
      <c r="U679" s="152"/>
      <c r="V679" s="152"/>
      <c r="W679" s="157"/>
    </row>
    <row r="680" ht="15.75" customHeight="1">
      <c r="A680" s="167"/>
      <c r="B680" s="199"/>
      <c r="N680" s="152"/>
      <c r="Q680" s="195"/>
      <c r="S680" s="200"/>
      <c r="T680" s="200"/>
      <c r="U680" s="152"/>
      <c r="V680" s="152"/>
      <c r="W680" s="157"/>
    </row>
    <row r="681" ht="15.75" customHeight="1">
      <c r="A681" s="167"/>
      <c r="B681" s="199"/>
      <c r="N681" s="152"/>
      <c r="Q681" s="195"/>
      <c r="S681" s="200"/>
      <c r="T681" s="200"/>
      <c r="U681" s="152"/>
      <c r="V681" s="152"/>
      <c r="W681" s="157"/>
    </row>
    <row r="682" ht="15.75" customHeight="1">
      <c r="A682" s="167"/>
      <c r="B682" s="199"/>
      <c r="N682" s="152"/>
      <c r="Q682" s="195"/>
      <c r="S682" s="200"/>
      <c r="T682" s="200"/>
      <c r="U682" s="152"/>
      <c r="V682" s="152"/>
      <c r="W682" s="157"/>
    </row>
    <row r="683" ht="15.75" customHeight="1">
      <c r="A683" s="167"/>
      <c r="B683" s="199"/>
      <c r="N683" s="152"/>
      <c r="Q683" s="195"/>
      <c r="S683" s="200"/>
      <c r="T683" s="200"/>
      <c r="U683" s="152"/>
      <c r="V683" s="152"/>
      <c r="W683" s="157"/>
    </row>
    <row r="684" ht="15.75" customHeight="1">
      <c r="A684" s="167"/>
      <c r="B684" s="199"/>
      <c r="N684" s="152"/>
      <c r="Q684" s="195"/>
      <c r="S684" s="200"/>
      <c r="T684" s="200"/>
      <c r="U684" s="152"/>
      <c r="V684" s="152"/>
      <c r="W684" s="157"/>
    </row>
    <row r="685" ht="15.75" customHeight="1">
      <c r="A685" s="167"/>
      <c r="B685" s="199"/>
      <c r="N685" s="152"/>
      <c r="Q685" s="195"/>
      <c r="S685" s="200"/>
      <c r="T685" s="200"/>
      <c r="U685" s="152"/>
      <c r="V685" s="152"/>
      <c r="W685" s="157"/>
    </row>
    <row r="686" ht="15.75" customHeight="1">
      <c r="A686" s="167"/>
      <c r="B686" s="199"/>
      <c r="N686" s="152"/>
      <c r="Q686" s="195"/>
      <c r="S686" s="200"/>
      <c r="T686" s="200"/>
      <c r="U686" s="152"/>
      <c r="V686" s="152"/>
      <c r="W686" s="157"/>
    </row>
    <row r="687" ht="15.75" customHeight="1">
      <c r="A687" s="167"/>
      <c r="B687" s="199"/>
      <c r="N687" s="152"/>
      <c r="Q687" s="195"/>
      <c r="S687" s="200"/>
      <c r="T687" s="200"/>
      <c r="U687" s="152"/>
      <c r="V687" s="152"/>
      <c r="W687" s="157"/>
    </row>
    <row r="688" ht="15.75" customHeight="1">
      <c r="A688" s="167"/>
      <c r="B688" s="199"/>
      <c r="N688" s="152"/>
      <c r="Q688" s="195"/>
      <c r="S688" s="200"/>
      <c r="T688" s="200"/>
      <c r="U688" s="152"/>
      <c r="V688" s="152"/>
      <c r="W688" s="157"/>
    </row>
    <row r="689" ht="15.75" customHeight="1">
      <c r="A689" s="167"/>
      <c r="B689" s="199"/>
      <c r="N689" s="152"/>
      <c r="Q689" s="195"/>
      <c r="S689" s="200"/>
      <c r="T689" s="200"/>
      <c r="U689" s="152"/>
      <c r="V689" s="152"/>
      <c r="W689" s="157"/>
    </row>
    <row r="690" ht="15.75" customHeight="1">
      <c r="A690" s="167"/>
      <c r="B690" s="199"/>
      <c r="N690" s="152"/>
      <c r="Q690" s="195"/>
      <c r="S690" s="200"/>
      <c r="T690" s="200"/>
      <c r="U690" s="152"/>
      <c r="V690" s="152"/>
      <c r="W690" s="157"/>
    </row>
    <row r="691" ht="15.75" customHeight="1">
      <c r="A691" s="167"/>
      <c r="B691" s="199"/>
      <c r="N691" s="152"/>
      <c r="Q691" s="195"/>
      <c r="S691" s="200"/>
      <c r="T691" s="200"/>
      <c r="U691" s="152"/>
      <c r="V691" s="152"/>
      <c r="W691" s="157"/>
    </row>
    <row r="692" ht="15.75" customHeight="1">
      <c r="A692" s="167"/>
      <c r="B692" s="199"/>
      <c r="N692" s="152"/>
      <c r="Q692" s="195"/>
      <c r="S692" s="200"/>
      <c r="T692" s="200"/>
      <c r="U692" s="152"/>
      <c r="V692" s="152"/>
      <c r="W692" s="157"/>
    </row>
    <row r="693" ht="15.75" customHeight="1">
      <c r="A693" s="167"/>
      <c r="B693" s="199"/>
      <c r="N693" s="152"/>
      <c r="Q693" s="195"/>
      <c r="S693" s="200"/>
      <c r="T693" s="200"/>
      <c r="U693" s="152"/>
      <c r="V693" s="152"/>
      <c r="W693" s="157"/>
    </row>
    <row r="694" ht="15.75" customHeight="1">
      <c r="A694" s="167"/>
      <c r="B694" s="199"/>
      <c r="N694" s="152"/>
      <c r="Q694" s="195"/>
      <c r="S694" s="200"/>
      <c r="T694" s="200"/>
      <c r="U694" s="152"/>
      <c r="V694" s="152"/>
      <c r="W694" s="157"/>
    </row>
    <row r="695" ht="15.75" customHeight="1">
      <c r="A695" s="167"/>
      <c r="B695" s="199"/>
      <c r="N695" s="152"/>
      <c r="Q695" s="195"/>
      <c r="S695" s="200"/>
      <c r="T695" s="200"/>
      <c r="U695" s="152"/>
      <c r="V695" s="152"/>
      <c r="W695" s="157"/>
    </row>
    <row r="696" ht="15.75" customHeight="1">
      <c r="A696" s="167"/>
      <c r="B696" s="199"/>
      <c r="N696" s="152"/>
      <c r="Q696" s="195"/>
      <c r="S696" s="200"/>
      <c r="T696" s="200"/>
      <c r="U696" s="152"/>
      <c r="V696" s="152"/>
      <c r="W696" s="157"/>
    </row>
    <row r="697" ht="15.75" customHeight="1">
      <c r="A697" s="167"/>
      <c r="B697" s="199"/>
      <c r="N697" s="152"/>
      <c r="Q697" s="195"/>
      <c r="S697" s="200"/>
      <c r="T697" s="200"/>
      <c r="U697" s="152"/>
      <c r="V697" s="152"/>
      <c r="W697" s="157"/>
    </row>
    <row r="698" ht="15.75" customHeight="1">
      <c r="A698" s="167"/>
      <c r="B698" s="199"/>
      <c r="N698" s="152"/>
      <c r="Q698" s="195"/>
      <c r="S698" s="200"/>
      <c r="T698" s="200"/>
      <c r="U698" s="152"/>
      <c r="V698" s="152"/>
      <c r="W698" s="157"/>
    </row>
    <row r="699" ht="15.75" customHeight="1">
      <c r="A699" s="167"/>
      <c r="B699" s="199"/>
      <c r="N699" s="152"/>
      <c r="Q699" s="195"/>
      <c r="S699" s="200"/>
      <c r="T699" s="200"/>
      <c r="U699" s="152"/>
      <c r="V699" s="152"/>
      <c r="W699" s="157"/>
    </row>
    <row r="700" ht="15.75" customHeight="1">
      <c r="A700" s="167"/>
      <c r="B700" s="199"/>
      <c r="N700" s="152"/>
      <c r="Q700" s="195"/>
      <c r="S700" s="200"/>
      <c r="T700" s="200"/>
      <c r="U700" s="152"/>
      <c r="V700" s="152"/>
      <c r="W700" s="157"/>
    </row>
    <row r="701" ht="15.75" customHeight="1">
      <c r="A701" s="167"/>
      <c r="B701" s="199"/>
      <c r="N701" s="152"/>
      <c r="Q701" s="195"/>
      <c r="S701" s="200"/>
      <c r="T701" s="200"/>
      <c r="U701" s="152"/>
      <c r="V701" s="152"/>
      <c r="W701" s="157"/>
    </row>
    <row r="702" ht="15.75" customHeight="1">
      <c r="A702" s="167"/>
      <c r="B702" s="199"/>
      <c r="N702" s="152"/>
      <c r="Q702" s="195"/>
      <c r="S702" s="200"/>
      <c r="T702" s="200"/>
      <c r="U702" s="152"/>
      <c r="V702" s="152"/>
      <c r="W702" s="157"/>
    </row>
    <row r="703" ht="15.75" customHeight="1">
      <c r="A703" s="167"/>
      <c r="B703" s="199"/>
      <c r="N703" s="152"/>
      <c r="Q703" s="195"/>
      <c r="S703" s="200"/>
      <c r="T703" s="200"/>
      <c r="U703" s="152"/>
      <c r="V703" s="152"/>
      <c r="W703" s="157"/>
    </row>
    <row r="704" ht="15.75" customHeight="1">
      <c r="A704" s="167"/>
      <c r="B704" s="199"/>
      <c r="N704" s="152"/>
      <c r="Q704" s="195"/>
      <c r="S704" s="200"/>
      <c r="T704" s="200"/>
      <c r="U704" s="152"/>
      <c r="V704" s="152"/>
      <c r="W704" s="157"/>
    </row>
    <row r="705" ht="15.75" customHeight="1">
      <c r="A705" s="167"/>
      <c r="B705" s="199"/>
      <c r="N705" s="152"/>
      <c r="Q705" s="195"/>
      <c r="S705" s="200"/>
      <c r="T705" s="200"/>
      <c r="U705" s="152"/>
      <c r="V705" s="152"/>
      <c r="W705" s="157"/>
    </row>
    <row r="706" ht="15.75" customHeight="1">
      <c r="A706" s="167"/>
      <c r="B706" s="199"/>
      <c r="N706" s="152"/>
      <c r="Q706" s="195"/>
      <c r="S706" s="200"/>
      <c r="T706" s="200"/>
      <c r="U706" s="152"/>
      <c r="V706" s="152"/>
      <c r="W706" s="157"/>
    </row>
    <row r="707" ht="15.75" customHeight="1">
      <c r="A707" s="167"/>
      <c r="B707" s="199"/>
      <c r="N707" s="152"/>
      <c r="Q707" s="195"/>
      <c r="S707" s="200"/>
      <c r="T707" s="200"/>
      <c r="U707" s="152"/>
      <c r="V707" s="152"/>
      <c r="W707" s="157"/>
    </row>
    <row r="708" ht="15.75" customHeight="1">
      <c r="A708" s="167"/>
      <c r="B708" s="199"/>
      <c r="N708" s="152"/>
      <c r="Q708" s="195"/>
      <c r="S708" s="200"/>
      <c r="T708" s="200"/>
      <c r="U708" s="152"/>
      <c r="V708" s="152"/>
      <c r="W708" s="157"/>
    </row>
    <row r="709" ht="15.75" customHeight="1">
      <c r="A709" s="167"/>
      <c r="B709" s="199"/>
      <c r="N709" s="152"/>
      <c r="Q709" s="195"/>
      <c r="S709" s="200"/>
      <c r="T709" s="200"/>
      <c r="U709" s="152"/>
      <c r="V709" s="152"/>
      <c r="W709" s="157"/>
    </row>
    <row r="710" ht="15.75" customHeight="1">
      <c r="A710" s="167"/>
      <c r="B710" s="199"/>
      <c r="N710" s="152"/>
      <c r="Q710" s="195"/>
      <c r="S710" s="200"/>
      <c r="T710" s="200"/>
      <c r="U710" s="152"/>
      <c r="V710" s="152"/>
      <c r="W710" s="157"/>
    </row>
    <row r="711" ht="15.75" customHeight="1">
      <c r="A711" s="167"/>
      <c r="B711" s="199"/>
      <c r="N711" s="152"/>
      <c r="Q711" s="195"/>
      <c r="S711" s="200"/>
      <c r="T711" s="200"/>
      <c r="U711" s="152"/>
      <c r="V711" s="152"/>
      <c r="W711" s="157"/>
    </row>
    <row r="712" ht="15.75" customHeight="1">
      <c r="A712" s="167"/>
      <c r="B712" s="199"/>
      <c r="N712" s="152"/>
      <c r="Q712" s="195"/>
      <c r="S712" s="200"/>
      <c r="T712" s="200"/>
      <c r="U712" s="152"/>
      <c r="V712" s="152"/>
      <c r="W712" s="157"/>
    </row>
    <row r="713" ht="15.75" customHeight="1">
      <c r="A713" s="167"/>
      <c r="B713" s="199"/>
      <c r="N713" s="152"/>
      <c r="Q713" s="195"/>
      <c r="S713" s="200"/>
      <c r="T713" s="200"/>
      <c r="U713" s="152"/>
      <c r="V713" s="152"/>
      <c r="W713" s="157"/>
    </row>
    <row r="714" ht="15.75" customHeight="1">
      <c r="A714" s="167"/>
      <c r="B714" s="199"/>
      <c r="N714" s="152"/>
      <c r="Q714" s="195"/>
      <c r="S714" s="200"/>
      <c r="T714" s="200"/>
      <c r="U714" s="152"/>
      <c r="V714" s="152"/>
      <c r="W714" s="157"/>
    </row>
    <row r="715" ht="15.75" customHeight="1">
      <c r="A715" s="167"/>
      <c r="B715" s="199"/>
      <c r="N715" s="152"/>
      <c r="Q715" s="195"/>
      <c r="S715" s="200"/>
      <c r="T715" s="200"/>
      <c r="U715" s="152"/>
      <c r="V715" s="152"/>
      <c r="W715" s="157"/>
    </row>
    <row r="716" ht="15.75" customHeight="1">
      <c r="A716" s="167"/>
      <c r="B716" s="199"/>
      <c r="N716" s="152"/>
      <c r="Q716" s="195"/>
      <c r="S716" s="200"/>
      <c r="T716" s="200"/>
      <c r="U716" s="152"/>
      <c r="V716" s="152"/>
      <c r="W716" s="157"/>
    </row>
    <row r="717" ht="15.75" customHeight="1">
      <c r="A717" s="167"/>
      <c r="B717" s="199"/>
      <c r="N717" s="152"/>
      <c r="Q717" s="195"/>
      <c r="S717" s="200"/>
      <c r="T717" s="200"/>
      <c r="U717" s="152"/>
      <c r="V717" s="152"/>
      <c r="W717" s="157"/>
    </row>
    <row r="718" ht="15.75" customHeight="1">
      <c r="A718" s="167"/>
      <c r="B718" s="199"/>
      <c r="N718" s="152"/>
      <c r="Q718" s="195"/>
      <c r="S718" s="200"/>
      <c r="T718" s="200"/>
      <c r="U718" s="152"/>
      <c r="V718" s="152"/>
      <c r="W718" s="157"/>
    </row>
    <row r="719" ht="15.75" customHeight="1">
      <c r="A719" s="167"/>
      <c r="B719" s="199"/>
      <c r="N719" s="152"/>
      <c r="Q719" s="195"/>
      <c r="S719" s="200"/>
      <c r="T719" s="200"/>
      <c r="U719" s="152"/>
      <c r="V719" s="152"/>
      <c r="W719" s="157"/>
    </row>
    <row r="720" ht="15.75" customHeight="1">
      <c r="A720" s="167"/>
      <c r="B720" s="199"/>
      <c r="N720" s="152"/>
      <c r="Q720" s="195"/>
      <c r="S720" s="200"/>
      <c r="T720" s="200"/>
      <c r="U720" s="152"/>
      <c r="V720" s="152"/>
      <c r="W720" s="157"/>
    </row>
    <row r="721" ht="15.75" customHeight="1">
      <c r="A721" s="167"/>
      <c r="B721" s="199"/>
      <c r="N721" s="152"/>
      <c r="Q721" s="195"/>
      <c r="S721" s="200"/>
      <c r="T721" s="200"/>
      <c r="U721" s="152"/>
      <c r="V721" s="152"/>
      <c r="W721" s="157"/>
    </row>
    <row r="722" ht="15.75" customHeight="1">
      <c r="A722" s="167"/>
      <c r="B722" s="199"/>
      <c r="N722" s="152"/>
      <c r="Q722" s="195"/>
      <c r="S722" s="200"/>
      <c r="T722" s="200"/>
      <c r="U722" s="152"/>
      <c r="V722" s="152"/>
      <c r="W722" s="157"/>
    </row>
    <row r="723" ht="15.75" customHeight="1">
      <c r="A723" s="167"/>
      <c r="B723" s="199"/>
      <c r="N723" s="152"/>
      <c r="Q723" s="195"/>
      <c r="S723" s="200"/>
      <c r="T723" s="200"/>
      <c r="U723" s="152"/>
      <c r="V723" s="152"/>
      <c r="W723" s="157"/>
    </row>
    <row r="724" ht="15.75" customHeight="1">
      <c r="A724" s="167"/>
      <c r="B724" s="199"/>
      <c r="N724" s="152"/>
      <c r="Q724" s="195"/>
      <c r="S724" s="200"/>
      <c r="T724" s="200"/>
      <c r="U724" s="152"/>
      <c r="V724" s="152"/>
      <c r="W724" s="157"/>
    </row>
    <row r="725" ht="15.75" customHeight="1">
      <c r="A725" s="167"/>
      <c r="B725" s="199"/>
      <c r="N725" s="152"/>
      <c r="Q725" s="195"/>
      <c r="S725" s="200"/>
      <c r="T725" s="200"/>
      <c r="U725" s="152"/>
      <c r="V725" s="152"/>
      <c r="W725" s="157"/>
    </row>
    <row r="726" ht="15.75" customHeight="1">
      <c r="A726" s="167"/>
      <c r="B726" s="199"/>
      <c r="N726" s="152"/>
      <c r="Q726" s="195"/>
      <c r="S726" s="200"/>
      <c r="T726" s="200"/>
      <c r="U726" s="152"/>
      <c r="V726" s="152"/>
      <c r="W726" s="157"/>
    </row>
    <row r="727" ht="15.75" customHeight="1">
      <c r="A727" s="167"/>
      <c r="B727" s="199"/>
      <c r="N727" s="152"/>
      <c r="Q727" s="195"/>
      <c r="S727" s="200"/>
      <c r="T727" s="200"/>
      <c r="U727" s="152"/>
      <c r="V727" s="152"/>
      <c r="W727" s="157"/>
    </row>
    <row r="728" ht="15.75" customHeight="1">
      <c r="A728" s="167"/>
      <c r="B728" s="199"/>
      <c r="N728" s="152"/>
      <c r="Q728" s="195"/>
      <c r="S728" s="200"/>
      <c r="T728" s="200"/>
      <c r="U728" s="152"/>
      <c r="V728" s="152"/>
      <c r="W728" s="157"/>
    </row>
    <row r="729" ht="15.75" customHeight="1">
      <c r="A729" s="167"/>
      <c r="B729" s="199"/>
      <c r="N729" s="152"/>
      <c r="Q729" s="195"/>
      <c r="S729" s="200"/>
      <c r="T729" s="200"/>
      <c r="U729" s="152"/>
      <c r="V729" s="152"/>
      <c r="W729" s="157"/>
    </row>
    <row r="730" ht="15.75" customHeight="1">
      <c r="A730" s="167"/>
      <c r="B730" s="199"/>
      <c r="N730" s="152"/>
      <c r="Q730" s="195"/>
      <c r="S730" s="200"/>
      <c r="T730" s="200"/>
      <c r="U730" s="152"/>
      <c r="V730" s="152"/>
      <c r="W730" s="157"/>
    </row>
    <row r="731" ht="15.75" customHeight="1">
      <c r="A731" s="167"/>
      <c r="B731" s="199"/>
      <c r="N731" s="152"/>
      <c r="Q731" s="195"/>
      <c r="S731" s="200"/>
      <c r="T731" s="200"/>
      <c r="U731" s="152"/>
      <c r="V731" s="152"/>
      <c r="W731" s="157"/>
    </row>
    <row r="732" ht="15.75" customHeight="1">
      <c r="A732" s="167"/>
      <c r="B732" s="199"/>
      <c r="N732" s="152"/>
      <c r="Q732" s="195"/>
      <c r="S732" s="200"/>
      <c r="T732" s="200"/>
      <c r="U732" s="152"/>
      <c r="V732" s="152"/>
      <c r="W732" s="157"/>
    </row>
    <row r="733" ht="15.75" customHeight="1">
      <c r="A733" s="167"/>
      <c r="B733" s="199"/>
      <c r="N733" s="152"/>
      <c r="Q733" s="195"/>
      <c r="S733" s="200"/>
      <c r="T733" s="200"/>
      <c r="U733" s="152"/>
      <c r="V733" s="152"/>
      <c r="W733" s="157"/>
    </row>
    <row r="734" ht="15.75" customHeight="1">
      <c r="A734" s="167"/>
      <c r="B734" s="199"/>
      <c r="N734" s="152"/>
      <c r="Q734" s="195"/>
      <c r="S734" s="200"/>
      <c r="T734" s="200"/>
      <c r="U734" s="152"/>
      <c r="V734" s="152"/>
      <c r="W734" s="157"/>
    </row>
    <row r="735" ht="15.75" customHeight="1">
      <c r="A735" s="167"/>
      <c r="B735" s="199"/>
      <c r="N735" s="152"/>
      <c r="Q735" s="195"/>
      <c r="S735" s="200"/>
      <c r="T735" s="200"/>
      <c r="U735" s="152"/>
      <c r="V735" s="152"/>
      <c r="W735" s="157"/>
    </row>
    <row r="736" ht="15.75" customHeight="1">
      <c r="A736" s="167"/>
      <c r="B736" s="199"/>
      <c r="N736" s="152"/>
      <c r="Q736" s="195"/>
      <c r="S736" s="200"/>
      <c r="T736" s="200"/>
      <c r="U736" s="152"/>
      <c r="V736" s="152"/>
      <c r="W736" s="157"/>
    </row>
    <row r="737" ht="15.75" customHeight="1">
      <c r="A737" s="167"/>
      <c r="B737" s="199"/>
      <c r="N737" s="152"/>
      <c r="Q737" s="195"/>
      <c r="S737" s="200"/>
      <c r="T737" s="200"/>
      <c r="U737" s="152"/>
      <c r="V737" s="152"/>
      <c r="W737" s="157"/>
    </row>
    <row r="738" ht="15.75" customHeight="1">
      <c r="A738" s="167"/>
      <c r="B738" s="199"/>
      <c r="N738" s="152"/>
      <c r="Q738" s="195"/>
      <c r="S738" s="200"/>
      <c r="T738" s="200"/>
      <c r="U738" s="152"/>
      <c r="V738" s="152"/>
      <c r="W738" s="157"/>
    </row>
    <row r="739" ht="15.75" customHeight="1">
      <c r="A739" s="167"/>
      <c r="B739" s="199"/>
      <c r="N739" s="152"/>
      <c r="Q739" s="195"/>
      <c r="S739" s="200"/>
      <c r="T739" s="200"/>
      <c r="U739" s="152"/>
      <c r="V739" s="152"/>
      <c r="W739" s="157"/>
    </row>
    <row r="740" ht="15.75" customHeight="1">
      <c r="A740" s="167"/>
      <c r="B740" s="199"/>
      <c r="N740" s="152"/>
      <c r="Q740" s="195"/>
      <c r="S740" s="200"/>
      <c r="T740" s="200"/>
      <c r="U740" s="152"/>
      <c r="V740" s="152"/>
      <c r="W740" s="157"/>
    </row>
    <row r="741" ht="15.75" customHeight="1">
      <c r="A741" s="167"/>
      <c r="B741" s="199"/>
      <c r="N741" s="152"/>
      <c r="Q741" s="195"/>
      <c r="S741" s="200"/>
      <c r="T741" s="200"/>
      <c r="U741" s="152"/>
      <c r="V741" s="152"/>
      <c r="W741" s="157"/>
    </row>
    <row r="742" ht="15.75" customHeight="1">
      <c r="A742" s="167"/>
      <c r="B742" s="199"/>
      <c r="N742" s="152"/>
      <c r="Q742" s="195"/>
      <c r="S742" s="200"/>
      <c r="T742" s="200"/>
      <c r="U742" s="152"/>
      <c r="V742" s="152"/>
      <c r="W742" s="157"/>
    </row>
    <row r="743" ht="15.75" customHeight="1">
      <c r="A743" s="167"/>
      <c r="B743" s="199"/>
      <c r="N743" s="152"/>
      <c r="Q743" s="195"/>
      <c r="S743" s="200"/>
      <c r="T743" s="200"/>
      <c r="U743" s="152"/>
      <c r="V743" s="152"/>
      <c r="W743" s="157"/>
    </row>
    <row r="744" ht="15.75" customHeight="1">
      <c r="A744" s="167"/>
      <c r="B744" s="199"/>
      <c r="N744" s="152"/>
      <c r="Q744" s="195"/>
      <c r="S744" s="200"/>
      <c r="T744" s="200"/>
      <c r="U744" s="152"/>
      <c r="V744" s="152"/>
      <c r="W744" s="157"/>
    </row>
    <row r="745" ht="15.75" customHeight="1">
      <c r="A745" s="167"/>
      <c r="B745" s="199"/>
      <c r="N745" s="152"/>
      <c r="Q745" s="195"/>
      <c r="S745" s="200"/>
      <c r="T745" s="200"/>
      <c r="U745" s="152"/>
      <c r="V745" s="152"/>
      <c r="W745" s="157"/>
    </row>
    <row r="746" ht="15.75" customHeight="1">
      <c r="A746" s="167"/>
      <c r="B746" s="199"/>
      <c r="N746" s="152"/>
      <c r="Q746" s="195"/>
      <c r="S746" s="200"/>
      <c r="T746" s="200"/>
      <c r="U746" s="152"/>
      <c r="V746" s="152"/>
      <c r="W746" s="157"/>
    </row>
    <row r="747" ht="15.75" customHeight="1">
      <c r="A747" s="167"/>
      <c r="B747" s="199"/>
      <c r="N747" s="152"/>
      <c r="Q747" s="195"/>
      <c r="S747" s="200"/>
      <c r="T747" s="200"/>
      <c r="U747" s="152"/>
      <c r="V747" s="152"/>
      <c r="W747" s="157"/>
    </row>
    <row r="748" ht="15.75" customHeight="1">
      <c r="A748" s="167"/>
      <c r="B748" s="199"/>
      <c r="N748" s="152"/>
      <c r="Q748" s="195"/>
      <c r="S748" s="200"/>
      <c r="T748" s="200"/>
      <c r="U748" s="152"/>
      <c r="V748" s="152"/>
      <c r="W748" s="157"/>
    </row>
    <row r="749" ht="15.75" customHeight="1">
      <c r="A749" s="167"/>
      <c r="B749" s="199"/>
      <c r="N749" s="152"/>
      <c r="Q749" s="195"/>
      <c r="S749" s="200"/>
      <c r="T749" s="200"/>
      <c r="U749" s="152"/>
      <c r="V749" s="152"/>
      <c r="W749" s="157"/>
    </row>
    <row r="750" ht="15.75" customHeight="1">
      <c r="A750" s="167"/>
      <c r="B750" s="199"/>
      <c r="N750" s="152"/>
      <c r="Q750" s="195"/>
      <c r="S750" s="200"/>
      <c r="T750" s="200"/>
      <c r="U750" s="152"/>
      <c r="V750" s="152"/>
      <c r="W750" s="157"/>
    </row>
    <row r="751" ht="15.75" customHeight="1">
      <c r="A751" s="167"/>
      <c r="B751" s="199"/>
      <c r="N751" s="152"/>
      <c r="Q751" s="195"/>
      <c r="S751" s="200"/>
      <c r="T751" s="200"/>
      <c r="U751" s="152"/>
      <c r="V751" s="152"/>
      <c r="W751" s="157"/>
    </row>
    <row r="752" ht="15.75" customHeight="1">
      <c r="A752" s="167"/>
      <c r="B752" s="199"/>
      <c r="N752" s="152"/>
      <c r="Q752" s="195"/>
      <c r="S752" s="200"/>
      <c r="T752" s="200"/>
      <c r="U752" s="152"/>
      <c r="V752" s="152"/>
      <c r="W752" s="157"/>
    </row>
    <row r="753" ht="15.75" customHeight="1">
      <c r="A753" s="167"/>
      <c r="B753" s="199"/>
      <c r="N753" s="152"/>
      <c r="Q753" s="195"/>
      <c r="S753" s="200"/>
      <c r="T753" s="200"/>
      <c r="U753" s="152"/>
      <c r="V753" s="152"/>
      <c r="W753" s="157"/>
    </row>
    <row r="754" ht="15.75" customHeight="1">
      <c r="A754" s="167"/>
      <c r="B754" s="199"/>
      <c r="N754" s="152"/>
      <c r="Q754" s="195"/>
      <c r="S754" s="200"/>
      <c r="T754" s="200"/>
      <c r="U754" s="152"/>
      <c r="V754" s="152"/>
      <c r="W754" s="157"/>
    </row>
    <row r="755" ht="15.75" customHeight="1">
      <c r="A755" s="167"/>
      <c r="B755" s="199"/>
      <c r="N755" s="152"/>
      <c r="Q755" s="195"/>
      <c r="S755" s="200"/>
      <c r="T755" s="200"/>
      <c r="U755" s="152"/>
      <c r="V755" s="152"/>
      <c r="W755" s="157"/>
    </row>
    <row r="756" ht="15.75" customHeight="1">
      <c r="A756" s="167"/>
      <c r="B756" s="199"/>
      <c r="N756" s="152"/>
      <c r="Q756" s="195"/>
      <c r="S756" s="200"/>
      <c r="T756" s="200"/>
      <c r="U756" s="152"/>
      <c r="V756" s="152"/>
      <c r="W756" s="157"/>
    </row>
    <row r="757" ht="15.75" customHeight="1">
      <c r="A757" s="167"/>
      <c r="B757" s="199"/>
      <c r="N757" s="152"/>
      <c r="Q757" s="195"/>
      <c r="S757" s="200"/>
      <c r="T757" s="200"/>
      <c r="U757" s="152"/>
      <c r="V757" s="152"/>
      <c r="W757" s="157"/>
    </row>
    <row r="758" ht="15.75" customHeight="1">
      <c r="A758" s="167"/>
      <c r="B758" s="199"/>
      <c r="N758" s="152"/>
      <c r="Q758" s="195"/>
      <c r="S758" s="200"/>
      <c r="T758" s="200"/>
      <c r="U758" s="152"/>
      <c r="V758" s="152"/>
      <c r="W758" s="157"/>
    </row>
    <row r="759" ht="15.75" customHeight="1">
      <c r="A759" s="167"/>
      <c r="B759" s="199"/>
      <c r="N759" s="152"/>
      <c r="Q759" s="195"/>
      <c r="S759" s="200"/>
      <c r="T759" s="200"/>
      <c r="U759" s="152"/>
      <c r="V759" s="152"/>
      <c r="W759" s="157"/>
    </row>
    <row r="760" ht="15.75" customHeight="1">
      <c r="A760" s="167"/>
      <c r="B760" s="199"/>
      <c r="N760" s="152"/>
      <c r="Q760" s="195"/>
      <c r="S760" s="200"/>
      <c r="T760" s="200"/>
      <c r="U760" s="152"/>
      <c r="V760" s="152"/>
      <c r="W760" s="157"/>
    </row>
    <row r="761" ht="15.75" customHeight="1">
      <c r="A761" s="167"/>
      <c r="B761" s="199"/>
      <c r="N761" s="152"/>
      <c r="Q761" s="195"/>
      <c r="S761" s="200"/>
      <c r="T761" s="200"/>
      <c r="U761" s="152"/>
      <c r="V761" s="152"/>
      <c r="W761" s="157"/>
    </row>
    <row r="762" ht="15.75" customHeight="1">
      <c r="A762" s="167"/>
      <c r="B762" s="199"/>
      <c r="N762" s="152"/>
      <c r="Q762" s="195"/>
      <c r="S762" s="200"/>
      <c r="T762" s="200"/>
      <c r="U762" s="152"/>
      <c r="V762" s="152"/>
      <c r="W762" s="157"/>
    </row>
    <row r="763" ht="15.75" customHeight="1">
      <c r="A763" s="167"/>
      <c r="B763" s="199"/>
      <c r="N763" s="152"/>
      <c r="Q763" s="195"/>
      <c r="S763" s="200"/>
      <c r="T763" s="200"/>
      <c r="U763" s="152"/>
      <c r="V763" s="152"/>
      <c r="W763" s="157"/>
    </row>
    <row r="764" ht="15.75" customHeight="1">
      <c r="A764" s="167"/>
      <c r="B764" s="199"/>
      <c r="N764" s="152"/>
      <c r="Q764" s="195"/>
      <c r="S764" s="200"/>
      <c r="T764" s="200"/>
      <c r="U764" s="152"/>
      <c r="V764" s="152"/>
      <c r="W764" s="157"/>
    </row>
    <row r="765" ht="15.75" customHeight="1">
      <c r="A765" s="167"/>
      <c r="B765" s="199"/>
      <c r="N765" s="152"/>
      <c r="Q765" s="195"/>
      <c r="S765" s="200"/>
      <c r="T765" s="200"/>
      <c r="U765" s="152"/>
      <c r="V765" s="152"/>
      <c r="W765" s="157"/>
    </row>
    <row r="766" ht="15.75" customHeight="1">
      <c r="A766" s="167"/>
      <c r="B766" s="199"/>
      <c r="N766" s="152"/>
      <c r="Q766" s="195"/>
      <c r="S766" s="200"/>
      <c r="T766" s="200"/>
      <c r="U766" s="152"/>
      <c r="V766" s="152"/>
      <c r="W766" s="157"/>
    </row>
    <row r="767" ht="15.75" customHeight="1">
      <c r="A767" s="167"/>
      <c r="B767" s="199"/>
      <c r="N767" s="152"/>
      <c r="Q767" s="195"/>
      <c r="S767" s="200"/>
      <c r="T767" s="200"/>
      <c r="U767" s="152"/>
      <c r="V767" s="152"/>
      <c r="W767" s="157"/>
    </row>
    <row r="768" ht="15.75" customHeight="1">
      <c r="A768" s="167"/>
      <c r="B768" s="199"/>
      <c r="N768" s="152"/>
      <c r="Q768" s="195"/>
      <c r="S768" s="200"/>
      <c r="T768" s="200"/>
      <c r="U768" s="152"/>
      <c r="V768" s="152"/>
      <c r="W768" s="157"/>
    </row>
    <row r="769" ht="15.75" customHeight="1">
      <c r="A769" s="167"/>
      <c r="B769" s="199"/>
      <c r="N769" s="152"/>
      <c r="Q769" s="195"/>
      <c r="S769" s="200"/>
      <c r="T769" s="200"/>
      <c r="U769" s="152"/>
      <c r="V769" s="152"/>
      <c r="W769" s="157"/>
    </row>
    <row r="770" ht="15.75" customHeight="1">
      <c r="A770" s="167"/>
      <c r="B770" s="199"/>
      <c r="N770" s="152"/>
      <c r="Q770" s="195"/>
      <c r="S770" s="200"/>
      <c r="T770" s="200"/>
      <c r="U770" s="152"/>
      <c r="V770" s="152"/>
      <c r="W770" s="157"/>
    </row>
    <row r="771" ht="15.75" customHeight="1">
      <c r="A771" s="167"/>
      <c r="B771" s="199"/>
      <c r="N771" s="152"/>
      <c r="Q771" s="195"/>
      <c r="S771" s="200"/>
      <c r="T771" s="200"/>
      <c r="U771" s="152"/>
      <c r="V771" s="152"/>
      <c r="W771" s="157"/>
    </row>
    <row r="772" ht="15.75" customHeight="1">
      <c r="A772" s="167"/>
      <c r="B772" s="199"/>
      <c r="N772" s="152"/>
      <c r="Q772" s="195"/>
      <c r="S772" s="200"/>
      <c r="T772" s="200"/>
      <c r="U772" s="152"/>
      <c r="V772" s="152"/>
      <c r="W772" s="157"/>
    </row>
    <row r="773" ht="15.75" customHeight="1">
      <c r="A773" s="167"/>
      <c r="B773" s="199"/>
      <c r="N773" s="152"/>
      <c r="Q773" s="195"/>
      <c r="S773" s="200"/>
      <c r="T773" s="200"/>
      <c r="U773" s="152"/>
      <c r="V773" s="152"/>
      <c r="W773" s="157"/>
    </row>
    <row r="774" ht="15.75" customHeight="1">
      <c r="A774" s="167"/>
      <c r="B774" s="199"/>
      <c r="N774" s="152"/>
      <c r="Q774" s="195"/>
      <c r="S774" s="200"/>
      <c r="T774" s="200"/>
      <c r="U774" s="152"/>
      <c r="V774" s="152"/>
      <c r="W774" s="157"/>
    </row>
    <row r="775" ht="15.75" customHeight="1">
      <c r="A775" s="167"/>
      <c r="B775" s="199"/>
      <c r="N775" s="152"/>
      <c r="Q775" s="195"/>
      <c r="S775" s="200"/>
      <c r="T775" s="200"/>
      <c r="U775" s="152"/>
      <c r="V775" s="152"/>
      <c r="W775" s="157"/>
    </row>
    <row r="776" ht="15.75" customHeight="1">
      <c r="A776" s="167"/>
      <c r="B776" s="199"/>
      <c r="N776" s="152"/>
      <c r="Q776" s="195"/>
      <c r="S776" s="200"/>
      <c r="T776" s="200"/>
      <c r="U776" s="152"/>
      <c r="V776" s="152"/>
      <c r="W776" s="157"/>
    </row>
    <row r="777" ht="15.75" customHeight="1">
      <c r="A777" s="167"/>
      <c r="B777" s="199"/>
      <c r="N777" s="152"/>
      <c r="Q777" s="195"/>
      <c r="S777" s="200"/>
      <c r="T777" s="200"/>
      <c r="U777" s="152"/>
      <c r="V777" s="152"/>
      <c r="W777" s="157"/>
    </row>
    <row r="778" ht="15.75" customHeight="1">
      <c r="A778" s="167"/>
      <c r="B778" s="199"/>
      <c r="N778" s="152"/>
      <c r="Q778" s="195"/>
      <c r="S778" s="200"/>
      <c r="T778" s="200"/>
      <c r="U778" s="152"/>
      <c r="V778" s="152"/>
      <c r="W778" s="157"/>
    </row>
    <row r="779" ht="15.75" customHeight="1">
      <c r="A779" s="167"/>
      <c r="B779" s="199"/>
      <c r="N779" s="152"/>
      <c r="Q779" s="195"/>
      <c r="S779" s="200"/>
      <c r="T779" s="200"/>
      <c r="U779" s="152"/>
      <c r="V779" s="152"/>
      <c r="W779" s="157"/>
    </row>
    <row r="780" ht="15.75" customHeight="1">
      <c r="A780" s="167"/>
      <c r="B780" s="199"/>
      <c r="N780" s="152"/>
      <c r="Q780" s="195"/>
      <c r="S780" s="200"/>
      <c r="T780" s="200"/>
      <c r="U780" s="152"/>
      <c r="V780" s="152"/>
      <c r="W780" s="157"/>
    </row>
    <row r="781" ht="15.75" customHeight="1">
      <c r="A781" s="167"/>
      <c r="B781" s="199"/>
      <c r="N781" s="152"/>
      <c r="Q781" s="195"/>
      <c r="S781" s="200"/>
      <c r="T781" s="200"/>
      <c r="U781" s="152"/>
      <c r="V781" s="152"/>
      <c r="W781" s="157"/>
    </row>
    <row r="782" ht="15.75" customHeight="1">
      <c r="A782" s="167"/>
      <c r="B782" s="199"/>
      <c r="N782" s="152"/>
      <c r="Q782" s="195"/>
      <c r="S782" s="200"/>
      <c r="T782" s="200"/>
      <c r="U782" s="152"/>
      <c r="V782" s="152"/>
      <c r="W782" s="157"/>
    </row>
    <row r="783" ht="15.75" customHeight="1">
      <c r="A783" s="167"/>
      <c r="B783" s="199"/>
      <c r="N783" s="152"/>
      <c r="Q783" s="195"/>
      <c r="S783" s="200"/>
      <c r="T783" s="200"/>
      <c r="U783" s="152"/>
      <c r="V783" s="152"/>
      <c r="W783" s="157"/>
    </row>
    <row r="784" ht="15.75" customHeight="1">
      <c r="A784" s="167"/>
      <c r="B784" s="199"/>
      <c r="N784" s="152"/>
      <c r="Q784" s="195"/>
      <c r="S784" s="200"/>
      <c r="T784" s="200"/>
      <c r="U784" s="152"/>
      <c r="V784" s="152"/>
      <c r="W784" s="157"/>
    </row>
    <row r="785" ht="15.75" customHeight="1">
      <c r="A785" s="167"/>
      <c r="B785" s="199"/>
      <c r="N785" s="152"/>
      <c r="Q785" s="195"/>
      <c r="S785" s="200"/>
      <c r="T785" s="200"/>
      <c r="U785" s="152"/>
      <c r="V785" s="152"/>
      <c r="W785" s="157"/>
    </row>
    <row r="786" ht="15.75" customHeight="1">
      <c r="A786" s="167"/>
      <c r="B786" s="199"/>
      <c r="N786" s="152"/>
      <c r="Q786" s="195"/>
      <c r="S786" s="200"/>
      <c r="T786" s="200"/>
      <c r="U786" s="152"/>
      <c r="V786" s="152"/>
      <c r="W786" s="157"/>
    </row>
    <row r="787" ht="15.75" customHeight="1">
      <c r="A787" s="167"/>
      <c r="B787" s="199"/>
      <c r="N787" s="152"/>
      <c r="Q787" s="195"/>
      <c r="S787" s="200"/>
      <c r="T787" s="200"/>
      <c r="U787" s="152"/>
      <c r="V787" s="152"/>
      <c r="W787" s="157"/>
    </row>
    <row r="788" ht="15.75" customHeight="1">
      <c r="A788" s="167"/>
      <c r="B788" s="199"/>
      <c r="N788" s="152"/>
      <c r="Q788" s="195"/>
      <c r="S788" s="200"/>
      <c r="T788" s="200"/>
      <c r="U788" s="152"/>
      <c r="V788" s="152"/>
      <c r="W788" s="157"/>
    </row>
    <row r="789" ht="15.75" customHeight="1">
      <c r="A789" s="167"/>
      <c r="B789" s="199"/>
      <c r="N789" s="152"/>
      <c r="Q789" s="195"/>
      <c r="S789" s="200"/>
      <c r="T789" s="200"/>
      <c r="U789" s="152"/>
      <c r="V789" s="152"/>
      <c r="W789" s="157"/>
    </row>
    <row r="790" ht="15.75" customHeight="1">
      <c r="A790" s="167"/>
      <c r="B790" s="199"/>
      <c r="N790" s="152"/>
      <c r="Q790" s="195"/>
      <c r="S790" s="200"/>
      <c r="T790" s="200"/>
      <c r="U790" s="152"/>
      <c r="V790" s="152"/>
      <c r="W790" s="157"/>
    </row>
    <row r="791" ht="15.75" customHeight="1">
      <c r="A791" s="167"/>
      <c r="B791" s="199"/>
      <c r="N791" s="152"/>
      <c r="Q791" s="195"/>
      <c r="S791" s="200"/>
      <c r="T791" s="200"/>
      <c r="U791" s="152"/>
      <c r="V791" s="152"/>
      <c r="W791" s="157"/>
    </row>
    <row r="792" ht="15.75" customHeight="1">
      <c r="A792" s="167"/>
      <c r="B792" s="199"/>
      <c r="N792" s="152"/>
      <c r="Q792" s="195"/>
      <c r="S792" s="200"/>
      <c r="T792" s="200"/>
      <c r="U792" s="152"/>
      <c r="V792" s="152"/>
      <c r="W792" s="157"/>
    </row>
    <row r="793" ht="15.75" customHeight="1">
      <c r="A793" s="167"/>
      <c r="B793" s="199"/>
      <c r="N793" s="152"/>
      <c r="Q793" s="195"/>
      <c r="S793" s="200"/>
      <c r="T793" s="200"/>
      <c r="U793" s="152"/>
      <c r="V793" s="152"/>
      <c r="W793" s="157"/>
    </row>
    <row r="794" ht="15.75" customHeight="1">
      <c r="A794" s="167"/>
      <c r="B794" s="199"/>
      <c r="N794" s="152"/>
      <c r="Q794" s="195"/>
      <c r="S794" s="200"/>
      <c r="T794" s="200"/>
      <c r="U794" s="152"/>
      <c r="V794" s="152"/>
      <c r="W794" s="157"/>
    </row>
    <row r="795" ht="15.75" customHeight="1">
      <c r="A795" s="167"/>
      <c r="B795" s="199"/>
      <c r="N795" s="152"/>
      <c r="Q795" s="195"/>
      <c r="S795" s="200"/>
      <c r="T795" s="200"/>
      <c r="U795" s="152"/>
      <c r="V795" s="152"/>
      <c r="W795" s="157"/>
    </row>
    <row r="796" ht="15.75" customHeight="1">
      <c r="A796" s="167"/>
      <c r="B796" s="199"/>
      <c r="N796" s="152"/>
      <c r="Q796" s="195"/>
      <c r="S796" s="200"/>
      <c r="T796" s="200"/>
      <c r="U796" s="152"/>
      <c r="V796" s="152"/>
      <c r="W796" s="157"/>
    </row>
    <row r="797" ht="15.75" customHeight="1">
      <c r="A797" s="167"/>
      <c r="B797" s="199"/>
      <c r="N797" s="152"/>
      <c r="Q797" s="195"/>
      <c r="S797" s="200"/>
      <c r="T797" s="200"/>
      <c r="U797" s="152"/>
      <c r="V797" s="152"/>
      <c r="W797" s="157"/>
    </row>
    <row r="798" ht="15.75" customHeight="1">
      <c r="A798" s="167"/>
      <c r="B798" s="199"/>
      <c r="N798" s="152"/>
      <c r="Q798" s="195"/>
      <c r="S798" s="200"/>
      <c r="T798" s="200"/>
      <c r="U798" s="152"/>
      <c r="V798" s="152"/>
      <c r="W798" s="157"/>
    </row>
    <row r="799" ht="15.75" customHeight="1">
      <c r="A799" s="167"/>
      <c r="B799" s="199"/>
      <c r="N799" s="152"/>
      <c r="Q799" s="195"/>
      <c r="S799" s="200"/>
      <c r="T799" s="200"/>
      <c r="U799" s="152"/>
      <c r="V799" s="152"/>
      <c r="W799" s="157"/>
    </row>
    <row r="800" ht="15.75" customHeight="1">
      <c r="A800" s="167"/>
      <c r="B800" s="199"/>
      <c r="N800" s="152"/>
      <c r="Q800" s="195"/>
      <c r="S800" s="200"/>
      <c r="T800" s="200"/>
      <c r="U800" s="152"/>
      <c r="V800" s="152"/>
      <c r="W800" s="157"/>
    </row>
    <row r="801" ht="15.75" customHeight="1">
      <c r="A801" s="167"/>
      <c r="B801" s="199"/>
      <c r="N801" s="152"/>
      <c r="Q801" s="195"/>
      <c r="S801" s="200"/>
      <c r="T801" s="200"/>
      <c r="U801" s="152"/>
      <c r="V801" s="152"/>
      <c r="W801" s="157"/>
    </row>
    <row r="802" ht="15.75" customHeight="1">
      <c r="A802" s="167"/>
      <c r="B802" s="199"/>
      <c r="N802" s="152"/>
      <c r="Q802" s="195"/>
      <c r="S802" s="200"/>
      <c r="T802" s="200"/>
      <c r="U802" s="152"/>
      <c r="V802" s="152"/>
      <c r="W802" s="157"/>
    </row>
    <row r="803" ht="15.75" customHeight="1">
      <c r="A803" s="167"/>
      <c r="B803" s="199"/>
      <c r="N803" s="152"/>
      <c r="Q803" s="195"/>
      <c r="S803" s="200"/>
      <c r="T803" s="200"/>
      <c r="U803" s="152"/>
      <c r="V803" s="152"/>
      <c r="W803" s="157"/>
    </row>
    <row r="804" ht="15.75" customHeight="1">
      <c r="A804" s="167"/>
      <c r="B804" s="199"/>
      <c r="N804" s="152"/>
      <c r="Q804" s="195"/>
      <c r="S804" s="200"/>
      <c r="T804" s="200"/>
      <c r="U804" s="152"/>
      <c r="V804" s="152"/>
      <c r="W804" s="157"/>
    </row>
    <row r="805" ht="15.75" customHeight="1">
      <c r="A805" s="167"/>
      <c r="B805" s="199"/>
      <c r="N805" s="152"/>
      <c r="Q805" s="195"/>
      <c r="S805" s="200"/>
      <c r="T805" s="200"/>
      <c r="U805" s="152"/>
      <c r="V805" s="152"/>
      <c r="W805" s="157"/>
    </row>
    <row r="806" ht="15.75" customHeight="1">
      <c r="A806" s="167"/>
      <c r="B806" s="199"/>
      <c r="N806" s="152"/>
      <c r="Q806" s="195"/>
      <c r="S806" s="200"/>
      <c r="T806" s="200"/>
      <c r="U806" s="152"/>
      <c r="V806" s="152"/>
      <c r="W806" s="157"/>
    </row>
    <row r="807" ht="15.75" customHeight="1">
      <c r="A807" s="167"/>
      <c r="B807" s="199"/>
      <c r="N807" s="152"/>
      <c r="Q807" s="195"/>
      <c r="S807" s="200"/>
      <c r="T807" s="200"/>
      <c r="U807" s="152"/>
      <c r="V807" s="152"/>
      <c r="W807" s="157"/>
    </row>
    <row r="808" ht="15.75" customHeight="1">
      <c r="A808" s="167"/>
      <c r="B808" s="199"/>
      <c r="N808" s="152"/>
      <c r="Q808" s="195"/>
      <c r="S808" s="200"/>
      <c r="T808" s="200"/>
      <c r="U808" s="152"/>
      <c r="V808" s="152"/>
      <c r="W808" s="157"/>
    </row>
    <row r="809" ht="15.75" customHeight="1">
      <c r="A809" s="167"/>
      <c r="B809" s="199"/>
      <c r="N809" s="152"/>
      <c r="Q809" s="195"/>
      <c r="S809" s="200"/>
      <c r="T809" s="200"/>
      <c r="U809" s="152"/>
      <c r="V809" s="152"/>
      <c r="W809" s="157"/>
    </row>
    <row r="810" ht="15.75" customHeight="1">
      <c r="A810" s="167"/>
      <c r="B810" s="199"/>
      <c r="N810" s="152"/>
      <c r="Q810" s="195"/>
      <c r="S810" s="200"/>
      <c r="T810" s="200"/>
      <c r="U810" s="152"/>
      <c r="V810" s="152"/>
      <c r="W810" s="157"/>
    </row>
    <row r="811" ht="15.75" customHeight="1">
      <c r="A811" s="167"/>
      <c r="B811" s="199"/>
      <c r="N811" s="152"/>
      <c r="Q811" s="195"/>
      <c r="S811" s="200"/>
      <c r="T811" s="200"/>
      <c r="U811" s="152"/>
      <c r="V811" s="152"/>
      <c r="W811" s="157"/>
    </row>
    <row r="812" ht="15.75" customHeight="1">
      <c r="A812" s="167"/>
      <c r="B812" s="199"/>
      <c r="N812" s="152"/>
      <c r="Q812" s="195"/>
      <c r="S812" s="200"/>
      <c r="T812" s="200"/>
      <c r="U812" s="152"/>
      <c r="V812" s="152"/>
      <c r="W812" s="157"/>
    </row>
    <row r="813" ht="15.75" customHeight="1">
      <c r="A813" s="167"/>
      <c r="B813" s="199"/>
      <c r="N813" s="152"/>
      <c r="Q813" s="195"/>
      <c r="S813" s="200"/>
      <c r="T813" s="200"/>
      <c r="U813" s="152"/>
      <c r="V813" s="152"/>
      <c r="W813" s="157"/>
    </row>
    <row r="814" ht="15.75" customHeight="1">
      <c r="A814" s="167"/>
      <c r="B814" s="199"/>
      <c r="N814" s="152"/>
      <c r="Q814" s="195"/>
      <c r="S814" s="200"/>
      <c r="T814" s="200"/>
      <c r="U814" s="152"/>
      <c r="V814" s="152"/>
      <c r="W814" s="157"/>
    </row>
    <row r="815" ht="15.75" customHeight="1">
      <c r="A815" s="167"/>
      <c r="B815" s="199"/>
      <c r="N815" s="152"/>
      <c r="Q815" s="195"/>
      <c r="S815" s="200"/>
      <c r="T815" s="200"/>
      <c r="U815" s="152"/>
      <c r="V815" s="152"/>
      <c r="W815" s="157"/>
    </row>
    <row r="816" ht="15.75" customHeight="1">
      <c r="A816" s="167"/>
      <c r="B816" s="199"/>
      <c r="N816" s="152"/>
      <c r="Q816" s="195"/>
      <c r="S816" s="200"/>
      <c r="T816" s="200"/>
      <c r="U816" s="152"/>
      <c r="V816" s="152"/>
      <c r="W816" s="157"/>
    </row>
    <row r="817" ht="15.75" customHeight="1">
      <c r="A817" s="167"/>
      <c r="B817" s="199"/>
      <c r="N817" s="152"/>
      <c r="Q817" s="195"/>
      <c r="S817" s="200"/>
      <c r="T817" s="200"/>
      <c r="U817" s="152"/>
      <c r="V817" s="152"/>
      <c r="W817" s="157"/>
    </row>
    <row r="818" ht="15.75" customHeight="1">
      <c r="A818" s="167"/>
      <c r="B818" s="199"/>
      <c r="N818" s="152"/>
      <c r="Q818" s="195"/>
      <c r="S818" s="200"/>
      <c r="T818" s="200"/>
      <c r="U818" s="152"/>
      <c r="V818" s="152"/>
      <c r="W818" s="157"/>
    </row>
    <row r="819" ht="15.75" customHeight="1">
      <c r="A819" s="167"/>
      <c r="B819" s="199"/>
      <c r="N819" s="152"/>
      <c r="Q819" s="195"/>
      <c r="S819" s="200"/>
      <c r="T819" s="200"/>
      <c r="U819" s="152"/>
      <c r="V819" s="152"/>
      <c r="W819" s="157"/>
    </row>
    <row r="820" ht="15.75" customHeight="1">
      <c r="A820" s="167"/>
      <c r="B820" s="199"/>
      <c r="N820" s="152"/>
      <c r="Q820" s="195"/>
      <c r="S820" s="200"/>
      <c r="T820" s="200"/>
      <c r="U820" s="152"/>
      <c r="V820" s="152"/>
      <c r="W820" s="157"/>
    </row>
    <row r="821" ht="15.75" customHeight="1">
      <c r="A821" s="167"/>
      <c r="B821" s="199"/>
      <c r="N821" s="152"/>
      <c r="Q821" s="195"/>
      <c r="S821" s="200"/>
      <c r="T821" s="200"/>
      <c r="U821" s="152"/>
      <c r="V821" s="152"/>
      <c r="W821" s="157"/>
    </row>
    <row r="822" ht="15.75" customHeight="1">
      <c r="A822" s="167"/>
      <c r="B822" s="199"/>
      <c r="N822" s="152"/>
      <c r="Q822" s="195"/>
      <c r="S822" s="200"/>
      <c r="T822" s="200"/>
      <c r="U822" s="152"/>
      <c r="V822" s="152"/>
      <c r="W822" s="157"/>
    </row>
    <row r="823" ht="15.75" customHeight="1">
      <c r="A823" s="167"/>
      <c r="B823" s="199"/>
      <c r="N823" s="152"/>
      <c r="Q823" s="195"/>
      <c r="S823" s="200"/>
      <c r="T823" s="200"/>
      <c r="U823" s="152"/>
      <c r="V823" s="152"/>
      <c r="W823" s="157"/>
    </row>
    <row r="824" ht="15.75" customHeight="1">
      <c r="A824" s="167"/>
      <c r="B824" s="199"/>
      <c r="N824" s="152"/>
      <c r="Q824" s="195"/>
      <c r="S824" s="200"/>
      <c r="T824" s="200"/>
      <c r="U824" s="152"/>
      <c r="V824" s="152"/>
      <c r="W824" s="157"/>
    </row>
    <row r="825" ht="15.75" customHeight="1">
      <c r="A825" s="167"/>
      <c r="B825" s="199"/>
      <c r="N825" s="152"/>
      <c r="Q825" s="195"/>
      <c r="S825" s="200"/>
      <c r="T825" s="200"/>
      <c r="U825" s="152"/>
      <c r="V825" s="152"/>
      <c r="W825" s="157"/>
    </row>
    <row r="826" ht="15.75" customHeight="1">
      <c r="A826" s="167"/>
      <c r="B826" s="199"/>
      <c r="N826" s="152"/>
      <c r="Q826" s="195"/>
      <c r="S826" s="200"/>
      <c r="T826" s="200"/>
      <c r="U826" s="152"/>
      <c r="V826" s="152"/>
      <c r="W826" s="157"/>
    </row>
    <row r="827" ht="15.75" customHeight="1">
      <c r="A827" s="167"/>
      <c r="B827" s="199"/>
      <c r="N827" s="152"/>
      <c r="Q827" s="195"/>
      <c r="S827" s="200"/>
      <c r="T827" s="200"/>
      <c r="U827" s="152"/>
      <c r="V827" s="152"/>
      <c r="W827" s="157"/>
    </row>
    <row r="828" ht="15.75" customHeight="1">
      <c r="A828" s="167"/>
      <c r="B828" s="199"/>
      <c r="N828" s="152"/>
      <c r="Q828" s="195"/>
      <c r="S828" s="200"/>
      <c r="T828" s="200"/>
      <c r="U828" s="152"/>
      <c r="V828" s="152"/>
      <c r="W828" s="157"/>
    </row>
    <row r="829" ht="15.75" customHeight="1">
      <c r="A829" s="167"/>
      <c r="B829" s="199"/>
      <c r="N829" s="152"/>
      <c r="Q829" s="195"/>
      <c r="S829" s="200"/>
      <c r="T829" s="200"/>
      <c r="U829" s="152"/>
      <c r="V829" s="152"/>
      <c r="W829" s="157"/>
    </row>
    <row r="830" ht="15.75" customHeight="1">
      <c r="A830" s="167"/>
      <c r="B830" s="199"/>
      <c r="N830" s="152"/>
      <c r="Q830" s="195"/>
      <c r="S830" s="200"/>
      <c r="T830" s="200"/>
      <c r="U830" s="152"/>
      <c r="V830" s="152"/>
      <c r="W830" s="157"/>
    </row>
    <row r="831" ht="15.75" customHeight="1">
      <c r="A831" s="167"/>
      <c r="B831" s="199"/>
      <c r="N831" s="152"/>
      <c r="Q831" s="195"/>
      <c r="S831" s="200"/>
      <c r="T831" s="200"/>
      <c r="U831" s="152"/>
      <c r="V831" s="152"/>
      <c r="W831" s="157"/>
    </row>
    <row r="832" ht="15.75" customHeight="1">
      <c r="A832" s="167"/>
      <c r="B832" s="199"/>
      <c r="N832" s="152"/>
      <c r="Q832" s="195"/>
      <c r="S832" s="200"/>
      <c r="T832" s="200"/>
      <c r="U832" s="152"/>
      <c r="V832" s="152"/>
      <c r="W832" s="157"/>
    </row>
    <row r="833" ht="15.75" customHeight="1">
      <c r="A833" s="167"/>
      <c r="B833" s="199"/>
      <c r="N833" s="152"/>
      <c r="Q833" s="195"/>
      <c r="S833" s="200"/>
      <c r="T833" s="200"/>
      <c r="U833" s="152"/>
      <c r="V833" s="152"/>
      <c r="W833" s="157"/>
    </row>
    <row r="834" ht="15.75" customHeight="1">
      <c r="A834" s="167"/>
      <c r="B834" s="199"/>
      <c r="N834" s="152"/>
      <c r="Q834" s="195"/>
      <c r="S834" s="200"/>
      <c r="T834" s="200"/>
      <c r="U834" s="152"/>
      <c r="V834" s="152"/>
      <c r="W834" s="157"/>
    </row>
    <row r="835" ht="15.75" customHeight="1">
      <c r="A835" s="167"/>
      <c r="B835" s="199"/>
      <c r="N835" s="152"/>
      <c r="Q835" s="195"/>
      <c r="S835" s="200"/>
      <c r="T835" s="200"/>
      <c r="U835" s="152"/>
      <c r="V835" s="152"/>
      <c r="W835" s="157"/>
    </row>
    <row r="836" ht="15.75" customHeight="1">
      <c r="A836" s="167"/>
      <c r="B836" s="199"/>
      <c r="N836" s="152"/>
      <c r="Q836" s="195"/>
      <c r="S836" s="200"/>
      <c r="T836" s="200"/>
      <c r="U836" s="152"/>
      <c r="V836" s="152"/>
      <c r="W836" s="157"/>
    </row>
    <row r="837" ht="15.75" customHeight="1">
      <c r="A837" s="167"/>
      <c r="B837" s="199"/>
      <c r="N837" s="152"/>
      <c r="Q837" s="195"/>
      <c r="S837" s="200"/>
      <c r="T837" s="200"/>
      <c r="U837" s="152"/>
      <c r="V837" s="152"/>
      <c r="W837" s="157"/>
    </row>
    <row r="838" ht="15.75" customHeight="1">
      <c r="A838" s="167"/>
      <c r="B838" s="199"/>
      <c r="N838" s="152"/>
      <c r="Q838" s="195"/>
      <c r="S838" s="200"/>
      <c r="T838" s="200"/>
      <c r="U838" s="152"/>
      <c r="V838" s="152"/>
      <c r="W838" s="157"/>
    </row>
    <row r="839" ht="15.75" customHeight="1">
      <c r="A839" s="167"/>
      <c r="B839" s="199"/>
      <c r="N839" s="152"/>
      <c r="Q839" s="195"/>
      <c r="S839" s="200"/>
      <c r="T839" s="200"/>
      <c r="U839" s="152"/>
      <c r="V839" s="152"/>
      <c r="W839" s="157"/>
    </row>
    <row r="840" ht="15.75" customHeight="1">
      <c r="A840" s="167"/>
      <c r="B840" s="199"/>
      <c r="N840" s="152"/>
      <c r="Q840" s="195"/>
      <c r="S840" s="200"/>
      <c r="T840" s="200"/>
      <c r="U840" s="152"/>
      <c r="V840" s="152"/>
      <c r="W840" s="157"/>
    </row>
    <row r="841" ht="15.75" customHeight="1">
      <c r="A841" s="167"/>
      <c r="B841" s="199"/>
      <c r="N841" s="152"/>
      <c r="Q841" s="195"/>
      <c r="S841" s="200"/>
      <c r="T841" s="200"/>
      <c r="U841" s="152"/>
      <c r="V841" s="152"/>
      <c r="W841" s="157"/>
    </row>
    <row r="842" ht="15.75" customHeight="1">
      <c r="A842" s="167"/>
      <c r="B842" s="199"/>
      <c r="N842" s="152"/>
      <c r="Q842" s="195"/>
      <c r="S842" s="200"/>
      <c r="T842" s="200"/>
      <c r="U842" s="152"/>
      <c r="V842" s="152"/>
      <c r="W842" s="157"/>
    </row>
    <row r="843" ht="15.75" customHeight="1">
      <c r="A843" s="167"/>
      <c r="B843" s="199"/>
      <c r="N843" s="152"/>
      <c r="Q843" s="195"/>
      <c r="S843" s="200"/>
      <c r="T843" s="200"/>
      <c r="U843" s="152"/>
      <c r="V843" s="152"/>
      <c r="W843" s="157"/>
    </row>
    <row r="844" ht="15.75" customHeight="1">
      <c r="A844" s="167"/>
      <c r="B844" s="199"/>
      <c r="N844" s="152"/>
      <c r="Q844" s="195"/>
      <c r="S844" s="200"/>
      <c r="T844" s="200"/>
      <c r="U844" s="152"/>
      <c r="V844" s="152"/>
      <c r="W844" s="157"/>
    </row>
    <row r="845" ht="15.75" customHeight="1">
      <c r="A845" s="167"/>
      <c r="B845" s="199"/>
      <c r="N845" s="152"/>
      <c r="Q845" s="195"/>
      <c r="S845" s="200"/>
      <c r="T845" s="200"/>
      <c r="U845" s="152"/>
      <c r="V845" s="152"/>
      <c r="W845" s="157"/>
    </row>
    <row r="846" ht="15.75" customHeight="1">
      <c r="A846" s="167"/>
      <c r="B846" s="199"/>
      <c r="N846" s="152"/>
      <c r="Q846" s="195"/>
      <c r="S846" s="200"/>
      <c r="T846" s="200"/>
      <c r="U846" s="152"/>
      <c r="V846" s="152"/>
      <c r="W846" s="157"/>
    </row>
    <row r="847" ht="15.75" customHeight="1">
      <c r="A847" s="167"/>
      <c r="B847" s="199"/>
      <c r="N847" s="152"/>
      <c r="Q847" s="195"/>
      <c r="S847" s="200"/>
      <c r="T847" s="200"/>
      <c r="U847" s="152"/>
      <c r="V847" s="152"/>
      <c r="W847" s="157"/>
    </row>
    <row r="848" ht="15.75" customHeight="1">
      <c r="A848" s="167"/>
      <c r="B848" s="199"/>
      <c r="N848" s="152"/>
      <c r="Q848" s="195"/>
      <c r="S848" s="200"/>
      <c r="T848" s="200"/>
      <c r="U848" s="152"/>
      <c r="V848" s="152"/>
      <c r="W848" s="157"/>
    </row>
    <row r="849" ht="15.75" customHeight="1">
      <c r="A849" s="167"/>
      <c r="B849" s="199"/>
      <c r="N849" s="152"/>
      <c r="Q849" s="195"/>
      <c r="S849" s="200"/>
      <c r="T849" s="200"/>
      <c r="U849" s="152"/>
      <c r="V849" s="152"/>
      <c r="W849" s="157"/>
    </row>
    <row r="850" ht="15.75" customHeight="1">
      <c r="A850" s="167"/>
      <c r="B850" s="199"/>
      <c r="N850" s="152"/>
      <c r="Q850" s="195"/>
      <c r="S850" s="200"/>
      <c r="T850" s="200"/>
      <c r="U850" s="152"/>
      <c r="V850" s="152"/>
      <c r="W850" s="157"/>
    </row>
    <row r="851" ht="15.75" customHeight="1">
      <c r="A851" s="167"/>
      <c r="B851" s="199"/>
      <c r="N851" s="152"/>
      <c r="Q851" s="195"/>
      <c r="S851" s="200"/>
      <c r="T851" s="200"/>
      <c r="U851" s="152"/>
      <c r="V851" s="152"/>
      <c r="W851" s="157"/>
    </row>
    <row r="852" ht="15.75" customHeight="1">
      <c r="A852" s="167"/>
      <c r="B852" s="199"/>
      <c r="N852" s="152"/>
      <c r="Q852" s="195"/>
      <c r="S852" s="200"/>
      <c r="T852" s="200"/>
      <c r="U852" s="152"/>
      <c r="V852" s="152"/>
      <c r="W852" s="157"/>
    </row>
    <row r="853" ht="15.75" customHeight="1">
      <c r="A853" s="167"/>
      <c r="B853" s="199"/>
      <c r="N853" s="152"/>
      <c r="Q853" s="195"/>
      <c r="S853" s="200"/>
      <c r="T853" s="200"/>
      <c r="U853" s="152"/>
      <c r="V853" s="152"/>
      <c r="W853" s="157"/>
    </row>
    <row r="854" ht="15.75" customHeight="1">
      <c r="A854" s="167"/>
      <c r="B854" s="199"/>
      <c r="N854" s="152"/>
      <c r="Q854" s="195"/>
      <c r="S854" s="200"/>
      <c r="T854" s="200"/>
      <c r="U854" s="152"/>
      <c r="V854" s="152"/>
      <c r="W854" s="157"/>
    </row>
    <row r="855" ht="15.75" customHeight="1">
      <c r="A855" s="167"/>
      <c r="B855" s="199"/>
      <c r="N855" s="152"/>
      <c r="Q855" s="195"/>
      <c r="S855" s="200"/>
      <c r="T855" s="200"/>
      <c r="U855" s="152"/>
      <c r="V855" s="152"/>
      <c r="W855" s="157"/>
    </row>
    <row r="856" ht="15.75" customHeight="1">
      <c r="A856" s="167"/>
      <c r="B856" s="199"/>
      <c r="N856" s="152"/>
      <c r="Q856" s="195"/>
      <c r="S856" s="200"/>
      <c r="T856" s="200"/>
      <c r="U856" s="152"/>
      <c r="V856" s="152"/>
      <c r="W856" s="157"/>
    </row>
    <row r="857" ht="15.75" customHeight="1">
      <c r="A857" s="167"/>
      <c r="B857" s="199"/>
      <c r="N857" s="152"/>
      <c r="Q857" s="195"/>
      <c r="S857" s="200"/>
      <c r="T857" s="200"/>
      <c r="U857" s="152"/>
      <c r="V857" s="152"/>
      <c r="W857" s="157"/>
    </row>
    <row r="858" ht="15.75" customHeight="1">
      <c r="A858" s="167"/>
      <c r="B858" s="199"/>
      <c r="N858" s="152"/>
      <c r="Q858" s="195"/>
      <c r="S858" s="200"/>
      <c r="T858" s="200"/>
      <c r="U858" s="152"/>
      <c r="V858" s="152"/>
      <c r="W858" s="157"/>
    </row>
    <row r="859" ht="15.75" customHeight="1">
      <c r="A859" s="167"/>
      <c r="B859" s="199"/>
      <c r="N859" s="152"/>
      <c r="Q859" s="195"/>
      <c r="S859" s="200"/>
      <c r="T859" s="200"/>
      <c r="U859" s="152"/>
      <c r="V859" s="152"/>
      <c r="W859" s="157"/>
    </row>
    <row r="860" ht="15.75" customHeight="1">
      <c r="A860" s="167"/>
      <c r="B860" s="199"/>
      <c r="N860" s="152"/>
      <c r="Q860" s="195"/>
      <c r="S860" s="200"/>
      <c r="T860" s="200"/>
      <c r="U860" s="152"/>
      <c r="V860" s="152"/>
      <c r="W860" s="157"/>
    </row>
    <row r="861" ht="15.75" customHeight="1">
      <c r="A861" s="167"/>
      <c r="B861" s="199"/>
      <c r="N861" s="152"/>
      <c r="Q861" s="195"/>
      <c r="S861" s="200"/>
      <c r="T861" s="200"/>
      <c r="U861" s="152"/>
      <c r="V861" s="152"/>
      <c r="W861" s="157"/>
    </row>
    <row r="862" ht="15.75" customHeight="1">
      <c r="A862" s="167"/>
      <c r="B862" s="199"/>
      <c r="N862" s="152"/>
      <c r="Q862" s="195"/>
      <c r="S862" s="200"/>
      <c r="T862" s="200"/>
      <c r="U862" s="152"/>
      <c r="V862" s="152"/>
      <c r="W862" s="157"/>
    </row>
    <row r="863" ht="15.75" customHeight="1">
      <c r="A863" s="167"/>
      <c r="B863" s="199"/>
      <c r="N863" s="152"/>
      <c r="Q863" s="195"/>
      <c r="S863" s="200"/>
      <c r="T863" s="200"/>
      <c r="U863" s="152"/>
      <c r="V863" s="152"/>
      <c r="W863" s="157"/>
    </row>
    <row r="864" ht="15.75" customHeight="1">
      <c r="A864" s="167"/>
      <c r="B864" s="199"/>
      <c r="N864" s="152"/>
      <c r="Q864" s="195"/>
      <c r="S864" s="200"/>
      <c r="T864" s="200"/>
      <c r="U864" s="152"/>
      <c r="V864" s="152"/>
      <c r="W864" s="157"/>
    </row>
    <row r="865" ht="15.75" customHeight="1">
      <c r="A865" s="167"/>
      <c r="B865" s="199"/>
      <c r="N865" s="152"/>
      <c r="Q865" s="195"/>
      <c r="S865" s="200"/>
      <c r="T865" s="200"/>
      <c r="U865" s="152"/>
      <c r="V865" s="152"/>
      <c r="W865" s="157"/>
    </row>
    <row r="866" ht="15.75" customHeight="1">
      <c r="A866" s="167"/>
      <c r="B866" s="199"/>
      <c r="N866" s="152"/>
      <c r="Q866" s="195"/>
      <c r="S866" s="200"/>
      <c r="T866" s="200"/>
      <c r="U866" s="152"/>
      <c r="V866" s="152"/>
      <c r="W866" s="157"/>
    </row>
    <row r="867" ht="15.75" customHeight="1">
      <c r="A867" s="167"/>
      <c r="B867" s="199"/>
      <c r="N867" s="152"/>
      <c r="Q867" s="195"/>
      <c r="S867" s="200"/>
      <c r="T867" s="200"/>
      <c r="U867" s="152"/>
      <c r="V867" s="152"/>
      <c r="W867" s="157"/>
    </row>
    <row r="868" ht="15.75" customHeight="1">
      <c r="A868" s="167"/>
      <c r="B868" s="199"/>
      <c r="N868" s="152"/>
      <c r="Q868" s="195"/>
      <c r="S868" s="200"/>
      <c r="T868" s="200"/>
      <c r="U868" s="152"/>
      <c r="V868" s="152"/>
      <c r="W868" s="157"/>
    </row>
    <row r="869" ht="15.75" customHeight="1">
      <c r="A869" s="167"/>
      <c r="B869" s="199"/>
      <c r="N869" s="152"/>
      <c r="Q869" s="195"/>
      <c r="S869" s="200"/>
      <c r="T869" s="200"/>
      <c r="U869" s="152"/>
      <c r="V869" s="152"/>
      <c r="W869" s="157"/>
    </row>
    <row r="870" ht="15.75" customHeight="1">
      <c r="A870" s="167"/>
      <c r="B870" s="199"/>
      <c r="N870" s="152"/>
      <c r="Q870" s="195"/>
      <c r="S870" s="200"/>
      <c r="T870" s="200"/>
      <c r="U870" s="152"/>
      <c r="V870" s="152"/>
      <c r="W870" s="157"/>
    </row>
    <row r="871" ht="15.75" customHeight="1">
      <c r="A871" s="167"/>
      <c r="B871" s="199"/>
      <c r="N871" s="152"/>
      <c r="Q871" s="195"/>
      <c r="S871" s="200"/>
      <c r="T871" s="200"/>
      <c r="U871" s="152"/>
      <c r="V871" s="152"/>
      <c r="W871" s="157"/>
    </row>
    <row r="872" ht="15.75" customHeight="1">
      <c r="A872" s="167"/>
      <c r="B872" s="199"/>
      <c r="N872" s="152"/>
      <c r="Q872" s="195"/>
      <c r="S872" s="200"/>
      <c r="T872" s="200"/>
      <c r="U872" s="152"/>
      <c r="V872" s="152"/>
      <c r="W872" s="157"/>
    </row>
    <row r="873" ht="15.75" customHeight="1">
      <c r="A873" s="167"/>
      <c r="B873" s="199"/>
      <c r="N873" s="152"/>
      <c r="Q873" s="195"/>
      <c r="S873" s="200"/>
      <c r="T873" s="200"/>
      <c r="U873" s="152"/>
      <c r="V873" s="152"/>
      <c r="W873" s="157"/>
    </row>
    <row r="874" ht="15.75" customHeight="1">
      <c r="A874" s="167"/>
      <c r="B874" s="199"/>
      <c r="N874" s="152"/>
      <c r="Q874" s="195"/>
      <c r="S874" s="200"/>
      <c r="T874" s="200"/>
      <c r="U874" s="152"/>
      <c r="V874" s="152"/>
      <c r="W874" s="157"/>
    </row>
    <row r="875" ht="15.75" customHeight="1">
      <c r="A875" s="167"/>
      <c r="B875" s="199"/>
      <c r="N875" s="152"/>
      <c r="Q875" s="195"/>
      <c r="S875" s="200"/>
      <c r="T875" s="200"/>
      <c r="U875" s="152"/>
      <c r="V875" s="152"/>
      <c r="W875" s="157"/>
    </row>
    <row r="876" ht="15.75" customHeight="1">
      <c r="A876" s="167"/>
      <c r="B876" s="199"/>
      <c r="N876" s="152"/>
      <c r="Q876" s="195"/>
      <c r="S876" s="200"/>
      <c r="T876" s="200"/>
      <c r="U876" s="152"/>
      <c r="V876" s="152"/>
      <c r="W876" s="157"/>
    </row>
    <row r="877" ht="15.75" customHeight="1">
      <c r="A877" s="167"/>
      <c r="B877" s="199"/>
      <c r="N877" s="152"/>
      <c r="Q877" s="195"/>
      <c r="S877" s="200"/>
      <c r="T877" s="200"/>
      <c r="U877" s="152"/>
      <c r="V877" s="152"/>
      <c r="W877" s="157"/>
    </row>
    <row r="878" ht="15.75" customHeight="1">
      <c r="A878" s="167"/>
      <c r="B878" s="199"/>
      <c r="N878" s="152"/>
      <c r="Q878" s="195"/>
      <c r="S878" s="200"/>
      <c r="T878" s="200"/>
      <c r="U878" s="152"/>
      <c r="V878" s="152"/>
      <c r="W878" s="157"/>
    </row>
    <row r="879" ht="15.75" customHeight="1">
      <c r="A879" s="167"/>
      <c r="B879" s="199"/>
      <c r="N879" s="152"/>
      <c r="Q879" s="195"/>
      <c r="S879" s="200"/>
      <c r="T879" s="200"/>
      <c r="U879" s="152"/>
      <c r="V879" s="152"/>
      <c r="W879" s="157"/>
    </row>
    <row r="880" ht="15.75" customHeight="1">
      <c r="A880" s="167"/>
      <c r="B880" s="199"/>
      <c r="N880" s="152"/>
      <c r="Q880" s="195"/>
      <c r="S880" s="200"/>
      <c r="T880" s="200"/>
      <c r="U880" s="152"/>
      <c r="V880" s="152"/>
      <c r="W880" s="157"/>
    </row>
    <row r="881" ht="15.75" customHeight="1">
      <c r="A881" s="167"/>
      <c r="B881" s="199"/>
      <c r="N881" s="152"/>
      <c r="Q881" s="195"/>
      <c r="S881" s="200"/>
      <c r="T881" s="200"/>
      <c r="U881" s="152"/>
      <c r="V881" s="152"/>
      <c r="W881" s="157"/>
    </row>
    <row r="882" ht="15.75" customHeight="1">
      <c r="A882" s="167"/>
      <c r="B882" s="199"/>
      <c r="N882" s="152"/>
      <c r="Q882" s="195"/>
      <c r="S882" s="200"/>
      <c r="T882" s="200"/>
      <c r="U882" s="152"/>
      <c r="V882" s="152"/>
      <c r="W882" s="157"/>
    </row>
    <row r="883" ht="15.75" customHeight="1">
      <c r="A883" s="167"/>
      <c r="B883" s="199"/>
      <c r="N883" s="152"/>
      <c r="Q883" s="195"/>
      <c r="S883" s="200"/>
      <c r="T883" s="200"/>
      <c r="U883" s="152"/>
      <c r="V883" s="152"/>
      <c r="W883" s="157"/>
    </row>
    <row r="884" ht="15.75" customHeight="1">
      <c r="A884" s="167"/>
      <c r="B884" s="199"/>
      <c r="N884" s="152"/>
      <c r="Q884" s="195"/>
      <c r="S884" s="200"/>
      <c r="T884" s="200"/>
      <c r="U884" s="152"/>
      <c r="V884" s="152"/>
      <c r="W884" s="157"/>
    </row>
    <row r="885" ht="15.75" customHeight="1">
      <c r="A885" s="167"/>
      <c r="B885" s="199"/>
      <c r="N885" s="152"/>
      <c r="Q885" s="195"/>
      <c r="S885" s="200"/>
      <c r="T885" s="200"/>
      <c r="U885" s="152"/>
      <c r="V885" s="152"/>
      <c r="W885" s="157"/>
    </row>
    <row r="886" ht="15.75" customHeight="1">
      <c r="A886" s="167"/>
      <c r="B886" s="199"/>
      <c r="N886" s="152"/>
      <c r="Q886" s="195"/>
      <c r="S886" s="200"/>
      <c r="T886" s="200"/>
      <c r="U886" s="152"/>
      <c r="V886" s="152"/>
      <c r="W886" s="157"/>
    </row>
    <row r="887" ht="15.75" customHeight="1">
      <c r="A887" s="167"/>
      <c r="B887" s="199"/>
      <c r="N887" s="152"/>
      <c r="Q887" s="195"/>
      <c r="S887" s="200"/>
      <c r="T887" s="200"/>
      <c r="U887" s="152"/>
      <c r="V887" s="152"/>
      <c r="W887" s="157"/>
    </row>
    <row r="888" ht="15.75" customHeight="1">
      <c r="A888" s="167"/>
      <c r="B888" s="199"/>
      <c r="N888" s="152"/>
      <c r="Q888" s="195"/>
      <c r="S888" s="200"/>
      <c r="T888" s="200"/>
      <c r="U888" s="152"/>
      <c r="V888" s="152"/>
      <c r="W888" s="157"/>
    </row>
    <row r="889" ht="15.75" customHeight="1">
      <c r="A889" s="167"/>
      <c r="B889" s="199"/>
      <c r="N889" s="152"/>
      <c r="Q889" s="195"/>
      <c r="S889" s="200"/>
      <c r="T889" s="200"/>
      <c r="U889" s="152"/>
      <c r="V889" s="152"/>
      <c r="W889" s="157"/>
    </row>
    <row r="890" ht="15.75" customHeight="1">
      <c r="A890" s="167"/>
      <c r="B890" s="199"/>
      <c r="N890" s="152"/>
      <c r="Q890" s="195"/>
      <c r="S890" s="200"/>
      <c r="T890" s="200"/>
      <c r="U890" s="152"/>
      <c r="V890" s="152"/>
      <c r="W890" s="157"/>
    </row>
    <row r="891" ht="15.75" customHeight="1">
      <c r="A891" s="167"/>
      <c r="B891" s="199"/>
      <c r="N891" s="152"/>
      <c r="Q891" s="195"/>
      <c r="S891" s="200"/>
      <c r="T891" s="200"/>
      <c r="U891" s="152"/>
      <c r="V891" s="152"/>
      <c r="W891" s="157"/>
    </row>
    <row r="892" ht="15.75" customHeight="1">
      <c r="A892" s="167"/>
      <c r="B892" s="199"/>
      <c r="N892" s="152"/>
      <c r="Q892" s="195"/>
      <c r="S892" s="200"/>
      <c r="T892" s="200"/>
      <c r="U892" s="152"/>
      <c r="V892" s="152"/>
      <c r="W892" s="157"/>
    </row>
    <row r="893" ht="15.75" customHeight="1">
      <c r="A893" s="167"/>
      <c r="B893" s="199"/>
      <c r="N893" s="152"/>
      <c r="Q893" s="195"/>
      <c r="S893" s="200"/>
      <c r="T893" s="200"/>
      <c r="U893" s="152"/>
      <c r="V893" s="152"/>
      <c r="W893" s="157"/>
    </row>
    <row r="894" ht="15.75" customHeight="1">
      <c r="A894" s="167"/>
      <c r="B894" s="199"/>
      <c r="N894" s="152"/>
      <c r="Q894" s="195"/>
      <c r="S894" s="200"/>
      <c r="T894" s="200"/>
      <c r="U894" s="152"/>
      <c r="V894" s="152"/>
      <c r="W894" s="157"/>
    </row>
    <row r="895" ht="15.75" customHeight="1">
      <c r="A895" s="167"/>
      <c r="B895" s="199"/>
      <c r="N895" s="152"/>
      <c r="Q895" s="195"/>
      <c r="S895" s="200"/>
      <c r="T895" s="200"/>
      <c r="U895" s="152"/>
      <c r="V895" s="152"/>
      <c r="W895" s="157"/>
    </row>
    <row r="896" ht="15.75" customHeight="1">
      <c r="A896" s="167"/>
      <c r="B896" s="199"/>
      <c r="N896" s="152"/>
      <c r="Q896" s="195"/>
      <c r="S896" s="200"/>
      <c r="T896" s="200"/>
      <c r="U896" s="152"/>
      <c r="V896" s="152"/>
      <c r="W896" s="157"/>
    </row>
    <row r="897" ht="15.75" customHeight="1">
      <c r="A897" s="167"/>
      <c r="B897" s="199"/>
      <c r="N897" s="152"/>
      <c r="Q897" s="195"/>
      <c r="S897" s="200"/>
      <c r="T897" s="200"/>
      <c r="U897" s="152"/>
      <c r="V897" s="152"/>
      <c r="W897" s="157"/>
    </row>
    <row r="898" ht="15.75" customHeight="1">
      <c r="A898" s="167"/>
      <c r="B898" s="199"/>
      <c r="N898" s="152"/>
      <c r="Q898" s="195"/>
      <c r="S898" s="200"/>
      <c r="T898" s="200"/>
      <c r="U898" s="152"/>
      <c r="V898" s="152"/>
      <c r="W898" s="157"/>
    </row>
    <row r="899" ht="15.75" customHeight="1">
      <c r="A899" s="167"/>
      <c r="B899" s="199"/>
      <c r="N899" s="152"/>
      <c r="Q899" s="195"/>
      <c r="S899" s="200"/>
      <c r="T899" s="200"/>
      <c r="U899" s="152"/>
      <c r="V899" s="152"/>
      <c r="W899" s="157"/>
    </row>
    <row r="900" ht="15.75" customHeight="1">
      <c r="A900" s="167"/>
      <c r="B900" s="199"/>
      <c r="N900" s="152"/>
      <c r="Q900" s="195"/>
      <c r="S900" s="200"/>
      <c r="T900" s="200"/>
      <c r="U900" s="152"/>
      <c r="V900" s="152"/>
      <c r="W900" s="157"/>
    </row>
    <row r="901" ht="15.75" customHeight="1">
      <c r="A901" s="167"/>
      <c r="B901" s="199"/>
      <c r="N901" s="152"/>
      <c r="Q901" s="195"/>
      <c r="S901" s="200"/>
      <c r="T901" s="200"/>
      <c r="U901" s="152"/>
      <c r="V901" s="152"/>
      <c r="W901" s="157"/>
    </row>
    <row r="902" ht="15.75" customHeight="1">
      <c r="A902" s="167"/>
      <c r="B902" s="199"/>
      <c r="N902" s="152"/>
      <c r="Q902" s="195"/>
      <c r="S902" s="200"/>
      <c r="T902" s="200"/>
      <c r="U902" s="152"/>
      <c r="V902" s="152"/>
      <c r="W902" s="157"/>
    </row>
    <row r="903" ht="15.75" customHeight="1">
      <c r="A903" s="167"/>
      <c r="B903" s="199"/>
      <c r="N903" s="152"/>
      <c r="Q903" s="195"/>
      <c r="S903" s="200"/>
      <c r="T903" s="200"/>
      <c r="U903" s="152"/>
      <c r="V903" s="152"/>
      <c r="W903" s="157"/>
    </row>
    <row r="904" ht="15.75" customHeight="1">
      <c r="A904" s="167"/>
      <c r="B904" s="199"/>
      <c r="N904" s="152"/>
      <c r="Q904" s="195"/>
      <c r="S904" s="200"/>
      <c r="T904" s="200"/>
      <c r="U904" s="152"/>
      <c r="V904" s="152"/>
      <c r="W904" s="157"/>
    </row>
    <row r="905" ht="15.75" customHeight="1">
      <c r="A905" s="167"/>
      <c r="B905" s="199"/>
      <c r="N905" s="152"/>
      <c r="Q905" s="195"/>
      <c r="S905" s="200"/>
      <c r="T905" s="200"/>
      <c r="U905" s="152"/>
      <c r="V905" s="152"/>
      <c r="W905" s="157"/>
    </row>
    <row r="906" ht="15.75" customHeight="1">
      <c r="A906" s="167"/>
      <c r="B906" s="199"/>
      <c r="N906" s="152"/>
      <c r="Q906" s="195"/>
      <c r="S906" s="200"/>
      <c r="T906" s="200"/>
      <c r="U906" s="152"/>
      <c r="V906" s="152"/>
      <c r="W906" s="157"/>
    </row>
    <row r="907" ht="15.75" customHeight="1">
      <c r="A907" s="167"/>
      <c r="B907" s="199"/>
      <c r="N907" s="152"/>
      <c r="Q907" s="195"/>
      <c r="S907" s="200"/>
      <c r="T907" s="200"/>
      <c r="U907" s="152"/>
      <c r="V907" s="152"/>
      <c r="W907" s="157"/>
    </row>
    <row r="908" ht="15.75" customHeight="1">
      <c r="A908" s="167"/>
      <c r="B908" s="199"/>
      <c r="N908" s="152"/>
      <c r="Q908" s="195"/>
      <c r="S908" s="200"/>
      <c r="T908" s="200"/>
      <c r="U908" s="152"/>
      <c r="V908" s="152"/>
      <c r="W908" s="157"/>
    </row>
    <row r="909" ht="15.75" customHeight="1">
      <c r="A909" s="167"/>
      <c r="B909" s="199"/>
      <c r="N909" s="152"/>
      <c r="Q909" s="195"/>
      <c r="S909" s="200"/>
      <c r="T909" s="200"/>
      <c r="U909" s="152"/>
      <c r="V909" s="152"/>
      <c r="W909" s="157"/>
    </row>
    <row r="910" ht="15.75" customHeight="1">
      <c r="A910" s="167"/>
      <c r="B910" s="199"/>
      <c r="N910" s="152"/>
      <c r="Q910" s="195"/>
      <c r="S910" s="200"/>
      <c r="T910" s="200"/>
      <c r="U910" s="152"/>
      <c r="V910" s="152"/>
      <c r="W910" s="157"/>
    </row>
    <row r="911" ht="15.75" customHeight="1">
      <c r="A911" s="167"/>
      <c r="B911" s="199"/>
      <c r="N911" s="152"/>
      <c r="Q911" s="195"/>
      <c r="S911" s="200"/>
      <c r="T911" s="200"/>
      <c r="U911" s="152"/>
      <c r="V911" s="152"/>
      <c r="W911" s="157"/>
    </row>
    <row r="912" ht="15.75" customHeight="1">
      <c r="A912" s="167"/>
      <c r="B912" s="199"/>
      <c r="N912" s="152"/>
      <c r="Q912" s="195"/>
      <c r="S912" s="200"/>
      <c r="T912" s="200"/>
      <c r="U912" s="152"/>
      <c r="V912" s="152"/>
      <c r="W912" s="157"/>
    </row>
    <row r="913" ht="15.75" customHeight="1">
      <c r="A913" s="167"/>
      <c r="B913" s="199"/>
      <c r="N913" s="152"/>
      <c r="Q913" s="195"/>
      <c r="S913" s="200"/>
      <c r="T913" s="200"/>
      <c r="U913" s="152"/>
      <c r="V913" s="152"/>
      <c r="W913" s="157"/>
    </row>
    <row r="914" ht="15.75" customHeight="1">
      <c r="A914" s="167"/>
      <c r="B914" s="199"/>
      <c r="N914" s="152"/>
      <c r="Q914" s="195"/>
      <c r="S914" s="200"/>
      <c r="T914" s="200"/>
      <c r="U914" s="152"/>
      <c r="V914" s="152"/>
      <c r="W914" s="157"/>
    </row>
    <row r="915" ht="15.75" customHeight="1">
      <c r="A915" s="167"/>
      <c r="B915" s="199"/>
      <c r="N915" s="152"/>
      <c r="Q915" s="195"/>
      <c r="S915" s="200"/>
      <c r="T915" s="200"/>
      <c r="U915" s="152"/>
      <c r="V915" s="152"/>
      <c r="W915" s="157"/>
    </row>
    <row r="916" ht="15.75" customHeight="1">
      <c r="A916" s="167"/>
      <c r="B916" s="199"/>
      <c r="N916" s="152"/>
      <c r="Q916" s="195"/>
      <c r="S916" s="200"/>
      <c r="T916" s="200"/>
      <c r="U916" s="152"/>
      <c r="V916" s="152"/>
      <c r="W916" s="157"/>
    </row>
    <row r="917" ht="15.75" customHeight="1">
      <c r="A917" s="167"/>
      <c r="B917" s="199"/>
      <c r="N917" s="152"/>
      <c r="Q917" s="195"/>
      <c r="S917" s="200"/>
      <c r="T917" s="200"/>
      <c r="U917" s="152"/>
      <c r="V917" s="152"/>
      <c r="W917" s="157"/>
    </row>
    <row r="918" ht="15.75" customHeight="1">
      <c r="A918" s="167"/>
      <c r="B918" s="199"/>
      <c r="N918" s="152"/>
      <c r="Q918" s="195"/>
      <c r="S918" s="200"/>
      <c r="T918" s="200"/>
      <c r="U918" s="152"/>
      <c r="V918" s="152"/>
      <c r="W918" s="157"/>
    </row>
    <row r="919" ht="15.75" customHeight="1">
      <c r="A919" s="167"/>
      <c r="B919" s="199"/>
      <c r="N919" s="152"/>
      <c r="Q919" s="195"/>
      <c r="S919" s="200"/>
      <c r="T919" s="200"/>
      <c r="U919" s="152"/>
      <c r="V919" s="152"/>
      <c r="W919" s="157"/>
    </row>
    <row r="920" ht="15.75" customHeight="1">
      <c r="A920" s="167"/>
      <c r="B920" s="199"/>
      <c r="N920" s="152"/>
      <c r="Q920" s="195"/>
      <c r="S920" s="200"/>
      <c r="T920" s="200"/>
      <c r="U920" s="152"/>
      <c r="V920" s="152"/>
      <c r="W920" s="157"/>
    </row>
    <row r="921" ht="15.75" customHeight="1">
      <c r="A921" s="167"/>
      <c r="B921" s="199"/>
      <c r="N921" s="152"/>
      <c r="Q921" s="195"/>
      <c r="S921" s="200"/>
      <c r="T921" s="200"/>
      <c r="U921" s="152"/>
      <c r="V921" s="152"/>
      <c r="W921" s="157"/>
    </row>
    <row r="922" ht="15.75" customHeight="1">
      <c r="A922" s="167"/>
      <c r="B922" s="199"/>
      <c r="N922" s="152"/>
      <c r="Q922" s="195"/>
      <c r="S922" s="200"/>
      <c r="T922" s="200"/>
      <c r="U922" s="152"/>
      <c r="V922" s="152"/>
      <c r="W922" s="157"/>
    </row>
    <row r="923" ht="15.75" customHeight="1">
      <c r="A923" s="167"/>
      <c r="B923" s="199"/>
      <c r="N923" s="152"/>
      <c r="Q923" s="195"/>
      <c r="S923" s="200"/>
      <c r="T923" s="200"/>
      <c r="U923" s="152"/>
      <c r="V923" s="152"/>
      <c r="W923" s="157"/>
    </row>
    <row r="924" ht="15.75" customHeight="1">
      <c r="A924" s="167"/>
      <c r="B924" s="199"/>
      <c r="N924" s="152"/>
      <c r="Q924" s="195"/>
      <c r="S924" s="200"/>
      <c r="T924" s="200"/>
      <c r="U924" s="152"/>
      <c r="V924" s="152"/>
      <c r="W924" s="157"/>
    </row>
    <row r="925" ht="15.75" customHeight="1">
      <c r="A925" s="167"/>
      <c r="B925" s="199"/>
      <c r="N925" s="152"/>
      <c r="Q925" s="195"/>
      <c r="S925" s="200"/>
      <c r="T925" s="200"/>
      <c r="U925" s="152"/>
      <c r="V925" s="152"/>
      <c r="W925" s="157"/>
    </row>
    <row r="926" ht="15.75" customHeight="1">
      <c r="A926" s="167"/>
      <c r="B926" s="199"/>
      <c r="N926" s="152"/>
      <c r="Q926" s="195"/>
      <c r="S926" s="200"/>
      <c r="T926" s="200"/>
      <c r="U926" s="152"/>
      <c r="V926" s="152"/>
      <c r="W926" s="157"/>
    </row>
    <row r="927" ht="15.75" customHeight="1">
      <c r="A927" s="167"/>
      <c r="B927" s="199"/>
      <c r="N927" s="152"/>
      <c r="Q927" s="195"/>
      <c r="S927" s="200"/>
      <c r="T927" s="200"/>
      <c r="U927" s="152"/>
      <c r="V927" s="152"/>
      <c r="W927" s="157"/>
    </row>
    <row r="928" ht="15.75" customHeight="1">
      <c r="A928" s="167"/>
      <c r="B928" s="199"/>
      <c r="N928" s="152"/>
      <c r="Q928" s="195"/>
      <c r="S928" s="200"/>
      <c r="T928" s="200"/>
      <c r="U928" s="152"/>
      <c r="V928" s="152"/>
      <c r="W928" s="157"/>
    </row>
    <row r="929" ht="15.75" customHeight="1">
      <c r="A929" s="167"/>
      <c r="B929" s="199"/>
      <c r="N929" s="152"/>
      <c r="Q929" s="195"/>
      <c r="S929" s="200"/>
      <c r="T929" s="200"/>
      <c r="U929" s="152"/>
      <c r="V929" s="152"/>
      <c r="W929" s="157"/>
    </row>
    <row r="930" ht="15.75" customHeight="1">
      <c r="A930" s="167"/>
      <c r="B930" s="199"/>
      <c r="N930" s="152"/>
      <c r="Q930" s="195"/>
      <c r="S930" s="200"/>
      <c r="T930" s="200"/>
      <c r="U930" s="152"/>
      <c r="V930" s="152"/>
      <c r="W930" s="157"/>
    </row>
    <row r="931" ht="15.75" customHeight="1">
      <c r="A931" s="167"/>
      <c r="B931" s="199"/>
      <c r="N931" s="152"/>
      <c r="Q931" s="195"/>
      <c r="S931" s="200"/>
      <c r="T931" s="200"/>
      <c r="U931" s="152"/>
      <c r="V931" s="152"/>
      <c r="W931" s="157"/>
    </row>
    <row r="932" ht="15.75" customHeight="1">
      <c r="A932" s="167"/>
      <c r="B932" s="199"/>
      <c r="N932" s="152"/>
      <c r="Q932" s="195"/>
      <c r="S932" s="200"/>
      <c r="T932" s="200"/>
      <c r="U932" s="152"/>
      <c r="V932" s="152"/>
      <c r="W932" s="157"/>
    </row>
    <row r="933" ht="15.75" customHeight="1">
      <c r="A933" s="167"/>
      <c r="B933" s="199"/>
      <c r="N933" s="152"/>
      <c r="Q933" s="195"/>
      <c r="S933" s="200"/>
      <c r="T933" s="200"/>
      <c r="U933" s="152"/>
      <c r="V933" s="152"/>
      <c r="W933" s="157"/>
    </row>
    <row r="934" ht="15.75" customHeight="1">
      <c r="A934" s="167"/>
      <c r="B934" s="199"/>
      <c r="N934" s="152"/>
      <c r="Q934" s="195"/>
      <c r="S934" s="200"/>
      <c r="T934" s="200"/>
      <c r="U934" s="152"/>
      <c r="V934" s="152"/>
      <c r="W934" s="157"/>
    </row>
    <row r="935" ht="15.75" customHeight="1">
      <c r="A935" s="167"/>
      <c r="B935" s="199"/>
      <c r="N935" s="152"/>
      <c r="Q935" s="195"/>
      <c r="S935" s="200"/>
      <c r="T935" s="200"/>
      <c r="U935" s="152"/>
      <c r="V935" s="152"/>
      <c r="W935" s="157"/>
    </row>
    <row r="936" ht="15.75" customHeight="1">
      <c r="A936" s="167"/>
      <c r="B936" s="199"/>
      <c r="N936" s="152"/>
      <c r="Q936" s="195"/>
      <c r="S936" s="200"/>
      <c r="T936" s="200"/>
      <c r="U936" s="152"/>
      <c r="V936" s="152"/>
      <c r="W936" s="157"/>
    </row>
    <row r="937" ht="15.75" customHeight="1">
      <c r="A937" s="167"/>
      <c r="B937" s="199"/>
      <c r="N937" s="152"/>
      <c r="Q937" s="195"/>
      <c r="S937" s="200"/>
      <c r="T937" s="200"/>
      <c r="U937" s="152"/>
      <c r="V937" s="152"/>
      <c r="W937" s="157"/>
    </row>
    <row r="938" ht="15.75" customHeight="1">
      <c r="A938" s="167"/>
      <c r="B938" s="199"/>
      <c r="N938" s="152"/>
      <c r="Q938" s="195"/>
      <c r="S938" s="200"/>
      <c r="T938" s="200"/>
      <c r="U938" s="152"/>
      <c r="V938" s="152"/>
      <c r="W938" s="157"/>
    </row>
    <row r="939" ht="15.75" customHeight="1">
      <c r="A939" s="167"/>
      <c r="B939" s="199"/>
      <c r="N939" s="152"/>
      <c r="Q939" s="195"/>
      <c r="S939" s="200"/>
      <c r="T939" s="200"/>
      <c r="U939" s="152"/>
      <c r="V939" s="152"/>
      <c r="W939" s="157"/>
    </row>
    <row r="940" ht="15.75" customHeight="1">
      <c r="A940" s="167"/>
      <c r="B940" s="199"/>
      <c r="N940" s="152"/>
      <c r="Q940" s="195"/>
      <c r="S940" s="200"/>
      <c r="T940" s="200"/>
      <c r="U940" s="152"/>
      <c r="V940" s="152"/>
      <c r="W940" s="157"/>
    </row>
    <row r="941" ht="15.75" customHeight="1">
      <c r="A941" s="167"/>
      <c r="B941" s="199"/>
      <c r="N941" s="152"/>
      <c r="Q941" s="195"/>
      <c r="S941" s="200"/>
      <c r="T941" s="200"/>
      <c r="U941" s="152"/>
      <c r="V941" s="152"/>
      <c r="W941" s="157"/>
    </row>
    <row r="942" ht="15.75" customHeight="1">
      <c r="A942" s="167"/>
      <c r="B942" s="199"/>
      <c r="N942" s="152"/>
      <c r="Q942" s="195"/>
      <c r="S942" s="200"/>
      <c r="T942" s="200"/>
      <c r="U942" s="152"/>
      <c r="V942" s="152"/>
      <c r="W942" s="157"/>
    </row>
    <row r="943" ht="15.75" customHeight="1">
      <c r="A943" s="167"/>
      <c r="B943" s="199"/>
      <c r="N943" s="152"/>
      <c r="Q943" s="195"/>
      <c r="S943" s="200"/>
      <c r="T943" s="200"/>
      <c r="U943" s="152"/>
      <c r="V943" s="152"/>
      <c r="W943" s="157"/>
    </row>
    <row r="944" ht="15.75" customHeight="1">
      <c r="A944" s="167"/>
      <c r="B944" s="199"/>
      <c r="N944" s="152"/>
      <c r="Q944" s="195"/>
      <c r="S944" s="200"/>
      <c r="T944" s="200"/>
      <c r="U944" s="152"/>
      <c r="V944" s="152"/>
      <c r="W944" s="157"/>
    </row>
    <row r="945" ht="15.75" customHeight="1">
      <c r="A945" s="167"/>
      <c r="B945" s="199"/>
      <c r="N945" s="152"/>
      <c r="Q945" s="195"/>
      <c r="S945" s="200"/>
      <c r="T945" s="200"/>
      <c r="U945" s="152"/>
      <c r="V945" s="152"/>
      <c r="W945" s="157"/>
    </row>
    <row r="946" ht="15.75" customHeight="1">
      <c r="A946" s="167"/>
      <c r="B946" s="199"/>
      <c r="N946" s="152"/>
      <c r="Q946" s="195"/>
      <c r="S946" s="200"/>
      <c r="T946" s="200"/>
      <c r="U946" s="152"/>
      <c r="V946" s="152"/>
      <c r="W946" s="157"/>
    </row>
    <row r="947" ht="15.75" customHeight="1">
      <c r="A947" s="167"/>
      <c r="B947" s="199"/>
      <c r="N947" s="152"/>
      <c r="Q947" s="195"/>
      <c r="S947" s="200"/>
      <c r="T947" s="200"/>
      <c r="U947" s="152"/>
      <c r="V947" s="152"/>
      <c r="W947" s="157"/>
    </row>
    <row r="948" ht="15.75" customHeight="1">
      <c r="A948" s="167"/>
      <c r="B948" s="199"/>
      <c r="N948" s="152"/>
      <c r="Q948" s="195"/>
      <c r="S948" s="200"/>
      <c r="T948" s="200"/>
      <c r="U948" s="152"/>
      <c r="V948" s="152"/>
      <c r="W948" s="157"/>
    </row>
    <row r="949" ht="15.75" customHeight="1">
      <c r="A949" s="167"/>
      <c r="B949" s="199"/>
      <c r="N949" s="152"/>
      <c r="Q949" s="195"/>
      <c r="S949" s="200"/>
      <c r="T949" s="200"/>
      <c r="U949" s="152"/>
      <c r="V949" s="152"/>
      <c r="W949" s="157"/>
    </row>
    <row r="950" ht="15.75" customHeight="1">
      <c r="A950" s="167"/>
      <c r="B950" s="199"/>
      <c r="N950" s="152"/>
      <c r="Q950" s="195"/>
      <c r="S950" s="200"/>
      <c r="T950" s="200"/>
      <c r="U950" s="152"/>
      <c r="V950" s="152"/>
      <c r="W950" s="157"/>
    </row>
    <row r="951" ht="15.75" customHeight="1">
      <c r="A951" s="167"/>
      <c r="B951" s="199"/>
      <c r="N951" s="152"/>
      <c r="Q951" s="195"/>
      <c r="S951" s="200"/>
      <c r="T951" s="200"/>
      <c r="U951" s="152"/>
      <c r="V951" s="152"/>
      <c r="W951" s="157"/>
    </row>
    <row r="952" ht="15.75" customHeight="1">
      <c r="A952" s="167"/>
      <c r="B952" s="199"/>
      <c r="N952" s="152"/>
      <c r="Q952" s="195"/>
      <c r="S952" s="200"/>
      <c r="T952" s="200"/>
      <c r="U952" s="152"/>
      <c r="V952" s="152"/>
      <c r="W952" s="157"/>
    </row>
    <row r="953" ht="15.75" customHeight="1">
      <c r="A953" s="167"/>
      <c r="B953" s="199"/>
      <c r="N953" s="152"/>
      <c r="Q953" s="195"/>
      <c r="S953" s="200"/>
      <c r="T953" s="200"/>
      <c r="U953" s="152"/>
      <c r="V953" s="152"/>
      <c r="W953" s="157"/>
    </row>
    <row r="954" ht="15.75" customHeight="1">
      <c r="A954" s="167"/>
      <c r="B954" s="199"/>
      <c r="N954" s="152"/>
      <c r="Q954" s="195"/>
      <c r="S954" s="200"/>
      <c r="T954" s="200"/>
      <c r="U954" s="152"/>
      <c r="V954" s="152"/>
      <c r="W954" s="157"/>
    </row>
    <row r="955" ht="15.75" customHeight="1">
      <c r="A955" s="167"/>
      <c r="B955" s="199"/>
      <c r="N955" s="152"/>
      <c r="Q955" s="195"/>
      <c r="S955" s="200"/>
      <c r="T955" s="200"/>
      <c r="U955" s="152"/>
      <c r="V955" s="152"/>
      <c r="W955" s="157"/>
    </row>
    <row r="956" ht="15.75" customHeight="1">
      <c r="A956" s="167"/>
      <c r="B956" s="199"/>
      <c r="N956" s="152"/>
      <c r="Q956" s="195"/>
      <c r="S956" s="200"/>
      <c r="T956" s="200"/>
      <c r="U956" s="152"/>
      <c r="V956" s="152"/>
      <c r="W956" s="157"/>
    </row>
    <row r="957" ht="15.75" customHeight="1">
      <c r="A957" s="167"/>
      <c r="B957" s="199"/>
      <c r="N957" s="152"/>
      <c r="Q957" s="195"/>
      <c r="S957" s="200"/>
      <c r="T957" s="200"/>
      <c r="U957" s="152"/>
      <c r="V957" s="152"/>
      <c r="W957" s="157"/>
    </row>
    <row r="958" ht="15.75" customHeight="1">
      <c r="A958" s="167"/>
      <c r="B958" s="199"/>
      <c r="N958" s="152"/>
      <c r="Q958" s="195"/>
      <c r="S958" s="200"/>
      <c r="T958" s="200"/>
      <c r="U958" s="152"/>
      <c r="V958" s="152"/>
      <c r="W958" s="157"/>
    </row>
    <row r="959" ht="15.75" customHeight="1">
      <c r="A959" s="167"/>
      <c r="B959" s="199"/>
      <c r="N959" s="152"/>
      <c r="Q959" s="195"/>
      <c r="S959" s="200"/>
      <c r="T959" s="200"/>
      <c r="U959" s="152"/>
      <c r="V959" s="152"/>
      <c r="W959" s="157"/>
    </row>
    <row r="960" ht="15.75" customHeight="1">
      <c r="A960" s="167"/>
      <c r="B960" s="199"/>
      <c r="N960" s="152"/>
      <c r="Q960" s="195"/>
      <c r="S960" s="200"/>
      <c r="T960" s="200"/>
      <c r="U960" s="152"/>
      <c r="V960" s="152"/>
      <c r="W960" s="157"/>
    </row>
    <row r="961" ht="15.75" customHeight="1">
      <c r="A961" s="167"/>
      <c r="B961" s="199"/>
      <c r="N961" s="152"/>
      <c r="Q961" s="195"/>
      <c r="S961" s="200"/>
      <c r="T961" s="200"/>
      <c r="U961" s="152"/>
      <c r="V961" s="152"/>
      <c r="W961" s="157"/>
    </row>
    <row r="962" ht="15.75" customHeight="1">
      <c r="A962" s="167"/>
      <c r="B962" s="199"/>
      <c r="N962" s="152"/>
      <c r="Q962" s="195"/>
      <c r="S962" s="200"/>
      <c r="T962" s="200"/>
      <c r="U962" s="152"/>
      <c r="V962" s="152"/>
      <c r="W962" s="157"/>
    </row>
    <row r="963" ht="15.75" customHeight="1">
      <c r="A963" s="167"/>
      <c r="B963" s="199"/>
      <c r="N963" s="152"/>
      <c r="Q963" s="195"/>
      <c r="S963" s="200"/>
      <c r="T963" s="200"/>
      <c r="U963" s="152"/>
      <c r="V963" s="152"/>
      <c r="W963" s="157"/>
    </row>
    <row r="964" ht="15.75" customHeight="1">
      <c r="A964" s="167"/>
      <c r="B964" s="199"/>
      <c r="N964" s="152"/>
      <c r="Q964" s="195"/>
      <c r="S964" s="200"/>
      <c r="T964" s="200"/>
      <c r="U964" s="152"/>
      <c r="V964" s="152"/>
      <c r="W964" s="157"/>
    </row>
    <row r="965" ht="15.75" customHeight="1">
      <c r="A965" s="167"/>
      <c r="B965" s="199"/>
      <c r="N965" s="152"/>
      <c r="Q965" s="195"/>
      <c r="S965" s="200"/>
      <c r="T965" s="200"/>
      <c r="U965" s="152"/>
      <c r="V965" s="152"/>
      <c r="W965" s="157"/>
    </row>
    <row r="966" ht="15.75" customHeight="1">
      <c r="A966" s="167"/>
      <c r="B966" s="199"/>
      <c r="N966" s="152"/>
      <c r="Q966" s="195"/>
      <c r="S966" s="200"/>
      <c r="T966" s="200"/>
      <c r="U966" s="152"/>
      <c r="V966" s="152"/>
      <c r="W966" s="157"/>
    </row>
    <row r="967" ht="15.75" customHeight="1">
      <c r="A967" s="167"/>
      <c r="B967" s="199"/>
      <c r="N967" s="152"/>
      <c r="Q967" s="195"/>
      <c r="S967" s="200"/>
      <c r="T967" s="200"/>
      <c r="U967" s="152"/>
      <c r="V967" s="152"/>
      <c r="W967" s="157"/>
    </row>
    <row r="968" ht="15.75" customHeight="1">
      <c r="A968" s="167"/>
      <c r="B968" s="199"/>
      <c r="N968" s="152"/>
      <c r="Q968" s="195"/>
      <c r="S968" s="200"/>
      <c r="T968" s="200"/>
      <c r="U968" s="152"/>
      <c r="V968" s="152"/>
      <c r="W968" s="157"/>
    </row>
    <row r="969" ht="15.75" customHeight="1">
      <c r="A969" s="167"/>
      <c r="B969" s="199"/>
      <c r="N969" s="152"/>
      <c r="Q969" s="195"/>
      <c r="S969" s="200"/>
      <c r="T969" s="200"/>
      <c r="U969" s="152"/>
      <c r="V969" s="152"/>
      <c r="W969" s="157"/>
    </row>
    <row r="970" ht="15.75" customHeight="1">
      <c r="A970" s="167"/>
      <c r="B970" s="199"/>
      <c r="N970" s="152"/>
      <c r="Q970" s="195"/>
      <c r="S970" s="200"/>
      <c r="T970" s="200"/>
      <c r="U970" s="152"/>
      <c r="V970" s="152"/>
      <c r="W970" s="157"/>
    </row>
    <row r="971" ht="15.75" customHeight="1">
      <c r="A971" s="167"/>
      <c r="B971" s="199"/>
      <c r="N971" s="152"/>
      <c r="Q971" s="195"/>
      <c r="S971" s="200"/>
      <c r="T971" s="200"/>
      <c r="U971" s="152"/>
      <c r="V971" s="152"/>
      <c r="W971" s="157"/>
    </row>
    <row r="972" ht="15.75" customHeight="1">
      <c r="A972" s="167"/>
      <c r="B972" s="199"/>
      <c r="N972" s="152"/>
      <c r="Q972" s="195"/>
      <c r="S972" s="200"/>
      <c r="T972" s="200"/>
      <c r="U972" s="152"/>
      <c r="V972" s="152"/>
      <c r="W972" s="157"/>
    </row>
    <row r="973" ht="15.75" customHeight="1">
      <c r="A973" s="167"/>
      <c r="B973" s="199"/>
      <c r="N973" s="152"/>
      <c r="Q973" s="195"/>
      <c r="S973" s="200"/>
      <c r="T973" s="200"/>
      <c r="U973" s="152"/>
      <c r="V973" s="152"/>
      <c r="W973" s="157"/>
    </row>
    <row r="974" ht="15.75" customHeight="1">
      <c r="A974" s="167"/>
      <c r="B974" s="199"/>
      <c r="N974" s="152"/>
      <c r="Q974" s="195"/>
      <c r="S974" s="200"/>
      <c r="T974" s="200"/>
      <c r="U974" s="152"/>
      <c r="V974" s="152"/>
      <c r="W974" s="157"/>
    </row>
    <row r="975" ht="15.75" customHeight="1">
      <c r="A975" s="167"/>
      <c r="B975" s="199"/>
      <c r="N975" s="152"/>
      <c r="Q975" s="195"/>
      <c r="S975" s="200"/>
      <c r="T975" s="200"/>
      <c r="U975" s="152"/>
      <c r="V975" s="152"/>
      <c r="W975" s="157"/>
    </row>
    <row r="976" ht="15.75" customHeight="1">
      <c r="A976" s="167"/>
      <c r="B976" s="199"/>
      <c r="N976" s="152"/>
      <c r="Q976" s="195"/>
      <c r="S976" s="200"/>
      <c r="T976" s="200"/>
      <c r="U976" s="152"/>
      <c r="V976" s="152"/>
      <c r="W976" s="157"/>
    </row>
    <row r="977" ht="15.75" customHeight="1">
      <c r="A977" s="167"/>
      <c r="B977" s="199"/>
      <c r="N977" s="152"/>
      <c r="Q977" s="195"/>
      <c r="S977" s="200"/>
      <c r="T977" s="200"/>
      <c r="U977" s="152"/>
      <c r="V977" s="152"/>
      <c r="W977" s="157"/>
    </row>
    <row r="978" ht="15.75" customHeight="1">
      <c r="A978" s="167"/>
      <c r="B978" s="199"/>
      <c r="N978" s="152"/>
      <c r="Q978" s="195"/>
      <c r="S978" s="200"/>
      <c r="T978" s="200"/>
      <c r="U978" s="152"/>
      <c r="V978" s="152"/>
      <c r="W978" s="157"/>
    </row>
    <row r="979" ht="15.75" customHeight="1">
      <c r="A979" s="167"/>
      <c r="B979" s="199"/>
      <c r="N979" s="152"/>
      <c r="Q979" s="195"/>
      <c r="S979" s="200"/>
      <c r="T979" s="200"/>
      <c r="U979" s="152"/>
      <c r="V979" s="152"/>
      <c r="W979" s="157"/>
    </row>
    <row r="980" ht="15.75" customHeight="1">
      <c r="A980" s="167"/>
      <c r="B980" s="199"/>
      <c r="N980" s="152"/>
      <c r="Q980" s="195"/>
      <c r="S980" s="200"/>
      <c r="T980" s="200"/>
      <c r="U980" s="152"/>
      <c r="V980" s="152"/>
      <c r="W980" s="157"/>
    </row>
    <row r="981" ht="15.75" customHeight="1">
      <c r="A981" s="167"/>
      <c r="B981" s="199"/>
      <c r="N981" s="152"/>
      <c r="Q981" s="195"/>
      <c r="S981" s="200"/>
      <c r="T981" s="200"/>
      <c r="U981" s="152"/>
      <c r="V981" s="152"/>
      <c r="W981" s="157"/>
    </row>
    <row r="982" ht="15.75" customHeight="1">
      <c r="A982" s="167"/>
      <c r="B982" s="199"/>
      <c r="N982" s="152"/>
      <c r="Q982" s="195"/>
      <c r="S982" s="200"/>
      <c r="T982" s="200"/>
      <c r="U982" s="152"/>
      <c r="V982" s="152"/>
      <c r="W982" s="157"/>
    </row>
    <row r="983" ht="15.75" customHeight="1">
      <c r="A983" s="167"/>
      <c r="B983" s="199"/>
      <c r="N983" s="152"/>
      <c r="Q983" s="195"/>
      <c r="S983" s="200"/>
      <c r="T983" s="200"/>
      <c r="U983" s="152"/>
      <c r="V983" s="152"/>
      <c r="W983" s="157"/>
    </row>
    <row r="984" ht="15.75" customHeight="1">
      <c r="A984" s="167"/>
      <c r="B984" s="199"/>
      <c r="N984" s="152"/>
      <c r="Q984" s="195"/>
      <c r="S984" s="200"/>
      <c r="T984" s="200"/>
      <c r="U984" s="152"/>
      <c r="V984" s="152"/>
      <c r="W984" s="157"/>
    </row>
    <row r="985" ht="15.75" customHeight="1">
      <c r="A985" s="167"/>
      <c r="B985" s="199"/>
      <c r="N985" s="152"/>
      <c r="Q985" s="195"/>
      <c r="S985" s="200"/>
      <c r="T985" s="200"/>
      <c r="U985" s="152"/>
      <c r="V985" s="152"/>
      <c r="W985" s="157"/>
    </row>
    <row r="986" ht="15.75" customHeight="1">
      <c r="A986" s="167"/>
      <c r="B986" s="199"/>
      <c r="N986" s="152"/>
      <c r="Q986" s="195"/>
      <c r="S986" s="200"/>
      <c r="T986" s="200"/>
      <c r="U986" s="152"/>
      <c r="V986" s="152"/>
      <c r="W986" s="157"/>
    </row>
    <row r="987" ht="15.75" customHeight="1">
      <c r="A987" s="167"/>
      <c r="B987" s="199"/>
      <c r="N987" s="152"/>
      <c r="Q987" s="195"/>
      <c r="S987" s="200"/>
      <c r="T987" s="200"/>
      <c r="U987" s="152"/>
      <c r="V987" s="152"/>
      <c r="W987" s="157"/>
    </row>
    <row r="988" ht="15.75" customHeight="1">
      <c r="A988" s="167"/>
      <c r="B988" s="199"/>
      <c r="N988" s="152"/>
      <c r="Q988" s="195"/>
      <c r="S988" s="200"/>
      <c r="T988" s="200"/>
      <c r="U988" s="152"/>
      <c r="V988" s="152"/>
      <c r="W988" s="157"/>
    </row>
    <row r="989" ht="15.75" customHeight="1">
      <c r="A989" s="167"/>
      <c r="B989" s="199"/>
      <c r="N989" s="152"/>
      <c r="Q989" s="195"/>
      <c r="S989" s="200"/>
      <c r="T989" s="200"/>
      <c r="U989" s="152"/>
      <c r="V989" s="152"/>
      <c r="W989" s="157"/>
    </row>
    <row r="990" ht="15.75" customHeight="1">
      <c r="A990" s="167"/>
      <c r="B990" s="199"/>
      <c r="N990" s="152"/>
      <c r="Q990" s="195"/>
      <c r="S990" s="200"/>
      <c r="T990" s="200"/>
      <c r="U990" s="152"/>
      <c r="V990" s="152"/>
      <c r="W990" s="157"/>
    </row>
    <row r="991" ht="15.75" customHeight="1">
      <c r="A991" s="167"/>
      <c r="B991" s="199"/>
      <c r="N991" s="152"/>
      <c r="Q991" s="195"/>
      <c r="S991" s="200"/>
      <c r="T991" s="200"/>
      <c r="U991" s="152"/>
      <c r="V991" s="152"/>
      <c r="W991" s="157"/>
    </row>
    <row r="992" ht="15.75" customHeight="1">
      <c r="A992" s="167"/>
      <c r="B992" s="199"/>
      <c r="N992" s="152"/>
      <c r="Q992" s="195"/>
      <c r="S992" s="200"/>
      <c r="T992" s="200"/>
      <c r="U992" s="152"/>
      <c r="V992" s="152"/>
      <c r="W992" s="157"/>
    </row>
    <row r="993" ht="15.75" customHeight="1">
      <c r="A993" s="167"/>
      <c r="B993" s="199"/>
      <c r="N993" s="152"/>
      <c r="Q993" s="195"/>
      <c r="S993" s="200"/>
      <c r="T993" s="200"/>
      <c r="U993" s="152"/>
      <c r="V993" s="152"/>
      <c r="W993" s="157"/>
    </row>
    <row r="994" ht="15.75" customHeight="1">
      <c r="A994" s="167"/>
      <c r="B994" s="199"/>
      <c r="N994" s="152"/>
      <c r="Q994" s="195"/>
      <c r="S994" s="200"/>
      <c r="T994" s="200"/>
      <c r="U994" s="152"/>
      <c r="V994" s="152"/>
      <c r="W994" s="157"/>
    </row>
    <row r="995" ht="15.75" customHeight="1">
      <c r="A995" s="167"/>
      <c r="B995" s="199"/>
      <c r="N995" s="152"/>
      <c r="Q995" s="195"/>
      <c r="S995" s="200"/>
      <c r="T995" s="200"/>
      <c r="U995" s="152"/>
      <c r="V995" s="152"/>
      <c r="W995" s="157"/>
    </row>
    <row r="996" ht="15.75" customHeight="1">
      <c r="A996" s="167"/>
      <c r="B996" s="199"/>
      <c r="N996" s="152"/>
      <c r="Q996" s="195"/>
      <c r="S996" s="200"/>
      <c r="T996" s="200"/>
      <c r="U996" s="152"/>
      <c r="V996" s="152"/>
      <c r="W996" s="157"/>
    </row>
    <row r="997" ht="15.75" customHeight="1">
      <c r="A997" s="167"/>
      <c r="B997" s="199"/>
      <c r="N997" s="152"/>
      <c r="Q997" s="195"/>
      <c r="S997" s="200"/>
      <c r="T997" s="200"/>
      <c r="U997" s="152"/>
      <c r="V997" s="152"/>
      <c r="W997" s="157"/>
    </row>
    <row r="998" ht="15.75" customHeight="1">
      <c r="A998" s="167"/>
      <c r="B998" s="199"/>
      <c r="N998" s="152"/>
      <c r="Q998" s="195"/>
      <c r="S998" s="200"/>
      <c r="T998" s="200"/>
      <c r="U998" s="152"/>
      <c r="V998" s="152"/>
      <c r="W998" s="157"/>
    </row>
    <row r="999" ht="15.75" customHeight="1">
      <c r="A999" s="167"/>
      <c r="B999" s="199"/>
      <c r="N999" s="152"/>
      <c r="Q999" s="195"/>
      <c r="S999" s="200"/>
      <c r="T999" s="200"/>
      <c r="U999" s="152"/>
      <c r="V999" s="152"/>
      <c r="W999" s="157"/>
    </row>
    <row r="1000" ht="15.75" customHeight="1">
      <c r="A1000" s="167"/>
      <c r="B1000" s="199"/>
      <c r="N1000" s="152"/>
      <c r="Q1000" s="195"/>
      <c r="S1000" s="200"/>
      <c r="T1000" s="200"/>
      <c r="U1000" s="152"/>
      <c r="V1000" s="152"/>
      <c r="W1000" s="157"/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3.75"/>
    <col customWidth="1" min="6" max="6" width="12.63"/>
    <col customWidth="1" min="8" max="8" width="17.88"/>
    <col customWidth="1" min="9" max="9" width="14.38"/>
    <col customWidth="1" min="12" max="12" width="20.88"/>
    <col customWidth="1" min="13" max="13" width="13.0"/>
    <col customWidth="1" min="14" max="14" width="18.13"/>
    <col customWidth="1" min="15" max="15" width="13.63"/>
    <col customWidth="1" min="16" max="16" width="19.13"/>
    <col customWidth="1" min="17" max="17" width="20.88"/>
    <col customWidth="1" min="19" max="20" width="19.13"/>
  </cols>
  <sheetData>
    <row r="1" ht="15.75" customHeight="1">
      <c r="A1" s="168" t="str">
        <f>Datos!A1</f>
        <v>   Fecha </v>
      </c>
      <c r="B1" s="172" t="str">
        <f>Datos!B1</f>
        <v>NIS</v>
      </c>
      <c r="C1" s="168" t="str">
        <f>Datos!C1</f>
        <v>Cliente</v>
      </c>
      <c r="D1" s="168" t="str">
        <f>Datos!D1</f>
        <v>IVA</v>
      </c>
      <c r="E1" s="168" t="str">
        <f>Datos!E1</f>
        <v>Consumo [kWh]</v>
      </c>
      <c r="F1" s="168" t="str">
        <f>Datos!F1</f>
        <v>Consumo hs punta [kWh]</v>
      </c>
      <c r="G1" s="168" t="str">
        <f>Datos!G1</f>
        <v>Consumo hs valle [kWh]</v>
      </c>
      <c r="H1" s="168" t="str">
        <f>Datos!H1</f>
        <v>Consumo hs resto[kWh]</v>
      </c>
      <c r="I1" s="168" t="str">
        <f>Datos!I1</f>
        <v>Catergoria</v>
      </c>
      <c r="J1" s="168" t="str">
        <f>Datos!J1</f>
        <v>Tarifa punta</v>
      </c>
      <c r="K1" s="168" t="str">
        <f>Datos!K1</f>
        <v>Tarifa valle</v>
      </c>
      <c r="L1" s="168" t="str">
        <f>Datos!L1</f>
        <v>Tarifa resto</v>
      </c>
      <c r="M1" s="168" t="str">
        <f>Datos!M1</f>
        <v>Generacion FV [kWh]</v>
      </c>
      <c r="N1" s="173" t="str">
        <f>Datos!N1</f>
        <v>CONSUMO TOTAL</v>
      </c>
      <c r="O1" s="168" t="str">
        <f>Datos!O1</f>
        <v>Total a pagar S / IVA</v>
      </c>
      <c r="P1" s="168" t="str">
        <f>Datos!P1</f>
        <v>Valor USD</v>
      </c>
      <c r="Q1" s="182" t="str">
        <f>Datos!Q1</f>
        <v>Ahorro (USD)</v>
      </c>
      <c r="R1" s="168" t="str">
        <f>Datos!R1</f>
        <v>Ahorro ($)</v>
      </c>
      <c r="S1" s="183" t="str">
        <f>Datos!S1</f>
        <v>Valor dolar Actual ($)</v>
      </c>
      <c r="T1" s="183" t="str">
        <f>Datos!T1</f>
        <v>Ahorro ($)-A precio actual</v>
      </c>
      <c r="U1" s="173" t="str">
        <f>Datos!U1</f>
        <v>kg CO2e evitados</v>
      </c>
      <c r="V1" s="173" t="str">
        <f>Datos!V1</f>
        <v>Equivalente en árboles</v>
      </c>
      <c r="W1" s="184" t="str">
        <f>Datos!W1</f>
        <v>% de ahorro sobre los consumos</v>
      </c>
      <c r="X1" s="168" t="str">
        <f>Datos!X1</f>
        <v>SIN PANELES S/IVA</v>
      </c>
      <c r="Y1" s="168" t="str">
        <f>Datos!Z1</f>
        <v/>
      </c>
      <c r="Z1" s="180"/>
      <c r="AA1" s="180"/>
      <c r="AB1" s="180"/>
    </row>
    <row r="2" ht="15.75" customHeight="1">
      <c r="A2" s="12">
        <f>'Joaquin Elizalde'!A2</f>
        <v>45992</v>
      </c>
      <c r="B2" s="77">
        <f>'Joaquin Elizalde'!B2</f>
        <v>5253775</v>
      </c>
      <c r="C2" s="77" t="str">
        <f>'Joaquin Elizalde'!C2</f>
        <v>Joaquín Elizalde</v>
      </c>
      <c r="D2" s="29">
        <f>'Joaquin Elizalde'!D2</f>
        <v>0.21</v>
      </c>
      <c r="E2" s="17">
        <f>'Joaquin Elizalde'!E2</f>
        <v>542</v>
      </c>
      <c r="F2" s="17"/>
      <c r="G2" s="17"/>
      <c r="H2" s="17">
        <f>'Joaquin Elizalde'!H2</f>
        <v>542</v>
      </c>
      <c r="I2" s="17" t="str">
        <f>'Joaquin Elizalde'!I2</f>
        <v>T1-R2-N1</v>
      </c>
      <c r="J2" s="30">
        <f>'Joaquin Elizalde'!J2</f>
        <v>240.5281</v>
      </c>
      <c r="K2" s="30">
        <f>'Joaquin Elizalde'!K2</f>
        <v>240.5281</v>
      </c>
      <c r="L2" s="30">
        <f>'Joaquin Elizalde'!L2</f>
        <v>240.5281</v>
      </c>
      <c r="M2" s="15">
        <f>'Joaquin Elizalde'!M2</f>
        <v>138.3</v>
      </c>
      <c r="N2" s="17">
        <f>'Joaquin Elizalde'!N2</f>
        <v>680.3</v>
      </c>
      <c r="O2" s="31">
        <f>'Joaquin Elizalde'!O2</f>
        <v>130366.2302</v>
      </c>
      <c r="P2" s="20">
        <f>'Joaquin Elizalde'!P2</f>
        <v>1470</v>
      </c>
      <c r="Q2" s="181">
        <f>'Joaquin Elizalde'!Q2</f>
        <v>22.62927635</v>
      </c>
      <c r="R2" s="32">
        <f>'Joaquin Elizalde'!R2</f>
        <v>33265.03623</v>
      </c>
      <c r="S2" s="84">
        <f>'Joaquin Elizalde'!S2</f>
        <v>1465</v>
      </c>
      <c r="T2" s="34">
        <f>'Joaquin Elizalde'!T2</f>
        <v>40113.78672</v>
      </c>
      <c r="U2" s="35">
        <f>'Joaquin Elizalde'!U2</f>
        <v>27.66</v>
      </c>
      <c r="V2" s="36">
        <f>'Joaquin Elizalde'!V2</f>
        <v>1.257272727</v>
      </c>
      <c r="W2" s="37">
        <f>'Joaquin Elizalde'!W2</f>
        <v>0.203292665</v>
      </c>
      <c r="X2" s="31">
        <f>'Joaquin Elizalde'!X2</f>
        <v>163631.2664</v>
      </c>
    </row>
    <row r="3" ht="15.75" customHeight="1">
      <c r="A3" s="12">
        <f>'Joaquin Elizalde'!A3</f>
        <v>45982</v>
      </c>
      <c r="B3" s="77">
        <f>'Joaquin Elizalde'!B3</f>
        <v>5253775</v>
      </c>
      <c r="C3" s="77" t="str">
        <f>'Joaquin Elizalde'!C3</f>
        <v>Joaquín Elizalde</v>
      </c>
      <c r="D3" s="29">
        <f>'Joaquin Elizalde'!D3</f>
        <v>0.27</v>
      </c>
      <c r="E3" s="17">
        <f>'Joaquin Elizalde'!E3</f>
        <v>643</v>
      </c>
      <c r="F3" s="17" t="str">
        <f>'Joaquin Elizalde'!F3</f>
        <v/>
      </c>
      <c r="G3" s="17" t="str">
        <f>'Joaquin Elizalde'!G3</f>
        <v/>
      </c>
      <c r="H3" s="17">
        <f>'Joaquin Elizalde'!H3</f>
        <v>643</v>
      </c>
      <c r="I3" s="17" t="str">
        <f>'Joaquin Elizalde'!I3</f>
        <v>T1-R2-N1</v>
      </c>
      <c r="J3" s="30">
        <f>'Joaquin Elizalde'!J3</f>
        <v>233.1878</v>
      </c>
      <c r="K3" s="30">
        <f>'Joaquin Elizalde'!K3</f>
        <v>233.1878</v>
      </c>
      <c r="L3" s="30">
        <f>'Joaquin Elizalde'!L3</f>
        <v>233.1878</v>
      </c>
      <c r="M3" s="15">
        <f>'Joaquin Elizalde'!M3</f>
        <v>144.5</v>
      </c>
      <c r="N3" s="17">
        <f>'Joaquin Elizalde'!N3</f>
        <v>787.5</v>
      </c>
      <c r="O3" s="31">
        <f>'Joaquin Elizalde'!O3</f>
        <v>149939.7554</v>
      </c>
      <c r="P3" s="20">
        <f>'Joaquin Elizalde'!P3</f>
        <v>1470</v>
      </c>
      <c r="Q3" s="181">
        <f>'Joaquin Elizalde'!Q3</f>
        <v>22.92220211</v>
      </c>
      <c r="R3" s="32">
        <f>'Joaquin Elizalde'!R3</f>
        <v>33695.6371</v>
      </c>
      <c r="S3" s="84">
        <f>'Joaquin Elizalde'!S3</f>
        <v>1465</v>
      </c>
      <c r="T3" s="34">
        <f>'Joaquin Elizalde'!T3</f>
        <v>42647.90313</v>
      </c>
      <c r="U3" s="35">
        <f>'Joaquin Elizalde'!U3</f>
        <v>28.9</v>
      </c>
      <c r="V3" s="36">
        <f>'Joaquin Elizalde'!V3</f>
        <v>1.313636364</v>
      </c>
      <c r="W3" s="37">
        <f>'Joaquin Elizalde'!W3</f>
        <v>0.1834920635</v>
      </c>
      <c r="X3" s="31">
        <f>'Joaquin Elizalde'!X3</f>
        <v>183635.3925</v>
      </c>
    </row>
    <row r="4" ht="15.75" customHeight="1">
      <c r="A4" s="12">
        <f>'Joaquin Elizalde'!A4</f>
        <v>45931</v>
      </c>
      <c r="B4" s="77">
        <f>'Joaquin Elizalde'!B4</f>
        <v>5253775</v>
      </c>
      <c r="C4" s="77" t="str">
        <f>'Joaquin Elizalde'!C4</f>
        <v>Joaquín Elizalde</v>
      </c>
      <c r="D4" s="29">
        <f>'Joaquin Elizalde'!D4</f>
        <v>0.21</v>
      </c>
      <c r="E4" s="17">
        <f>'Joaquin Elizalde'!E4</f>
        <v>598</v>
      </c>
      <c r="F4" s="17" t="str">
        <f>'Joaquin Elizalde'!F4</f>
        <v/>
      </c>
      <c r="G4" s="17" t="str">
        <f>'Joaquin Elizalde'!G4</f>
        <v/>
      </c>
      <c r="H4" s="17">
        <f>'Joaquin Elizalde'!H4</f>
        <v>598</v>
      </c>
      <c r="I4" s="28" t="str">
        <f>'Joaquin Elizalde'!I4</f>
        <v>T1-R2-N1</v>
      </c>
      <c r="J4" s="30">
        <f>'Joaquin Elizalde'!J4</f>
        <v>230.0967</v>
      </c>
      <c r="K4" s="30">
        <f>'Joaquin Elizalde'!K4</f>
        <v>230.0967</v>
      </c>
      <c r="L4" s="30">
        <f>'Joaquin Elizalde'!L4</f>
        <v>230.0967</v>
      </c>
      <c r="M4" s="15">
        <f>'Joaquin Elizalde'!M4</f>
        <v>140.6</v>
      </c>
      <c r="N4" s="17">
        <f>'Joaquin Elizalde'!N4</f>
        <v>738.6</v>
      </c>
      <c r="O4" s="31">
        <f>'Joaquin Elizalde'!O4</f>
        <v>137597.8266</v>
      </c>
      <c r="P4" s="20">
        <f>'Joaquin Elizalde'!P4</f>
        <v>1450</v>
      </c>
      <c r="Q4" s="181">
        <f>'Joaquin Elizalde'!Q4</f>
        <v>22.31144553</v>
      </c>
      <c r="R4" s="32">
        <f>'Joaquin Elizalde'!R4</f>
        <v>32351.59602</v>
      </c>
      <c r="S4" s="84">
        <f>'Joaquin Elizalde'!S4</f>
        <v>1465</v>
      </c>
      <c r="T4" s="34">
        <f>'Joaquin Elizalde'!T4</f>
        <v>39550.38392</v>
      </c>
      <c r="U4" s="35">
        <f>'Joaquin Elizalde'!U4</f>
        <v>28.12</v>
      </c>
      <c r="V4" s="36">
        <f>'Joaquin Elizalde'!V4</f>
        <v>1.278181818</v>
      </c>
      <c r="W4" s="37">
        <f>'Joaquin Elizalde'!W4</f>
        <v>0.1903601408</v>
      </c>
      <c r="X4" s="31">
        <f>'Joaquin Elizalde'!X4</f>
        <v>169949.4226</v>
      </c>
    </row>
    <row r="5" ht="15.75" customHeight="1">
      <c r="A5" s="12"/>
      <c r="B5" s="77"/>
      <c r="C5" s="77"/>
      <c r="D5" s="29"/>
      <c r="E5" s="17"/>
      <c r="F5" s="17"/>
      <c r="G5" s="17"/>
      <c r="H5" s="17"/>
      <c r="I5" s="28"/>
      <c r="J5" s="30"/>
      <c r="K5" s="30"/>
      <c r="L5" s="30"/>
      <c r="M5" s="15"/>
      <c r="N5" s="17"/>
      <c r="O5" s="31"/>
      <c r="P5" s="20"/>
      <c r="Q5" s="181"/>
      <c r="R5" s="32"/>
      <c r="S5" s="84"/>
      <c r="T5" s="34"/>
      <c r="U5" s="35"/>
      <c r="V5" s="36"/>
      <c r="W5" s="37"/>
      <c r="X5" s="31"/>
    </row>
    <row r="6" ht="15.75" customHeight="1">
      <c r="A6" s="12"/>
      <c r="B6" s="77"/>
      <c r="C6" s="77"/>
      <c r="D6" s="29"/>
      <c r="E6" s="17"/>
      <c r="F6" s="17"/>
      <c r="G6" s="17"/>
      <c r="H6" s="17"/>
      <c r="I6" s="28"/>
      <c r="J6" s="30"/>
      <c r="K6" s="30"/>
      <c r="L6" s="30"/>
      <c r="M6" s="15"/>
      <c r="N6" s="17"/>
      <c r="O6" s="31"/>
      <c r="P6" s="20"/>
      <c r="Q6" s="181"/>
      <c r="R6" s="32"/>
      <c r="S6" s="84"/>
      <c r="T6" s="34"/>
      <c r="U6" s="35"/>
      <c r="V6" s="36"/>
      <c r="W6" s="37"/>
      <c r="X6" s="31"/>
    </row>
    <row r="7" ht="15.75" customHeight="1">
      <c r="A7" s="12"/>
      <c r="B7" s="77"/>
      <c r="C7" s="77"/>
      <c r="D7" s="29"/>
      <c r="E7" s="17"/>
      <c r="F7" s="17"/>
      <c r="G7" s="17"/>
      <c r="H7" s="17"/>
      <c r="I7" s="28"/>
      <c r="J7" s="30"/>
      <c r="K7" s="30"/>
      <c r="L7" s="30"/>
      <c r="M7" s="15"/>
      <c r="N7" s="17"/>
      <c r="O7" s="31"/>
      <c r="P7" s="20"/>
      <c r="Q7" s="181"/>
      <c r="R7" s="32"/>
      <c r="S7" s="84"/>
      <c r="T7" s="34"/>
      <c r="U7" s="35"/>
      <c r="V7" s="36"/>
      <c r="W7" s="37"/>
      <c r="X7" s="31"/>
    </row>
    <row r="8" ht="15.75" customHeight="1">
      <c r="A8" s="12"/>
      <c r="B8" s="77"/>
      <c r="C8" s="77"/>
      <c r="D8" s="29"/>
      <c r="E8" s="17"/>
      <c r="F8" s="17"/>
      <c r="G8" s="17"/>
      <c r="H8" s="17"/>
      <c r="I8" s="28"/>
      <c r="J8" s="30"/>
      <c r="K8" s="30"/>
      <c r="L8" s="30"/>
      <c r="M8" s="15"/>
      <c r="N8" s="17"/>
      <c r="O8" s="31"/>
      <c r="P8" s="20"/>
      <c r="Q8" s="181"/>
      <c r="R8" s="32"/>
      <c r="S8" s="84"/>
      <c r="T8" s="34"/>
      <c r="U8" s="35"/>
      <c r="V8" s="36"/>
      <c r="W8" s="37"/>
      <c r="X8" s="31"/>
    </row>
    <row r="9" ht="15.75" customHeight="1">
      <c r="A9" s="12"/>
      <c r="B9" s="77"/>
      <c r="C9" s="77"/>
      <c r="D9" s="29"/>
      <c r="E9" s="17"/>
      <c r="F9" s="17"/>
      <c r="G9" s="17"/>
      <c r="H9" s="17"/>
      <c r="I9" s="28"/>
      <c r="J9" s="30"/>
      <c r="K9" s="30"/>
      <c r="L9" s="30"/>
      <c r="M9" s="15"/>
      <c r="N9" s="17"/>
      <c r="O9" s="31"/>
      <c r="P9" s="20"/>
      <c r="Q9" s="181"/>
      <c r="R9" s="32"/>
      <c r="S9" s="84"/>
      <c r="T9" s="34"/>
      <c r="U9" s="35"/>
      <c r="V9" s="36"/>
      <c r="W9" s="37"/>
      <c r="X9" s="31"/>
    </row>
    <row r="10" ht="15.75" customHeight="1">
      <c r="A10" s="12"/>
      <c r="B10" s="77"/>
      <c r="C10" s="77"/>
      <c r="D10" s="29"/>
      <c r="E10" s="17"/>
      <c r="F10" s="17"/>
      <c r="G10" s="17"/>
      <c r="H10" s="17"/>
      <c r="I10" s="28"/>
      <c r="J10" s="30"/>
      <c r="K10" s="30"/>
      <c r="L10" s="30"/>
      <c r="M10" s="15"/>
      <c r="N10" s="17"/>
      <c r="O10" s="31"/>
      <c r="P10" s="20"/>
      <c r="Q10" s="181"/>
      <c r="R10" s="32"/>
      <c r="S10" s="84"/>
      <c r="T10" s="34"/>
      <c r="U10" s="35"/>
      <c r="V10" s="36"/>
      <c r="W10" s="37"/>
      <c r="X10" s="31"/>
    </row>
    <row r="11" ht="15.75" customHeight="1">
      <c r="A11" s="12"/>
      <c r="B11" s="77"/>
      <c r="C11" s="77"/>
      <c r="D11" s="29"/>
      <c r="E11" s="17"/>
      <c r="F11" s="17"/>
      <c r="G11" s="17"/>
      <c r="H11" s="17"/>
      <c r="I11" s="28"/>
      <c r="J11" s="30"/>
      <c r="K11" s="30"/>
      <c r="L11" s="30"/>
      <c r="M11" s="15"/>
      <c r="N11" s="17"/>
      <c r="O11" s="31"/>
      <c r="P11" s="20"/>
      <c r="Q11" s="181"/>
      <c r="R11" s="32"/>
      <c r="S11" s="84"/>
      <c r="T11" s="34"/>
      <c r="U11" s="35"/>
      <c r="V11" s="36"/>
      <c r="W11" s="37"/>
      <c r="X11" s="31"/>
    </row>
    <row r="12" ht="15.75" customHeight="1">
      <c r="A12" s="12"/>
      <c r="B12" s="77"/>
      <c r="C12" s="77"/>
      <c r="D12" s="29"/>
      <c r="E12" s="17"/>
      <c r="F12" s="17"/>
      <c r="G12" s="17"/>
      <c r="H12" s="17"/>
      <c r="I12" s="28"/>
      <c r="J12" s="30"/>
      <c r="K12" s="30"/>
      <c r="L12" s="30"/>
      <c r="M12" s="15"/>
      <c r="N12" s="17"/>
      <c r="O12" s="31"/>
      <c r="P12" s="20"/>
      <c r="Q12" s="181"/>
      <c r="R12" s="32"/>
      <c r="S12" s="84"/>
      <c r="T12" s="34"/>
      <c r="U12" s="35"/>
      <c r="V12" s="36"/>
      <c r="W12" s="37"/>
      <c r="X12" s="31"/>
    </row>
    <row r="13" ht="15.75" customHeight="1">
      <c r="A13" s="12"/>
      <c r="B13" s="77"/>
      <c r="C13" s="77"/>
      <c r="D13" s="29"/>
      <c r="E13" s="17"/>
      <c r="F13" s="17"/>
      <c r="G13" s="17"/>
      <c r="H13" s="17"/>
      <c r="I13" s="28"/>
      <c r="J13" s="30"/>
      <c r="K13" s="30"/>
      <c r="L13" s="30"/>
      <c r="M13" s="15"/>
      <c r="N13" s="17"/>
      <c r="O13" s="31"/>
      <c r="P13" s="20"/>
      <c r="Q13" s="181"/>
      <c r="R13" s="32"/>
      <c r="S13" s="84"/>
      <c r="T13" s="34"/>
      <c r="U13" s="35"/>
      <c r="V13" s="36"/>
      <c r="W13" s="37"/>
      <c r="X13" s="31"/>
    </row>
    <row r="14" ht="15.75" customHeight="1">
      <c r="A14" s="12"/>
      <c r="B14" s="77"/>
      <c r="C14" s="77"/>
      <c r="D14" s="29"/>
      <c r="E14" s="17"/>
      <c r="F14" s="17"/>
      <c r="G14" s="17"/>
      <c r="H14" s="17"/>
      <c r="I14" s="28"/>
      <c r="J14" s="30"/>
      <c r="K14" s="30"/>
      <c r="L14" s="30"/>
      <c r="M14" s="15"/>
      <c r="N14" s="17"/>
      <c r="O14" s="31"/>
      <c r="P14" s="20"/>
      <c r="Q14" s="181"/>
      <c r="R14" s="32"/>
      <c r="S14" s="84"/>
      <c r="T14" s="34"/>
      <c r="U14" s="35"/>
      <c r="V14" s="36"/>
      <c r="W14" s="37"/>
      <c r="X14" s="31"/>
    </row>
    <row r="15" ht="15.75" customHeight="1">
      <c r="A15" s="12"/>
      <c r="B15" s="77"/>
      <c r="C15" s="77"/>
      <c r="D15" s="29"/>
      <c r="E15" s="17"/>
      <c r="F15" s="17"/>
      <c r="G15" s="17"/>
      <c r="H15" s="17"/>
      <c r="I15" s="28"/>
      <c r="J15" s="30"/>
      <c r="K15" s="30"/>
      <c r="L15" s="30"/>
      <c r="M15" s="15"/>
      <c r="N15" s="17"/>
      <c r="O15" s="31"/>
      <c r="P15" s="20"/>
      <c r="Q15" s="181"/>
      <c r="R15" s="32"/>
      <c r="S15" s="84"/>
      <c r="T15" s="34"/>
      <c r="U15" s="35"/>
      <c r="V15" s="36"/>
      <c r="W15" s="37"/>
      <c r="X15" s="31"/>
    </row>
    <row r="16" ht="15.75" customHeight="1">
      <c r="A16" s="192"/>
      <c r="B16" s="193"/>
      <c r="C16" s="194"/>
      <c r="D16" s="152"/>
      <c r="E16" s="153"/>
      <c r="F16" s="153"/>
      <c r="G16" s="153"/>
      <c r="H16" s="153"/>
      <c r="J16" s="154"/>
      <c r="K16" s="154"/>
      <c r="L16" s="154"/>
      <c r="M16" s="152"/>
      <c r="N16" s="152"/>
      <c r="O16" s="154"/>
      <c r="P16" s="154"/>
      <c r="Q16" s="195"/>
      <c r="R16" s="154"/>
      <c r="S16" s="196"/>
      <c r="T16" s="196"/>
      <c r="U16" s="152"/>
      <c r="V16" s="152"/>
      <c r="W16" s="157"/>
      <c r="X16" s="154"/>
    </row>
    <row r="17" ht="15.75" customHeight="1">
      <c r="A17" s="192"/>
      <c r="B17" s="193"/>
      <c r="C17" s="194"/>
      <c r="D17" s="152"/>
      <c r="E17" s="153"/>
      <c r="F17" s="153"/>
      <c r="G17" s="153"/>
      <c r="H17" s="153"/>
      <c r="J17" s="154"/>
      <c r="K17" s="154"/>
      <c r="L17" s="154"/>
      <c r="M17" s="152"/>
      <c r="N17" s="152"/>
      <c r="O17" s="154"/>
      <c r="P17" s="154"/>
      <c r="Q17" s="195"/>
      <c r="R17" s="154"/>
      <c r="S17" s="196"/>
      <c r="T17" s="196"/>
      <c r="U17" s="152"/>
      <c r="V17" s="152"/>
      <c r="W17" s="157"/>
      <c r="X17" s="154"/>
    </row>
    <row r="18" ht="15.75" customHeight="1">
      <c r="A18" s="192"/>
      <c r="B18" s="193"/>
      <c r="C18" s="194"/>
      <c r="D18" s="152"/>
      <c r="E18" s="153"/>
      <c r="F18" s="153"/>
      <c r="G18" s="153"/>
      <c r="H18" s="153"/>
      <c r="J18" s="154"/>
      <c r="K18" s="154"/>
      <c r="L18" s="154"/>
      <c r="M18" s="152"/>
      <c r="N18" s="152"/>
      <c r="O18" s="154"/>
      <c r="P18" s="154"/>
      <c r="Q18" s="195"/>
      <c r="R18" s="154"/>
      <c r="S18" s="196"/>
      <c r="T18" s="196"/>
      <c r="U18" s="152"/>
      <c r="V18" s="152"/>
      <c r="W18" s="157"/>
      <c r="X18" s="154"/>
    </row>
    <row r="19" ht="15.75" customHeight="1">
      <c r="A19" s="192"/>
      <c r="B19" s="193"/>
      <c r="C19" s="194"/>
      <c r="N19" s="152"/>
      <c r="Q19" s="195"/>
      <c r="S19" s="196"/>
      <c r="T19" s="196"/>
      <c r="U19" s="152"/>
      <c r="V19" s="152"/>
      <c r="W19" s="157"/>
    </row>
    <row r="20" ht="15.75" customHeight="1">
      <c r="A20" s="192"/>
      <c r="B20" s="193"/>
      <c r="C20" s="194"/>
      <c r="N20" s="152"/>
      <c r="Q20" s="195"/>
      <c r="S20" s="196"/>
      <c r="T20" s="196"/>
      <c r="U20" s="152"/>
      <c r="V20" s="152"/>
      <c r="W20" s="157"/>
    </row>
    <row r="21" ht="15.75" customHeight="1">
      <c r="A21" s="192"/>
      <c r="B21" s="193"/>
      <c r="C21" s="194"/>
      <c r="N21" s="152"/>
      <c r="Q21" s="195"/>
      <c r="S21" s="196"/>
      <c r="T21" s="196"/>
      <c r="U21" s="152"/>
      <c r="V21" s="152"/>
      <c r="W21" s="157"/>
    </row>
    <row r="22" ht="15.75" customHeight="1">
      <c r="A22" s="192"/>
      <c r="B22" s="193"/>
      <c r="C22" s="194"/>
      <c r="N22" s="152"/>
      <c r="Q22" s="195"/>
      <c r="S22" s="196"/>
      <c r="T22" s="196"/>
      <c r="U22" s="152"/>
      <c r="V22" s="152"/>
      <c r="W22" s="157"/>
    </row>
    <row r="23" ht="15.75" customHeight="1">
      <c r="A23" s="192"/>
      <c r="B23" s="193"/>
      <c r="C23" s="194"/>
      <c r="N23" s="152"/>
      <c r="Q23" s="195"/>
      <c r="S23" s="196"/>
      <c r="T23" s="196"/>
      <c r="U23" s="152"/>
      <c r="V23" s="152"/>
      <c r="W23" s="157"/>
    </row>
    <row r="24" ht="15.75" customHeight="1">
      <c r="A24" s="192"/>
      <c r="B24" s="193"/>
      <c r="C24" s="194"/>
      <c r="N24" s="152"/>
      <c r="Q24" s="195"/>
      <c r="S24" s="196"/>
      <c r="T24" s="196"/>
      <c r="U24" s="152"/>
      <c r="V24" s="152"/>
      <c r="W24" s="157"/>
    </row>
    <row r="25" ht="15.75" customHeight="1">
      <c r="A25" s="192"/>
      <c r="B25" s="193"/>
      <c r="C25" s="194"/>
      <c r="N25" s="152"/>
      <c r="Q25" s="195"/>
      <c r="S25" s="196"/>
      <c r="T25" s="196"/>
      <c r="U25" s="152"/>
      <c r="V25" s="152"/>
      <c r="W25" s="157"/>
    </row>
    <row r="26" ht="15.75" customHeight="1">
      <c r="A26" s="192"/>
      <c r="B26" s="193"/>
      <c r="C26" s="194"/>
      <c r="N26" s="152"/>
      <c r="Q26" s="195"/>
      <c r="S26" s="196"/>
      <c r="T26" s="196"/>
      <c r="U26" s="152"/>
      <c r="V26" s="152"/>
      <c r="W26" s="157"/>
    </row>
    <row r="27" ht="15.75" customHeight="1">
      <c r="A27" s="192"/>
      <c r="B27" s="193"/>
      <c r="C27" s="194"/>
      <c r="N27" s="152"/>
      <c r="Q27" s="195"/>
      <c r="S27" s="196"/>
      <c r="T27" s="196"/>
      <c r="U27" s="152"/>
      <c r="V27" s="152"/>
      <c r="W27" s="157"/>
    </row>
    <row r="28" ht="15.75" customHeight="1">
      <c r="A28" s="192"/>
      <c r="B28" s="193"/>
      <c r="C28" s="194"/>
      <c r="N28" s="152"/>
      <c r="Q28" s="195"/>
      <c r="S28" s="196"/>
      <c r="T28" s="196"/>
      <c r="U28" s="152"/>
      <c r="V28" s="152"/>
      <c r="W28" s="157"/>
    </row>
    <row r="29" ht="15.75" customHeight="1">
      <c r="A29" s="192"/>
      <c r="B29" s="193"/>
      <c r="C29" s="194"/>
      <c r="N29" s="152"/>
      <c r="Q29" s="195"/>
      <c r="S29" s="196"/>
      <c r="T29" s="196"/>
      <c r="U29" s="152"/>
      <c r="V29" s="152"/>
      <c r="W29" s="157"/>
    </row>
    <row r="30" ht="15.75" customHeight="1">
      <c r="A30" s="192"/>
      <c r="B30" s="193"/>
      <c r="C30" s="194"/>
      <c r="N30" s="152"/>
      <c r="Q30" s="195"/>
      <c r="S30" s="196"/>
      <c r="T30" s="196"/>
      <c r="U30" s="152"/>
      <c r="V30" s="152"/>
      <c r="W30" s="157"/>
    </row>
    <row r="31" ht="15.75" customHeight="1">
      <c r="A31" s="192"/>
      <c r="B31" s="193"/>
      <c r="C31" s="194"/>
      <c r="N31" s="152"/>
      <c r="Q31" s="195"/>
      <c r="S31" s="196"/>
      <c r="T31" s="196"/>
      <c r="U31" s="152"/>
      <c r="V31" s="152"/>
      <c r="W31" s="157"/>
    </row>
    <row r="32" ht="15.75" customHeight="1">
      <c r="A32" s="192"/>
      <c r="B32" s="193"/>
      <c r="C32" s="194"/>
      <c r="N32" s="152"/>
      <c r="Q32" s="195"/>
      <c r="S32" s="196"/>
      <c r="T32" s="196"/>
      <c r="U32" s="152"/>
      <c r="V32" s="152"/>
      <c r="W32" s="157"/>
    </row>
    <row r="33" ht="15.75" customHeight="1">
      <c r="A33" s="192"/>
      <c r="B33" s="193"/>
      <c r="C33" s="194"/>
      <c r="N33" s="152"/>
      <c r="Q33" s="195"/>
      <c r="S33" s="196"/>
      <c r="T33" s="196"/>
      <c r="U33" s="152"/>
      <c r="V33" s="152"/>
      <c r="W33" s="157"/>
    </row>
    <row r="34" ht="15.75" customHeight="1">
      <c r="A34" s="192"/>
      <c r="B34" s="193"/>
      <c r="C34" s="194"/>
      <c r="N34" s="152"/>
      <c r="Q34" s="195"/>
      <c r="S34" s="196"/>
      <c r="T34" s="196"/>
      <c r="U34" s="152"/>
      <c r="V34" s="152"/>
      <c r="W34" s="157"/>
    </row>
    <row r="35" ht="15.75" customHeight="1">
      <c r="A35" s="192"/>
      <c r="B35" s="193"/>
      <c r="C35" s="194"/>
      <c r="N35" s="152"/>
      <c r="Q35" s="195"/>
      <c r="S35" s="196"/>
      <c r="T35" s="196"/>
      <c r="U35" s="152"/>
      <c r="V35" s="152"/>
      <c r="W35" s="157"/>
    </row>
    <row r="36" ht="15.75" customHeight="1">
      <c r="A36" s="192"/>
      <c r="B36" s="193"/>
      <c r="C36" s="194"/>
      <c r="N36" s="152"/>
      <c r="Q36" s="195"/>
      <c r="S36" s="196"/>
      <c r="T36" s="196"/>
      <c r="U36" s="152"/>
      <c r="V36" s="152"/>
      <c r="W36" s="157"/>
    </row>
    <row r="37" ht="15.75" customHeight="1">
      <c r="A37" s="192"/>
      <c r="B37" s="193"/>
      <c r="C37" s="194"/>
      <c r="N37" s="152"/>
      <c r="Q37" s="195"/>
      <c r="S37" s="196"/>
      <c r="T37" s="196"/>
      <c r="U37" s="152"/>
      <c r="V37" s="152"/>
      <c r="W37" s="157"/>
    </row>
    <row r="38" ht="15.75" customHeight="1">
      <c r="A38" s="192"/>
      <c r="B38" s="193"/>
      <c r="C38" s="194"/>
      <c r="N38" s="152"/>
      <c r="Q38" s="195"/>
      <c r="S38" s="196"/>
      <c r="T38" s="196"/>
      <c r="U38" s="152"/>
      <c r="V38" s="152"/>
      <c r="W38" s="157"/>
    </row>
    <row r="39" ht="15.75" customHeight="1">
      <c r="A39" s="192"/>
      <c r="B39" s="193"/>
      <c r="C39" s="194"/>
      <c r="N39" s="152"/>
      <c r="Q39" s="195"/>
      <c r="S39" s="196"/>
      <c r="T39" s="196"/>
      <c r="U39" s="152"/>
      <c r="V39" s="152"/>
      <c r="W39" s="157"/>
    </row>
    <row r="40" ht="15.75" customHeight="1">
      <c r="A40" s="192"/>
      <c r="B40" s="193"/>
      <c r="C40" s="194"/>
      <c r="N40" s="152"/>
      <c r="Q40" s="195"/>
      <c r="S40" s="196"/>
      <c r="T40" s="196"/>
      <c r="U40" s="152"/>
      <c r="V40" s="152"/>
      <c r="W40" s="157"/>
    </row>
    <row r="41" ht="15.75" customHeight="1">
      <c r="A41" s="192"/>
      <c r="B41" s="193"/>
      <c r="C41" s="194"/>
      <c r="N41" s="152"/>
      <c r="Q41" s="195"/>
      <c r="S41" s="196"/>
      <c r="T41" s="196"/>
      <c r="U41" s="152"/>
      <c r="V41" s="152"/>
      <c r="W41" s="157"/>
    </row>
    <row r="42" ht="15.75" customHeight="1">
      <c r="A42" s="192"/>
      <c r="B42" s="193"/>
      <c r="C42" s="194"/>
      <c r="N42" s="152"/>
      <c r="Q42" s="195"/>
      <c r="S42" s="196"/>
      <c r="T42" s="196"/>
      <c r="U42" s="152"/>
      <c r="V42" s="152"/>
      <c r="W42" s="157"/>
    </row>
    <row r="43" ht="15.75" customHeight="1">
      <c r="A43" s="192"/>
      <c r="B43" s="193"/>
      <c r="C43" s="194"/>
      <c r="N43" s="152"/>
      <c r="Q43" s="195"/>
      <c r="S43" s="196"/>
      <c r="T43" s="196"/>
      <c r="U43" s="152"/>
      <c r="V43" s="152"/>
      <c r="W43" s="157"/>
    </row>
    <row r="44" ht="15.75" customHeight="1">
      <c r="A44" s="192"/>
      <c r="B44" s="193"/>
      <c r="C44" s="194"/>
      <c r="N44" s="152"/>
      <c r="Q44" s="195"/>
      <c r="S44" s="196"/>
      <c r="T44" s="196"/>
      <c r="U44" s="152"/>
      <c r="V44" s="152"/>
      <c r="W44" s="157"/>
    </row>
    <row r="45" ht="15.75" customHeight="1">
      <c r="A45" s="192"/>
      <c r="B45" s="193"/>
      <c r="C45" s="194"/>
      <c r="N45" s="152"/>
      <c r="Q45" s="195"/>
      <c r="S45" s="196"/>
      <c r="T45" s="196"/>
      <c r="U45" s="152"/>
      <c r="V45" s="152"/>
      <c r="W45" s="157"/>
    </row>
    <row r="46" ht="15.75" customHeight="1">
      <c r="A46" s="192"/>
      <c r="B46" s="193"/>
      <c r="C46" s="194"/>
      <c r="N46" s="152"/>
      <c r="Q46" s="195"/>
      <c r="S46" s="196"/>
      <c r="T46" s="196"/>
      <c r="U46" s="152"/>
      <c r="V46" s="152"/>
      <c r="W46" s="157"/>
    </row>
    <row r="47" ht="15.75" customHeight="1">
      <c r="A47" s="192"/>
      <c r="B47" s="193"/>
      <c r="C47" s="194"/>
      <c r="N47" s="152"/>
      <c r="Q47" s="195"/>
      <c r="S47" s="196"/>
      <c r="T47" s="196"/>
      <c r="U47" s="152"/>
      <c r="V47" s="152"/>
      <c r="W47" s="157"/>
    </row>
    <row r="48" ht="15.75" customHeight="1">
      <c r="A48" s="192"/>
      <c r="B48" s="193"/>
      <c r="C48" s="194"/>
      <c r="N48" s="152"/>
      <c r="Q48" s="195"/>
      <c r="S48" s="196"/>
      <c r="T48" s="196"/>
      <c r="U48" s="152"/>
      <c r="V48" s="152"/>
      <c r="W48" s="157"/>
    </row>
    <row r="49" ht="15.75" customHeight="1">
      <c r="A49" s="192"/>
      <c r="B49" s="193"/>
      <c r="C49" s="194"/>
      <c r="N49" s="152"/>
      <c r="Q49" s="195"/>
      <c r="S49" s="196"/>
      <c r="T49" s="196"/>
      <c r="U49" s="152"/>
      <c r="V49" s="152"/>
      <c r="W49" s="157"/>
    </row>
    <row r="50" ht="15.75" customHeight="1">
      <c r="A50" s="192"/>
      <c r="B50" s="193"/>
      <c r="C50" s="194"/>
      <c r="N50" s="152"/>
      <c r="Q50" s="195"/>
      <c r="S50" s="196"/>
      <c r="T50" s="196"/>
      <c r="U50" s="152"/>
      <c r="V50" s="152"/>
      <c r="W50" s="157"/>
    </row>
    <row r="51" ht="15.75" customHeight="1">
      <c r="A51" s="192"/>
      <c r="B51" s="193"/>
      <c r="C51" s="194"/>
      <c r="N51" s="152"/>
      <c r="Q51" s="195"/>
      <c r="S51" s="196"/>
      <c r="T51" s="196"/>
      <c r="U51" s="152"/>
      <c r="V51" s="152"/>
      <c r="W51" s="157"/>
    </row>
    <row r="52" ht="15.75" customHeight="1">
      <c r="A52" s="192"/>
      <c r="B52" s="193"/>
      <c r="C52" s="194"/>
      <c r="N52" s="152"/>
      <c r="Q52" s="195"/>
      <c r="S52" s="196"/>
      <c r="T52" s="196"/>
      <c r="U52" s="152"/>
      <c r="V52" s="152"/>
      <c r="W52" s="157"/>
    </row>
    <row r="53" ht="15.75" customHeight="1">
      <c r="A53" s="192"/>
      <c r="B53" s="193"/>
      <c r="C53" s="194"/>
      <c r="N53" s="152"/>
      <c r="Q53" s="195"/>
      <c r="S53" s="196"/>
      <c r="T53" s="196"/>
      <c r="U53" s="152"/>
      <c r="V53" s="152"/>
      <c r="W53" s="157"/>
    </row>
    <row r="54" ht="15.75" customHeight="1">
      <c r="A54" s="192"/>
      <c r="B54" s="193"/>
      <c r="C54" s="194"/>
      <c r="N54" s="152"/>
      <c r="Q54" s="195"/>
      <c r="S54" s="196"/>
      <c r="T54" s="196"/>
      <c r="U54" s="152"/>
      <c r="V54" s="152"/>
      <c r="W54" s="157"/>
    </row>
    <row r="55" ht="15.75" customHeight="1">
      <c r="A55" s="192"/>
      <c r="B55" s="193"/>
      <c r="C55" s="194"/>
      <c r="N55" s="152"/>
      <c r="Q55" s="195"/>
      <c r="S55" s="196"/>
      <c r="T55" s="196"/>
      <c r="U55" s="152"/>
      <c r="V55" s="152"/>
      <c r="W55" s="157"/>
    </row>
    <row r="56" ht="15.75" customHeight="1">
      <c r="A56" s="192"/>
      <c r="B56" s="193"/>
      <c r="C56" s="194"/>
      <c r="N56" s="152"/>
      <c r="Q56" s="195"/>
      <c r="S56" s="196"/>
      <c r="T56" s="196"/>
      <c r="U56" s="152"/>
      <c r="V56" s="152"/>
      <c r="W56" s="157"/>
    </row>
    <row r="57" ht="15.75" customHeight="1">
      <c r="A57" s="192"/>
      <c r="B57" s="193"/>
      <c r="C57" s="194"/>
      <c r="N57" s="152"/>
      <c r="Q57" s="195"/>
      <c r="S57" s="196"/>
      <c r="T57" s="196"/>
      <c r="U57" s="152"/>
      <c r="V57" s="152"/>
      <c r="W57" s="157"/>
    </row>
    <row r="58" ht="15.75" customHeight="1">
      <c r="A58" s="192"/>
      <c r="B58" s="193"/>
      <c r="C58" s="194"/>
      <c r="N58" s="152"/>
      <c r="Q58" s="195"/>
      <c r="S58" s="196"/>
      <c r="T58" s="196"/>
      <c r="U58" s="152"/>
      <c r="V58" s="152"/>
      <c r="W58" s="157"/>
    </row>
    <row r="59" ht="15.75" customHeight="1">
      <c r="A59" s="192"/>
      <c r="B59" s="193"/>
      <c r="C59" s="194"/>
      <c r="N59" s="152"/>
      <c r="Q59" s="195"/>
      <c r="S59" s="196"/>
      <c r="T59" s="196"/>
      <c r="U59" s="152"/>
      <c r="V59" s="152"/>
      <c r="W59" s="157"/>
    </row>
    <row r="60" ht="15.75" customHeight="1">
      <c r="A60" s="192"/>
      <c r="B60" s="193"/>
      <c r="C60" s="194"/>
      <c r="N60" s="152"/>
      <c r="Q60" s="195"/>
      <c r="S60" s="196"/>
      <c r="T60" s="196"/>
      <c r="U60" s="152"/>
      <c r="V60" s="152"/>
      <c r="W60" s="157"/>
    </row>
    <row r="61" ht="15.75" customHeight="1">
      <c r="A61" s="192"/>
      <c r="B61" s="193"/>
      <c r="C61" s="194"/>
      <c r="N61" s="152"/>
      <c r="Q61" s="195"/>
      <c r="S61" s="196"/>
      <c r="T61" s="196"/>
      <c r="U61" s="152"/>
      <c r="V61" s="152"/>
      <c r="W61" s="157"/>
    </row>
    <row r="62" ht="15.75" customHeight="1">
      <c r="A62" s="192"/>
      <c r="B62" s="193"/>
      <c r="C62" s="194"/>
      <c r="N62" s="152"/>
      <c r="Q62" s="195"/>
      <c r="S62" s="196"/>
      <c r="T62" s="196"/>
      <c r="U62" s="152"/>
      <c r="V62" s="152"/>
      <c r="W62" s="157"/>
    </row>
    <row r="63" ht="15.75" customHeight="1">
      <c r="A63" s="192"/>
      <c r="B63" s="193"/>
      <c r="C63" s="194"/>
      <c r="N63" s="152"/>
      <c r="Q63" s="195"/>
      <c r="S63" s="196"/>
      <c r="T63" s="196"/>
      <c r="U63" s="152"/>
      <c r="V63" s="152"/>
      <c r="W63" s="157"/>
    </row>
    <row r="64" ht="15.75" customHeight="1">
      <c r="A64" s="192"/>
      <c r="B64" s="193"/>
      <c r="C64" s="194"/>
      <c r="N64" s="152"/>
      <c r="Q64" s="195"/>
      <c r="S64" s="196"/>
      <c r="T64" s="196"/>
      <c r="U64" s="152"/>
      <c r="V64" s="152"/>
      <c r="W64" s="157"/>
    </row>
    <row r="65" ht="15.75" customHeight="1">
      <c r="A65" s="192"/>
      <c r="B65" s="193"/>
      <c r="C65" s="194"/>
      <c r="N65" s="152"/>
      <c r="Q65" s="195"/>
      <c r="S65" s="196"/>
      <c r="T65" s="196"/>
      <c r="U65" s="152"/>
      <c r="V65" s="152"/>
      <c r="W65" s="157"/>
    </row>
    <row r="66" ht="15.75" customHeight="1">
      <c r="A66" s="192"/>
      <c r="B66" s="193"/>
      <c r="C66" s="194"/>
      <c r="N66" s="152"/>
      <c r="Q66" s="195"/>
      <c r="S66" s="196"/>
      <c r="T66" s="196"/>
      <c r="U66" s="152"/>
      <c r="V66" s="152"/>
      <c r="W66" s="157"/>
    </row>
    <row r="67" ht="15.75" customHeight="1">
      <c r="A67" s="192"/>
      <c r="B67" s="193"/>
      <c r="C67" s="194"/>
      <c r="N67" s="152"/>
      <c r="Q67" s="195"/>
      <c r="S67" s="196"/>
      <c r="T67" s="196"/>
      <c r="U67" s="152"/>
      <c r="V67" s="152"/>
      <c r="W67" s="157"/>
    </row>
    <row r="68" ht="15.75" customHeight="1">
      <c r="A68" s="192"/>
      <c r="B68" s="193"/>
      <c r="C68" s="194"/>
      <c r="N68" s="152"/>
      <c r="Q68" s="195"/>
      <c r="S68" s="196"/>
      <c r="T68" s="196"/>
      <c r="U68" s="152"/>
      <c r="V68" s="152"/>
      <c r="W68" s="157"/>
    </row>
    <row r="69" ht="15.75" customHeight="1">
      <c r="A69" s="192"/>
      <c r="B69" s="193"/>
      <c r="C69" s="194"/>
      <c r="N69" s="152"/>
      <c r="Q69" s="195"/>
      <c r="S69" s="196"/>
      <c r="T69" s="196"/>
      <c r="U69" s="152"/>
      <c r="V69" s="152"/>
      <c r="W69" s="157"/>
    </row>
    <row r="70" ht="15.75" customHeight="1">
      <c r="A70" s="192"/>
      <c r="B70" s="193"/>
      <c r="C70" s="194"/>
      <c r="N70" s="152"/>
      <c r="Q70" s="195"/>
      <c r="S70" s="196"/>
      <c r="T70" s="196"/>
      <c r="U70" s="152"/>
      <c r="V70" s="152"/>
      <c r="W70" s="157"/>
    </row>
    <row r="71" ht="15.75" customHeight="1">
      <c r="A71" s="192"/>
      <c r="B71" s="193"/>
      <c r="C71" s="194"/>
      <c r="N71" s="152"/>
      <c r="Q71" s="195"/>
      <c r="S71" s="196"/>
      <c r="T71" s="196"/>
      <c r="U71" s="152"/>
      <c r="V71" s="152"/>
      <c r="W71" s="157"/>
    </row>
    <row r="72" ht="15.75" customHeight="1">
      <c r="A72" s="192"/>
      <c r="B72" s="193"/>
      <c r="C72" s="194"/>
      <c r="N72" s="152"/>
      <c r="Q72" s="195"/>
      <c r="S72" s="196"/>
      <c r="T72" s="196"/>
      <c r="U72" s="152"/>
      <c r="V72" s="152"/>
      <c r="W72" s="157"/>
    </row>
    <row r="73" ht="15.75" customHeight="1">
      <c r="A73" s="192"/>
      <c r="B73" s="193"/>
      <c r="C73" s="194"/>
      <c r="N73" s="152"/>
      <c r="Q73" s="195"/>
      <c r="S73" s="196"/>
      <c r="T73" s="196"/>
      <c r="U73" s="152"/>
      <c r="V73" s="152"/>
      <c r="W73" s="157"/>
    </row>
    <row r="74" ht="15.75" customHeight="1">
      <c r="A74" s="192"/>
      <c r="B74" s="193"/>
      <c r="C74" s="194"/>
      <c r="N74" s="152"/>
      <c r="Q74" s="195"/>
      <c r="S74" s="196"/>
      <c r="T74" s="196"/>
      <c r="U74" s="152"/>
      <c r="V74" s="152"/>
      <c r="W74" s="157"/>
    </row>
    <row r="75" ht="15.75" customHeight="1">
      <c r="A75" s="192"/>
      <c r="B75" s="193"/>
      <c r="C75" s="194"/>
      <c r="N75" s="152"/>
      <c r="Q75" s="195"/>
      <c r="S75" s="196"/>
      <c r="T75" s="196"/>
      <c r="U75" s="152"/>
      <c r="V75" s="152"/>
      <c r="W75" s="157"/>
    </row>
    <row r="76" ht="15.75" customHeight="1">
      <c r="A76" s="192"/>
      <c r="B76" s="193"/>
      <c r="C76" s="194"/>
      <c r="N76" s="152"/>
      <c r="Q76" s="195"/>
      <c r="S76" s="196"/>
      <c r="T76" s="196"/>
      <c r="U76" s="152"/>
      <c r="V76" s="152"/>
      <c r="W76" s="157"/>
    </row>
    <row r="77" ht="15.75" customHeight="1">
      <c r="A77" s="192"/>
      <c r="B77" s="193"/>
      <c r="C77" s="194"/>
      <c r="N77" s="152"/>
      <c r="Q77" s="195"/>
      <c r="S77" s="196"/>
      <c r="T77" s="196"/>
      <c r="U77" s="152"/>
      <c r="V77" s="152"/>
      <c r="W77" s="157"/>
    </row>
    <row r="78" ht="15.75" customHeight="1">
      <c r="A78" s="192"/>
      <c r="B78" s="193"/>
      <c r="C78" s="194"/>
      <c r="N78" s="152"/>
      <c r="Q78" s="195"/>
      <c r="S78" s="196"/>
      <c r="T78" s="196"/>
      <c r="U78" s="152"/>
      <c r="V78" s="152"/>
      <c r="W78" s="157"/>
    </row>
    <row r="79" ht="15.75" customHeight="1">
      <c r="A79" s="192"/>
      <c r="B79" s="193"/>
      <c r="C79" s="194"/>
      <c r="N79" s="152"/>
      <c r="Q79" s="195"/>
      <c r="S79" s="196"/>
      <c r="T79" s="196"/>
      <c r="U79" s="152"/>
      <c r="V79" s="152"/>
      <c r="W79" s="157"/>
    </row>
    <row r="80" ht="15.75" customHeight="1">
      <c r="A80" s="192"/>
      <c r="B80" s="193"/>
      <c r="C80" s="194"/>
      <c r="N80" s="152"/>
      <c r="Q80" s="195"/>
      <c r="S80" s="196"/>
      <c r="T80" s="196"/>
      <c r="U80" s="152"/>
      <c r="V80" s="152"/>
      <c r="W80" s="157"/>
    </row>
    <row r="81" ht="15.75" customHeight="1">
      <c r="A81" s="192"/>
      <c r="B81" s="193"/>
      <c r="C81" s="194"/>
      <c r="N81" s="152"/>
      <c r="Q81" s="195"/>
      <c r="S81" s="196"/>
      <c r="T81" s="196"/>
      <c r="U81" s="152"/>
      <c r="V81" s="152"/>
      <c r="W81" s="157"/>
    </row>
    <row r="82" ht="15.75" customHeight="1">
      <c r="A82" s="192"/>
      <c r="B82" s="193"/>
      <c r="C82" s="194"/>
      <c r="N82" s="152"/>
      <c r="Q82" s="195"/>
      <c r="S82" s="196"/>
      <c r="T82" s="196"/>
      <c r="U82" s="152"/>
      <c r="V82" s="152"/>
      <c r="W82" s="157"/>
    </row>
    <row r="83" ht="15.75" customHeight="1">
      <c r="A83" s="192"/>
      <c r="B83" s="193"/>
      <c r="C83" s="194"/>
      <c r="N83" s="152"/>
      <c r="Q83" s="195"/>
      <c r="S83" s="196"/>
      <c r="T83" s="196"/>
      <c r="U83" s="152"/>
      <c r="V83" s="152"/>
      <c r="W83" s="157"/>
    </row>
    <row r="84" ht="15.75" customHeight="1">
      <c r="A84" s="192"/>
      <c r="B84" s="193"/>
      <c r="C84" s="194"/>
      <c r="N84" s="152"/>
      <c r="Q84" s="195"/>
      <c r="S84" s="196"/>
      <c r="T84" s="196"/>
      <c r="U84" s="152"/>
      <c r="V84" s="152"/>
      <c r="W84" s="157"/>
    </row>
    <row r="85" ht="15.75" customHeight="1">
      <c r="A85" s="192"/>
      <c r="B85" s="193"/>
      <c r="C85" s="194"/>
      <c r="N85" s="152"/>
      <c r="Q85" s="195"/>
      <c r="S85" s="196"/>
      <c r="T85" s="196"/>
      <c r="U85" s="152"/>
      <c r="V85" s="152"/>
      <c r="W85" s="157"/>
    </row>
    <row r="86" ht="15.75" customHeight="1">
      <c r="A86" s="192"/>
      <c r="B86" s="193"/>
      <c r="C86" s="194"/>
      <c r="N86" s="152"/>
      <c r="Q86" s="195"/>
      <c r="S86" s="196"/>
      <c r="T86" s="196"/>
      <c r="U86" s="152"/>
      <c r="V86" s="152"/>
      <c r="W86" s="157"/>
    </row>
    <row r="87" ht="15.75" customHeight="1">
      <c r="A87" s="192"/>
      <c r="B87" s="193"/>
      <c r="C87" s="194"/>
      <c r="N87" s="152"/>
      <c r="Q87" s="195"/>
      <c r="S87" s="196"/>
      <c r="T87" s="196"/>
      <c r="U87" s="152"/>
      <c r="V87" s="152"/>
      <c r="W87" s="157"/>
    </row>
    <row r="88" ht="15.75" customHeight="1">
      <c r="A88" s="192"/>
      <c r="B88" s="193"/>
      <c r="C88" s="194"/>
      <c r="N88" s="152"/>
      <c r="Q88" s="195"/>
      <c r="S88" s="196"/>
      <c r="T88" s="196"/>
      <c r="U88" s="152"/>
      <c r="V88" s="152"/>
      <c r="W88" s="157"/>
    </row>
    <row r="89" ht="15.75" customHeight="1">
      <c r="A89" s="192"/>
      <c r="B89" s="193"/>
      <c r="C89" s="194"/>
      <c r="N89" s="152"/>
      <c r="Q89" s="195"/>
      <c r="S89" s="196"/>
      <c r="T89" s="196"/>
      <c r="U89" s="152"/>
      <c r="V89" s="152"/>
      <c r="W89" s="157"/>
    </row>
    <row r="90" ht="15.75" customHeight="1">
      <c r="A90" s="192"/>
      <c r="B90" s="193"/>
      <c r="C90" s="194"/>
      <c r="N90" s="152"/>
      <c r="Q90" s="195"/>
      <c r="S90" s="196"/>
      <c r="T90" s="196"/>
      <c r="U90" s="152"/>
      <c r="V90" s="152"/>
      <c r="W90" s="157"/>
    </row>
    <row r="91" ht="15.75" customHeight="1">
      <c r="A91" s="192"/>
      <c r="B91" s="193"/>
      <c r="C91" s="194"/>
      <c r="N91" s="152"/>
      <c r="Q91" s="195"/>
      <c r="S91" s="196"/>
      <c r="T91" s="196"/>
      <c r="U91" s="152"/>
      <c r="V91" s="152"/>
      <c r="W91" s="157"/>
    </row>
    <row r="92" ht="15.75" customHeight="1">
      <c r="A92" s="192"/>
      <c r="B92" s="193"/>
      <c r="C92" s="194"/>
      <c r="N92" s="152"/>
      <c r="Q92" s="195"/>
      <c r="S92" s="196"/>
      <c r="T92" s="196"/>
      <c r="U92" s="152"/>
      <c r="V92" s="152"/>
      <c r="W92" s="157"/>
    </row>
    <row r="93" ht="15.75" customHeight="1">
      <c r="A93" s="192"/>
      <c r="B93" s="193"/>
      <c r="C93" s="194"/>
      <c r="N93" s="152"/>
      <c r="Q93" s="195"/>
      <c r="S93" s="196"/>
      <c r="T93" s="196"/>
      <c r="U93" s="152"/>
      <c r="V93" s="152"/>
      <c r="W93" s="157"/>
    </row>
    <row r="94" ht="15.75" customHeight="1">
      <c r="A94" s="192"/>
      <c r="B94" s="193"/>
      <c r="C94" s="194"/>
      <c r="N94" s="152"/>
      <c r="Q94" s="195"/>
      <c r="S94" s="196"/>
      <c r="T94" s="196"/>
      <c r="U94" s="152"/>
      <c r="V94" s="152"/>
      <c r="W94" s="157"/>
    </row>
    <row r="95" ht="15.75" customHeight="1">
      <c r="A95" s="192"/>
      <c r="B95" s="193"/>
      <c r="C95" s="194"/>
      <c r="N95" s="152"/>
      <c r="Q95" s="195"/>
      <c r="S95" s="196"/>
      <c r="T95" s="196"/>
      <c r="U95" s="152"/>
      <c r="V95" s="152"/>
      <c r="W95" s="157"/>
    </row>
    <row r="96" ht="15.75" customHeight="1">
      <c r="A96" s="192"/>
      <c r="B96" s="193"/>
      <c r="C96" s="194"/>
      <c r="N96" s="152"/>
      <c r="Q96" s="195"/>
      <c r="S96" s="196"/>
      <c r="T96" s="196"/>
      <c r="U96" s="152"/>
      <c r="V96" s="152"/>
      <c r="W96" s="157"/>
    </row>
    <row r="97" ht="15.75" customHeight="1">
      <c r="A97" s="192"/>
      <c r="B97" s="193"/>
      <c r="C97" s="194"/>
      <c r="N97" s="152"/>
      <c r="Q97" s="195"/>
      <c r="S97" s="196"/>
      <c r="T97" s="196"/>
      <c r="U97" s="152"/>
      <c r="V97" s="152"/>
      <c r="W97" s="157"/>
    </row>
    <row r="98" ht="15.75" customHeight="1">
      <c r="A98" s="192"/>
      <c r="B98" s="193"/>
      <c r="C98" s="194"/>
      <c r="N98" s="152"/>
      <c r="Q98" s="195"/>
      <c r="S98" s="196"/>
      <c r="T98" s="196"/>
      <c r="U98" s="152"/>
      <c r="V98" s="152"/>
      <c r="W98" s="157"/>
    </row>
    <row r="99" ht="15.75" customHeight="1">
      <c r="A99" s="192"/>
      <c r="B99" s="193"/>
      <c r="C99" s="194"/>
      <c r="N99" s="152"/>
      <c r="Q99" s="195"/>
      <c r="S99" s="196"/>
      <c r="T99" s="196"/>
      <c r="U99" s="152"/>
      <c r="V99" s="152"/>
      <c r="W99" s="157"/>
    </row>
    <row r="100" ht="15.75" customHeight="1">
      <c r="A100" s="192"/>
      <c r="B100" s="193"/>
      <c r="C100" s="194"/>
      <c r="N100" s="152"/>
      <c r="Q100" s="195"/>
      <c r="S100" s="196"/>
      <c r="T100" s="196"/>
      <c r="U100" s="152"/>
      <c r="V100" s="152"/>
      <c r="W100" s="157"/>
    </row>
    <row r="101" ht="15.75" customHeight="1">
      <c r="A101" s="192"/>
      <c r="B101" s="193"/>
      <c r="C101" s="194"/>
      <c r="N101" s="152"/>
      <c r="Q101" s="195"/>
      <c r="S101" s="196"/>
      <c r="T101" s="196"/>
      <c r="U101" s="152"/>
      <c r="V101" s="152"/>
      <c r="W101" s="157"/>
    </row>
    <row r="102" ht="15.75" customHeight="1">
      <c r="A102" s="192"/>
      <c r="B102" s="193"/>
      <c r="C102" s="194"/>
      <c r="N102" s="152"/>
      <c r="Q102" s="195"/>
      <c r="S102" s="196"/>
      <c r="T102" s="196"/>
      <c r="U102" s="152"/>
      <c r="V102" s="152"/>
      <c r="W102" s="157"/>
    </row>
    <row r="103" ht="15.75" customHeight="1">
      <c r="A103" s="192"/>
      <c r="B103" s="193"/>
      <c r="C103" s="194"/>
      <c r="N103" s="152"/>
      <c r="Q103" s="195"/>
      <c r="S103" s="196"/>
      <c r="T103" s="196"/>
      <c r="U103" s="152"/>
      <c r="V103" s="152"/>
      <c r="W103" s="157"/>
    </row>
    <row r="104" ht="15.75" customHeight="1">
      <c r="A104" s="192"/>
      <c r="B104" s="193"/>
      <c r="C104" s="194"/>
      <c r="N104" s="152"/>
      <c r="Q104" s="195"/>
      <c r="S104" s="196"/>
      <c r="T104" s="196"/>
      <c r="U104" s="152"/>
      <c r="V104" s="152"/>
      <c r="W104" s="157"/>
    </row>
    <row r="105" ht="15.75" customHeight="1">
      <c r="A105" s="192"/>
      <c r="B105" s="193"/>
      <c r="C105" s="194"/>
      <c r="N105" s="152"/>
      <c r="Q105" s="195"/>
      <c r="S105" s="196"/>
      <c r="T105" s="196"/>
      <c r="U105" s="152"/>
      <c r="V105" s="152"/>
      <c r="W105" s="157"/>
    </row>
    <row r="106" ht="15.75" customHeight="1">
      <c r="A106" s="192"/>
      <c r="B106" s="193"/>
      <c r="C106" s="194"/>
      <c r="N106" s="152"/>
      <c r="Q106" s="195"/>
      <c r="S106" s="196"/>
      <c r="T106" s="196"/>
      <c r="U106" s="152"/>
      <c r="V106" s="152"/>
      <c r="W106" s="157"/>
    </row>
    <row r="107" ht="15.75" customHeight="1">
      <c r="A107" s="192"/>
      <c r="B107" s="193"/>
      <c r="C107" s="194"/>
      <c r="N107" s="152"/>
      <c r="Q107" s="195"/>
      <c r="S107" s="196"/>
      <c r="T107" s="196"/>
      <c r="U107" s="152"/>
      <c r="V107" s="152"/>
      <c r="W107" s="157"/>
    </row>
    <row r="108" ht="15.75" customHeight="1">
      <c r="A108" s="192"/>
      <c r="B108" s="193"/>
      <c r="C108" s="194"/>
      <c r="N108" s="152"/>
      <c r="Q108" s="195"/>
      <c r="S108" s="196"/>
      <c r="T108" s="196"/>
      <c r="U108" s="152"/>
      <c r="V108" s="152"/>
      <c r="W108" s="157"/>
    </row>
    <row r="109" ht="15.75" customHeight="1">
      <c r="A109" s="192"/>
      <c r="B109" s="193"/>
      <c r="C109" s="194"/>
      <c r="N109" s="152"/>
      <c r="Q109" s="195"/>
      <c r="S109" s="196"/>
      <c r="T109" s="196"/>
      <c r="U109" s="152"/>
      <c r="V109" s="152"/>
      <c r="W109" s="157"/>
    </row>
    <row r="110" ht="15.75" customHeight="1">
      <c r="A110" s="192"/>
      <c r="B110" s="193"/>
      <c r="C110" s="194"/>
      <c r="N110" s="152"/>
      <c r="Q110" s="195"/>
      <c r="S110" s="196"/>
      <c r="T110" s="196"/>
      <c r="U110" s="152"/>
      <c r="V110" s="152"/>
      <c r="W110" s="157"/>
    </row>
    <row r="111" ht="15.75" customHeight="1">
      <c r="A111" s="192"/>
      <c r="B111" s="193"/>
      <c r="C111" s="194"/>
      <c r="N111" s="152"/>
      <c r="Q111" s="195"/>
      <c r="S111" s="196"/>
      <c r="T111" s="196"/>
      <c r="U111" s="152"/>
      <c r="V111" s="152"/>
      <c r="W111" s="157"/>
    </row>
    <row r="112" ht="15.75" customHeight="1">
      <c r="A112" s="192"/>
      <c r="B112" s="193"/>
      <c r="C112" s="194"/>
      <c r="N112" s="152"/>
      <c r="Q112" s="195"/>
      <c r="S112" s="196"/>
      <c r="T112" s="196"/>
      <c r="U112" s="152"/>
      <c r="V112" s="152"/>
      <c r="W112" s="157"/>
    </row>
    <row r="113" ht="15.75" customHeight="1">
      <c r="A113" s="192"/>
      <c r="B113" s="193"/>
      <c r="C113" s="194"/>
      <c r="N113" s="152"/>
      <c r="Q113" s="195"/>
      <c r="S113" s="196"/>
      <c r="T113" s="196"/>
      <c r="U113" s="152"/>
      <c r="V113" s="152"/>
      <c r="W113" s="157"/>
    </row>
    <row r="114" ht="15.75" customHeight="1">
      <c r="A114" s="192"/>
      <c r="B114" s="193"/>
      <c r="C114" s="194"/>
      <c r="N114" s="152"/>
      <c r="Q114" s="195"/>
      <c r="S114" s="196"/>
      <c r="T114" s="196"/>
      <c r="U114" s="152"/>
      <c r="V114" s="152"/>
      <c r="W114" s="157"/>
    </row>
    <row r="115" ht="15.75" customHeight="1">
      <c r="A115" s="192"/>
      <c r="B115" s="193"/>
      <c r="C115" s="194"/>
      <c r="N115" s="152"/>
      <c r="Q115" s="195"/>
      <c r="S115" s="196"/>
      <c r="T115" s="196"/>
      <c r="U115" s="152"/>
      <c r="V115" s="152"/>
      <c r="W115" s="157"/>
    </row>
    <row r="116" ht="15.75" customHeight="1">
      <c r="A116" s="192"/>
      <c r="B116" s="193"/>
      <c r="C116" s="194"/>
      <c r="N116" s="152"/>
      <c r="Q116" s="195"/>
      <c r="S116" s="196"/>
      <c r="T116" s="196"/>
      <c r="U116" s="152"/>
      <c r="V116" s="152"/>
      <c r="W116" s="157"/>
    </row>
    <row r="117" ht="15.75" customHeight="1">
      <c r="A117" s="192"/>
      <c r="B117" s="193"/>
      <c r="C117" s="194"/>
      <c r="N117" s="152"/>
      <c r="Q117" s="195"/>
      <c r="S117" s="196"/>
      <c r="T117" s="196"/>
      <c r="U117" s="152"/>
      <c r="V117" s="152"/>
      <c r="W117" s="157"/>
    </row>
    <row r="118" ht="15.75" customHeight="1">
      <c r="A118" s="192"/>
      <c r="B118" s="193"/>
      <c r="C118" s="194"/>
      <c r="N118" s="152"/>
      <c r="Q118" s="195"/>
      <c r="S118" s="196"/>
      <c r="T118" s="196"/>
      <c r="U118" s="152"/>
      <c r="V118" s="152"/>
      <c r="W118" s="157"/>
    </row>
    <row r="119" ht="15.75" customHeight="1">
      <c r="A119" s="192"/>
      <c r="B119" s="193"/>
      <c r="C119" s="194"/>
      <c r="N119" s="152"/>
      <c r="Q119" s="195"/>
      <c r="S119" s="196"/>
      <c r="T119" s="196"/>
      <c r="U119" s="152"/>
      <c r="V119" s="152"/>
      <c r="W119" s="157"/>
    </row>
    <row r="120" ht="15.75" customHeight="1">
      <c r="A120" s="192"/>
      <c r="B120" s="193"/>
      <c r="C120" s="194"/>
      <c r="N120" s="152"/>
      <c r="Q120" s="195"/>
      <c r="S120" s="196"/>
      <c r="T120" s="196"/>
      <c r="U120" s="152"/>
      <c r="V120" s="152"/>
      <c r="W120" s="157"/>
    </row>
    <row r="121" ht="15.75" customHeight="1">
      <c r="A121" s="192"/>
      <c r="B121" s="193"/>
      <c r="C121" s="194"/>
      <c r="N121" s="152"/>
      <c r="Q121" s="195"/>
      <c r="S121" s="196"/>
      <c r="T121" s="196"/>
      <c r="U121" s="152"/>
      <c r="V121" s="152"/>
      <c r="W121" s="157"/>
    </row>
    <row r="122" ht="15.75" customHeight="1">
      <c r="A122" s="192"/>
      <c r="B122" s="193"/>
      <c r="C122" s="194"/>
      <c r="N122" s="152"/>
      <c r="Q122" s="195"/>
      <c r="S122" s="196"/>
      <c r="T122" s="196"/>
      <c r="U122" s="152"/>
      <c r="V122" s="152"/>
      <c r="W122" s="157"/>
    </row>
    <row r="123" ht="15.75" customHeight="1">
      <c r="A123" s="192"/>
      <c r="B123" s="193"/>
      <c r="C123" s="194"/>
      <c r="N123" s="152"/>
      <c r="Q123" s="195"/>
      <c r="S123" s="196"/>
      <c r="T123" s="196"/>
      <c r="U123" s="152"/>
      <c r="V123" s="152"/>
      <c r="W123" s="157"/>
    </row>
    <row r="124" ht="15.75" customHeight="1">
      <c r="A124" s="192"/>
      <c r="B124" s="193"/>
      <c r="C124" s="194"/>
      <c r="N124" s="152"/>
      <c r="Q124" s="195"/>
      <c r="S124" s="196"/>
      <c r="T124" s="196"/>
      <c r="U124" s="152"/>
      <c r="V124" s="152"/>
      <c r="W124" s="157"/>
    </row>
    <row r="125" ht="15.75" customHeight="1">
      <c r="A125" s="192"/>
      <c r="B125" s="193"/>
      <c r="C125" s="194"/>
      <c r="N125" s="152"/>
      <c r="Q125" s="195"/>
      <c r="S125" s="196"/>
      <c r="T125" s="196"/>
      <c r="U125" s="152"/>
      <c r="V125" s="152"/>
      <c r="W125" s="157"/>
    </row>
    <row r="126" ht="15.75" customHeight="1">
      <c r="A126" s="192"/>
      <c r="B126" s="193"/>
      <c r="C126" s="194"/>
      <c r="N126" s="152"/>
      <c r="Q126" s="195"/>
      <c r="S126" s="196"/>
      <c r="T126" s="196"/>
      <c r="U126" s="152"/>
      <c r="V126" s="152"/>
      <c r="W126" s="157"/>
    </row>
    <row r="127" ht="15.75" customHeight="1">
      <c r="A127" s="192"/>
      <c r="B127" s="193"/>
      <c r="C127" s="194"/>
      <c r="N127" s="152"/>
      <c r="Q127" s="195"/>
      <c r="S127" s="196"/>
      <c r="T127" s="196"/>
      <c r="U127" s="152"/>
      <c r="V127" s="152"/>
      <c r="W127" s="157"/>
    </row>
    <row r="128" ht="15.75" customHeight="1">
      <c r="A128" s="192"/>
      <c r="B128" s="193"/>
      <c r="C128" s="194"/>
      <c r="N128" s="152"/>
      <c r="Q128" s="195"/>
      <c r="S128" s="196"/>
      <c r="T128" s="196"/>
      <c r="U128" s="152"/>
      <c r="V128" s="152"/>
      <c r="W128" s="157"/>
    </row>
    <row r="129" ht="15.75" customHeight="1">
      <c r="A129" s="192"/>
      <c r="B129" s="193"/>
      <c r="C129" s="194"/>
      <c r="N129" s="152"/>
      <c r="Q129" s="195"/>
      <c r="S129" s="196"/>
      <c r="T129" s="196"/>
      <c r="U129" s="152"/>
      <c r="V129" s="152"/>
      <c r="W129" s="157"/>
    </row>
    <row r="130" ht="15.75" customHeight="1">
      <c r="A130" s="192"/>
      <c r="B130" s="193"/>
      <c r="C130" s="194"/>
      <c r="N130" s="152"/>
      <c r="Q130" s="195"/>
      <c r="S130" s="196"/>
      <c r="T130" s="196"/>
      <c r="U130" s="152"/>
      <c r="V130" s="152"/>
      <c r="W130" s="157"/>
    </row>
    <row r="131" ht="15.75" customHeight="1">
      <c r="A131" s="192"/>
      <c r="B131" s="193"/>
      <c r="C131" s="194"/>
      <c r="N131" s="152"/>
      <c r="Q131" s="195"/>
      <c r="S131" s="196"/>
      <c r="T131" s="196"/>
      <c r="U131" s="152"/>
      <c r="V131" s="152"/>
      <c r="W131" s="157"/>
    </row>
    <row r="132" ht="15.75" customHeight="1">
      <c r="A132" s="192"/>
      <c r="B132" s="193"/>
      <c r="C132" s="194"/>
      <c r="N132" s="152"/>
      <c r="Q132" s="195"/>
      <c r="S132" s="196"/>
      <c r="T132" s="196"/>
      <c r="U132" s="152"/>
      <c r="V132" s="152"/>
      <c r="W132" s="157"/>
    </row>
    <row r="133" ht="15.75" customHeight="1">
      <c r="A133" s="192"/>
      <c r="B133" s="193"/>
      <c r="C133" s="194"/>
      <c r="N133" s="152"/>
      <c r="Q133" s="195"/>
      <c r="S133" s="196"/>
      <c r="T133" s="196"/>
      <c r="U133" s="152"/>
      <c r="V133" s="152"/>
      <c r="W133" s="157"/>
    </row>
    <row r="134" ht="15.75" customHeight="1">
      <c r="A134" s="192"/>
      <c r="B134" s="193"/>
      <c r="C134" s="194"/>
      <c r="N134" s="152"/>
      <c r="Q134" s="195"/>
      <c r="S134" s="196"/>
      <c r="T134" s="196"/>
      <c r="U134" s="152"/>
      <c r="V134" s="152"/>
      <c r="W134" s="157"/>
    </row>
    <row r="135" ht="15.75" customHeight="1">
      <c r="A135" s="192"/>
      <c r="B135" s="193"/>
      <c r="C135" s="194"/>
      <c r="N135" s="152"/>
      <c r="Q135" s="195"/>
      <c r="S135" s="196"/>
      <c r="T135" s="196"/>
      <c r="U135" s="152"/>
      <c r="V135" s="152"/>
      <c r="W135" s="157"/>
    </row>
    <row r="136" ht="15.75" customHeight="1">
      <c r="A136" s="192"/>
      <c r="B136" s="193"/>
      <c r="C136" s="194"/>
      <c r="N136" s="152"/>
      <c r="Q136" s="195"/>
      <c r="S136" s="196"/>
      <c r="T136" s="196"/>
      <c r="U136" s="152"/>
      <c r="V136" s="152"/>
      <c r="W136" s="157"/>
    </row>
    <row r="137" ht="15.75" customHeight="1">
      <c r="A137" s="192"/>
      <c r="B137" s="193"/>
      <c r="C137" s="194"/>
      <c r="N137" s="152"/>
      <c r="Q137" s="195"/>
      <c r="S137" s="196"/>
      <c r="T137" s="196"/>
      <c r="U137" s="152"/>
      <c r="V137" s="152"/>
      <c r="W137" s="157"/>
    </row>
    <row r="138" ht="15.75" customHeight="1">
      <c r="A138" s="192"/>
      <c r="B138" s="193"/>
      <c r="C138" s="194"/>
      <c r="N138" s="152"/>
      <c r="Q138" s="195"/>
      <c r="S138" s="196"/>
      <c r="T138" s="196"/>
      <c r="U138" s="152"/>
      <c r="V138" s="152"/>
      <c r="W138" s="157"/>
    </row>
    <row r="139" ht="15.75" customHeight="1">
      <c r="A139" s="192"/>
      <c r="B139" s="193"/>
      <c r="C139" s="194"/>
      <c r="N139" s="152"/>
      <c r="Q139" s="195"/>
      <c r="S139" s="196"/>
      <c r="T139" s="196"/>
      <c r="U139" s="152"/>
      <c r="V139" s="152"/>
      <c r="W139" s="157"/>
    </row>
    <row r="140" ht="15.75" customHeight="1">
      <c r="A140" s="192"/>
      <c r="B140" s="193"/>
      <c r="C140" s="194"/>
      <c r="N140" s="152"/>
      <c r="Q140" s="195"/>
      <c r="S140" s="196"/>
      <c r="T140" s="196"/>
      <c r="U140" s="152"/>
      <c r="V140" s="152"/>
      <c r="W140" s="157"/>
    </row>
    <row r="141" ht="15.75" customHeight="1">
      <c r="A141" s="192"/>
      <c r="B141" s="193"/>
      <c r="C141" s="194"/>
      <c r="N141" s="152"/>
      <c r="Q141" s="195"/>
      <c r="S141" s="196"/>
      <c r="T141" s="196"/>
      <c r="U141" s="152"/>
      <c r="V141" s="152"/>
      <c r="W141" s="157"/>
    </row>
    <row r="142" ht="15.75" customHeight="1">
      <c r="A142" s="192"/>
      <c r="B142" s="193"/>
      <c r="C142" s="194"/>
      <c r="N142" s="152"/>
      <c r="Q142" s="195"/>
      <c r="S142" s="196"/>
      <c r="T142" s="196"/>
      <c r="U142" s="152"/>
      <c r="V142" s="152"/>
      <c r="W142" s="157"/>
    </row>
    <row r="143" ht="15.75" customHeight="1">
      <c r="A143" s="192"/>
      <c r="B143" s="193"/>
      <c r="C143" s="194"/>
      <c r="N143" s="152"/>
      <c r="Q143" s="195"/>
      <c r="S143" s="196"/>
      <c r="T143" s="196"/>
      <c r="U143" s="152"/>
      <c r="V143" s="152"/>
      <c r="W143" s="157"/>
    </row>
    <row r="144" ht="15.75" customHeight="1">
      <c r="A144" s="192"/>
      <c r="B144" s="193"/>
      <c r="C144" s="194"/>
      <c r="N144" s="152"/>
      <c r="Q144" s="195"/>
      <c r="S144" s="196"/>
      <c r="T144" s="196"/>
      <c r="U144" s="152"/>
      <c r="V144" s="152"/>
      <c r="W144" s="157"/>
    </row>
    <row r="145" ht="15.75" customHeight="1">
      <c r="A145" s="192"/>
      <c r="B145" s="193"/>
      <c r="C145" s="194"/>
      <c r="N145" s="152"/>
      <c r="Q145" s="195"/>
      <c r="S145" s="196"/>
      <c r="T145" s="196"/>
      <c r="U145" s="152"/>
      <c r="V145" s="152"/>
      <c r="W145" s="157"/>
    </row>
    <row r="146" ht="15.75" customHeight="1">
      <c r="A146" s="192"/>
      <c r="B146" s="193"/>
      <c r="C146" s="194"/>
      <c r="N146" s="152"/>
      <c r="Q146" s="195"/>
      <c r="S146" s="196"/>
      <c r="T146" s="196"/>
      <c r="U146" s="152"/>
      <c r="V146" s="152"/>
      <c r="W146" s="157"/>
    </row>
    <row r="147" ht="15.75" customHeight="1">
      <c r="A147" s="192"/>
      <c r="B147" s="193"/>
      <c r="C147" s="194"/>
      <c r="N147" s="152"/>
      <c r="Q147" s="195"/>
      <c r="S147" s="196"/>
      <c r="T147" s="196"/>
      <c r="U147" s="152"/>
      <c r="V147" s="152"/>
      <c r="W147" s="157"/>
    </row>
    <row r="148" ht="15.75" customHeight="1">
      <c r="A148" s="192"/>
      <c r="B148" s="193"/>
      <c r="C148" s="194"/>
      <c r="N148" s="152"/>
      <c r="Q148" s="195"/>
      <c r="S148" s="196"/>
      <c r="T148" s="196"/>
      <c r="U148" s="152"/>
      <c r="V148" s="152"/>
      <c r="W148" s="157"/>
    </row>
    <row r="149" ht="15.75" customHeight="1">
      <c r="A149" s="192"/>
      <c r="B149" s="193"/>
      <c r="C149" s="194"/>
      <c r="N149" s="152"/>
      <c r="Q149" s="195"/>
      <c r="S149" s="196"/>
      <c r="T149" s="196"/>
      <c r="U149" s="152"/>
      <c r="V149" s="152"/>
      <c r="W149" s="157"/>
    </row>
    <row r="150" ht="15.75" customHeight="1">
      <c r="A150" s="192"/>
      <c r="B150" s="193"/>
      <c r="C150" s="194"/>
      <c r="N150" s="152"/>
      <c r="Q150" s="195"/>
      <c r="S150" s="196"/>
      <c r="T150" s="196"/>
      <c r="U150" s="152"/>
      <c r="V150" s="152"/>
      <c r="W150" s="157"/>
    </row>
    <row r="151" ht="15.75" customHeight="1">
      <c r="A151" s="192"/>
      <c r="B151" s="193"/>
      <c r="C151" s="194"/>
      <c r="N151" s="152"/>
      <c r="Q151" s="195"/>
      <c r="S151" s="196"/>
      <c r="T151" s="196"/>
      <c r="U151" s="152"/>
      <c r="V151" s="152"/>
      <c r="W151" s="157"/>
    </row>
    <row r="152" ht="15.75" customHeight="1">
      <c r="A152" s="192"/>
      <c r="B152" s="193"/>
      <c r="C152" s="194"/>
      <c r="N152" s="152"/>
      <c r="Q152" s="195"/>
      <c r="S152" s="196"/>
      <c r="T152" s="196"/>
      <c r="U152" s="152"/>
      <c r="V152" s="152"/>
      <c r="W152" s="157"/>
    </row>
    <row r="153" ht="15.75" customHeight="1">
      <c r="A153" s="192"/>
      <c r="B153" s="193"/>
      <c r="C153" s="194"/>
      <c r="N153" s="152"/>
      <c r="Q153" s="195"/>
      <c r="S153" s="196"/>
      <c r="T153" s="196"/>
      <c r="U153" s="152"/>
      <c r="V153" s="152"/>
      <c r="W153" s="157"/>
    </row>
    <row r="154" ht="15.75" customHeight="1">
      <c r="A154" s="192"/>
      <c r="B154" s="193"/>
      <c r="C154" s="194"/>
      <c r="N154" s="152"/>
      <c r="Q154" s="195"/>
      <c r="S154" s="196"/>
      <c r="T154" s="196"/>
      <c r="U154" s="152"/>
      <c r="V154" s="152"/>
      <c r="W154" s="157"/>
    </row>
    <row r="155" ht="15.75" customHeight="1">
      <c r="A155" s="192"/>
      <c r="B155" s="193"/>
      <c r="C155" s="194"/>
      <c r="N155" s="152"/>
      <c r="Q155" s="195"/>
      <c r="S155" s="196"/>
      <c r="T155" s="196"/>
      <c r="U155" s="152"/>
      <c r="V155" s="152"/>
      <c r="W155" s="157"/>
    </row>
    <row r="156" ht="15.75" customHeight="1">
      <c r="A156" s="192"/>
      <c r="B156" s="193"/>
      <c r="C156" s="194"/>
      <c r="N156" s="152"/>
      <c r="Q156" s="195"/>
      <c r="S156" s="196"/>
      <c r="T156" s="196"/>
      <c r="U156" s="152"/>
      <c r="V156" s="152"/>
      <c r="W156" s="157"/>
    </row>
    <row r="157" ht="15.75" customHeight="1">
      <c r="A157" s="192"/>
      <c r="B157" s="193"/>
      <c r="C157" s="194"/>
      <c r="N157" s="152"/>
      <c r="Q157" s="195"/>
      <c r="S157" s="196"/>
      <c r="T157" s="196"/>
      <c r="U157" s="152"/>
      <c r="V157" s="152"/>
      <c r="W157" s="157"/>
    </row>
    <row r="158" ht="15.75" customHeight="1">
      <c r="A158" s="192"/>
      <c r="B158" s="193"/>
      <c r="C158" s="194"/>
      <c r="N158" s="152"/>
      <c r="Q158" s="195"/>
      <c r="S158" s="196"/>
      <c r="T158" s="196"/>
      <c r="U158" s="152"/>
      <c r="V158" s="152"/>
      <c r="W158" s="157"/>
    </row>
    <row r="159" ht="15.75" customHeight="1">
      <c r="A159" s="192"/>
      <c r="B159" s="193"/>
      <c r="C159" s="194"/>
      <c r="N159" s="152"/>
      <c r="Q159" s="195"/>
      <c r="S159" s="196"/>
      <c r="T159" s="196"/>
      <c r="U159" s="152"/>
      <c r="V159" s="152"/>
      <c r="W159" s="157"/>
    </row>
    <row r="160" ht="15.75" customHeight="1">
      <c r="A160" s="192"/>
      <c r="B160" s="193"/>
      <c r="C160" s="194"/>
      <c r="N160" s="152"/>
      <c r="Q160" s="195"/>
      <c r="S160" s="196"/>
      <c r="T160" s="196"/>
      <c r="U160" s="152"/>
      <c r="V160" s="152"/>
      <c r="W160" s="157"/>
    </row>
    <row r="161" ht="15.75" customHeight="1">
      <c r="A161" s="192"/>
      <c r="B161" s="193"/>
      <c r="C161" s="194"/>
      <c r="N161" s="152"/>
      <c r="Q161" s="195"/>
      <c r="S161" s="196"/>
      <c r="T161" s="196"/>
      <c r="U161" s="152"/>
      <c r="V161" s="152"/>
      <c r="W161" s="157"/>
    </row>
    <row r="162" ht="15.75" customHeight="1">
      <c r="A162" s="192"/>
      <c r="B162" s="193"/>
      <c r="C162" s="194"/>
      <c r="N162" s="152"/>
      <c r="Q162" s="195"/>
      <c r="S162" s="196"/>
      <c r="T162" s="196"/>
      <c r="U162" s="152"/>
      <c r="V162" s="152"/>
      <c r="W162" s="157"/>
    </row>
    <row r="163" ht="15.75" customHeight="1">
      <c r="A163" s="192"/>
      <c r="B163" s="193"/>
      <c r="C163" s="194"/>
      <c r="N163" s="152"/>
      <c r="Q163" s="195"/>
      <c r="S163" s="196"/>
      <c r="T163" s="196"/>
      <c r="U163" s="152"/>
      <c r="V163" s="152"/>
      <c r="W163" s="157"/>
    </row>
    <row r="164" ht="15.75" customHeight="1">
      <c r="A164" s="192"/>
      <c r="B164" s="193"/>
      <c r="C164" s="194"/>
      <c r="N164" s="152"/>
      <c r="Q164" s="195"/>
      <c r="S164" s="196"/>
      <c r="T164" s="196"/>
      <c r="U164" s="152"/>
      <c r="V164" s="152"/>
      <c r="W164" s="157"/>
    </row>
    <row r="165" ht="15.75" customHeight="1">
      <c r="A165" s="192"/>
      <c r="B165" s="193"/>
      <c r="C165" s="194"/>
      <c r="N165" s="152"/>
      <c r="Q165" s="195"/>
      <c r="S165" s="196"/>
      <c r="T165" s="196"/>
      <c r="U165" s="152"/>
      <c r="V165" s="152"/>
      <c r="W165" s="157"/>
    </row>
    <row r="166" ht="15.75" customHeight="1">
      <c r="A166" s="192"/>
      <c r="B166" s="193"/>
      <c r="C166" s="194"/>
      <c r="N166" s="152"/>
      <c r="Q166" s="195"/>
      <c r="S166" s="196"/>
      <c r="T166" s="196"/>
      <c r="U166" s="152"/>
      <c r="V166" s="152"/>
      <c r="W166" s="157"/>
    </row>
    <row r="167" ht="15.75" customHeight="1">
      <c r="A167" s="192"/>
      <c r="B167" s="193"/>
      <c r="C167" s="194"/>
      <c r="N167" s="152"/>
      <c r="Q167" s="195"/>
      <c r="S167" s="196"/>
      <c r="T167" s="196"/>
      <c r="U167" s="152"/>
      <c r="V167" s="152"/>
      <c r="W167" s="157"/>
    </row>
    <row r="168" ht="15.75" customHeight="1">
      <c r="A168" s="192"/>
      <c r="B168" s="193"/>
      <c r="C168" s="194"/>
      <c r="N168" s="152"/>
      <c r="Q168" s="195"/>
      <c r="S168" s="196"/>
      <c r="T168" s="196"/>
      <c r="U168" s="152"/>
      <c r="V168" s="152"/>
      <c r="W168" s="157"/>
    </row>
    <row r="169" ht="15.75" customHeight="1">
      <c r="A169" s="192"/>
      <c r="B169" s="193"/>
      <c r="C169" s="194"/>
      <c r="N169" s="152"/>
      <c r="Q169" s="195"/>
      <c r="S169" s="196"/>
      <c r="T169" s="196"/>
      <c r="U169" s="152"/>
      <c r="V169" s="152"/>
      <c r="W169" s="157"/>
    </row>
    <row r="170" ht="15.75" customHeight="1">
      <c r="A170" s="192"/>
      <c r="B170" s="193"/>
      <c r="C170" s="194"/>
      <c r="N170" s="152"/>
      <c r="Q170" s="195"/>
      <c r="S170" s="196"/>
      <c r="T170" s="196"/>
      <c r="U170" s="152"/>
      <c r="V170" s="152"/>
      <c r="W170" s="157"/>
    </row>
    <row r="171" ht="15.75" customHeight="1">
      <c r="A171" s="192"/>
      <c r="B171" s="193"/>
      <c r="C171" s="194"/>
      <c r="N171" s="152"/>
      <c r="Q171" s="195"/>
      <c r="S171" s="196"/>
      <c r="T171" s="196"/>
      <c r="U171" s="152"/>
      <c r="V171" s="152"/>
      <c r="W171" s="157"/>
    </row>
    <row r="172" ht="15.75" customHeight="1">
      <c r="A172" s="192"/>
      <c r="B172" s="193"/>
      <c r="C172" s="194"/>
      <c r="N172" s="152"/>
      <c r="Q172" s="195"/>
      <c r="S172" s="196"/>
      <c r="T172" s="196"/>
      <c r="U172" s="152"/>
      <c r="V172" s="152"/>
      <c r="W172" s="157"/>
    </row>
    <row r="173" ht="15.75" customHeight="1">
      <c r="A173" s="192"/>
      <c r="B173" s="193"/>
      <c r="C173" s="194"/>
      <c r="N173" s="152"/>
      <c r="Q173" s="195"/>
      <c r="S173" s="196"/>
      <c r="T173" s="196"/>
      <c r="U173" s="152"/>
      <c r="V173" s="152"/>
      <c r="W173" s="157"/>
    </row>
    <row r="174" ht="15.75" customHeight="1">
      <c r="A174" s="192"/>
      <c r="B174" s="193"/>
      <c r="C174" s="194"/>
      <c r="N174" s="152"/>
      <c r="Q174" s="195"/>
      <c r="S174" s="196"/>
      <c r="T174" s="196"/>
      <c r="U174" s="152"/>
      <c r="V174" s="152"/>
      <c r="W174" s="157"/>
    </row>
    <row r="175" ht="15.75" customHeight="1">
      <c r="A175" s="192"/>
      <c r="B175" s="193"/>
      <c r="C175" s="194"/>
      <c r="N175" s="152"/>
      <c r="Q175" s="195"/>
      <c r="S175" s="196"/>
      <c r="T175" s="196"/>
      <c r="U175" s="152"/>
      <c r="V175" s="152"/>
      <c r="W175" s="157"/>
    </row>
    <row r="176" ht="15.75" customHeight="1">
      <c r="A176" s="192"/>
      <c r="B176" s="193"/>
      <c r="C176" s="194"/>
      <c r="N176" s="152"/>
      <c r="Q176" s="195"/>
      <c r="S176" s="196"/>
      <c r="T176" s="196"/>
      <c r="U176" s="152"/>
      <c r="V176" s="152"/>
      <c r="W176" s="157"/>
    </row>
    <row r="177" ht="15.75" customHeight="1">
      <c r="A177" s="192"/>
      <c r="B177" s="193"/>
      <c r="C177" s="194"/>
      <c r="N177" s="152"/>
      <c r="Q177" s="195"/>
      <c r="S177" s="196"/>
      <c r="T177" s="196"/>
      <c r="U177" s="152"/>
      <c r="V177" s="152"/>
      <c r="W177" s="157"/>
    </row>
    <row r="178" ht="15.75" customHeight="1">
      <c r="A178" s="192"/>
      <c r="B178" s="193"/>
      <c r="C178" s="194"/>
      <c r="N178" s="152"/>
      <c r="Q178" s="195"/>
      <c r="S178" s="196"/>
      <c r="T178" s="196"/>
      <c r="U178" s="152"/>
      <c r="V178" s="152"/>
      <c r="W178" s="157"/>
    </row>
    <row r="179" ht="15.75" customHeight="1">
      <c r="A179" s="192"/>
      <c r="B179" s="193"/>
      <c r="C179" s="194"/>
      <c r="N179" s="152"/>
      <c r="Q179" s="195"/>
      <c r="S179" s="196"/>
      <c r="T179" s="196"/>
      <c r="U179" s="152"/>
      <c r="V179" s="152"/>
      <c r="W179" s="157"/>
    </row>
    <row r="180" ht="15.75" customHeight="1">
      <c r="A180" s="192"/>
      <c r="B180" s="193"/>
      <c r="C180" s="194"/>
      <c r="N180" s="152"/>
      <c r="Q180" s="195"/>
      <c r="S180" s="196"/>
      <c r="T180" s="196"/>
      <c r="U180" s="152"/>
      <c r="V180" s="152"/>
      <c r="W180" s="157"/>
    </row>
    <row r="181" ht="15.75" customHeight="1">
      <c r="A181" s="192"/>
      <c r="B181" s="193"/>
      <c r="C181" s="194"/>
      <c r="N181" s="152"/>
      <c r="Q181" s="195"/>
      <c r="S181" s="196"/>
      <c r="T181" s="196"/>
      <c r="U181" s="152"/>
      <c r="V181" s="152"/>
      <c r="W181" s="157"/>
    </row>
    <row r="182" ht="15.75" customHeight="1">
      <c r="A182" s="192"/>
      <c r="B182" s="193"/>
      <c r="C182" s="194"/>
      <c r="N182" s="152"/>
      <c r="Q182" s="195"/>
      <c r="S182" s="196"/>
      <c r="T182" s="196"/>
      <c r="U182" s="152"/>
      <c r="V182" s="152"/>
      <c r="W182" s="157"/>
    </row>
    <row r="183" ht="15.75" customHeight="1">
      <c r="A183" s="192"/>
      <c r="B183" s="193"/>
      <c r="C183" s="194"/>
      <c r="N183" s="152"/>
      <c r="Q183" s="195"/>
      <c r="S183" s="196"/>
      <c r="T183" s="196"/>
      <c r="U183" s="152"/>
      <c r="V183" s="152"/>
      <c r="W183" s="157"/>
    </row>
    <row r="184" ht="15.75" customHeight="1">
      <c r="A184" s="192"/>
      <c r="B184" s="193"/>
      <c r="C184" s="194"/>
      <c r="N184" s="152"/>
      <c r="Q184" s="195"/>
      <c r="S184" s="196"/>
      <c r="T184" s="196"/>
      <c r="U184" s="152"/>
      <c r="V184" s="152"/>
      <c r="W184" s="157"/>
    </row>
    <row r="185" ht="15.75" customHeight="1">
      <c r="A185" s="192"/>
      <c r="B185" s="193"/>
      <c r="C185" s="194"/>
      <c r="N185" s="152"/>
      <c r="Q185" s="195"/>
      <c r="S185" s="196"/>
      <c r="T185" s="196"/>
      <c r="U185" s="152"/>
      <c r="V185" s="152"/>
      <c r="W185" s="157"/>
    </row>
    <row r="186" ht="15.75" customHeight="1">
      <c r="A186" s="192"/>
      <c r="B186" s="193"/>
      <c r="C186" s="194"/>
      <c r="N186" s="152"/>
      <c r="Q186" s="195"/>
      <c r="S186" s="196"/>
      <c r="T186" s="196"/>
      <c r="U186" s="152"/>
      <c r="V186" s="152"/>
      <c r="W186" s="157"/>
    </row>
    <row r="187" ht="15.75" customHeight="1">
      <c r="A187" s="192"/>
      <c r="B187" s="193"/>
      <c r="C187" s="194"/>
      <c r="N187" s="152"/>
      <c r="Q187" s="195"/>
      <c r="S187" s="196"/>
      <c r="T187" s="196"/>
      <c r="U187" s="152"/>
      <c r="V187" s="152"/>
      <c r="W187" s="157"/>
    </row>
    <row r="188" ht="15.75" customHeight="1">
      <c r="A188" s="192"/>
      <c r="B188" s="193"/>
      <c r="C188" s="194"/>
      <c r="N188" s="152"/>
      <c r="Q188" s="195"/>
      <c r="S188" s="196"/>
      <c r="T188" s="196"/>
      <c r="U188" s="152"/>
      <c r="V188" s="152"/>
      <c r="W188" s="157"/>
    </row>
    <row r="189" ht="15.75" customHeight="1">
      <c r="A189" s="192"/>
      <c r="B189" s="193"/>
      <c r="C189" s="194"/>
      <c r="N189" s="152"/>
      <c r="Q189" s="195"/>
      <c r="S189" s="196"/>
      <c r="T189" s="196"/>
      <c r="U189" s="152"/>
      <c r="V189" s="152"/>
      <c r="W189" s="157"/>
    </row>
    <row r="190" ht="15.75" customHeight="1">
      <c r="A190" s="192"/>
      <c r="B190" s="193"/>
      <c r="C190" s="194"/>
      <c r="N190" s="152"/>
      <c r="Q190" s="195"/>
      <c r="S190" s="196"/>
      <c r="T190" s="196"/>
      <c r="U190" s="152"/>
      <c r="V190" s="152"/>
      <c r="W190" s="157"/>
    </row>
    <row r="191" ht="15.75" customHeight="1">
      <c r="A191" s="192"/>
      <c r="B191" s="193"/>
      <c r="C191" s="194"/>
      <c r="N191" s="152"/>
      <c r="Q191" s="195"/>
      <c r="S191" s="196"/>
      <c r="T191" s="196"/>
      <c r="U191" s="152"/>
      <c r="V191" s="152"/>
      <c r="W191" s="157"/>
    </row>
    <row r="192" ht="15.75" customHeight="1">
      <c r="A192" s="192"/>
      <c r="B192" s="193"/>
      <c r="C192" s="194"/>
      <c r="N192" s="152"/>
      <c r="Q192" s="195"/>
      <c r="S192" s="196"/>
      <c r="T192" s="196"/>
      <c r="U192" s="152"/>
      <c r="V192" s="152"/>
      <c r="W192" s="157"/>
    </row>
    <row r="193" ht="15.75" customHeight="1">
      <c r="A193" s="192"/>
      <c r="B193" s="193"/>
      <c r="C193" s="194"/>
      <c r="N193" s="152"/>
      <c r="Q193" s="195"/>
      <c r="S193" s="196"/>
      <c r="T193" s="196"/>
      <c r="U193" s="152"/>
      <c r="V193" s="152"/>
      <c r="W193" s="157"/>
    </row>
    <row r="194" ht="15.75" customHeight="1">
      <c r="A194" s="192"/>
      <c r="B194" s="193"/>
      <c r="C194" s="194"/>
      <c r="N194" s="152"/>
      <c r="Q194" s="195"/>
      <c r="S194" s="196"/>
      <c r="T194" s="196"/>
      <c r="U194" s="152"/>
      <c r="V194" s="152"/>
      <c r="W194" s="157"/>
    </row>
    <row r="195" ht="15.75" customHeight="1">
      <c r="A195" s="192"/>
      <c r="B195" s="193"/>
      <c r="C195" s="194"/>
      <c r="N195" s="152"/>
      <c r="Q195" s="195"/>
      <c r="S195" s="196"/>
      <c r="T195" s="196"/>
      <c r="U195" s="152"/>
      <c r="V195" s="152"/>
      <c r="W195" s="157"/>
    </row>
    <row r="196" ht="15.75" customHeight="1">
      <c r="A196" s="192"/>
      <c r="B196" s="193"/>
      <c r="C196" s="194"/>
      <c r="N196" s="152"/>
      <c r="Q196" s="195"/>
      <c r="S196" s="196"/>
      <c r="T196" s="196"/>
      <c r="U196" s="152"/>
      <c r="V196" s="152"/>
      <c r="W196" s="157"/>
    </row>
    <row r="197" ht="15.75" customHeight="1">
      <c r="A197" s="192"/>
      <c r="B197" s="193"/>
      <c r="C197" s="194"/>
      <c r="N197" s="152"/>
      <c r="Q197" s="195"/>
      <c r="S197" s="196"/>
      <c r="T197" s="196"/>
      <c r="U197" s="152"/>
      <c r="V197" s="152"/>
      <c r="W197" s="157"/>
    </row>
    <row r="198" ht="15.75" customHeight="1">
      <c r="A198" s="192"/>
      <c r="B198" s="193"/>
      <c r="C198" s="194"/>
      <c r="N198" s="152"/>
      <c r="Q198" s="195"/>
      <c r="S198" s="196"/>
      <c r="T198" s="196"/>
      <c r="U198" s="152"/>
      <c r="V198" s="152"/>
      <c r="W198" s="157"/>
    </row>
    <row r="199" ht="15.75" customHeight="1">
      <c r="A199" s="192"/>
      <c r="B199" s="193"/>
      <c r="C199" s="194"/>
      <c r="N199" s="152"/>
      <c r="Q199" s="195"/>
      <c r="S199" s="196"/>
      <c r="T199" s="196"/>
      <c r="U199" s="152"/>
      <c r="V199" s="152"/>
      <c r="W199" s="157"/>
    </row>
    <row r="200" ht="15.75" customHeight="1">
      <c r="A200" s="192"/>
      <c r="B200" s="193"/>
      <c r="C200" s="194"/>
      <c r="N200" s="152"/>
      <c r="Q200" s="195"/>
      <c r="S200" s="196"/>
      <c r="T200" s="196"/>
      <c r="U200" s="152"/>
      <c r="V200" s="152"/>
      <c r="W200" s="157"/>
    </row>
    <row r="201" ht="15.75" customHeight="1">
      <c r="A201" s="192"/>
      <c r="B201" s="193"/>
      <c r="C201" s="194"/>
      <c r="N201" s="152"/>
      <c r="Q201" s="195"/>
      <c r="S201" s="196"/>
      <c r="T201" s="196"/>
      <c r="U201" s="152"/>
      <c r="V201" s="152"/>
      <c r="W201" s="157"/>
    </row>
    <row r="202" ht="15.75" customHeight="1">
      <c r="A202" s="192"/>
      <c r="B202" s="193"/>
      <c r="C202" s="194"/>
      <c r="N202" s="152"/>
      <c r="Q202" s="195"/>
      <c r="S202" s="196"/>
      <c r="T202" s="196"/>
      <c r="U202" s="152"/>
      <c r="V202" s="152"/>
      <c r="W202" s="157"/>
    </row>
    <row r="203" ht="15.75" customHeight="1">
      <c r="A203" s="192"/>
      <c r="B203" s="193"/>
      <c r="C203" s="194"/>
      <c r="N203" s="152"/>
      <c r="Q203" s="195"/>
      <c r="S203" s="196"/>
      <c r="T203" s="196"/>
      <c r="U203" s="152"/>
      <c r="V203" s="152"/>
      <c r="W203" s="157"/>
    </row>
    <row r="204" ht="15.75" customHeight="1">
      <c r="A204" s="192"/>
      <c r="B204" s="193"/>
      <c r="C204" s="194"/>
      <c r="N204" s="152"/>
      <c r="Q204" s="195"/>
      <c r="S204" s="196"/>
      <c r="T204" s="196"/>
      <c r="U204" s="152"/>
      <c r="V204" s="152"/>
      <c r="W204" s="157"/>
    </row>
    <row r="205" ht="15.75" customHeight="1">
      <c r="A205" s="192"/>
      <c r="B205" s="193"/>
      <c r="C205" s="194"/>
      <c r="N205" s="152"/>
      <c r="Q205" s="195"/>
      <c r="S205" s="196"/>
      <c r="T205" s="196"/>
      <c r="U205" s="152"/>
      <c r="V205" s="152"/>
      <c r="W205" s="157"/>
    </row>
    <row r="206" ht="15.75" customHeight="1">
      <c r="A206" s="192"/>
      <c r="B206" s="193"/>
      <c r="C206" s="194"/>
      <c r="N206" s="152"/>
      <c r="Q206" s="195"/>
      <c r="S206" s="196"/>
      <c r="T206" s="196"/>
      <c r="U206" s="152"/>
      <c r="V206" s="152"/>
      <c r="W206" s="157"/>
    </row>
    <row r="207" ht="15.75" customHeight="1">
      <c r="A207" s="192"/>
      <c r="B207" s="193"/>
      <c r="C207" s="194"/>
      <c r="N207" s="152"/>
      <c r="Q207" s="195"/>
      <c r="S207" s="196"/>
      <c r="T207" s="196"/>
      <c r="U207" s="152"/>
      <c r="V207" s="152"/>
      <c r="W207" s="157"/>
    </row>
    <row r="208" ht="15.75" customHeight="1">
      <c r="A208" s="192"/>
      <c r="B208" s="193"/>
      <c r="C208" s="194"/>
      <c r="N208" s="152"/>
      <c r="Q208" s="195"/>
      <c r="S208" s="196"/>
      <c r="T208" s="196"/>
      <c r="U208" s="152"/>
      <c r="V208" s="152"/>
      <c r="W208" s="157"/>
    </row>
    <row r="209" ht="15.75" customHeight="1">
      <c r="A209" s="192"/>
      <c r="B209" s="193"/>
      <c r="C209" s="194"/>
      <c r="N209" s="152"/>
      <c r="Q209" s="195"/>
      <c r="S209" s="196"/>
      <c r="T209" s="196"/>
      <c r="U209" s="152"/>
      <c r="V209" s="152"/>
      <c r="W209" s="157"/>
    </row>
    <row r="210" ht="15.75" customHeight="1">
      <c r="A210" s="192"/>
      <c r="B210" s="193"/>
      <c r="C210" s="194"/>
      <c r="N210" s="152"/>
      <c r="Q210" s="195"/>
      <c r="S210" s="196"/>
      <c r="T210" s="196"/>
      <c r="U210" s="152"/>
      <c r="V210" s="152"/>
      <c r="W210" s="157"/>
    </row>
    <row r="211" ht="15.75" customHeight="1">
      <c r="A211" s="192"/>
      <c r="B211" s="193"/>
      <c r="C211" s="194"/>
      <c r="N211" s="152"/>
      <c r="Q211" s="195"/>
      <c r="S211" s="196"/>
      <c r="T211" s="196"/>
      <c r="U211" s="152"/>
      <c r="V211" s="152"/>
      <c r="W211" s="157"/>
    </row>
    <row r="212" ht="15.75" customHeight="1">
      <c r="A212" s="192"/>
      <c r="B212" s="193"/>
      <c r="C212" s="194"/>
      <c r="N212" s="152"/>
      <c r="Q212" s="195"/>
      <c r="S212" s="196"/>
      <c r="T212" s="196"/>
      <c r="U212" s="152"/>
      <c r="V212" s="152"/>
      <c r="W212" s="157"/>
    </row>
    <row r="213" ht="15.75" customHeight="1">
      <c r="A213" s="192"/>
      <c r="B213" s="193"/>
      <c r="C213" s="194"/>
      <c r="N213" s="152"/>
      <c r="Q213" s="195"/>
      <c r="S213" s="196"/>
      <c r="T213" s="196"/>
      <c r="U213" s="152"/>
      <c r="V213" s="152"/>
      <c r="W213" s="157"/>
    </row>
    <row r="214" ht="15.75" customHeight="1">
      <c r="A214" s="192"/>
      <c r="B214" s="193"/>
      <c r="C214" s="194"/>
      <c r="N214" s="152"/>
      <c r="Q214" s="195"/>
      <c r="S214" s="196"/>
      <c r="T214" s="196"/>
      <c r="U214" s="152"/>
      <c r="V214" s="152"/>
      <c r="W214" s="157"/>
    </row>
    <row r="215" ht="15.75" customHeight="1">
      <c r="A215" s="192"/>
      <c r="B215" s="193"/>
      <c r="C215" s="194"/>
      <c r="N215" s="152"/>
      <c r="Q215" s="195"/>
      <c r="S215" s="196"/>
      <c r="T215" s="196"/>
      <c r="U215" s="152"/>
      <c r="V215" s="152"/>
      <c r="W215" s="157"/>
    </row>
    <row r="216" ht="15.75" customHeight="1">
      <c r="A216" s="192"/>
      <c r="B216" s="193"/>
      <c r="C216" s="194"/>
      <c r="N216" s="152"/>
      <c r="Q216" s="195"/>
      <c r="S216" s="196"/>
      <c r="T216" s="196"/>
      <c r="U216" s="152"/>
      <c r="V216" s="152"/>
      <c r="W216" s="157"/>
    </row>
    <row r="217" ht="15.75" customHeight="1">
      <c r="A217" s="192"/>
      <c r="B217" s="193"/>
      <c r="C217" s="194"/>
      <c r="N217" s="152"/>
      <c r="Q217" s="195"/>
      <c r="S217" s="196"/>
      <c r="T217" s="196"/>
      <c r="U217" s="152"/>
      <c r="V217" s="152"/>
      <c r="W217" s="157"/>
    </row>
    <row r="218" ht="15.75" customHeight="1">
      <c r="A218" s="192"/>
      <c r="B218" s="193"/>
      <c r="C218" s="194"/>
      <c r="N218" s="152"/>
      <c r="Q218" s="195"/>
      <c r="S218" s="196"/>
      <c r="T218" s="196"/>
      <c r="U218" s="152"/>
      <c r="V218" s="152"/>
      <c r="W218" s="157"/>
    </row>
    <row r="219" ht="15.75" customHeight="1">
      <c r="A219" s="192"/>
      <c r="B219" s="193"/>
      <c r="C219" s="194"/>
      <c r="N219" s="152"/>
      <c r="Q219" s="195"/>
      <c r="S219" s="196"/>
      <c r="T219" s="196"/>
      <c r="U219" s="152"/>
      <c r="V219" s="152"/>
      <c r="W219" s="157"/>
    </row>
    <row r="220" ht="15.75" customHeight="1">
      <c r="A220" s="192"/>
      <c r="B220" s="193"/>
      <c r="C220" s="194"/>
      <c r="N220" s="152"/>
      <c r="Q220" s="195"/>
      <c r="S220" s="196"/>
      <c r="T220" s="196"/>
      <c r="U220" s="152"/>
      <c r="V220" s="152"/>
      <c r="W220" s="157"/>
    </row>
    <row r="221" ht="15.75" customHeight="1">
      <c r="A221" s="167"/>
      <c r="B221" s="199"/>
      <c r="N221" s="152"/>
      <c r="Q221" s="195"/>
      <c r="S221" s="200"/>
      <c r="T221" s="200"/>
      <c r="U221" s="152"/>
      <c r="V221" s="152"/>
      <c r="W221" s="157"/>
    </row>
    <row r="222" ht="15.75" customHeight="1">
      <c r="A222" s="167"/>
      <c r="B222" s="199"/>
      <c r="N222" s="152"/>
      <c r="Q222" s="195"/>
      <c r="S222" s="200"/>
      <c r="T222" s="200"/>
      <c r="U222" s="152"/>
      <c r="V222" s="152"/>
      <c r="W222" s="157"/>
    </row>
    <row r="223" ht="15.75" customHeight="1">
      <c r="A223" s="167"/>
      <c r="B223" s="199"/>
      <c r="N223" s="152"/>
      <c r="Q223" s="195"/>
      <c r="S223" s="200"/>
      <c r="T223" s="200"/>
      <c r="U223" s="152"/>
      <c r="V223" s="152"/>
      <c r="W223" s="157"/>
    </row>
    <row r="224" ht="15.75" customHeight="1">
      <c r="A224" s="167"/>
      <c r="B224" s="199"/>
      <c r="N224" s="152"/>
      <c r="Q224" s="195"/>
      <c r="S224" s="200"/>
      <c r="T224" s="200"/>
      <c r="U224" s="152"/>
      <c r="V224" s="152"/>
      <c r="W224" s="157"/>
    </row>
    <row r="225" ht="15.75" customHeight="1">
      <c r="A225" s="167"/>
      <c r="B225" s="199"/>
      <c r="N225" s="152"/>
      <c r="Q225" s="195"/>
      <c r="S225" s="200"/>
      <c r="T225" s="200"/>
      <c r="U225" s="152"/>
      <c r="V225" s="152"/>
      <c r="W225" s="157"/>
    </row>
    <row r="226" ht="15.75" customHeight="1">
      <c r="A226" s="167"/>
      <c r="B226" s="199"/>
      <c r="N226" s="152"/>
      <c r="Q226" s="195"/>
      <c r="S226" s="200"/>
      <c r="T226" s="200"/>
      <c r="U226" s="152"/>
      <c r="V226" s="152"/>
      <c r="W226" s="157"/>
    </row>
    <row r="227" ht="15.75" customHeight="1">
      <c r="A227" s="167"/>
      <c r="B227" s="199"/>
      <c r="N227" s="152"/>
      <c r="Q227" s="195"/>
      <c r="S227" s="200"/>
      <c r="T227" s="200"/>
      <c r="U227" s="152"/>
      <c r="V227" s="152"/>
      <c r="W227" s="157"/>
    </row>
    <row r="228" ht="15.75" customHeight="1">
      <c r="A228" s="167"/>
      <c r="B228" s="199"/>
      <c r="N228" s="152"/>
      <c r="Q228" s="195"/>
      <c r="S228" s="200"/>
      <c r="T228" s="200"/>
      <c r="U228" s="152"/>
      <c r="V228" s="152"/>
      <c r="W228" s="157"/>
    </row>
    <row r="229" ht="15.75" customHeight="1">
      <c r="A229" s="167"/>
      <c r="B229" s="199"/>
      <c r="N229" s="152"/>
      <c r="Q229" s="195"/>
      <c r="S229" s="200"/>
      <c r="T229" s="200"/>
      <c r="U229" s="152"/>
      <c r="V229" s="152"/>
      <c r="W229" s="157"/>
    </row>
    <row r="230" ht="15.75" customHeight="1">
      <c r="A230" s="167"/>
      <c r="B230" s="199"/>
      <c r="N230" s="152"/>
      <c r="Q230" s="195"/>
      <c r="S230" s="200"/>
      <c r="T230" s="200"/>
      <c r="U230" s="152"/>
      <c r="V230" s="152"/>
      <c r="W230" s="157"/>
    </row>
    <row r="231" ht="15.75" customHeight="1">
      <c r="A231" s="167"/>
      <c r="B231" s="199"/>
      <c r="N231" s="152"/>
      <c r="Q231" s="195"/>
      <c r="S231" s="200"/>
      <c r="T231" s="200"/>
      <c r="U231" s="152"/>
      <c r="V231" s="152"/>
      <c r="W231" s="157"/>
    </row>
    <row r="232" ht="15.75" customHeight="1">
      <c r="A232" s="167"/>
      <c r="B232" s="199"/>
      <c r="N232" s="152"/>
      <c r="Q232" s="195"/>
      <c r="S232" s="200"/>
      <c r="T232" s="200"/>
      <c r="U232" s="152"/>
      <c r="V232" s="152"/>
      <c r="W232" s="157"/>
    </row>
    <row r="233" ht="15.75" customHeight="1">
      <c r="A233" s="167"/>
      <c r="B233" s="199"/>
      <c r="N233" s="152"/>
      <c r="Q233" s="195"/>
      <c r="S233" s="200"/>
      <c r="T233" s="200"/>
      <c r="U233" s="152"/>
      <c r="V233" s="152"/>
      <c r="W233" s="157"/>
    </row>
    <row r="234" ht="15.75" customHeight="1">
      <c r="A234" s="167"/>
      <c r="B234" s="199"/>
      <c r="N234" s="152"/>
      <c r="Q234" s="195"/>
      <c r="S234" s="200"/>
      <c r="T234" s="200"/>
      <c r="U234" s="152"/>
      <c r="V234" s="152"/>
      <c r="W234" s="157"/>
    </row>
    <row r="235" ht="15.75" customHeight="1">
      <c r="A235" s="167"/>
      <c r="B235" s="199"/>
      <c r="N235" s="152"/>
      <c r="Q235" s="195"/>
      <c r="S235" s="200"/>
      <c r="T235" s="200"/>
      <c r="U235" s="152"/>
      <c r="V235" s="152"/>
      <c r="W235" s="157"/>
    </row>
    <row r="236" ht="15.75" customHeight="1">
      <c r="A236" s="167"/>
      <c r="B236" s="199"/>
      <c r="N236" s="152"/>
      <c r="Q236" s="195"/>
      <c r="S236" s="200"/>
      <c r="T236" s="200"/>
      <c r="U236" s="152"/>
      <c r="V236" s="152"/>
      <c r="W236" s="157"/>
    </row>
    <row r="237" ht="15.75" customHeight="1">
      <c r="A237" s="167"/>
      <c r="B237" s="199"/>
      <c r="N237" s="152"/>
      <c r="Q237" s="195"/>
      <c r="S237" s="200"/>
      <c r="T237" s="200"/>
      <c r="U237" s="152"/>
      <c r="V237" s="152"/>
      <c r="W237" s="157"/>
    </row>
    <row r="238" ht="15.75" customHeight="1">
      <c r="A238" s="167"/>
      <c r="B238" s="199"/>
      <c r="N238" s="152"/>
      <c r="Q238" s="195"/>
      <c r="S238" s="200"/>
      <c r="T238" s="200"/>
      <c r="U238" s="152"/>
      <c r="V238" s="152"/>
      <c r="W238" s="157"/>
    </row>
    <row r="239" ht="15.75" customHeight="1">
      <c r="A239" s="167"/>
      <c r="B239" s="199"/>
      <c r="N239" s="152"/>
      <c r="Q239" s="195"/>
      <c r="S239" s="200"/>
      <c r="T239" s="200"/>
      <c r="U239" s="152"/>
      <c r="V239" s="152"/>
      <c r="W239" s="157"/>
    </row>
    <row r="240" ht="15.75" customHeight="1">
      <c r="A240" s="167"/>
      <c r="B240" s="199"/>
      <c r="N240" s="152"/>
      <c r="Q240" s="195"/>
      <c r="S240" s="200"/>
      <c r="T240" s="200"/>
      <c r="U240" s="152"/>
      <c r="V240" s="152"/>
      <c r="W240" s="157"/>
    </row>
    <row r="241" ht="15.75" customHeight="1">
      <c r="A241" s="167"/>
      <c r="B241" s="199"/>
      <c r="N241" s="152"/>
      <c r="Q241" s="195"/>
      <c r="S241" s="200"/>
      <c r="T241" s="200"/>
      <c r="U241" s="152"/>
      <c r="V241" s="152"/>
      <c r="W241" s="157"/>
    </row>
    <row r="242" ht="15.75" customHeight="1">
      <c r="A242" s="167"/>
      <c r="B242" s="199"/>
      <c r="N242" s="152"/>
      <c r="Q242" s="195"/>
      <c r="S242" s="200"/>
      <c r="T242" s="200"/>
      <c r="U242" s="152"/>
      <c r="V242" s="152"/>
      <c r="W242" s="157"/>
    </row>
    <row r="243" ht="15.75" customHeight="1">
      <c r="A243" s="167"/>
      <c r="B243" s="199"/>
      <c r="N243" s="152"/>
      <c r="Q243" s="195"/>
      <c r="S243" s="200"/>
      <c r="T243" s="200"/>
      <c r="U243" s="152"/>
      <c r="V243" s="152"/>
      <c r="W243" s="157"/>
    </row>
    <row r="244" ht="15.75" customHeight="1">
      <c r="A244" s="167"/>
      <c r="B244" s="199"/>
      <c r="N244" s="152"/>
      <c r="Q244" s="195"/>
      <c r="S244" s="200"/>
      <c r="T244" s="200"/>
      <c r="U244" s="152"/>
      <c r="V244" s="152"/>
      <c r="W244" s="157"/>
    </row>
    <row r="245" ht="15.75" customHeight="1">
      <c r="A245" s="167"/>
      <c r="B245" s="199"/>
      <c r="N245" s="152"/>
      <c r="Q245" s="195"/>
      <c r="S245" s="200"/>
      <c r="T245" s="200"/>
      <c r="U245" s="152"/>
      <c r="V245" s="152"/>
      <c r="W245" s="157"/>
    </row>
    <row r="246" ht="15.75" customHeight="1">
      <c r="A246" s="167"/>
      <c r="B246" s="199"/>
      <c r="N246" s="152"/>
      <c r="Q246" s="195"/>
      <c r="S246" s="200"/>
      <c r="T246" s="200"/>
      <c r="U246" s="152"/>
      <c r="V246" s="152"/>
      <c r="W246" s="157"/>
    </row>
    <row r="247" ht="15.75" customHeight="1">
      <c r="A247" s="167"/>
      <c r="B247" s="199"/>
      <c r="N247" s="152"/>
      <c r="Q247" s="195"/>
      <c r="S247" s="200"/>
      <c r="T247" s="200"/>
      <c r="U247" s="152"/>
      <c r="V247" s="152"/>
      <c r="W247" s="157"/>
    </row>
    <row r="248" ht="15.75" customHeight="1">
      <c r="A248" s="167"/>
      <c r="B248" s="199"/>
      <c r="N248" s="152"/>
      <c r="Q248" s="195"/>
      <c r="S248" s="200"/>
      <c r="T248" s="200"/>
      <c r="U248" s="152"/>
      <c r="V248" s="152"/>
      <c r="W248" s="157"/>
    </row>
    <row r="249" ht="15.75" customHeight="1">
      <c r="A249" s="167"/>
      <c r="B249" s="199"/>
      <c r="N249" s="152"/>
      <c r="Q249" s="195"/>
      <c r="S249" s="200"/>
      <c r="T249" s="200"/>
      <c r="U249" s="152"/>
      <c r="V249" s="152"/>
      <c r="W249" s="157"/>
    </row>
    <row r="250" ht="15.75" customHeight="1">
      <c r="A250" s="167"/>
      <c r="B250" s="199"/>
      <c r="N250" s="152"/>
      <c r="Q250" s="195"/>
      <c r="S250" s="200"/>
      <c r="T250" s="200"/>
      <c r="U250" s="152"/>
      <c r="V250" s="152"/>
      <c r="W250" s="157"/>
    </row>
    <row r="251" ht="15.75" customHeight="1">
      <c r="A251" s="167"/>
      <c r="B251" s="199"/>
      <c r="N251" s="152"/>
      <c r="Q251" s="195"/>
      <c r="S251" s="200"/>
      <c r="T251" s="200"/>
      <c r="U251" s="152"/>
      <c r="V251" s="152"/>
      <c r="W251" s="157"/>
    </row>
    <row r="252" ht="15.75" customHeight="1">
      <c r="A252" s="167"/>
      <c r="B252" s="199"/>
      <c r="N252" s="152"/>
      <c r="Q252" s="195"/>
      <c r="S252" s="200"/>
      <c r="T252" s="200"/>
      <c r="U252" s="152"/>
      <c r="V252" s="152"/>
      <c r="W252" s="157"/>
    </row>
    <row r="253" ht="15.75" customHeight="1">
      <c r="A253" s="167"/>
      <c r="B253" s="199"/>
      <c r="N253" s="152"/>
      <c r="Q253" s="195"/>
      <c r="S253" s="200"/>
      <c r="T253" s="200"/>
      <c r="U253" s="152"/>
      <c r="V253" s="152"/>
      <c r="W253" s="157"/>
    </row>
    <row r="254" ht="15.75" customHeight="1">
      <c r="A254" s="167"/>
      <c r="B254" s="199"/>
      <c r="N254" s="152"/>
      <c r="Q254" s="195"/>
      <c r="S254" s="200"/>
      <c r="T254" s="200"/>
      <c r="U254" s="152"/>
      <c r="V254" s="152"/>
      <c r="W254" s="157"/>
    </row>
    <row r="255" ht="15.75" customHeight="1">
      <c r="A255" s="167"/>
      <c r="B255" s="199"/>
      <c r="N255" s="152"/>
      <c r="Q255" s="195"/>
      <c r="S255" s="200"/>
      <c r="T255" s="200"/>
      <c r="U255" s="152"/>
      <c r="V255" s="152"/>
      <c r="W255" s="157"/>
    </row>
    <row r="256" ht="15.75" customHeight="1">
      <c r="A256" s="167"/>
      <c r="B256" s="199"/>
      <c r="N256" s="152"/>
      <c r="Q256" s="195"/>
      <c r="S256" s="200"/>
      <c r="T256" s="200"/>
      <c r="U256" s="152"/>
      <c r="V256" s="152"/>
      <c r="W256" s="157"/>
    </row>
    <row r="257" ht="15.75" customHeight="1">
      <c r="A257" s="167"/>
      <c r="B257" s="199"/>
      <c r="N257" s="152"/>
      <c r="Q257" s="195"/>
      <c r="S257" s="200"/>
      <c r="T257" s="200"/>
      <c r="U257" s="152"/>
      <c r="V257" s="152"/>
      <c r="W257" s="157"/>
    </row>
    <row r="258" ht="15.75" customHeight="1">
      <c r="A258" s="167"/>
      <c r="B258" s="199"/>
      <c r="N258" s="152"/>
      <c r="Q258" s="195"/>
      <c r="S258" s="200"/>
      <c r="T258" s="200"/>
      <c r="U258" s="152"/>
      <c r="V258" s="152"/>
      <c r="W258" s="157"/>
    </row>
    <row r="259" ht="15.75" customHeight="1">
      <c r="A259" s="167"/>
      <c r="B259" s="199"/>
      <c r="N259" s="152"/>
      <c r="Q259" s="195"/>
      <c r="S259" s="200"/>
      <c r="T259" s="200"/>
      <c r="U259" s="152"/>
      <c r="V259" s="152"/>
      <c r="W259" s="157"/>
    </row>
    <row r="260" ht="15.75" customHeight="1">
      <c r="A260" s="167"/>
      <c r="B260" s="199"/>
      <c r="N260" s="152"/>
      <c r="Q260" s="195"/>
      <c r="S260" s="200"/>
      <c r="T260" s="200"/>
      <c r="U260" s="152"/>
      <c r="V260" s="152"/>
      <c r="W260" s="157"/>
    </row>
    <row r="261" ht="15.75" customHeight="1">
      <c r="A261" s="167"/>
      <c r="B261" s="199"/>
      <c r="N261" s="152"/>
      <c r="Q261" s="195"/>
      <c r="S261" s="200"/>
      <c r="T261" s="200"/>
      <c r="U261" s="152"/>
      <c r="V261" s="152"/>
      <c r="W261" s="157"/>
    </row>
    <row r="262" ht="15.75" customHeight="1">
      <c r="A262" s="167"/>
      <c r="B262" s="199"/>
      <c r="N262" s="152"/>
      <c r="Q262" s="195"/>
      <c r="S262" s="200"/>
      <c r="T262" s="200"/>
      <c r="U262" s="152"/>
      <c r="V262" s="152"/>
      <c r="W262" s="157"/>
    </row>
    <row r="263" ht="15.75" customHeight="1">
      <c r="A263" s="167"/>
      <c r="B263" s="199"/>
      <c r="N263" s="152"/>
      <c r="Q263" s="195"/>
      <c r="S263" s="200"/>
      <c r="T263" s="200"/>
      <c r="U263" s="152"/>
      <c r="V263" s="152"/>
      <c r="W263" s="157"/>
    </row>
    <row r="264" ht="15.75" customHeight="1">
      <c r="A264" s="167"/>
      <c r="B264" s="199"/>
      <c r="N264" s="152"/>
      <c r="Q264" s="195"/>
      <c r="S264" s="200"/>
      <c r="T264" s="200"/>
      <c r="U264" s="152"/>
      <c r="V264" s="152"/>
      <c r="W264" s="157"/>
    </row>
    <row r="265" ht="15.75" customHeight="1">
      <c r="A265" s="167"/>
      <c r="B265" s="199"/>
      <c r="N265" s="152"/>
      <c r="Q265" s="195"/>
      <c r="S265" s="200"/>
      <c r="T265" s="200"/>
      <c r="U265" s="152"/>
      <c r="V265" s="152"/>
      <c r="W265" s="157"/>
    </row>
    <row r="266" ht="15.75" customHeight="1">
      <c r="A266" s="167"/>
      <c r="B266" s="199"/>
      <c r="N266" s="152"/>
      <c r="Q266" s="195"/>
      <c r="S266" s="200"/>
      <c r="T266" s="200"/>
      <c r="U266" s="152"/>
      <c r="V266" s="152"/>
      <c r="W266" s="157"/>
    </row>
    <row r="267" ht="15.75" customHeight="1">
      <c r="A267" s="167"/>
      <c r="B267" s="199"/>
      <c r="N267" s="152"/>
      <c r="Q267" s="195"/>
      <c r="S267" s="200"/>
      <c r="T267" s="200"/>
      <c r="U267" s="152"/>
      <c r="V267" s="152"/>
      <c r="W267" s="157"/>
    </row>
    <row r="268" ht="15.75" customHeight="1">
      <c r="A268" s="167"/>
      <c r="B268" s="199"/>
      <c r="N268" s="152"/>
      <c r="Q268" s="195"/>
      <c r="S268" s="200"/>
      <c r="T268" s="200"/>
      <c r="U268" s="152"/>
      <c r="V268" s="152"/>
      <c r="W268" s="157"/>
    </row>
    <row r="269" ht="15.75" customHeight="1">
      <c r="A269" s="167"/>
      <c r="B269" s="199"/>
      <c r="N269" s="152"/>
      <c r="Q269" s="195"/>
      <c r="S269" s="200"/>
      <c r="T269" s="200"/>
      <c r="U269" s="152"/>
      <c r="V269" s="152"/>
      <c r="W269" s="157"/>
    </row>
    <row r="270" ht="15.75" customHeight="1">
      <c r="A270" s="167"/>
      <c r="B270" s="199"/>
      <c r="N270" s="152"/>
      <c r="Q270" s="195"/>
      <c r="S270" s="200"/>
      <c r="T270" s="200"/>
      <c r="U270" s="152"/>
      <c r="V270" s="152"/>
      <c r="W270" s="157"/>
    </row>
    <row r="271" ht="15.75" customHeight="1">
      <c r="A271" s="167"/>
      <c r="B271" s="199"/>
      <c r="N271" s="152"/>
      <c r="Q271" s="195"/>
      <c r="S271" s="200"/>
      <c r="T271" s="200"/>
      <c r="U271" s="152"/>
      <c r="V271" s="152"/>
      <c r="W271" s="157"/>
    </row>
    <row r="272" ht="15.75" customHeight="1">
      <c r="A272" s="167"/>
      <c r="B272" s="199"/>
      <c r="N272" s="152"/>
      <c r="Q272" s="195"/>
      <c r="S272" s="200"/>
      <c r="T272" s="200"/>
      <c r="U272" s="152"/>
      <c r="V272" s="152"/>
      <c r="W272" s="157"/>
    </row>
    <row r="273" ht="15.75" customHeight="1">
      <c r="A273" s="167"/>
      <c r="B273" s="199"/>
      <c r="N273" s="152"/>
      <c r="Q273" s="195"/>
      <c r="S273" s="200"/>
      <c r="T273" s="200"/>
      <c r="U273" s="152"/>
      <c r="V273" s="152"/>
      <c r="W273" s="157"/>
    </row>
    <row r="274" ht="15.75" customHeight="1">
      <c r="A274" s="167"/>
      <c r="B274" s="199"/>
      <c r="N274" s="152"/>
      <c r="Q274" s="195"/>
      <c r="S274" s="200"/>
      <c r="T274" s="200"/>
      <c r="U274" s="152"/>
      <c r="V274" s="152"/>
      <c r="W274" s="157"/>
    </row>
    <row r="275" ht="15.75" customHeight="1">
      <c r="A275" s="167"/>
      <c r="B275" s="199"/>
      <c r="N275" s="152"/>
      <c r="Q275" s="195"/>
      <c r="S275" s="200"/>
      <c r="T275" s="200"/>
      <c r="U275" s="152"/>
      <c r="V275" s="152"/>
      <c r="W275" s="157"/>
    </row>
    <row r="276" ht="15.75" customHeight="1">
      <c r="A276" s="167"/>
      <c r="B276" s="199"/>
      <c r="N276" s="152"/>
      <c r="Q276" s="195"/>
      <c r="S276" s="200"/>
      <c r="T276" s="200"/>
      <c r="U276" s="152"/>
      <c r="V276" s="152"/>
      <c r="W276" s="157"/>
    </row>
    <row r="277" ht="15.75" customHeight="1">
      <c r="A277" s="167"/>
      <c r="B277" s="199"/>
      <c r="N277" s="152"/>
      <c r="Q277" s="195"/>
      <c r="S277" s="200"/>
      <c r="T277" s="200"/>
      <c r="U277" s="152"/>
      <c r="V277" s="152"/>
      <c r="W277" s="157"/>
    </row>
    <row r="278" ht="15.75" customHeight="1">
      <c r="A278" s="167"/>
      <c r="B278" s="199"/>
      <c r="N278" s="152"/>
      <c r="Q278" s="195"/>
      <c r="S278" s="200"/>
      <c r="T278" s="200"/>
      <c r="U278" s="152"/>
      <c r="V278" s="152"/>
      <c r="W278" s="157"/>
    </row>
    <row r="279" ht="15.75" customHeight="1">
      <c r="A279" s="167"/>
      <c r="B279" s="199"/>
      <c r="N279" s="152"/>
      <c r="Q279" s="195"/>
      <c r="S279" s="200"/>
      <c r="T279" s="200"/>
      <c r="U279" s="152"/>
      <c r="V279" s="152"/>
      <c r="W279" s="157"/>
    </row>
    <row r="280" ht="15.75" customHeight="1">
      <c r="A280" s="167"/>
      <c r="B280" s="199"/>
      <c r="N280" s="152"/>
      <c r="Q280" s="195"/>
      <c r="S280" s="200"/>
      <c r="T280" s="200"/>
      <c r="U280" s="152"/>
      <c r="V280" s="152"/>
      <c r="W280" s="157"/>
    </row>
    <row r="281" ht="15.75" customHeight="1">
      <c r="A281" s="167"/>
      <c r="B281" s="199"/>
      <c r="N281" s="152"/>
      <c r="Q281" s="195"/>
      <c r="S281" s="200"/>
      <c r="T281" s="200"/>
      <c r="U281" s="152"/>
      <c r="V281" s="152"/>
      <c r="W281" s="157"/>
    </row>
    <row r="282" ht="15.75" customHeight="1">
      <c r="A282" s="167"/>
      <c r="B282" s="199"/>
      <c r="N282" s="152"/>
      <c r="Q282" s="195"/>
      <c r="S282" s="200"/>
      <c r="T282" s="200"/>
      <c r="U282" s="152"/>
      <c r="V282" s="152"/>
      <c r="W282" s="157"/>
    </row>
    <row r="283" ht="15.75" customHeight="1">
      <c r="A283" s="167"/>
      <c r="B283" s="199"/>
      <c r="N283" s="152"/>
      <c r="Q283" s="195"/>
      <c r="S283" s="200"/>
      <c r="T283" s="200"/>
      <c r="U283" s="152"/>
      <c r="V283" s="152"/>
      <c r="W283" s="157"/>
    </row>
    <row r="284" ht="15.75" customHeight="1">
      <c r="A284" s="167"/>
      <c r="B284" s="199"/>
      <c r="N284" s="152"/>
      <c r="Q284" s="195"/>
      <c r="S284" s="200"/>
      <c r="T284" s="200"/>
      <c r="U284" s="152"/>
      <c r="V284" s="152"/>
      <c r="W284" s="157"/>
    </row>
    <row r="285" ht="15.75" customHeight="1">
      <c r="A285" s="167"/>
      <c r="B285" s="199"/>
      <c r="N285" s="152"/>
      <c r="Q285" s="195"/>
      <c r="S285" s="200"/>
      <c r="T285" s="200"/>
      <c r="U285" s="152"/>
      <c r="V285" s="152"/>
      <c r="W285" s="157"/>
    </row>
    <row r="286" ht="15.75" customHeight="1">
      <c r="A286" s="167"/>
      <c r="B286" s="199"/>
      <c r="N286" s="152"/>
      <c r="Q286" s="195"/>
      <c r="S286" s="200"/>
      <c r="T286" s="200"/>
      <c r="U286" s="152"/>
      <c r="V286" s="152"/>
      <c r="W286" s="157"/>
    </row>
    <row r="287" ht="15.75" customHeight="1">
      <c r="A287" s="167"/>
      <c r="B287" s="199"/>
      <c r="N287" s="152"/>
      <c r="Q287" s="195"/>
      <c r="S287" s="200"/>
      <c r="T287" s="200"/>
      <c r="U287" s="152"/>
      <c r="V287" s="152"/>
      <c r="W287" s="157"/>
    </row>
    <row r="288" ht="15.75" customHeight="1">
      <c r="A288" s="167"/>
      <c r="B288" s="199"/>
      <c r="N288" s="152"/>
      <c r="Q288" s="195"/>
      <c r="S288" s="200"/>
      <c r="T288" s="200"/>
      <c r="U288" s="152"/>
      <c r="V288" s="152"/>
      <c r="W288" s="157"/>
    </row>
    <row r="289" ht="15.75" customHeight="1">
      <c r="A289" s="167"/>
      <c r="B289" s="199"/>
      <c r="N289" s="152"/>
      <c r="Q289" s="195"/>
      <c r="S289" s="200"/>
      <c r="T289" s="200"/>
      <c r="U289" s="152"/>
      <c r="V289" s="152"/>
      <c r="W289" s="157"/>
    </row>
    <row r="290" ht="15.75" customHeight="1">
      <c r="A290" s="167"/>
      <c r="B290" s="199"/>
      <c r="N290" s="152"/>
      <c r="Q290" s="195"/>
      <c r="S290" s="200"/>
      <c r="T290" s="200"/>
      <c r="U290" s="152"/>
      <c r="V290" s="152"/>
      <c r="W290" s="157"/>
    </row>
    <row r="291" ht="15.75" customHeight="1">
      <c r="A291" s="167"/>
      <c r="B291" s="199"/>
      <c r="N291" s="152"/>
      <c r="Q291" s="195"/>
      <c r="S291" s="200"/>
      <c r="T291" s="200"/>
      <c r="U291" s="152"/>
      <c r="V291" s="152"/>
      <c r="W291" s="157"/>
    </row>
    <row r="292" ht="15.75" customHeight="1">
      <c r="A292" s="167"/>
      <c r="B292" s="199"/>
      <c r="N292" s="152"/>
      <c r="Q292" s="195"/>
      <c r="S292" s="200"/>
      <c r="T292" s="200"/>
      <c r="U292" s="152"/>
      <c r="V292" s="152"/>
      <c r="W292" s="157"/>
    </row>
    <row r="293" ht="15.75" customHeight="1">
      <c r="A293" s="167"/>
      <c r="B293" s="199"/>
      <c r="N293" s="152"/>
      <c r="Q293" s="195"/>
      <c r="S293" s="200"/>
      <c r="T293" s="200"/>
      <c r="U293" s="152"/>
      <c r="V293" s="152"/>
      <c r="W293" s="157"/>
    </row>
    <row r="294" ht="15.75" customHeight="1">
      <c r="A294" s="167"/>
      <c r="B294" s="199"/>
      <c r="N294" s="152"/>
      <c r="Q294" s="195"/>
      <c r="S294" s="200"/>
      <c r="T294" s="200"/>
      <c r="U294" s="152"/>
      <c r="V294" s="152"/>
      <c r="W294" s="157"/>
    </row>
    <row r="295" ht="15.75" customHeight="1">
      <c r="A295" s="167"/>
      <c r="B295" s="199"/>
      <c r="N295" s="152"/>
      <c r="Q295" s="195"/>
      <c r="S295" s="200"/>
      <c r="T295" s="200"/>
      <c r="U295" s="152"/>
      <c r="V295" s="152"/>
      <c r="W295" s="157"/>
    </row>
    <row r="296" ht="15.75" customHeight="1">
      <c r="A296" s="167"/>
      <c r="B296" s="199"/>
      <c r="N296" s="152"/>
      <c r="Q296" s="195"/>
      <c r="S296" s="200"/>
      <c r="T296" s="200"/>
      <c r="U296" s="152"/>
      <c r="V296" s="152"/>
      <c r="W296" s="157"/>
    </row>
    <row r="297" ht="15.75" customHeight="1">
      <c r="A297" s="167"/>
      <c r="B297" s="199"/>
      <c r="N297" s="152"/>
      <c r="Q297" s="195"/>
      <c r="S297" s="200"/>
      <c r="T297" s="200"/>
      <c r="U297" s="152"/>
      <c r="V297" s="152"/>
      <c r="W297" s="157"/>
    </row>
    <row r="298" ht="15.75" customHeight="1">
      <c r="A298" s="167"/>
      <c r="B298" s="199"/>
      <c r="N298" s="152"/>
      <c r="Q298" s="195"/>
      <c r="S298" s="200"/>
      <c r="T298" s="200"/>
      <c r="U298" s="152"/>
      <c r="V298" s="152"/>
      <c r="W298" s="157"/>
    </row>
    <row r="299" ht="15.75" customHeight="1">
      <c r="A299" s="167"/>
      <c r="B299" s="199"/>
      <c r="N299" s="152"/>
      <c r="Q299" s="195"/>
      <c r="S299" s="200"/>
      <c r="T299" s="200"/>
      <c r="U299" s="152"/>
      <c r="V299" s="152"/>
      <c r="W299" s="157"/>
    </row>
    <row r="300" ht="15.75" customHeight="1">
      <c r="A300" s="167"/>
      <c r="B300" s="199"/>
      <c r="N300" s="152"/>
      <c r="Q300" s="195"/>
      <c r="S300" s="200"/>
      <c r="T300" s="200"/>
      <c r="U300" s="152"/>
      <c r="V300" s="152"/>
      <c r="W300" s="157"/>
    </row>
    <row r="301" ht="15.75" customHeight="1">
      <c r="A301" s="167"/>
      <c r="B301" s="199"/>
      <c r="N301" s="152"/>
      <c r="Q301" s="195"/>
      <c r="S301" s="200"/>
      <c r="T301" s="200"/>
      <c r="U301" s="152"/>
      <c r="V301" s="152"/>
      <c r="W301" s="157"/>
    </row>
    <row r="302" ht="15.75" customHeight="1">
      <c r="A302" s="167"/>
      <c r="B302" s="199"/>
      <c r="N302" s="152"/>
      <c r="Q302" s="195"/>
      <c r="S302" s="200"/>
      <c r="T302" s="200"/>
      <c r="U302" s="152"/>
      <c r="V302" s="152"/>
      <c r="W302" s="157"/>
    </row>
    <row r="303" ht="15.75" customHeight="1">
      <c r="A303" s="167"/>
      <c r="B303" s="199"/>
      <c r="N303" s="152"/>
      <c r="Q303" s="195"/>
      <c r="S303" s="200"/>
      <c r="T303" s="200"/>
      <c r="U303" s="152"/>
      <c r="V303" s="152"/>
      <c r="W303" s="157"/>
    </row>
    <row r="304" ht="15.75" customHeight="1">
      <c r="A304" s="167"/>
      <c r="B304" s="199"/>
      <c r="N304" s="152"/>
      <c r="Q304" s="195"/>
      <c r="S304" s="200"/>
      <c r="T304" s="200"/>
      <c r="U304" s="152"/>
      <c r="V304" s="152"/>
      <c r="W304" s="157"/>
    </row>
    <row r="305" ht="15.75" customHeight="1">
      <c r="A305" s="167"/>
      <c r="B305" s="199"/>
      <c r="N305" s="152"/>
      <c r="Q305" s="195"/>
      <c r="S305" s="200"/>
      <c r="T305" s="200"/>
      <c r="U305" s="152"/>
      <c r="V305" s="152"/>
      <c r="W305" s="157"/>
    </row>
    <row r="306" ht="15.75" customHeight="1">
      <c r="A306" s="167"/>
      <c r="B306" s="199"/>
      <c r="N306" s="152"/>
      <c r="Q306" s="195"/>
      <c r="S306" s="200"/>
      <c r="T306" s="200"/>
      <c r="U306" s="152"/>
      <c r="V306" s="152"/>
      <c r="W306" s="157"/>
    </row>
    <row r="307" ht="15.75" customHeight="1">
      <c r="A307" s="167"/>
      <c r="B307" s="199"/>
      <c r="N307" s="152"/>
      <c r="Q307" s="195"/>
      <c r="S307" s="200"/>
      <c r="T307" s="200"/>
      <c r="U307" s="152"/>
      <c r="V307" s="152"/>
      <c r="W307" s="157"/>
    </row>
    <row r="308" ht="15.75" customHeight="1">
      <c r="A308" s="167"/>
      <c r="B308" s="199"/>
      <c r="N308" s="152"/>
      <c r="Q308" s="195"/>
      <c r="S308" s="200"/>
      <c r="T308" s="200"/>
      <c r="U308" s="152"/>
      <c r="V308" s="152"/>
      <c r="W308" s="157"/>
    </row>
    <row r="309" ht="15.75" customHeight="1">
      <c r="A309" s="167"/>
      <c r="B309" s="199"/>
      <c r="N309" s="152"/>
      <c r="Q309" s="195"/>
      <c r="S309" s="200"/>
      <c r="T309" s="200"/>
      <c r="U309" s="152"/>
      <c r="V309" s="152"/>
      <c r="W309" s="157"/>
    </row>
    <row r="310" ht="15.75" customHeight="1">
      <c r="A310" s="167"/>
      <c r="B310" s="199"/>
      <c r="N310" s="152"/>
      <c r="Q310" s="195"/>
      <c r="S310" s="200"/>
      <c r="T310" s="200"/>
      <c r="U310" s="152"/>
      <c r="V310" s="152"/>
      <c r="W310" s="157"/>
    </row>
    <row r="311" ht="15.75" customHeight="1">
      <c r="A311" s="167"/>
      <c r="B311" s="199"/>
      <c r="N311" s="152"/>
      <c r="Q311" s="195"/>
      <c r="S311" s="200"/>
      <c r="T311" s="200"/>
      <c r="U311" s="152"/>
      <c r="V311" s="152"/>
      <c r="W311" s="157"/>
    </row>
    <row r="312" ht="15.75" customHeight="1">
      <c r="A312" s="167"/>
      <c r="B312" s="199"/>
      <c r="N312" s="152"/>
      <c r="Q312" s="195"/>
      <c r="S312" s="200"/>
      <c r="T312" s="200"/>
      <c r="U312" s="152"/>
      <c r="V312" s="152"/>
      <c r="W312" s="157"/>
    </row>
    <row r="313" ht="15.75" customHeight="1">
      <c r="A313" s="167"/>
      <c r="B313" s="199"/>
      <c r="N313" s="152"/>
      <c r="Q313" s="195"/>
      <c r="S313" s="200"/>
      <c r="T313" s="200"/>
      <c r="U313" s="152"/>
      <c r="V313" s="152"/>
      <c r="W313" s="157"/>
    </row>
    <row r="314" ht="15.75" customHeight="1">
      <c r="A314" s="167"/>
      <c r="B314" s="199"/>
      <c r="N314" s="152"/>
      <c r="Q314" s="195"/>
      <c r="S314" s="200"/>
      <c r="T314" s="200"/>
      <c r="U314" s="152"/>
      <c r="V314" s="152"/>
      <c r="W314" s="157"/>
    </row>
    <row r="315" ht="15.75" customHeight="1">
      <c r="A315" s="167"/>
      <c r="B315" s="199"/>
      <c r="N315" s="152"/>
      <c r="Q315" s="195"/>
      <c r="S315" s="200"/>
      <c r="T315" s="200"/>
      <c r="U315" s="152"/>
      <c r="V315" s="152"/>
      <c r="W315" s="157"/>
    </row>
    <row r="316" ht="15.75" customHeight="1">
      <c r="A316" s="167"/>
      <c r="B316" s="199"/>
      <c r="N316" s="152"/>
      <c r="Q316" s="195"/>
      <c r="S316" s="200"/>
      <c r="T316" s="200"/>
      <c r="U316" s="152"/>
      <c r="V316" s="152"/>
      <c r="W316" s="157"/>
    </row>
    <row r="317" ht="15.75" customHeight="1">
      <c r="A317" s="167"/>
      <c r="B317" s="199"/>
      <c r="N317" s="152"/>
      <c r="Q317" s="195"/>
      <c r="S317" s="200"/>
      <c r="T317" s="200"/>
      <c r="U317" s="152"/>
      <c r="V317" s="152"/>
      <c r="W317" s="157"/>
    </row>
    <row r="318" ht="15.75" customHeight="1">
      <c r="A318" s="167"/>
      <c r="B318" s="199"/>
      <c r="N318" s="152"/>
      <c r="Q318" s="195"/>
      <c r="S318" s="200"/>
      <c r="T318" s="200"/>
      <c r="U318" s="152"/>
      <c r="V318" s="152"/>
      <c r="W318" s="157"/>
    </row>
    <row r="319" ht="15.75" customHeight="1">
      <c r="A319" s="167"/>
      <c r="B319" s="199"/>
      <c r="N319" s="152"/>
      <c r="Q319" s="195"/>
      <c r="S319" s="200"/>
      <c r="T319" s="200"/>
      <c r="U319" s="152"/>
      <c r="V319" s="152"/>
      <c r="W319" s="157"/>
    </row>
    <row r="320" ht="15.75" customHeight="1">
      <c r="A320" s="167"/>
      <c r="B320" s="199"/>
      <c r="N320" s="152"/>
      <c r="Q320" s="195"/>
      <c r="S320" s="200"/>
      <c r="T320" s="200"/>
      <c r="U320" s="152"/>
      <c r="V320" s="152"/>
      <c r="W320" s="157"/>
    </row>
    <row r="321" ht="15.75" customHeight="1">
      <c r="A321" s="167"/>
      <c r="B321" s="199"/>
      <c r="N321" s="152"/>
      <c r="Q321" s="195"/>
      <c r="S321" s="200"/>
      <c r="T321" s="200"/>
      <c r="U321" s="152"/>
      <c r="V321" s="152"/>
      <c r="W321" s="157"/>
    </row>
    <row r="322" ht="15.75" customHeight="1">
      <c r="A322" s="167"/>
      <c r="B322" s="199"/>
      <c r="N322" s="152"/>
      <c r="Q322" s="195"/>
      <c r="S322" s="200"/>
      <c r="T322" s="200"/>
      <c r="U322" s="152"/>
      <c r="V322" s="152"/>
      <c r="W322" s="157"/>
    </row>
    <row r="323" ht="15.75" customHeight="1">
      <c r="A323" s="167"/>
      <c r="B323" s="199"/>
      <c r="N323" s="152"/>
      <c r="Q323" s="195"/>
      <c r="S323" s="200"/>
      <c r="T323" s="200"/>
      <c r="U323" s="152"/>
      <c r="V323" s="152"/>
      <c r="W323" s="157"/>
    </row>
    <row r="324" ht="15.75" customHeight="1">
      <c r="A324" s="167"/>
      <c r="B324" s="199"/>
      <c r="N324" s="152"/>
      <c r="Q324" s="195"/>
      <c r="S324" s="200"/>
      <c r="T324" s="200"/>
      <c r="U324" s="152"/>
      <c r="V324" s="152"/>
      <c r="W324" s="157"/>
    </row>
    <row r="325" ht="15.75" customHeight="1">
      <c r="A325" s="167"/>
      <c r="B325" s="199"/>
      <c r="N325" s="152"/>
      <c r="Q325" s="195"/>
      <c r="S325" s="200"/>
      <c r="T325" s="200"/>
      <c r="U325" s="152"/>
      <c r="V325" s="152"/>
      <c r="W325" s="157"/>
    </row>
    <row r="326" ht="15.75" customHeight="1">
      <c r="A326" s="167"/>
      <c r="B326" s="199"/>
      <c r="N326" s="152"/>
      <c r="Q326" s="195"/>
      <c r="S326" s="200"/>
      <c r="T326" s="200"/>
      <c r="U326" s="152"/>
      <c r="V326" s="152"/>
      <c r="W326" s="157"/>
    </row>
    <row r="327" ht="15.75" customHeight="1">
      <c r="A327" s="167"/>
      <c r="B327" s="199"/>
      <c r="N327" s="152"/>
      <c r="Q327" s="195"/>
      <c r="S327" s="200"/>
      <c r="T327" s="200"/>
      <c r="U327" s="152"/>
      <c r="V327" s="152"/>
      <c r="W327" s="157"/>
    </row>
    <row r="328" ht="15.75" customHeight="1">
      <c r="A328" s="167"/>
      <c r="B328" s="199"/>
      <c r="N328" s="152"/>
      <c r="Q328" s="195"/>
      <c r="S328" s="200"/>
      <c r="T328" s="200"/>
      <c r="U328" s="152"/>
      <c r="V328" s="152"/>
      <c r="W328" s="157"/>
    </row>
    <row r="329" ht="15.75" customHeight="1">
      <c r="A329" s="167"/>
      <c r="B329" s="199"/>
      <c r="N329" s="152"/>
      <c r="Q329" s="195"/>
      <c r="S329" s="200"/>
      <c r="T329" s="200"/>
      <c r="U329" s="152"/>
      <c r="V329" s="152"/>
      <c r="W329" s="157"/>
    </row>
    <row r="330" ht="15.75" customHeight="1">
      <c r="A330" s="167"/>
      <c r="B330" s="199"/>
      <c r="N330" s="152"/>
      <c r="Q330" s="195"/>
      <c r="S330" s="200"/>
      <c r="T330" s="200"/>
      <c r="U330" s="152"/>
      <c r="V330" s="152"/>
      <c r="W330" s="157"/>
    </row>
    <row r="331" ht="15.75" customHeight="1">
      <c r="A331" s="167"/>
      <c r="B331" s="199"/>
      <c r="N331" s="152"/>
      <c r="Q331" s="195"/>
      <c r="S331" s="200"/>
      <c r="T331" s="200"/>
      <c r="U331" s="152"/>
      <c r="V331" s="152"/>
      <c r="W331" s="157"/>
    </row>
    <row r="332" ht="15.75" customHeight="1">
      <c r="A332" s="167"/>
      <c r="B332" s="199"/>
      <c r="N332" s="152"/>
      <c r="Q332" s="195"/>
      <c r="S332" s="200"/>
      <c r="T332" s="200"/>
      <c r="U332" s="152"/>
      <c r="V332" s="152"/>
      <c r="W332" s="157"/>
    </row>
    <row r="333" ht="15.75" customHeight="1">
      <c r="A333" s="167"/>
      <c r="B333" s="199"/>
      <c r="N333" s="152"/>
      <c r="Q333" s="195"/>
      <c r="S333" s="200"/>
      <c r="T333" s="200"/>
      <c r="U333" s="152"/>
      <c r="V333" s="152"/>
      <c r="W333" s="157"/>
    </row>
    <row r="334" ht="15.75" customHeight="1">
      <c r="A334" s="167"/>
      <c r="B334" s="199"/>
      <c r="N334" s="152"/>
      <c r="Q334" s="195"/>
      <c r="S334" s="200"/>
      <c r="T334" s="200"/>
      <c r="U334" s="152"/>
      <c r="V334" s="152"/>
      <c r="W334" s="157"/>
    </row>
    <row r="335" ht="15.75" customHeight="1">
      <c r="A335" s="167"/>
      <c r="B335" s="199"/>
      <c r="N335" s="152"/>
      <c r="Q335" s="195"/>
      <c r="S335" s="200"/>
      <c r="T335" s="200"/>
      <c r="U335" s="152"/>
      <c r="V335" s="152"/>
      <c r="W335" s="157"/>
    </row>
    <row r="336" ht="15.75" customHeight="1">
      <c r="A336" s="167"/>
      <c r="B336" s="199"/>
      <c r="N336" s="152"/>
      <c r="Q336" s="195"/>
      <c r="S336" s="200"/>
      <c r="T336" s="200"/>
      <c r="U336" s="152"/>
      <c r="V336" s="152"/>
      <c r="W336" s="157"/>
    </row>
    <row r="337" ht="15.75" customHeight="1">
      <c r="A337" s="167"/>
      <c r="B337" s="199"/>
      <c r="N337" s="152"/>
      <c r="Q337" s="195"/>
      <c r="S337" s="200"/>
      <c r="T337" s="200"/>
      <c r="U337" s="152"/>
      <c r="V337" s="152"/>
      <c r="W337" s="157"/>
    </row>
    <row r="338" ht="15.75" customHeight="1">
      <c r="A338" s="167"/>
      <c r="B338" s="199"/>
      <c r="N338" s="152"/>
      <c r="Q338" s="195"/>
      <c r="S338" s="200"/>
      <c r="T338" s="200"/>
      <c r="U338" s="152"/>
      <c r="V338" s="152"/>
      <c r="W338" s="157"/>
    </row>
    <row r="339" ht="15.75" customHeight="1">
      <c r="A339" s="167"/>
      <c r="B339" s="199"/>
      <c r="N339" s="152"/>
      <c r="Q339" s="195"/>
      <c r="S339" s="200"/>
      <c r="T339" s="200"/>
      <c r="U339" s="152"/>
      <c r="V339" s="152"/>
      <c r="W339" s="157"/>
    </row>
    <row r="340" ht="15.75" customHeight="1">
      <c r="A340" s="167"/>
      <c r="B340" s="199"/>
      <c r="N340" s="152"/>
      <c r="Q340" s="195"/>
      <c r="S340" s="200"/>
      <c r="T340" s="200"/>
      <c r="U340" s="152"/>
      <c r="V340" s="152"/>
      <c r="W340" s="157"/>
    </row>
    <row r="341" ht="15.75" customHeight="1">
      <c r="A341" s="167"/>
      <c r="B341" s="199"/>
      <c r="N341" s="152"/>
      <c r="Q341" s="195"/>
      <c r="S341" s="200"/>
      <c r="T341" s="200"/>
      <c r="U341" s="152"/>
      <c r="V341" s="152"/>
      <c r="W341" s="157"/>
    </row>
    <row r="342" ht="15.75" customHeight="1">
      <c r="A342" s="167"/>
      <c r="B342" s="199"/>
      <c r="N342" s="152"/>
      <c r="Q342" s="195"/>
      <c r="S342" s="200"/>
      <c r="T342" s="200"/>
      <c r="U342" s="152"/>
      <c r="V342" s="152"/>
      <c r="W342" s="157"/>
    </row>
    <row r="343" ht="15.75" customHeight="1">
      <c r="A343" s="167"/>
      <c r="B343" s="199"/>
      <c r="N343" s="152"/>
      <c r="Q343" s="195"/>
      <c r="S343" s="200"/>
      <c r="T343" s="200"/>
      <c r="U343" s="152"/>
      <c r="V343" s="152"/>
      <c r="W343" s="157"/>
    </row>
    <row r="344" ht="15.75" customHeight="1">
      <c r="A344" s="167"/>
      <c r="B344" s="199"/>
      <c r="N344" s="152"/>
      <c r="Q344" s="195"/>
      <c r="S344" s="200"/>
      <c r="T344" s="200"/>
      <c r="U344" s="152"/>
      <c r="V344" s="152"/>
      <c r="W344" s="157"/>
    </row>
    <row r="345" ht="15.75" customHeight="1">
      <c r="A345" s="167"/>
      <c r="B345" s="199"/>
      <c r="N345" s="152"/>
      <c r="Q345" s="195"/>
      <c r="S345" s="200"/>
      <c r="T345" s="200"/>
      <c r="U345" s="152"/>
      <c r="V345" s="152"/>
      <c r="W345" s="157"/>
    </row>
    <row r="346" ht="15.75" customHeight="1">
      <c r="A346" s="167"/>
      <c r="B346" s="199"/>
      <c r="N346" s="152"/>
      <c r="Q346" s="195"/>
      <c r="S346" s="200"/>
      <c r="T346" s="200"/>
      <c r="U346" s="152"/>
      <c r="V346" s="152"/>
      <c r="W346" s="157"/>
    </row>
    <row r="347" ht="15.75" customHeight="1">
      <c r="A347" s="167"/>
      <c r="B347" s="199"/>
      <c r="N347" s="152"/>
      <c r="Q347" s="195"/>
      <c r="S347" s="200"/>
      <c r="T347" s="200"/>
      <c r="U347" s="152"/>
      <c r="V347" s="152"/>
      <c r="W347" s="157"/>
    </row>
    <row r="348" ht="15.75" customHeight="1">
      <c r="A348" s="167"/>
      <c r="B348" s="199"/>
      <c r="N348" s="152"/>
      <c r="Q348" s="195"/>
      <c r="S348" s="200"/>
      <c r="T348" s="200"/>
      <c r="U348" s="152"/>
      <c r="V348" s="152"/>
      <c r="W348" s="157"/>
    </row>
    <row r="349" ht="15.75" customHeight="1">
      <c r="A349" s="167"/>
      <c r="B349" s="199"/>
      <c r="N349" s="152"/>
      <c r="Q349" s="195"/>
      <c r="S349" s="200"/>
      <c r="T349" s="200"/>
      <c r="U349" s="152"/>
      <c r="V349" s="152"/>
      <c r="W349" s="157"/>
    </row>
    <row r="350" ht="15.75" customHeight="1">
      <c r="A350" s="167"/>
      <c r="B350" s="199"/>
      <c r="N350" s="152"/>
      <c r="Q350" s="195"/>
      <c r="S350" s="200"/>
      <c r="T350" s="200"/>
      <c r="U350" s="152"/>
      <c r="V350" s="152"/>
      <c r="W350" s="157"/>
    </row>
    <row r="351" ht="15.75" customHeight="1">
      <c r="A351" s="167"/>
      <c r="B351" s="199"/>
      <c r="N351" s="152"/>
      <c r="Q351" s="195"/>
      <c r="S351" s="200"/>
      <c r="T351" s="200"/>
      <c r="U351" s="152"/>
      <c r="V351" s="152"/>
      <c r="W351" s="157"/>
    </row>
    <row r="352" ht="15.75" customHeight="1">
      <c r="A352" s="167"/>
      <c r="B352" s="199"/>
      <c r="N352" s="152"/>
      <c r="Q352" s="195"/>
      <c r="S352" s="200"/>
      <c r="T352" s="200"/>
      <c r="U352" s="152"/>
      <c r="V352" s="152"/>
      <c r="W352" s="157"/>
    </row>
    <row r="353" ht="15.75" customHeight="1">
      <c r="A353" s="167"/>
      <c r="B353" s="199"/>
      <c r="N353" s="152"/>
      <c r="Q353" s="195"/>
      <c r="S353" s="200"/>
      <c r="T353" s="200"/>
      <c r="U353" s="152"/>
      <c r="V353" s="152"/>
      <c r="W353" s="157"/>
    </row>
    <row r="354" ht="15.75" customHeight="1">
      <c r="A354" s="167"/>
      <c r="B354" s="199"/>
      <c r="N354" s="152"/>
      <c r="Q354" s="195"/>
      <c r="S354" s="200"/>
      <c r="T354" s="200"/>
      <c r="U354" s="152"/>
      <c r="V354" s="152"/>
      <c r="W354" s="157"/>
    </row>
    <row r="355" ht="15.75" customHeight="1">
      <c r="A355" s="167"/>
      <c r="B355" s="199"/>
      <c r="N355" s="152"/>
      <c r="Q355" s="195"/>
      <c r="S355" s="200"/>
      <c r="T355" s="200"/>
      <c r="U355" s="152"/>
      <c r="V355" s="152"/>
      <c r="W355" s="157"/>
    </row>
    <row r="356" ht="15.75" customHeight="1">
      <c r="A356" s="167"/>
      <c r="B356" s="199"/>
      <c r="N356" s="152"/>
      <c r="Q356" s="195"/>
      <c r="S356" s="200"/>
      <c r="T356" s="200"/>
      <c r="U356" s="152"/>
      <c r="V356" s="152"/>
      <c r="W356" s="157"/>
    </row>
    <row r="357" ht="15.75" customHeight="1">
      <c r="A357" s="167"/>
      <c r="B357" s="199"/>
      <c r="N357" s="152"/>
      <c r="Q357" s="195"/>
      <c r="S357" s="200"/>
      <c r="T357" s="200"/>
      <c r="U357" s="152"/>
      <c r="V357" s="152"/>
      <c r="W357" s="157"/>
    </row>
    <row r="358" ht="15.75" customHeight="1">
      <c r="A358" s="167"/>
      <c r="B358" s="199"/>
      <c r="N358" s="152"/>
      <c r="Q358" s="195"/>
      <c r="S358" s="200"/>
      <c r="T358" s="200"/>
      <c r="U358" s="152"/>
      <c r="V358" s="152"/>
      <c r="W358" s="157"/>
    </row>
    <row r="359" ht="15.75" customHeight="1">
      <c r="A359" s="167"/>
      <c r="B359" s="199"/>
      <c r="N359" s="152"/>
      <c r="Q359" s="195"/>
      <c r="S359" s="200"/>
      <c r="T359" s="200"/>
      <c r="U359" s="152"/>
      <c r="V359" s="152"/>
      <c r="W359" s="157"/>
    </row>
    <row r="360" ht="15.75" customHeight="1">
      <c r="A360" s="167"/>
      <c r="B360" s="199"/>
      <c r="N360" s="152"/>
      <c r="Q360" s="195"/>
      <c r="S360" s="200"/>
      <c r="T360" s="200"/>
      <c r="U360" s="152"/>
      <c r="V360" s="152"/>
      <c r="W360" s="157"/>
    </row>
    <row r="361" ht="15.75" customHeight="1">
      <c r="A361" s="167"/>
      <c r="B361" s="199"/>
      <c r="N361" s="152"/>
      <c r="Q361" s="195"/>
      <c r="S361" s="200"/>
      <c r="T361" s="200"/>
      <c r="U361" s="152"/>
      <c r="V361" s="152"/>
      <c r="W361" s="157"/>
    </row>
    <row r="362" ht="15.75" customHeight="1">
      <c r="A362" s="167"/>
      <c r="B362" s="199"/>
      <c r="N362" s="152"/>
      <c r="Q362" s="195"/>
      <c r="S362" s="200"/>
      <c r="T362" s="200"/>
      <c r="U362" s="152"/>
      <c r="V362" s="152"/>
      <c r="W362" s="157"/>
    </row>
    <row r="363" ht="15.75" customHeight="1">
      <c r="A363" s="167"/>
      <c r="B363" s="199"/>
      <c r="N363" s="152"/>
      <c r="Q363" s="195"/>
      <c r="S363" s="200"/>
      <c r="T363" s="200"/>
      <c r="U363" s="152"/>
      <c r="V363" s="152"/>
      <c r="W363" s="157"/>
    </row>
    <row r="364" ht="15.75" customHeight="1">
      <c r="A364" s="167"/>
      <c r="B364" s="199"/>
      <c r="N364" s="152"/>
      <c r="Q364" s="195"/>
      <c r="S364" s="200"/>
      <c r="T364" s="200"/>
      <c r="U364" s="152"/>
      <c r="V364" s="152"/>
      <c r="W364" s="157"/>
    </row>
    <row r="365" ht="15.75" customHeight="1">
      <c r="A365" s="167"/>
      <c r="B365" s="199"/>
      <c r="N365" s="152"/>
      <c r="Q365" s="195"/>
      <c r="S365" s="200"/>
      <c r="T365" s="200"/>
      <c r="U365" s="152"/>
      <c r="V365" s="152"/>
      <c r="W365" s="157"/>
    </row>
    <row r="366" ht="15.75" customHeight="1">
      <c r="A366" s="167"/>
      <c r="B366" s="199"/>
      <c r="N366" s="152"/>
      <c r="Q366" s="195"/>
      <c r="S366" s="200"/>
      <c r="T366" s="200"/>
      <c r="U366" s="152"/>
      <c r="V366" s="152"/>
      <c r="W366" s="157"/>
    </row>
    <row r="367" ht="15.75" customHeight="1">
      <c r="A367" s="167"/>
      <c r="B367" s="199"/>
      <c r="N367" s="152"/>
      <c r="Q367" s="195"/>
      <c r="S367" s="200"/>
      <c r="T367" s="200"/>
      <c r="U367" s="152"/>
      <c r="V367" s="152"/>
      <c r="W367" s="157"/>
    </row>
    <row r="368" ht="15.75" customHeight="1">
      <c r="A368" s="167"/>
      <c r="B368" s="199"/>
      <c r="N368" s="152"/>
      <c r="Q368" s="195"/>
      <c r="S368" s="200"/>
      <c r="T368" s="200"/>
      <c r="U368" s="152"/>
      <c r="V368" s="152"/>
      <c r="W368" s="157"/>
    </row>
    <row r="369" ht="15.75" customHeight="1">
      <c r="A369" s="167"/>
      <c r="B369" s="199"/>
      <c r="N369" s="152"/>
      <c r="Q369" s="195"/>
      <c r="S369" s="200"/>
      <c r="T369" s="200"/>
      <c r="U369" s="152"/>
      <c r="V369" s="152"/>
      <c r="W369" s="157"/>
    </row>
    <row r="370" ht="15.75" customHeight="1">
      <c r="A370" s="167"/>
      <c r="B370" s="199"/>
      <c r="N370" s="152"/>
      <c r="Q370" s="195"/>
      <c r="S370" s="200"/>
      <c r="T370" s="200"/>
      <c r="U370" s="152"/>
      <c r="V370" s="152"/>
      <c r="W370" s="157"/>
    </row>
    <row r="371" ht="15.75" customHeight="1">
      <c r="A371" s="167"/>
      <c r="B371" s="199"/>
      <c r="N371" s="152"/>
      <c r="Q371" s="195"/>
      <c r="S371" s="200"/>
      <c r="T371" s="200"/>
      <c r="U371" s="152"/>
      <c r="V371" s="152"/>
      <c r="W371" s="157"/>
    </row>
    <row r="372" ht="15.75" customHeight="1">
      <c r="A372" s="167"/>
      <c r="B372" s="199"/>
      <c r="N372" s="152"/>
      <c r="Q372" s="195"/>
      <c r="S372" s="200"/>
      <c r="T372" s="200"/>
      <c r="U372" s="152"/>
      <c r="V372" s="152"/>
      <c r="W372" s="157"/>
    </row>
    <row r="373" ht="15.75" customHeight="1">
      <c r="A373" s="167"/>
      <c r="B373" s="199"/>
      <c r="N373" s="152"/>
      <c r="Q373" s="195"/>
      <c r="S373" s="200"/>
      <c r="T373" s="200"/>
      <c r="U373" s="152"/>
      <c r="V373" s="152"/>
      <c r="W373" s="157"/>
    </row>
    <row r="374" ht="15.75" customHeight="1">
      <c r="A374" s="167"/>
      <c r="B374" s="199"/>
      <c r="N374" s="152"/>
      <c r="Q374" s="195"/>
      <c r="S374" s="200"/>
      <c r="T374" s="200"/>
      <c r="U374" s="152"/>
      <c r="V374" s="152"/>
      <c r="W374" s="157"/>
    </row>
    <row r="375" ht="15.75" customHeight="1">
      <c r="A375" s="167"/>
      <c r="B375" s="199"/>
      <c r="N375" s="152"/>
      <c r="Q375" s="195"/>
      <c r="S375" s="200"/>
      <c r="T375" s="200"/>
      <c r="U375" s="152"/>
      <c r="V375" s="152"/>
      <c r="W375" s="157"/>
    </row>
    <row r="376" ht="15.75" customHeight="1">
      <c r="A376" s="167"/>
      <c r="B376" s="199"/>
      <c r="N376" s="152"/>
      <c r="Q376" s="195"/>
      <c r="S376" s="200"/>
      <c r="T376" s="200"/>
      <c r="U376" s="152"/>
      <c r="V376" s="152"/>
      <c r="W376" s="157"/>
    </row>
    <row r="377" ht="15.75" customHeight="1">
      <c r="A377" s="167"/>
      <c r="B377" s="199"/>
      <c r="N377" s="152"/>
      <c r="Q377" s="195"/>
      <c r="S377" s="200"/>
      <c r="T377" s="200"/>
      <c r="U377" s="152"/>
      <c r="V377" s="152"/>
      <c r="W377" s="157"/>
    </row>
    <row r="378" ht="15.75" customHeight="1">
      <c r="A378" s="167"/>
      <c r="B378" s="199"/>
      <c r="N378" s="152"/>
      <c r="Q378" s="195"/>
      <c r="S378" s="200"/>
      <c r="T378" s="200"/>
      <c r="U378" s="152"/>
      <c r="V378" s="152"/>
      <c r="W378" s="157"/>
    </row>
    <row r="379" ht="15.75" customHeight="1">
      <c r="A379" s="167"/>
      <c r="B379" s="199"/>
      <c r="N379" s="152"/>
      <c r="Q379" s="195"/>
      <c r="S379" s="200"/>
      <c r="T379" s="200"/>
      <c r="U379" s="152"/>
      <c r="V379" s="152"/>
      <c r="W379" s="157"/>
    </row>
    <row r="380" ht="15.75" customHeight="1">
      <c r="A380" s="167"/>
      <c r="B380" s="199"/>
      <c r="N380" s="152"/>
      <c r="Q380" s="195"/>
      <c r="S380" s="200"/>
      <c r="T380" s="200"/>
      <c r="U380" s="152"/>
      <c r="V380" s="152"/>
      <c r="W380" s="157"/>
    </row>
    <row r="381" ht="15.75" customHeight="1">
      <c r="A381" s="167"/>
      <c r="B381" s="199"/>
      <c r="N381" s="152"/>
      <c r="Q381" s="195"/>
      <c r="S381" s="200"/>
      <c r="T381" s="200"/>
      <c r="U381" s="152"/>
      <c r="V381" s="152"/>
      <c r="W381" s="157"/>
    </row>
    <row r="382" ht="15.75" customHeight="1">
      <c r="A382" s="167"/>
      <c r="B382" s="199"/>
      <c r="N382" s="152"/>
      <c r="Q382" s="195"/>
      <c r="S382" s="200"/>
      <c r="T382" s="200"/>
      <c r="U382" s="152"/>
      <c r="V382" s="152"/>
      <c r="W382" s="157"/>
    </row>
    <row r="383" ht="15.75" customHeight="1">
      <c r="A383" s="167"/>
      <c r="B383" s="199"/>
      <c r="N383" s="152"/>
      <c r="Q383" s="195"/>
      <c r="S383" s="200"/>
      <c r="T383" s="200"/>
      <c r="U383" s="152"/>
      <c r="V383" s="152"/>
      <c r="W383" s="157"/>
    </row>
    <row r="384" ht="15.75" customHeight="1">
      <c r="A384" s="167"/>
      <c r="B384" s="199"/>
      <c r="N384" s="152"/>
      <c r="Q384" s="195"/>
      <c r="S384" s="200"/>
      <c r="T384" s="200"/>
      <c r="U384" s="152"/>
      <c r="V384" s="152"/>
      <c r="W384" s="157"/>
    </row>
    <row r="385" ht="15.75" customHeight="1">
      <c r="A385" s="167"/>
      <c r="B385" s="199"/>
      <c r="N385" s="152"/>
      <c r="Q385" s="195"/>
      <c r="S385" s="200"/>
      <c r="T385" s="200"/>
      <c r="U385" s="152"/>
      <c r="V385" s="152"/>
      <c r="W385" s="157"/>
    </row>
    <row r="386" ht="15.75" customHeight="1">
      <c r="A386" s="167"/>
      <c r="B386" s="199"/>
      <c r="N386" s="152"/>
      <c r="Q386" s="195"/>
      <c r="S386" s="200"/>
      <c r="T386" s="200"/>
      <c r="U386" s="152"/>
      <c r="V386" s="152"/>
      <c r="W386" s="157"/>
    </row>
    <row r="387" ht="15.75" customHeight="1">
      <c r="A387" s="167"/>
      <c r="B387" s="199"/>
      <c r="N387" s="152"/>
      <c r="Q387" s="195"/>
      <c r="S387" s="200"/>
      <c r="T387" s="200"/>
      <c r="U387" s="152"/>
      <c r="V387" s="152"/>
      <c r="W387" s="157"/>
    </row>
    <row r="388" ht="15.75" customHeight="1">
      <c r="A388" s="167"/>
      <c r="B388" s="199"/>
      <c r="N388" s="152"/>
      <c r="Q388" s="195"/>
      <c r="S388" s="200"/>
      <c r="T388" s="200"/>
      <c r="U388" s="152"/>
      <c r="V388" s="152"/>
      <c r="W388" s="157"/>
    </row>
    <row r="389" ht="15.75" customHeight="1">
      <c r="A389" s="167"/>
      <c r="B389" s="199"/>
      <c r="N389" s="152"/>
      <c r="Q389" s="195"/>
      <c r="S389" s="200"/>
      <c r="T389" s="200"/>
      <c r="U389" s="152"/>
      <c r="V389" s="152"/>
      <c r="W389" s="157"/>
    </row>
    <row r="390" ht="15.75" customHeight="1">
      <c r="A390" s="167"/>
      <c r="B390" s="199"/>
      <c r="N390" s="152"/>
      <c r="Q390" s="195"/>
      <c r="S390" s="200"/>
      <c r="T390" s="200"/>
      <c r="U390" s="152"/>
      <c r="V390" s="152"/>
      <c r="W390" s="157"/>
    </row>
    <row r="391" ht="15.75" customHeight="1">
      <c r="A391" s="167"/>
      <c r="B391" s="199"/>
      <c r="N391" s="152"/>
      <c r="Q391" s="195"/>
      <c r="S391" s="200"/>
      <c r="T391" s="200"/>
      <c r="U391" s="152"/>
      <c r="V391" s="152"/>
      <c r="W391" s="157"/>
    </row>
    <row r="392" ht="15.75" customHeight="1">
      <c r="A392" s="167"/>
      <c r="B392" s="199"/>
      <c r="N392" s="152"/>
      <c r="Q392" s="195"/>
      <c r="S392" s="200"/>
      <c r="T392" s="200"/>
      <c r="U392" s="152"/>
      <c r="V392" s="152"/>
      <c r="W392" s="157"/>
    </row>
    <row r="393" ht="15.75" customHeight="1">
      <c r="A393" s="167"/>
      <c r="B393" s="199"/>
      <c r="N393" s="152"/>
      <c r="Q393" s="195"/>
      <c r="S393" s="200"/>
      <c r="T393" s="200"/>
      <c r="U393" s="152"/>
      <c r="V393" s="152"/>
      <c r="W393" s="157"/>
    </row>
    <row r="394" ht="15.75" customHeight="1">
      <c r="A394" s="167"/>
      <c r="B394" s="199"/>
      <c r="N394" s="152"/>
      <c r="Q394" s="195"/>
      <c r="S394" s="200"/>
      <c r="T394" s="200"/>
      <c r="U394" s="152"/>
      <c r="V394" s="152"/>
      <c r="W394" s="157"/>
    </row>
    <row r="395" ht="15.75" customHeight="1">
      <c r="A395" s="167"/>
      <c r="B395" s="199"/>
      <c r="N395" s="152"/>
      <c r="Q395" s="195"/>
      <c r="S395" s="200"/>
      <c r="T395" s="200"/>
      <c r="U395" s="152"/>
      <c r="V395" s="152"/>
      <c r="W395" s="157"/>
    </row>
    <row r="396" ht="15.75" customHeight="1">
      <c r="A396" s="167"/>
      <c r="B396" s="199"/>
      <c r="N396" s="152"/>
      <c r="Q396" s="195"/>
      <c r="S396" s="200"/>
      <c r="T396" s="200"/>
      <c r="U396" s="152"/>
      <c r="V396" s="152"/>
      <c r="W396" s="157"/>
    </row>
    <row r="397" ht="15.75" customHeight="1">
      <c r="A397" s="167"/>
      <c r="B397" s="199"/>
      <c r="N397" s="152"/>
      <c r="Q397" s="195"/>
      <c r="S397" s="200"/>
      <c r="T397" s="200"/>
      <c r="U397" s="152"/>
      <c r="V397" s="152"/>
      <c r="W397" s="157"/>
    </row>
    <row r="398" ht="15.75" customHeight="1">
      <c r="A398" s="167"/>
      <c r="B398" s="199"/>
      <c r="N398" s="152"/>
      <c r="Q398" s="195"/>
      <c r="S398" s="200"/>
      <c r="T398" s="200"/>
      <c r="U398" s="152"/>
      <c r="V398" s="152"/>
      <c r="W398" s="157"/>
    </row>
    <row r="399" ht="15.75" customHeight="1">
      <c r="A399" s="167"/>
      <c r="B399" s="199"/>
      <c r="N399" s="152"/>
      <c r="Q399" s="195"/>
      <c r="S399" s="200"/>
      <c r="T399" s="200"/>
      <c r="U399" s="152"/>
      <c r="V399" s="152"/>
      <c r="W399" s="157"/>
    </row>
    <row r="400" ht="15.75" customHeight="1">
      <c r="A400" s="167"/>
      <c r="B400" s="199"/>
      <c r="N400" s="152"/>
      <c r="Q400" s="195"/>
      <c r="S400" s="200"/>
      <c r="T400" s="200"/>
      <c r="U400" s="152"/>
      <c r="V400" s="152"/>
      <c r="W400" s="157"/>
    </row>
    <row r="401" ht="15.75" customHeight="1">
      <c r="A401" s="167"/>
      <c r="B401" s="199"/>
      <c r="N401" s="152"/>
      <c r="Q401" s="195"/>
      <c r="S401" s="200"/>
      <c r="T401" s="200"/>
      <c r="U401" s="152"/>
      <c r="V401" s="152"/>
      <c r="W401" s="157"/>
    </row>
    <row r="402" ht="15.75" customHeight="1">
      <c r="A402" s="167"/>
      <c r="B402" s="199"/>
      <c r="N402" s="152"/>
      <c r="Q402" s="195"/>
      <c r="S402" s="200"/>
      <c r="T402" s="200"/>
      <c r="U402" s="152"/>
      <c r="V402" s="152"/>
      <c r="W402" s="157"/>
    </row>
    <row r="403" ht="15.75" customHeight="1">
      <c r="A403" s="167"/>
      <c r="B403" s="199"/>
      <c r="N403" s="152"/>
      <c r="Q403" s="195"/>
      <c r="S403" s="200"/>
      <c r="T403" s="200"/>
      <c r="U403" s="152"/>
      <c r="V403" s="152"/>
      <c r="W403" s="157"/>
    </row>
    <row r="404" ht="15.75" customHeight="1">
      <c r="A404" s="167"/>
      <c r="B404" s="199"/>
      <c r="N404" s="152"/>
      <c r="Q404" s="195"/>
      <c r="S404" s="200"/>
      <c r="T404" s="200"/>
      <c r="U404" s="152"/>
      <c r="V404" s="152"/>
      <c r="W404" s="157"/>
    </row>
    <row r="405" ht="15.75" customHeight="1">
      <c r="A405" s="167"/>
      <c r="B405" s="199"/>
      <c r="N405" s="152"/>
      <c r="Q405" s="195"/>
      <c r="S405" s="200"/>
      <c r="T405" s="200"/>
      <c r="U405" s="152"/>
      <c r="V405" s="152"/>
      <c r="W405" s="157"/>
    </row>
    <row r="406" ht="15.75" customHeight="1">
      <c r="A406" s="167"/>
      <c r="B406" s="199"/>
      <c r="N406" s="152"/>
      <c r="Q406" s="195"/>
      <c r="S406" s="200"/>
      <c r="T406" s="200"/>
      <c r="U406" s="152"/>
      <c r="V406" s="152"/>
      <c r="W406" s="157"/>
    </row>
    <row r="407" ht="15.75" customHeight="1">
      <c r="A407" s="167"/>
      <c r="B407" s="199"/>
      <c r="N407" s="152"/>
      <c r="Q407" s="195"/>
      <c r="S407" s="200"/>
      <c r="T407" s="200"/>
      <c r="U407" s="152"/>
      <c r="V407" s="152"/>
      <c r="W407" s="157"/>
    </row>
    <row r="408" ht="15.75" customHeight="1">
      <c r="A408" s="167"/>
      <c r="B408" s="199"/>
      <c r="N408" s="152"/>
      <c r="Q408" s="195"/>
      <c r="S408" s="200"/>
      <c r="T408" s="200"/>
      <c r="U408" s="152"/>
      <c r="V408" s="152"/>
      <c r="W408" s="157"/>
    </row>
    <row r="409" ht="15.75" customHeight="1">
      <c r="A409" s="167"/>
      <c r="B409" s="199"/>
      <c r="N409" s="152"/>
      <c r="Q409" s="195"/>
      <c r="S409" s="200"/>
      <c r="T409" s="200"/>
      <c r="U409" s="152"/>
      <c r="V409" s="152"/>
      <c r="W409" s="157"/>
    </row>
    <row r="410" ht="15.75" customHeight="1">
      <c r="A410" s="167"/>
      <c r="B410" s="199"/>
      <c r="N410" s="152"/>
      <c r="Q410" s="195"/>
      <c r="S410" s="200"/>
      <c r="T410" s="200"/>
      <c r="U410" s="152"/>
      <c r="V410" s="152"/>
      <c r="W410" s="157"/>
    </row>
    <row r="411" ht="15.75" customHeight="1">
      <c r="A411" s="167"/>
      <c r="B411" s="199"/>
      <c r="N411" s="152"/>
      <c r="Q411" s="195"/>
      <c r="S411" s="200"/>
      <c r="T411" s="200"/>
      <c r="U411" s="152"/>
      <c r="V411" s="152"/>
      <c r="W411" s="157"/>
    </row>
    <row r="412" ht="15.75" customHeight="1">
      <c r="A412" s="167"/>
      <c r="B412" s="199"/>
      <c r="N412" s="152"/>
      <c r="Q412" s="195"/>
      <c r="S412" s="200"/>
      <c r="T412" s="200"/>
      <c r="U412" s="152"/>
      <c r="V412" s="152"/>
      <c r="W412" s="157"/>
    </row>
    <row r="413" ht="15.75" customHeight="1">
      <c r="A413" s="167"/>
      <c r="B413" s="199"/>
      <c r="N413" s="152"/>
      <c r="Q413" s="195"/>
      <c r="S413" s="200"/>
      <c r="T413" s="200"/>
      <c r="U413" s="152"/>
      <c r="V413" s="152"/>
      <c r="W413" s="157"/>
    </row>
    <row r="414" ht="15.75" customHeight="1">
      <c r="A414" s="167"/>
      <c r="B414" s="199"/>
      <c r="N414" s="152"/>
      <c r="Q414" s="195"/>
      <c r="S414" s="200"/>
      <c r="T414" s="200"/>
      <c r="U414" s="152"/>
      <c r="V414" s="152"/>
      <c r="W414" s="157"/>
    </row>
    <row r="415" ht="15.75" customHeight="1">
      <c r="A415" s="167"/>
      <c r="B415" s="199"/>
      <c r="N415" s="152"/>
      <c r="Q415" s="195"/>
      <c r="S415" s="200"/>
      <c r="T415" s="200"/>
      <c r="U415" s="152"/>
      <c r="V415" s="152"/>
      <c r="W415" s="157"/>
    </row>
    <row r="416" ht="15.75" customHeight="1">
      <c r="A416" s="167"/>
      <c r="B416" s="199"/>
      <c r="N416" s="152"/>
      <c r="Q416" s="195"/>
      <c r="S416" s="200"/>
      <c r="T416" s="200"/>
      <c r="U416" s="152"/>
      <c r="V416" s="152"/>
      <c r="W416" s="157"/>
    </row>
    <row r="417" ht="15.75" customHeight="1">
      <c r="A417" s="167"/>
      <c r="B417" s="199"/>
      <c r="N417" s="152"/>
      <c r="Q417" s="195"/>
      <c r="S417" s="200"/>
      <c r="T417" s="200"/>
      <c r="U417" s="152"/>
      <c r="V417" s="152"/>
      <c r="W417" s="157"/>
    </row>
    <row r="418" ht="15.75" customHeight="1">
      <c r="A418" s="167"/>
      <c r="B418" s="199"/>
      <c r="N418" s="152"/>
      <c r="Q418" s="195"/>
      <c r="S418" s="200"/>
      <c r="T418" s="200"/>
      <c r="U418" s="152"/>
      <c r="V418" s="152"/>
      <c r="W418" s="157"/>
    </row>
    <row r="419" ht="15.75" customHeight="1">
      <c r="A419" s="167"/>
      <c r="B419" s="199"/>
      <c r="N419" s="152"/>
      <c r="Q419" s="195"/>
      <c r="S419" s="200"/>
      <c r="T419" s="200"/>
      <c r="U419" s="152"/>
      <c r="V419" s="152"/>
      <c r="W419" s="157"/>
    </row>
    <row r="420" ht="15.75" customHeight="1">
      <c r="A420" s="167"/>
      <c r="B420" s="199"/>
      <c r="N420" s="152"/>
      <c r="Q420" s="195"/>
      <c r="S420" s="200"/>
      <c r="T420" s="200"/>
      <c r="U420" s="152"/>
      <c r="V420" s="152"/>
      <c r="W420" s="157"/>
    </row>
    <row r="421" ht="15.75" customHeight="1">
      <c r="A421" s="167"/>
      <c r="B421" s="199"/>
      <c r="N421" s="152"/>
      <c r="Q421" s="195"/>
      <c r="S421" s="200"/>
      <c r="T421" s="200"/>
      <c r="U421" s="152"/>
      <c r="V421" s="152"/>
      <c r="W421" s="157"/>
    </row>
    <row r="422" ht="15.75" customHeight="1">
      <c r="A422" s="167"/>
      <c r="B422" s="199"/>
      <c r="N422" s="152"/>
      <c r="Q422" s="195"/>
      <c r="S422" s="200"/>
      <c r="T422" s="200"/>
      <c r="U422" s="152"/>
      <c r="V422" s="152"/>
      <c r="W422" s="157"/>
    </row>
    <row r="423" ht="15.75" customHeight="1">
      <c r="A423" s="167"/>
      <c r="B423" s="199"/>
      <c r="N423" s="152"/>
      <c r="Q423" s="195"/>
      <c r="S423" s="200"/>
      <c r="T423" s="200"/>
      <c r="U423" s="152"/>
      <c r="V423" s="152"/>
      <c r="W423" s="157"/>
    </row>
    <row r="424" ht="15.75" customHeight="1">
      <c r="A424" s="167"/>
      <c r="B424" s="199"/>
      <c r="N424" s="152"/>
      <c r="Q424" s="195"/>
      <c r="S424" s="200"/>
      <c r="T424" s="200"/>
      <c r="U424" s="152"/>
      <c r="V424" s="152"/>
      <c r="W424" s="157"/>
    </row>
    <row r="425" ht="15.75" customHeight="1">
      <c r="A425" s="167"/>
      <c r="B425" s="199"/>
      <c r="N425" s="152"/>
      <c r="Q425" s="195"/>
      <c r="S425" s="200"/>
      <c r="T425" s="200"/>
      <c r="U425" s="152"/>
      <c r="V425" s="152"/>
      <c r="W425" s="157"/>
    </row>
    <row r="426" ht="15.75" customHeight="1">
      <c r="A426" s="167"/>
      <c r="B426" s="199"/>
      <c r="N426" s="152"/>
      <c r="Q426" s="195"/>
      <c r="S426" s="200"/>
      <c r="T426" s="200"/>
      <c r="U426" s="152"/>
      <c r="V426" s="152"/>
      <c r="W426" s="157"/>
    </row>
    <row r="427" ht="15.75" customHeight="1">
      <c r="A427" s="167"/>
      <c r="B427" s="199"/>
      <c r="N427" s="152"/>
      <c r="Q427" s="195"/>
      <c r="S427" s="200"/>
      <c r="T427" s="200"/>
      <c r="U427" s="152"/>
      <c r="V427" s="152"/>
      <c r="W427" s="157"/>
    </row>
    <row r="428" ht="15.75" customHeight="1">
      <c r="A428" s="167"/>
      <c r="B428" s="199"/>
      <c r="N428" s="152"/>
      <c r="Q428" s="195"/>
      <c r="S428" s="200"/>
      <c r="T428" s="200"/>
      <c r="U428" s="152"/>
      <c r="V428" s="152"/>
      <c r="W428" s="157"/>
    </row>
    <row r="429" ht="15.75" customHeight="1">
      <c r="A429" s="167"/>
      <c r="B429" s="199"/>
      <c r="N429" s="152"/>
      <c r="Q429" s="195"/>
      <c r="S429" s="200"/>
      <c r="T429" s="200"/>
      <c r="U429" s="152"/>
      <c r="V429" s="152"/>
      <c r="W429" s="157"/>
    </row>
    <row r="430" ht="15.75" customHeight="1">
      <c r="A430" s="167"/>
      <c r="B430" s="199"/>
      <c r="N430" s="152"/>
      <c r="Q430" s="195"/>
      <c r="S430" s="200"/>
      <c r="T430" s="200"/>
      <c r="U430" s="152"/>
      <c r="V430" s="152"/>
      <c r="W430" s="157"/>
    </row>
    <row r="431" ht="15.75" customHeight="1">
      <c r="A431" s="167"/>
      <c r="B431" s="199"/>
      <c r="N431" s="152"/>
      <c r="Q431" s="195"/>
      <c r="S431" s="200"/>
      <c r="T431" s="200"/>
      <c r="U431" s="152"/>
      <c r="V431" s="152"/>
      <c r="W431" s="157"/>
    </row>
    <row r="432" ht="15.75" customHeight="1">
      <c r="A432" s="167"/>
      <c r="B432" s="199"/>
      <c r="N432" s="152"/>
      <c r="Q432" s="195"/>
      <c r="S432" s="200"/>
      <c r="T432" s="200"/>
      <c r="U432" s="152"/>
      <c r="V432" s="152"/>
      <c r="W432" s="157"/>
    </row>
    <row r="433" ht="15.75" customHeight="1">
      <c r="A433" s="167"/>
      <c r="B433" s="199"/>
      <c r="N433" s="152"/>
      <c r="Q433" s="195"/>
      <c r="S433" s="200"/>
      <c r="T433" s="200"/>
      <c r="U433" s="152"/>
      <c r="V433" s="152"/>
      <c r="W433" s="157"/>
    </row>
    <row r="434" ht="15.75" customHeight="1">
      <c r="A434" s="167"/>
      <c r="B434" s="199"/>
      <c r="N434" s="152"/>
      <c r="Q434" s="195"/>
      <c r="S434" s="200"/>
      <c r="T434" s="200"/>
      <c r="U434" s="152"/>
      <c r="V434" s="152"/>
      <c r="W434" s="157"/>
    </row>
    <row r="435" ht="15.75" customHeight="1">
      <c r="A435" s="167"/>
      <c r="B435" s="199"/>
      <c r="N435" s="152"/>
      <c r="Q435" s="195"/>
      <c r="S435" s="200"/>
      <c r="T435" s="200"/>
      <c r="U435" s="152"/>
      <c r="V435" s="152"/>
      <c r="W435" s="157"/>
    </row>
    <row r="436" ht="15.75" customHeight="1">
      <c r="A436" s="167"/>
      <c r="B436" s="199"/>
      <c r="N436" s="152"/>
      <c r="Q436" s="195"/>
      <c r="S436" s="200"/>
      <c r="T436" s="200"/>
      <c r="U436" s="152"/>
      <c r="V436" s="152"/>
      <c r="W436" s="157"/>
    </row>
    <row r="437" ht="15.75" customHeight="1">
      <c r="A437" s="167"/>
      <c r="B437" s="199"/>
      <c r="N437" s="152"/>
      <c r="Q437" s="195"/>
      <c r="S437" s="200"/>
      <c r="T437" s="200"/>
      <c r="U437" s="152"/>
      <c r="V437" s="152"/>
      <c r="W437" s="157"/>
    </row>
    <row r="438" ht="15.75" customHeight="1">
      <c r="A438" s="167"/>
      <c r="B438" s="199"/>
      <c r="N438" s="152"/>
      <c r="Q438" s="195"/>
      <c r="S438" s="200"/>
      <c r="T438" s="200"/>
      <c r="U438" s="152"/>
      <c r="V438" s="152"/>
      <c r="W438" s="157"/>
    </row>
    <row r="439" ht="15.75" customHeight="1">
      <c r="A439" s="167"/>
      <c r="B439" s="199"/>
      <c r="N439" s="152"/>
      <c r="Q439" s="195"/>
      <c r="S439" s="200"/>
      <c r="T439" s="200"/>
      <c r="U439" s="152"/>
      <c r="V439" s="152"/>
      <c r="W439" s="157"/>
    </row>
    <row r="440" ht="15.75" customHeight="1">
      <c r="A440" s="167"/>
      <c r="B440" s="199"/>
      <c r="N440" s="152"/>
      <c r="Q440" s="195"/>
      <c r="S440" s="200"/>
      <c r="T440" s="200"/>
      <c r="U440" s="152"/>
      <c r="V440" s="152"/>
      <c r="W440" s="157"/>
    </row>
    <row r="441" ht="15.75" customHeight="1">
      <c r="A441" s="167"/>
      <c r="B441" s="199"/>
      <c r="N441" s="152"/>
      <c r="Q441" s="195"/>
      <c r="S441" s="200"/>
      <c r="T441" s="200"/>
      <c r="U441" s="152"/>
      <c r="V441" s="152"/>
      <c r="W441" s="157"/>
    </row>
    <row r="442" ht="15.75" customHeight="1">
      <c r="A442" s="167"/>
      <c r="B442" s="199"/>
      <c r="N442" s="152"/>
      <c r="Q442" s="195"/>
      <c r="S442" s="200"/>
      <c r="T442" s="200"/>
      <c r="U442" s="152"/>
      <c r="V442" s="152"/>
      <c r="W442" s="157"/>
    </row>
    <row r="443" ht="15.75" customHeight="1">
      <c r="A443" s="167"/>
      <c r="B443" s="199"/>
      <c r="N443" s="152"/>
      <c r="Q443" s="195"/>
      <c r="S443" s="200"/>
      <c r="T443" s="200"/>
      <c r="U443" s="152"/>
      <c r="V443" s="152"/>
      <c r="W443" s="157"/>
    </row>
    <row r="444" ht="15.75" customHeight="1">
      <c r="A444" s="167"/>
      <c r="B444" s="199"/>
      <c r="N444" s="152"/>
      <c r="Q444" s="195"/>
      <c r="S444" s="200"/>
      <c r="T444" s="200"/>
      <c r="U444" s="152"/>
      <c r="V444" s="152"/>
      <c r="W444" s="157"/>
    </row>
    <row r="445" ht="15.75" customHeight="1">
      <c r="A445" s="167"/>
      <c r="B445" s="199"/>
      <c r="N445" s="152"/>
      <c r="Q445" s="195"/>
      <c r="S445" s="200"/>
      <c r="T445" s="200"/>
      <c r="U445" s="152"/>
      <c r="V445" s="152"/>
      <c r="W445" s="157"/>
    </row>
    <row r="446" ht="15.75" customHeight="1">
      <c r="A446" s="167"/>
      <c r="B446" s="199"/>
      <c r="N446" s="152"/>
      <c r="Q446" s="195"/>
      <c r="S446" s="200"/>
      <c r="T446" s="200"/>
      <c r="U446" s="152"/>
      <c r="V446" s="152"/>
      <c r="W446" s="157"/>
    </row>
    <row r="447" ht="15.75" customHeight="1">
      <c r="A447" s="167"/>
      <c r="B447" s="199"/>
      <c r="N447" s="152"/>
      <c r="Q447" s="195"/>
      <c r="S447" s="200"/>
      <c r="T447" s="200"/>
      <c r="U447" s="152"/>
      <c r="V447" s="152"/>
      <c r="W447" s="157"/>
    </row>
    <row r="448" ht="15.75" customHeight="1">
      <c r="A448" s="167"/>
      <c r="B448" s="199"/>
      <c r="N448" s="152"/>
      <c r="Q448" s="195"/>
      <c r="S448" s="200"/>
      <c r="T448" s="200"/>
      <c r="U448" s="152"/>
      <c r="V448" s="152"/>
      <c r="W448" s="157"/>
    </row>
    <row r="449" ht="15.75" customHeight="1">
      <c r="A449" s="167"/>
      <c r="B449" s="199"/>
      <c r="N449" s="152"/>
      <c r="Q449" s="195"/>
      <c r="S449" s="200"/>
      <c r="T449" s="200"/>
      <c r="U449" s="152"/>
      <c r="V449" s="152"/>
      <c r="W449" s="157"/>
    </row>
    <row r="450" ht="15.75" customHeight="1">
      <c r="A450" s="167"/>
      <c r="B450" s="199"/>
      <c r="N450" s="152"/>
      <c r="Q450" s="195"/>
      <c r="S450" s="200"/>
      <c r="T450" s="200"/>
      <c r="U450" s="152"/>
      <c r="V450" s="152"/>
      <c r="W450" s="157"/>
    </row>
    <row r="451" ht="15.75" customHeight="1">
      <c r="A451" s="167"/>
      <c r="B451" s="199"/>
      <c r="N451" s="152"/>
      <c r="Q451" s="195"/>
      <c r="S451" s="200"/>
      <c r="T451" s="200"/>
      <c r="U451" s="152"/>
      <c r="V451" s="152"/>
      <c r="W451" s="157"/>
    </row>
    <row r="452" ht="15.75" customHeight="1">
      <c r="A452" s="167"/>
      <c r="B452" s="199"/>
      <c r="N452" s="152"/>
      <c r="Q452" s="195"/>
      <c r="S452" s="200"/>
      <c r="T452" s="200"/>
      <c r="U452" s="152"/>
      <c r="V452" s="152"/>
      <c r="W452" s="157"/>
    </row>
    <row r="453" ht="15.75" customHeight="1">
      <c r="A453" s="167"/>
      <c r="B453" s="199"/>
      <c r="N453" s="152"/>
      <c r="Q453" s="195"/>
      <c r="S453" s="200"/>
      <c r="T453" s="200"/>
      <c r="U453" s="152"/>
      <c r="V453" s="152"/>
      <c r="W453" s="157"/>
    </row>
    <row r="454" ht="15.75" customHeight="1">
      <c r="A454" s="167"/>
      <c r="B454" s="199"/>
      <c r="N454" s="152"/>
      <c r="Q454" s="195"/>
      <c r="S454" s="200"/>
      <c r="T454" s="200"/>
      <c r="U454" s="152"/>
      <c r="V454" s="152"/>
      <c r="W454" s="157"/>
    </row>
    <row r="455" ht="15.75" customHeight="1">
      <c r="A455" s="167"/>
      <c r="B455" s="199"/>
      <c r="N455" s="152"/>
      <c r="Q455" s="195"/>
      <c r="S455" s="200"/>
      <c r="T455" s="200"/>
      <c r="U455" s="152"/>
      <c r="V455" s="152"/>
      <c r="W455" s="157"/>
    </row>
    <row r="456" ht="15.75" customHeight="1">
      <c r="A456" s="167"/>
      <c r="B456" s="199"/>
      <c r="N456" s="152"/>
      <c r="Q456" s="195"/>
      <c r="S456" s="200"/>
      <c r="T456" s="200"/>
      <c r="U456" s="152"/>
      <c r="V456" s="152"/>
      <c r="W456" s="157"/>
    </row>
    <row r="457" ht="15.75" customHeight="1">
      <c r="A457" s="167"/>
      <c r="B457" s="199"/>
      <c r="N457" s="152"/>
      <c r="Q457" s="195"/>
      <c r="S457" s="200"/>
      <c r="T457" s="200"/>
      <c r="U457" s="152"/>
      <c r="V457" s="152"/>
      <c r="W457" s="157"/>
    </row>
    <row r="458" ht="15.75" customHeight="1">
      <c r="A458" s="167"/>
      <c r="B458" s="199"/>
      <c r="N458" s="152"/>
      <c r="Q458" s="195"/>
      <c r="S458" s="200"/>
      <c r="T458" s="200"/>
      <c r="U458" s="152"/>
      <c r="V458" s="152"/>
      <c r="W458" s="157"/>
    </row>
    <row r="459" ht="15.75" customHeight="1">
      <c r="A459" s="167"/>
      <c r="B459" s="199"/>
      <c r="N459" s="152"/>
      <c r="Q459" s="195"/>
      <c r="S459" s="200"/>
      <c r="T459" s="200"/>
      <c r="U459" s="152"/>
      <c r="V459" s="152"/>
      <c r="W459" s="157"/>
    </row>
    <row r="460" ht="15.75" customHeight="1">
      <c r="A460" s="167"/>
      <c r="B460" s="199"/>
      <c r="N460" s="152"/>
      <c r="Q460" s="195"/>
      <c r="S460" s="200"/>
      <c r="T460" s="200"/>
      <c r="U460" s="152"/>
      <c r="V460" s="152"/>
      <c r="W460" s="157"/>
    </row>
    <row r="461" ht="15.75" customHeight="1">
      <c r="A461" s="167"/>
      <c r="B461" s="199"/>
      <c r="N461" s="152"/>
      <c r="Q461" s="195"/>
      <c r="S461" s="200"/>
      <c r="T461" s="200"/>
      <c r="U461" s="152"/>
      <c r="V461" s="152"/>
      <c r="W461" s="157"/>
    </row>
    <row r="462" ht="15.75" customHeight="1">
      <c r="A462" s="167"/>
      <c r="B462" s="199"/>
      <c r="N462" s="152"/>
      <c r="Q462" s="195"/>
      <c r="S462" s="200"/>
      <c r="T462" s="200"/>
      <c r="U462" s="152"/>
      <c r="V462" s="152"/>
      <c r="W462" s="157"/>
    </row>
    <row r="463" ht="15.75" customHeight="1">
      <c r="A463" s="167"/>
      <c r="B463" s="199"/>
      <c r="N463" s="152"/>
      <c r="Q463" s="195"/>
      <c r="S463" s="200"/>
      <c r="T463" s="200"/>
      <c r="U463" s="152"/>
      <c r="V463" s="152"/>
      <c r="W463" s="157"/>
    </row>
    <row r="464" ht="15.75" customHeight="1">
      <c r="A464" s="167"/>
      <c r="B464" s="199"/>
      <c r="N464" s="152"/>
      <c r="Q464" s="195"/>
      <c r="S464" s="200"/>
      <c r="T464" s="200"/>
      <c r="U464" s="152"/>
      <c r="V464" s="152"/>
      <c r="W464" s="157"/>
    </row>
    <row r="465" ht="15.75" customHeight="1">
      <c r="A465" s="167"/>
      <c r="B465" s="199"/>
      <c r="N465" s="152"/>
      <c r="Q465" s="195"/>
      <c r="S465" s="200"/>
      <c r="T465" s="200"/>
      <c r="U465" s="152"/>
      <c r="V465" s="152"/>
      <c r="W465" s="157"/>
    </row>
    <row r="466" ht="15.75" customHeight="1">
      <c r="A466" s="167"/>
      <c r="B466" s="199"/>
      <c r="N466" s="152"/>
      <c r="Q466" s="195"/>
      <c r="S466" s="200"/>
      <c r="T466" s="200"/>
      <c r="U466" s="152"/>
      <c r="V466" s="152"/>
      <c r="W466" s="157"/>
    </row>
    <row r="467" ht="15.75" customHeight="1">
      <c r="A467" s="167"/>
      <c r="B467" s="199"/>
      <c r="N467" s="152"/>
      <c r="Q467" s="195"/>
      <c r="S467" s="200"/>
      <c r="T467" s="200"/>
      <c r="U467" s="152"/>
      <c r="V467" s="152"/>
      <c r="W467" s="157"/>
    </row>
    <row r="468" ht="15.75" customHeight="1">
      <c r="A468" s="167"/>
      <c r="B468" s="199"/>
      <c r="N468" s="152"/>
      <c r="Q468" s="195"/>
      <c r="S468" s="200"/>
      <c r="T468" s="200"/>
      <c r="U468" s="152"/>
      <c r="V468" s="152"/>
      <c r="W468" s="157"/>
    </row>
    <row r="469" ht="15.75" customHeight="1">
      <c r="A469" s="167"/>
      <c r="B469" s="199"/>
      <c r="N469" s="152"/>
      <c r="Q469" s="195"/>
      <c r="S469" s="200"/>
      <c r="T469" s="200"/>
      <c r="U469" s="152"/>
      <c r="V469" s="152"/>
      <c r="W469" s="157"/>
    </row>
    <row r="470" ht="15.75" customHeight="1">
      <c r="A470" s="167"/>
      <c r="B470" s="199"/>
      <c r="N470" s="152"/>
      <c r="Q470" s="195"/>
      <c r="S470" s="200"/>
      <c r="T470" s="200"/>
      <c r="U470" s="152"/>
      <c r="V470" s="152"/>
      <c r="W470" s="157"/>
    </row>
    <row r="471" ht="15.75" customHeight="1">
      <c r="A471" s="167"/>
      <c r="B471" s="199"/>
      <c r="N471" s="152"/>
      <c r="Q471" s="195"/>
      <c r="S471" s="200"/>
      <c r="T471" s="200"/>
      <c r="U471" s="152"/>
      <c r="V471" s="152"/>
      <c r="W471" s="157"/>
    </row>
    <row r="472" ht="15.75" customHeight="1">
      <c r="A472" s="167"/>
      <c r="B472" s="199"/>
      <c r="N472" s="152"/>
      <c r="Q472" s="195"/>
      <c r="S472" s="200"/>
      <c r="T472" s="200"/>
      <c r="U472" s="152"/>
      <c r="V472" s="152"/>
      <c r="W472" s="157"/>
    </row>
    <row r="473" ht="15.75" customHeight="1">
      <c r="A473" s="167"/>
      <c r="B473" s="199"/>
      <c r="N473" s="152"/>
      <c r="Q473" s="195"/>
      <c r="S473" s="200"/>
      <c r="T473" s="200"/>
      <c r="U473" s="152"/>
      <c r="V473" s="152"/>
      <c r="W473" s="157"/>
    </row>
    <row r="474" ht="15.75" customHeight="1">
      <c r="A474" s="167"/>
      <c r="B474" s="199"/>
      <c r="N474" s="152"/>
      <c r="Q474" s="195"/>
      <c r="S474" s="200"/>
      <c r="T474" s="200"/>
      <c r="U474" s="152"/>
      <c r="V474" s="152"/>
      <c r="W474" s="157"/>
    </row>
    <row r="475" ht="15.75" customHeight="1">
      <c r="A475" s="167"/>
      <c r="B475" s="199"/>
      <c r="N475" s="152"/>
      <c r="Q475" s="195"/>
      <c r="S475" s="200"/>
      <c r="T475" s="200"/>
      <c r="U475" s="152"/>
      <c r="V475" s="152"/>
      <c r="W475" s="157"/>
    </row>
    <row r="476" ht="15.75" customHeight="1">
      <c r="A476" s="167"/>
      <c r="B476" s="199"/>
      <c r="N476" s="152"/>
      <c r="Q476" s="195"/>
      <c r="S476" s="200"/>
      <c r="T476" s="200"/>
      <c r="U476" s="152"/>
      <c r="V476" s="152"/>
      <c r="W476" s="157"/>
    </row>
    <row r="477" ht="15.75" customHeight="1">
      <c r="A477" s="167"/>
      <c r="B477" s="199"/>
      <c r="N477" s="152"/>
      <c r="Q477" s="195"/>
      <c r="S477" s="200"/>
      <c r="T477" s="200"/>
      <c r="U477" s="152"/>
      <c r="V477" s="152"/>
      <c r="W477" s="157"/>
    </row>
    <row r="478" ht="15.75" customHeight="1">
      <c r="A478" s="167"/>
      <c r="B478" s="199"/>
      <c r="N478" s="152"/>
      <c r="Q478" s="195"/>
      <c r="S478" s="200"/>
      <c r="T478" s="200"/>
      <c r="U478" s="152"/>
      <c r="V478" s="152"/>
      <c r="W478" s="157"/>
    </row>
    <row r="479" ht="15.75" customHeight="1">
      <c r="A479" s="167"/>
      <c r="B479" s="199"/>
      <c r="N479" s="152"/>
      <c r="Q479" s="195"/>
      <c r="S479" s="200"/>
      <c r="T479" s="200"/>
      <c r="U479" s="152"/>
      <c r="V479" s="152"/>
      <c r="W479" s="157"/>
    </row>
    <row r="480" ht="15.75" customHeight="1">
      <c r="A480" s="167"/>
      <c r="B480" s="199"/>
      <c r="N480" s="152"/>
      <c r="Q480" s="195"/>
      <c r="S480" s="200"/>
      <c r="T480" s="200"/>
      <c r="U480" s="152"/>
      <c r="V480" s="152"/>
      <c r="W480" s="157"/>
    </row>
    <row r="481" ht="15.75" customHeight="1">
      <c r="A481" s="167"/>
      <c r="B481" s="199"/>
      <c r="N481" s="152"/>
      <c r="Q481" s="195"/>
      <c r="S481" s="200"/>
      <c r="T481" s="200"/>
      <c r="U481" s="152"/>
      <c r="V481" s="152"/>
      <c r="W481" s="157"/>
    </row>
    <row r="482" ht="15.75" customHeight="1">
      <c r="A482" s="167"/>
      <c r="B482" s="199"/>
      <c r="N482" s="152"/>
      <c r="Q482" s="195"/>
      <c r="S482" s="200"/>
      <c r="T482" s="200"/>
      <c r="U482" s="152"/>
      <c r="V482" s="152"/>
      <c r="W482" s="157"/>
    </row>
    <row r="483" ht="15.75" customHeight="1">
      <c r="A483" s="167"/>
      <c r="B483" s="199"/>
      <c r="N483" s="152"/>
      <c r="Q483" s="195"/>
      <c r="S483" s="200"/>
      <c r="T483" s="200"/>
      <c r="U483" s="152"/>
      <c r="V483" s="152"/>
      <c r="W483" s="157"/>
    </row>
    <row r="484" ht="15.75" customHeight="1">
      <c r="A484" s="167"/>
      <c r="B484" s="199"/>
      <c r="N484" s="152"/>
      <c r="Q484" s="195"/>
      <c r="S484" s="200"/>
      <c r="T484" s="200"/>
      <c r="U484" s="152"/>
      <c r="V484" s="152"/>
      <c r="W484" s="157"/>
    </row>
    <row r="485" ht="15.75" customHeight="1">
      <c r="A485" s="167"/>
      <c r="B485" s="199"/>
      <c r="N485" s="152"/>
      <c r="Q485" s="195"/>
      <c r="S485" s="200"/>
      <c r="T485" s="200"/>
      <c r="U485" s="152"/>
      <c r="V485" s="152"/>
      <c r="W485" s="157"/>
    </row>
    <row r="486" ht="15.75" customHeight="1">
      <c r="A486" s="167"/>
      <c r="B486" s="199"/>
      <c r="N486" s="152"/>
      <c r="Q486" s="195"/>
      <c r="S486" s="200"/>
      <c r="T486" s="200"/>
      <c r="U486" s="152"/>
      <c r="V486" s="152"/>
      <c r="W486" s="157"/>
    </row>
    <row r="487" ht="15.75" customHeight="1">
      <c r="A487" s="167"/>
      <c r="B487" s="199"/>
      <c r="N487" s="152"/>
      <c r="Q487" s="195"/>
      <c r="S487" s="200"/>
      <c r="T487" s="200"/>
      <c r="U487" s="152"/>
      <c r="V487" s="152"/>
      <c r="W487" s="157"/>
    </row>
    <row r="488" ht="15.75" customHeight="1">
      <c r="A488" s="167"/>
      <c r="B488" s="199"/>
      <c r="N488" s="152"/>
      <c r="Q488" s="195"/>
      <c r="S488" s="200"/>
      <c r="T488" s="200"/>
      <c r="U488" s="152"/>
      <c r="V488" s="152"/>
      <c r="W488" s="157"/>
    </row>
    <row r="489" ht="15.75" customHeight="1">
      <c r="A489" s="167"/>
      <c r="B489" s="199"/>
      <c r="N489" s="152"/>
      <c r="Q489" s="195"/>
      <c r="S489" s="200"/>
      <c r="T489" s="200"/>
      <c r="U489" s="152"/>
      <c r="V489" s="152"/>
      <c r="W489" s="157"/>
    </row>
    <row r="490" ht="15.75" customHeight="1">
      <c r="A490" s="167"/>
      <c r="B490" s="199"/>
      <c r="N490" s="152"/>
      <c r="Q490" s="195"/>
      <c r="S490" s="200"/>
      <c r="T490" s="200"/>
      <c r="U490" s="152"/>
      <c r="V490" s="152"/>
      <c r="W490" s="157"/>
    </row>
    <row r="491" ht="15.75" customHeight="1">
      <c r="A491" s="167"/>
      <c r="B491" s="199"/>
      <c r="N491" s="152"/>
      <c r="Q491" s="195"/>
      <c r="S491" s="200"/>
      <c r="T491" s="200"/>
      <c r="U491" s="152"/>
      <c r="V491" s="152"/>
      <c r="W491" s="157"/>
    </row>
    <row r="492" ht="15.75" customHeight="1">
      <c r="A492" s="167"/>
      <c r="B492" s="199"/>
      <c r="N492" s="152"/>
      <c r="Q492" s="195"/>
      <c r="S492" s="200"/>
      <c r="T492" s="200"/>
      <c r="U492" s="152"/>
      <c r="V492" s="152"/>
      <c r="W492" s="157"/>
    </row>
    <row r="493" ht="15.75" customHeight="1">
      <c r="A493" s="167"/>
      <c r="B493" s="199"/>
      <c r="N493" s="152"/>
      <c r="Q493" s="195"/>
      <c r="S493" s="200"/>
      <c r="T493" s="200"/>
      <c r="U493" s="152"/>
      <c r="V493" s="152"/>
      <c r="W493" s="157"/>
    </row>
    <row r="494" ht="15.75" customHeight="1">
      <c r="A494" s="167"/>
      <c r="B494" s="199"/>
      <c r="N494" s="152"/>
      <c r="Q494" s="195"/>
      <c r="S494" s="200"/>
      <c r="T494" s="200"/>
      <c r="U494" s="152"/>
      <c r="V494" s="152"/>
      <c r="W494" s="157"/>
    </row>
    <row r="495" ht="15.75" customHeight="1">
      <c r="A495" s="167"/>
      <c r="B495" s="199"/>
      <c r="N495" s="152"/>
      <c r="Q495" s="195"/>
      <c r="S495" s="200"/>
      <c r="T495" s="200"/>
      <c r="U495" s="152"/>
      <c r="V495" s="152"/>
      <c r="W495" s="157"/>
    </row>
    <row r="496" ht="15.75" customHeight="1">
      <c r="A496" s="167"/>
      <c r="B496" s="199"/>
      <c r="N496" s="152"/>
      <c r="Q496" s="195"/>
      <c r="S496" s="200"/>
      <c r="T496" s="200"/>
      <c r="U496" s="152"/>
      <c r="V496" s="152"/>
      <c r="W496" s="157"/>
    </row>
    <row r="497" ht="15.75" customHeight="1">
      <c r="A497" s="167"/>
      <c r="B497" s="199"/>
      <c r="N497" s="152"/>
      <c r="Q497" s="195"/>
      <c r="S497" s="200"/>
      <c r="T497" s="200"/>
      <c r="U497" s="152"/>
      <c r="V497" s="152"/>
      <c r="W497" s="157"/>
    </row>
    <row r="498" ht="15.75" customHeight="1">
      <c r="A498" s="167"/>
      <c r="B498" s="199"/>
      <c r="N498" s="152"/>
      <c r="Q498" s="195"/>
      <c r="S498" s="200"/>
      <c r="T498" s="200"/>
      <c r="U498" s="152"/>
      <c r="V498" s="152"/>
      <c r="W498" s="157"/>
    </row>
    <row r="499" ht="15.75" customHeight="1">
      <c r="A499" s="167"/>
      <c r="B499" s="199"/>
      <c r="N499" s="152"/>
      <c r="Q499" s="195"/>
      <c r="S499" s="200"/>
      <c r="T499" s="200"/>
      <c r="U499" s="152"/>
      <c r="V499" s="152"/>
      <c r="W499" s="157"/>
    </row>
    <row r="500" ht="15.75" customHeight="1">
      <c r="A500" s="167"/>
      <c r="B500" s="199"/>
      <c r="N500" s="152"/>
      <c r="Q500" s="195"/>
      <c r="S500" s="200"/>
      <c r="T500" s="200"/>
      <c r="U500" s="152"/>
      <c r="V500" s="152"/>
      <c r="W500" s="157"/>
    </row>
    <row r="501" ht="15.75" customHeight="1">
      <c r="A501" s="167"/>
      <c r="B501" s="199"/>
      <c r="N501" s="152"/>
      <c r="Q501" s="195"/>
      <c r="S501" s="200"/>
      <c r="T501" s="200"/>
      <c r="U501" s="152"/>
      <c r="V501" s="152"/>
      <c r="W501" s="157"/>
    </row>
    <row r="502" ht="15.75" customHeight="1">
      <c r="A502" s="167"/>
      <c r="B502" s="199"/>
      <c r="N502" s="152"/>
      <c r="Q502" s="195"/>
      <c r="S502" s="200"/>
      <c r="T502" s="200"/>
      <c r="U502" s="152"/>
      <c r="V502" s="152"/>
      <c r="W502" s="157"/>
    </row>
    <row r="503" ht="15.75" customHeight="1">
      <c r="A503" s="167"/>
      <c r="B503" s="199"/>
      <c r="N503" s="152"/>
      <c r="Q503" s="195"/>
      <c r="S503" s="200"/>
      <c r="T503" s="200"/>
      <c r="U503" s="152"/>
      <c r="V503" s="152"/>
      <c r="W503" s="157"/>
    </row>
    <row r="504" ht="15.75" customHeight="1">
      <c r="A504" s="167"/>
      <c r="B504" s="199"/>
      <c r="N504" s="152"/>
      <c r="Q504" s="195"/>
      <c r="S504" s="200"/>
      <c r="T504" s="200"/>
      <c r="U504" s="152"/>
      <c r="V504" s="152"/>
      <c r="W504" s="157"/>
    </row>
    <row r="505" ht="15.75" customHeight="1">
      <c r="A505" s="167"/>
      <c r="B505" s="199"/>
      <c r="N505" s="152"/>
      <c r="Q505" s="195"/>
      <c r="S505" s="200"/>
      <c r="T505" s="200"/>
      <c r="U505" s="152"/>
      <c r="V505" s="152"/>
      <c r="W505" s="157"/>
    </row>
    <row r="506" ht="15.75" customHeight="1">
      <c r="A506" s="167"/>
      <c r="B506" s="199"/>
      <c r="N506" s="152"/>
      <c r="Q506" s="195"/>
      <c r="S506" s="200"/>
      <c r="T506" s="200"/>
      <c r="U506" s="152"/>
      <c r="V506" s="152"/>
      <c r="W506" s="157"/>
    </row>
    <row r="507" ht="15.75" customHeight="1">
      <c r="A507" s="167"/>
      <c r="B507" s="199"/>
      <c r="N507" s="152"/>
      <c r="Q507" s="195"/>
      <c r="S507" s="200"/>
      <c r="T507" s="200"/>
      <c r="U507" s="152"/>
      <c r="V507" s="152"/>
      <c r="W507" s="157"/>
    </row>
    <row r="508" ht="15.75" customHeight="1">
      <c r="A508" s="167"/>
      <c r="B508" s="199"/>
      <c r="N508" s="152"/>
      <c r="Q508" s="195"/>
      <c r="S508" s="200"/>
      <c r="T508" s="200"/>
      <c r="U508" s="152"/>
      <c r="V508" s="152"/>
      <c r="W508" s="157"/>
    </row>
    <row r="509" ht="15.75" customHeight="1">
      <c r="A509" s="167"/>
      <c r="B509" s="199"/>
      <c r="N509" s="152"/>
      <c r="Q509" s="195"/>
      <c r="S509" s="200"/>
      <c r="T509" s="200"/>
      <c r="U509" s="152"/>
      <c r="V509" s="152"/>
      <c r="W509" s="157"/>
    </row>
    <row r="510" ht="15.75" customHeight="1">
      <c r="A510" s="167"/>
      <c r="B510" s="199"/>
      <c r="N510" s="152"/>
      <c r="Q510" s="195"/>
      <c r="S510" s="200"/>
      <c r="T510" s="200"/>
      <c r="U510" s="152"/>
      <c r="V510" s="152"/>
      <c r="W510" s="157"/>
    </row>
    <row r="511" ht="15.75" customHeight="1">
      <c r="A511" s="167"/>
      <c r="B511" s="199"/>
      <c r="N511" s="152"/>
      <c r="Q511" s="195"/>
      <c r="S511" s="200"/>
      <c r="T511" s="200"/>
      <c r="U511" s="152"/>
      <c r="V511" s="152"/>
      <c r="W511" s="157"/>
    </row>
    <row r="512" ht="15.75" customHeight="1">
      <c r="A512" s="167"/>
      <c r="B512" s="199"/>
      <c r="N512" s="152"/>
      <c r="Q512" s="195"/>
      <c r="S512" s="200"/>
      <c r="T512" s="200"/>
      <c r="U512" s="152"/>
      <c r="V512" s="152"/>
      <c r="W512" s="157"/>
    </row>
    <row r="513" ht="15.75" customHeight="1">
      <c r="A513" s="167"/>
      <c r="B513" s="199"/>
      <c r="N513" s="152"/>
      <c r="Q513" s="195"/>
      <c r="S513" s="200"/>
      <c r="T513" s="200"/>
      <c r="U513" s="152"/>
      <c r="V513" s="152"/>
      <c r="W513" s="157"/>
    </row>
    <row r="514" ht="15.75" customHeight="1">
      <c r="A514" s="167"/>
      <c r="B514" s="199"/>
      <c r="N514" s="152"/>
      <c r="Q514" s="195"/>
      <c r="S514" s="200"/>
      <c r="T514" s="200"/>
      <c r="U514" s="152"/>
      <c r="V514" s="152"/>
      <c r="W514" s="157"/>
    </row>
    <row r="515" ht="15.75" customHeight="1">
      <c r="A515" s="167"/>
      <c r="B515" s="199"/>
      <c r="N515" s="152"/>
      <c r="Q515" s="195"/>
      <c r="S515" s="200"/>
      <c r="T515" s="200"/>
      <c r="U515" s="152"/>
      <c r="V515" s="152"/>
      <c r="W515" s="157"/>
    </row>
    <row r="516" ht="15.75" customHeight="1">
      <c r="A516" s="167"/>
      <c r="B516" s="199"/>
      <c r="N516" s="152"/>
      <c r="Q516" s="195"/>
      <c r="S516" s="200"/>
      <c r="T516" s="200"/>
      <c r="U516" s="152"/>
      <c r="V516" s="152"/>
      <c r="W516" s="157"/>
    </row>
    <row r="517" ht="15.75" customHeight="1">
      <c r="A517" s="167"/>
      <c r="B517" s="199"/>
      <c r="N517" s="152"/>
      <c r="Q517" s="195"/>
      <c r="S517" s="200"/>
      <c r="T517" s="200"/>
      <c r="U517" s="152"/>
      <c r="V517" s="152"/>
      <c r="W517" s="157"/>
    </row>
    <row r="518" ht="15.75" customHeight="1">
      <c r="A518" s="167"/>
      <c r="B518" s="199"/>
      <c r="N518" s="152"/>
      <c r="Q518" s="195"/>
      <c r="S518" s="200"/>
      <c r="T518" s="200"/>
      <c r="U518" s="152"/>
      <c r="V518" s="152"/>
      <c r="W518" s="157"/>
    </row>
    <row r="519" ht="15.75" customHeight="1">
      <c r="A519" s="167"/>
      <c r="B519" s="199"/>
      <c r="N519" s="152"/>
      <c r="Q519" s="195"/>
      <c r="S519" s="200"/>
      <c r="T519" s="200"/>
      <c r="U519" s="152"/>
      <c r="V519" s="152"/>
      <c r="W519" s="157"/>
    </row>
    <row r="520" ht="15.75" customHeight="1">
      <c r="A520" s="167"/>
      <c r="B520" s="199"/>
      <c r="N520" s="152"/>
      <c r="Q520" s="195"/>
      <c r="S520" s="200"/>
      <c r="T520" s="200"/>
      <c r="U520" s="152"/>
      <c r="V520" s="152"/>
      <c r="W520" s="157"/>
    </row>
    <row r="521" ht="15.75" customHeight="1">
      <c r="A521" s="167"/>
      <c r="B521" s="199"/>
      <c r="N521" s="152"/>
      <c r="Q521" s="195"/>
      <c r="S521" s="200"/>
      <c r="T521" s="200"/>
      <c r="U521" s="152"/>
      <c r="V521" s="152"/>
      <c r="W521" s="157"/>
    </row>
    <row r="522" ht="15.75" customHeight="1">
      <c r="A522" s="167"/>
      <c r="B522" s="199"/>
      <c r="N522" s="152"/>
      <c r="Q522" s="195"/>
      <c r="S522" s="200"/>
      <c r="T522" s="200"/>
      <c r="U522" s="152"/>
      <c r="V522" s="152"/>
      <c r="W522" s="157"/>
    </row>
    <row r="523" ht="15.75" customHeight="1">
      <c r="A523" s="167"/>
      <c r="B523" s="199"/>
      <c r="N523" s="152"/>
      <c r="Q523" s="195"/>
      <c r="S523" s="200"/>
      <c r="T523" s="200"/>
      <c r="U523" s="152"/>
      <c r="V523" s="152"/>
      <c r="W523" s="157"/>
    </row>
    <row r="524" ht="15.75" customHeight="1">
      <c r="A524" s="167"/>
      <c r="B524" s="199"/>
      <c r="N524" s="152"/>
      <c r="Q524" s="195"/>
      <c r="S524" s="200"/>
      <c r="T524" s="200"/>
      <c r="U524" s="152"/>
      <c r="V524" s="152"/>
      <c r="W524" s="157"/>
    </row>
    <row r="525" ht="15.75" customHeight="1">
      <c r="A525" s="167"/>
      <c r="B525" s="199"/>
      <c r="N525" s="152"/>
      <c r="Q525" s="195"/>
      <c r="S525" s="200"/>
      <c r="T525" s="200"/>
      <c r="U525" s="152"/>
      <c r="V525" s="152"/>
      <c r="W525" s="157"/>
    </row>
    <row r="526" ht="15.75" customHeight="1">
      <c r="A526" s="167"/>
      <c r="B526" s="199"/>
      <c r="N526" s="152"/>
      <c r="Q526" s="195"/>
      <c r="S526" s="200"/>
      <c r="T526" s="200"/>
      <c r="U526" s="152"/>
      <c r="V526" s="152"/>
      <c r="W526" s="157"/>
    </row>
    <row r="527" ht="15.75" customHeight="1">
      <c r="A527" s="167"/>
      <c r="B527" s="199"/>
      <c r="N527" s="152"/>
      <c r="Q527" s="195"/>
      <c r="S527" s="200"/>
      <c r="T527" s="200"/>
      <c r="U527" s="152"/>
      <c r="V527" s="152"/>
      <c r="W527" s="157"/>
    </row>
    <row r="528" ht="15.75" customHeight="1">
      <c r="A528" s="167"/>
      <c r="B528" s="199"/>
      <c r="N528" s="152"/>
      <c r="Q528" s="195"/>
      <c r="S528" s="200"/>
      <c r="T528" s="200"/>
      <c r="U528" s="152"/>
      <c r="V528" s="152"/>
      <c r="W528" s="157"/>
    </row>
    <row r="529" ht="15.75" customHeight="1">
      <c r="A529" s="167"/>
      <c r="B529" s="199"/>
      <c r="N529" s="152"/>
      <c r="Q529" s="195"/>
      <c r="S529" s="200"/>
      <c r="T529" s="200"/>
      <c r="U529" s="152"/>
      <c r="V529" s="152"/>
      <c r="W529" s="157"/>
    </row>
    <row r="530" ht="15.75" customHeight="1">
      <c r="A530" s="167"/>
      <c r="B530" s="199"/>
      <c r="N530" s="152"/>
      <c r="Q530" s="195"/>
      <c r="S530" s="200"/>
      <c r="T530" s="200"/>
      <c r="U530" s="152"/>
      <c r="V530" s="152"/>
      <c r="W530" s="157"/>
    </row>
    <row r="531" ht="15.75" customHeight="1">
      <c r="A531" s="167"/>
      <c r="B531" s="199"/>
      <c r="N531" s="152"/>
      <c r="Q531" s="195"/>
      <c r="S531" s="200"/>
      <c r="T531" s="200"/>
      <c r="U531" s="152"/>
      <c r="V531" s="152"/>
      <c r="W531" s="157"/>
    </row>
    <row r="532" ht="15.75" customHeight="1">
      <c r="A532" s="167"/>
      <c r="B532" s="199"/>
      <c r="N532" s="152"/>
      <c r="Q532" s="195"/>
      <c r="S532" s="200"/>
      <c r="T532" s="200"/>
      <c r="U532" s="152"/>
      <c r="V532" s="152"/>
      <c r="W532" s="157"/>
    </row>
    <row r="533" ht="15.75" customHeight="1">
      <c r="A533" s="167"/>
      <c r="B533" s="199"/>
      <c r="N533" s="152"/>
      <c r="Q533" s="195"/>
      <c r="S533" s="200"/>
      <c r="T533" s="200"/>
      <c r="U533" s="152"/>
      <c r="V533" s="152"/>
      <c r="W533" s="157"/>
    </row>
    <row r="534" ht="15.75" customHeight="1">
      <c r="A534" s="167"/>
      <c r="B534" s="199"/>
      <c r="N534" s="152"/>
      <c r="Q534" s="195"/>
      <c r="S534" s="200"/>
      <c r="T534" s="200"/>
      <c r="U534" s="152"/>
      <c r="V534" s="152"/>
      <c r="W534" s="157"/>
    </row>
    <row r="535" ht="15.75" customHeight="1">
      <c r="A535" s="167"/>
      <c r="B535" s="199"/>
      <c r="N535" s="152"/>
      <c r="Q535" s="195"/>
      <c r="S535" s="200"/>
      <c r="T535" s="200"/>
      <c r="U535" s="152"/>
      <c r="V535" s="152"/>
      <c r="W535" s="157"/>
    </row>
    <row r="536" ht="15.75" customHeight="1">
      <c r="A536" s="167"/>
      <c r="B536" s="199"/>
      <c r="N536" s="152"/>
      <c r="Q536" s="195"/>
      <c r="S536" s="200"/>
      <c r="T536" s="200"/>
      <c r="U536" s="152"/>
      <c r="V536" s="152"/>
      <c r="W536" s="157"/>
    </row>
    <row r="537" ht="15.75" customHeight="1">
      <c r="A537" s="167"/>
      <c r="B537" s="199"/>
      <c r="N537" s="152"/>
      <c r="Q537" s="195"/>
      <c r="S537" s="200"/>
      <c r="T537" s="200"/>
      <c r="U537" s="152"/>
      <c r="V537" s="152"/>
      <c r="W537" s="157"/>
    </row>
    <row r="538" ht="15.75" customHeight="1">
      <c r="A538" s="167"/>
      <c r="B538" s="199"/>
      <c r="N538" s="152"/>
      <c r="Q538" s="195"/>
      <c r="S538" s="200"/>
      <c r="T538" s="200"/>
      <c r="U538" s="152"/>
      <c r="V538" s="152"/>
      <c r="W538" s="157"/>
    </row>
    <row r="539" ht="15.75" customHeight="1">
      <c r="A539" s="167"/>
      <c r="B539" s="199"/>
      <c r="N539" s="152"/>
      <c r="Q539" s="195"/>
      <c r="S539" s="200"/>
      <c r="T539" s="200"/>
      <c r="U539" s="152"/>
      <c r="V539" s="152"/>
      <c r="W539" s="157"/>
    </row>
    <row r="540" ht="15.75" customHeight="1">
      <c r="A540" s="167"/>
      <c r="B540" s="199"/>
      <c r="N540" s="152"/>
      <c r="Q540" s="195"/>
      <c r="S540" s="200"/>
      <c r="T540" s="200"/>
      <c r="U540" s="152"/>
      <c r="V540" s="152"/>
      <c r="W540" s="157"/>
    </row>
    <row r="541" ht="15.75" customHeight="1">
      <c r="A541" s="167"/>
      <c r="B541" s="199"/>
      <c r="N541" s="152"/>
      <c r="Q541" s="195"/>
      <c r="S541" s="200"/>
      <c r="T541" s="200"/>
      <c r="U541" s="152"/>
      <c r="V541" s="152"/>
      <c r="W541" s="157"/>
    </row>
    <row r="542" ht="15.75" customHeight="1">
      <c r="A542" s="167"/>
      <c r="B542" s="199"/>
      <c r="N542" s="152"/>
      <c r="Q542" s="195"/>
      <c r="S542" s="200"/>
      <c r="T542" s="200"/>
      <c r="U542" s="152"/>
      <c r="V542" s="152"/>
      <c r="W542" s="157"/>
    </row>
    <row r="543" ht="15.75" customHeight="1">
      <c r="A543" s="167"/>
      <c r="B543" s="199"/>
      <c r="N543" s="152"/>
      <c r="Q543" s="195"/>
      <c r="S543" s="200"/>
      <c r="T543" s="200"/>
      <c r="U543" s="152"/>
      <c r="V543" s="152"/>
      <c r="W543" s="157"/>
    </row>
    <row r="544" ht="15.75" customHeight="1">
      <c r="A544" s="167"/>
      <c r="B544" s="199"/>
      <c r="N544" s="152"/>
      <c r="Q544" s="195"/>
      <c r="S544" s="200"/>
      <c r="T544" s="200"/>
      <c r="U544" s="152"/>
      <c r="V544" s="152"/>
      <c r="W544" s="157"/>
    </row>
    <row r="545" ht="15.75" customHeight="1">
      <c r="A545" s="167"/>
      <c r="B545" s="199"/>
      <c r="N545" s="152"/>
      <c r="Q545" s="195"/>
      <c r="S545" s="200"/>
      <c r="T545" s="200"/>
      <c r="U545" s="152"/>
      <c r="V545" s="152"/>
      <c r="W545" s="157"/>
    </row>
    <row r="546" ht="15.75" customHeight="1">
      <c r="A546" s="167"/>
      <c r="B546" s="199"/>
      <c r="N546" s="152"/>
      <c r="Q546" s="195"/>
      <c r="S546" s="200"/>
      <c r="T546" s="200"/>
      <c r="U546" s="152"/>
      <c r="V546" s="152"/>
      <c r="W546" s="157"/>
    </row>
    <row r="547" ht="15.75" customHeight="1">
      <c r="A547" s="167"/>
      <c r="B547" s="199"/>
      <c r="N547" s="152"/>
      <c r="Q547" s="195"/>
      <c r="S547" s="200"/>
      <c r="T547" s="200"/>
      <c r="U547" s="152"/>
      <c r="V547" s="152"/>
      <c r="W547" s="157"/>
    </row>
    <row r="548" ht="15.75" customHeight="1">
      <c r="A548" s="167"/>
      <c r="B548" s="199"/>
      <c r="N548" s="152"/>
      <c r="Q548" s="195"/>
      <c r="S548" s="200"/>
      <c r="T548" s="200"/>
      <c r="U548" s="152"/>
      <c r="V548" s="152"/>
      <c r="W548" s="157"/>
    </row>
    <row r="549" ht="15.75" customHeight="1">
      <c r="A549" s="167"/>
      <c r="B549" s="199"/>
      <c r="N549" s="152"/>
      <c r="Q549" s="195"/>
      <c r="S549" s="200"/>
      <c r="T549" s="200"/>
      <c r="U549" s="152"/>
      <c r="V549" s="152"/>
      <c r="W549" s="157"/>
    </row>
    <row r="550" ht="15.75" customHeight="1">
      <c r="A550" s="167"/>
      <c r="B550" s="199"/>
      <c r="N550" s="152"/>
      <c r="Q550" s="195"/>
      <c r="S550" s="200"/>
      <c r="T550" s="200"/>
      <c r="U550" s="152"/>
      <c r="V550" s="152"/>
      <c r="W550" s="157"/>
    </row>
    <row r="551" ht="15.75" customHeight="1">
      <c r="A551" s="167"/>
      <c r="B551" s="199"/>
      <c r="N551" s="152"/>
      <c r="Q551" s="195"/>
      <c r="S551" s="200"/>
      <c r="T551" s="200"/>
      <c r="U551" s="152"/>
      <c r="V551" s="152"/>
      <c r="W551" s="157"/>
    </row>
    <row r="552" ht="15.75" customHeight="1">
      <c r="A552" s="167"/>
      <c r="B552" s="199"/>
      <c r="N552" s="152"/>
      <c r="Q552" s="195"/>
      <c r="S552" s="200"/>
      <c r="T552" s="200"/>
      <c r="U552" s="152"/>
      <c r="V552" s="152"/>
      <c r="W552" s="157"/>
    </row>
    <row r="553" ht="15.75" customHeight="1">
      <c r="A553" s="167"/>
      <c r="B553" s="199"/>
      <c r="N553" s="152"/>
      <c r="Q553" s="195"/>
      <c r="S553" s="200"/>
      <c r="T553" s="200"/>
      <c r="U553" s="152"/>
      <c r="V553" s="152"/>
      <c r="W553" s="157"/>
    </row>
    <row r="554" ht="15.75" customHeight="1">
      <c r="A554" s="167"/>
      <c r="B554" s="199"/>
      <c r="N554" s="152"/>
      <c r="Q554" s="195"/>
      <c r="S554" s="200"/>
      <c r="T554" s="200"/>
      <c r="U554" s="152"/>
      <c r="V554" s="152"/>
      <c r="W554" s="157"/>
    </row>
    <row r="555" ht="15.75" customHeight="1">
      <c r="A555" s="167"/>
      <c r="B555" s="199"/>
      <c r="N555" s="152"/>
      <c r="Q555" s="195"/>
      <c r="S555" s="200"/>
      <c r="T555" s="200"/>
      <c r="U555" s="152"/>
      <c r="V555" s="152"/>
      <c r="W555" s="157"/>
    </row>
    <row r="556" ht="15.75" customHeight="1">
      <c r="A556" s="167"/>
      <c r="B556" s="199"/>
      <c r="N556" s="152"/>
      <c r="Q556" s="195"/>
      <c r="S556" s="200"/>
      <c r="T556" s="200"/>
      <c r="U556" s="152"/>
      <c r="V556" s="152"/>
      <c r="W556" s="157"/>
    </row>
    <row r="557" ht="15.75" customHeight="1">
      <c r="A557" s="167"/>
      <c r="B557" s="199"/>
      <c r="N557" s="152"/>
      <c r="Q557" s="195"/>
      <c r="S557" s="200"/>
      <c r="T557" s="200"/>
      <c r="U557" s="152"/>
      <c r="V557" s="152"/>
      <c r="W557" s="157"/>
    </row>
    <row r="558" ht="15.75" customHeight="1">
      <c r="A558" s="167"/>
      <c r="B558" s="199"/>
      <c r="N558" s="152"/>
      <c r="Q558" s="195"/>
      <c r="S558" s="200"/>
      <c r="T558" s="200"/>
      <c r="U558" s="152"/>
      <c r="V558" s="152"/>
      <c r="W558" s="157"/>
    </row>
    <row r="559" ht="15.75" customHeight="1">
      <c r="A559" s="167"/>
      <c r="B559" s="199"/>
      <c r="N559" s="152"/>
      <c r="Q559" s="195"/>
      <c r="S559" s="200"/>
      <c r="T559" s="200"/>
      <c r="U559" s="152"/>
      <c r="V559" s="152"/>
      <c r="W559" s="157"/>
    </row>
    <row r="560" ht="15.75" customHeight="1">
      <c r="A560" s="167"/>
      <c r="B560" s="199"/>
      <c r="N560" s="152"/>
      <c r="Q560" s="195"/>
      <c r="S560" s="200"/>
      <c r="T560" s="200"/>
      <c r="U560" s="152"/>
      <c r="V560" s="152"/>
      <c r="W560" s="157"/>
    </row>
    <row r="561" ht="15.75" customHeight="1">
      <c r="A561" s="167"/>
      <c r="B561" s="199"/>
      <c r="N561" s="152"/>
      <c r="Q561" s="195"/>
      <c r="S561" s="200"/>
      <c r="T561" s="200"/>
      <c r="U561" s="152"/>
      <c r="V561" s="152"/>
      <c r="W561" s="157"/>
    </row>
    <row r="562" ht="15.75" customHeight="1">
      <c r="A562" s="167"/>
      <c r="B562" s="199"/>
      <c r="N562" s="152"/>
      <c r="Q562" s="195"/>
      <c r="S562" s="200"/>
      <c r="T562" s="200"/>
      <c r="U562" s="152"/>
      <c r="V562" s="152"/>
      <c r="W562" s="157"/>
    </row>
    <row r="563" ht="15.75" customHeight="1">
      <c r="A563" s="167"/>
      <c r="B563" s="199"/>
      <c r="N563" s="152"/>
      <c r="Q563" s="195"/>
      <c r="S563" s="200"/>
      <c r="T563" s="200"/>
      <c r="U563" s="152"/>
      <c r="V563" s="152"/>
      <c r="W563" s="157"/>
    </row>
    <row r="564" ht="15.75" customHeight="1">
      <c r="A564" s="167"/>
      <c r="B564" s="199"/>
      <c r="N564" s="152"/>
      <c r="Q564" s="195"/>
      <c r="S564" s="200"/>
      <c r="T564" s="200"/>
      <c r="U564" s="152"/>
      <c r="V564" s="152"/>
      <c r="W564" s="157"/>
    </row>
    <row r="565" ht="15.75" customHeight="1">
      <c r="A565" s="167"/>
      <c r="B565" s="199"/>
      <c r="N565" s="152"/>
      <c r="Q565" s="195"/>
      <c r="S565" s="200"/>
      <c r="T565" s="200"/>
      <c r="U565" s="152"/>
      <c r="V565" s="152"/>
      <c r="W565" s="157"/>
    </row>
    <row r="566" ht="15.75" customHeight="1">
      <c r="A566" s="167"/>
      <c r="B566" s="199"/>
      <c r="N566" s="152"/>
      <c r="Q566" s="195"/>
      <c r="S566" s="200"/>
      <c r="T566" s="200"/>
      <c r="U566" s="152"/>
      <c r="V566" s="152"/>
      <c r="W566" s="157"/>
    </row>
    <row r="567" ht="15.75" customHeight="1">
      <c r="A567" s="167"/>
      <c r="B567" s="199"/>
      <c r="N567" s="152"/>
      <c r="Q567" s="195"/>
      <c r="S567" s="200"/>
      <c r="T567" s="200"/>
      <c r="U567" s="152"/>
      <c r="V567" s="152"/>
      <c r="W567" s="157"/>
    </row>
    <row r="568" ht="15.75" customHeight="1">
      <c r="A568" s="167"/>
      <c r="B568" s="199"/>
      <c r="N568" s="152"/>
      <c r="Q568" s="195"/>
      <c r="S568" s="200"/>
      <c r="T568" s="200"/>
      <c r="U568" s="152"/>
      <c r="V568" s="152"/>
      <c r="W568" s="157"/>
    </row>
    <row r="569" ht="15.75" customHeight="1">
      <c r="A569" s="167"/>
      <c r="B569" s="199"/>
      <c r="N569" s="152"/>
      <c r="Q569" s="195"/>
      <c r="S569" s="200"/>
      <c r="T569" s="200"/>
      <c r="U569" s="152"/>
      <c r="V569" s="152"/>
      <c r="W569" s="157"/>
    </row>
    <row r="570" ht="15.75" customHeight="1">
      <c r="A570" s="167"/>
      <c r="B570" s="199"/>
      <c r="N570" s="152"/>
      <c r="Q570" s="195"/>
      <c r="S570" s="200"/>
      <c r="T570" s="200"/>
      <c r="U570" s="152"/>
      <c r="V570" s="152"/>
      <c r="W570" s="157"/>
    </row>
    <row r="571" ht="15.75" customHeight="1">
      <c r="A571" s="167"/>
      <c r="B571" s="199"/>
      <c r="N571" s="152"/>
      <c r="Q571" s="195"/>
      <c r="S571" s="200"/>
      <c r="T571" s="200"/>
      <c r="U571" s="152"/>
      <c r="V571" s="152"/>
      <c r="W571" s="157"/>
    </row>
    <row r="572" ht="15.75" customHeight="1">
      <c r="A572" s="167"/>
      <c r="B572" s="199"/>
      <c r="N572" s="152"/>
      <c r="Q572" s="195"/>
      <c r="S572" s="200"/>
      <c r="T572" s="200"/>
      <c r="U572" s="152"/>
      <c r="V572" s="152"/>
      <c r="W572" s="157"/>
    </row>
    <row r="573" ht="15.75" customHeight="1">
      <c r="A573" s="167"/>
      <c r="B573" s="199"/>
      <c r="N573" s="152"/>
      <c r="Q573" s="195"/>
      <c r="S573" s="200"/>
      <c r="T573" s="200"/>
      <c r="U573" s="152"/>
      <c r="V573" s="152"/>
      <c r="W573" s="157"/>
    </row>
    <row r="574" ht="15.75" customHeight="1">
      <c r="A574" s="167"/>
      <c r="B574" s="199"/>
      <c r="N574" s="152"/>
      <c r="Q574" s="195"/>
      <c r="S574" s="200"/>
      <c r="T574" s="200"/>
      <c r="U574" s="152"/>
      <c r="V574" s="152"/>
      <c r="W574" s="157"/>
    </row>
    <row r="575" ht="15.75" customHeight="1">
      <c r="A575" s="167"/>
      <c r="B575" s="199"/>
      <c r="N575" s="152"/>
      <c r="Q575" s="195"/>
      <c r="S575" s="200"/>
      <c r="T575" s="200"/>
      <c r="U575" s="152"/>
      <c r="V575" s="152"/>
      <c r="W575" s="157"/>
    </row>
    <row r="576" ht="15.75" customHeight="1">
      <c r="A576" s="167"/>
      <c r="B576" s="199"/>
      <c r="N576" s="152"/>
      <c r="Q576" s="195"/>
      <c r="S576" s="200"/>
      <c r="T576" s="200"/>
      <c r="U576" s="152"/>
      <c r="V576" s="152"/>
      <c r="W576" s="157"/>
    </row>
    <row r="577" ht="15.75" customHeight="1">
      <c r="A577" s="167"/>
      <c r="B577" s="199"/>
      <c r="N577" s="152"/>
      <c r="Q577" s="195"/>
      <c r="S577" s="200"/>
      <c r="T577" s="200"/>
      <c r="U577" s="152"/>
      <c r="V577" s="152"/>
      <c r="W577" s="157"/>
    </row>
    <row r="578" ht="15.75" customHeight="1">
      <c r="A578" s="167"/>
      <c r="B578" s="199"/>
      <c r="N578" s="152"/>
      <c r="Q578" s="195"/>
      <c r="S578" s="200"/>
      <c r="T578" s="200"/>
      <c r="U578" s="152"/>
      <c r="V578" s="152"/>
      <c r="W578" s="157"/>
    </row>
    <row r="579" ht="15.75" customHeight="1">
      <c r="A579" s="167"/>
      <c r="B579" s="199"/>
      <c r="N579" s="152"/>
      <c r="Q579" s="195"/>
      <c r="S579" s="200"/>
      <c r="T579" s="200"/>
      <c r="U579" s="152"/>
      <c r="V579" s="152"/>
      <c r="W579" s="157"/>
    </row>
    <row r="580" ht="15.75" customHeight="1">
      <c r="A580" s="167"/>
      <c r="B580" s="199"/>
      <c r="N580" s="152"/>
      <c r="Q580" s="195"/>
      <c r="S580" s="200"/>
      <c r="T580" s="200"/>
      <c r="U580" s="152"/>
      <c r="V580" s="152"/>
      <c r="W580" s="157"/>
    </row>
    <row r="581" ht="15.75" customHeight="1">
      <c r="A581" s="167"/>
      <c r="B581" s="199"/>
      <c r="N581" s="152"/>
      <c r="Q581" s="195"/>
      <c r="S581" s="200"/>
      <c r="T581" s="200"/>
      <c r="U581" s="152"/>
      <c r="V581" s="152"/>
      <c r="W581" s="157"/>
    </row>
    <row r="582" ht="15.75" customHeight="1">
      <c r="A582" s="167"/>
      <c r="B582" s="199"/>
      <c r="N582" s="152"/>
      <c r="Q582" s="195"/>
      <c r="S582" s="200"/>
      <c r="T582" s="200"/>
      <c r="U582" s="152"/>
      <c r="V582" s="152"/>
      <c r="W582" s="157"/>
    </row>
    <row r="583" ht="15.75" customHeight="1">
      <c r="A583" s="167"/>
      <c r="B583" s="199"/>
      <c r="N583" s="152"/>
      <c r="Q583" s="195"/>
      <c r="S583" s="200"/>
      <c r="T583" s="200"/>
      <c r="U583" s="152"/>
      <c r="V583" s="152"/>
      <c r="W583" s="157"/>
    </row>
    <row r="584" ht="15.75" customHeight="1">
      <c r="A584" s="167"/>
      <c r="B584" s="199"/>
      <c r="N584" s="152"/>
      <c r="Q584" s="195"/>
      <c r="S584" s="200"/>
      <c r="T584" s="200"/>
      <c r="U584" s="152"/>
      <c r="V584" s="152"/>
      <c r="W584" s="157"/>
    </row>
    <row r="585" ht="15.75" customHeight="1">
      <c r="A585" s="167"/>
      <c r="B585" s="199"/>
      <c r="N585" s="152"/>
      <c r="Q585" s="195"/>
      <c r="S585" s="200"/>
      <c r="T585" s="200"/>
      <c r="U585" s="152"/>
      <c r="V585" s="152"/>
      <c r="W585" s="157"/>
    </row>
    <row r="586" ht="15.75" customHeight="1">
      <c r="A586" s="167"/>
      <c r="B586" s="199"/>
      <c r="N586" s="152"/>
      <c r="Q586" s="195"/>
      <c r="S586" s="200"/>
      <c r="T586" s="200"/>
      <c r="U586" s="152"/>
      <c r="V586" s="152"/>
      <c r="W586" s="157"/>
    </row>
    <row r="587" ht="15.75" customHeight="1">
      <c r="A587" s="167"/>
      <c r="B587" s="199"/>
      <c r="N587" s="152"/>
      <c r="Q587" s="195"/>
      <c r="S587" s="200"/>
      <c r="T587" s="200"/>
      <c r="U587" s="152"/>
      <c r="V587" s="152"/>
      <c r="W587" s="157"/>
    </row>
    <row r="588" ht="15.75" customHeight="1">
      <c r="A588" s="167"/>
      <c r="B588" s="199"/>
      <c r="N588" s="152"/>
      <c r="Q588" s="195"/>
      <c r="S588" s="200"/>
      <c r="T588" s="200"/>
      <c r="U588" s="152"/>
      <c r="V588" s="152"/>
      <c r="W588" s="157"/>
    </row>
    <row r="589" ht="15.75" customHeight="1">
      <c r="A589" s="167"/>
      <c r="B589" s="199"/>
      <c r="N589" s="152"/>
      <c r="Q589" s="195"/>
      <c r="S589" s="200"/>
      <c r="T589" s="200"/>
      <c r="U589" s="152"/>
      <c r="V589" s="152"/>
      <c r="W589" s="157"/>
    </row>
    <row r="590" ht="15.75" customHeight="1">
      <c r="A590" s="167"/>
      <c r="B590" s="199"/>
      <c r="N590" s="152"/>
      <c r="Q590" s="195"/>
      <c r="S590" s="200"/>
      <c r="T590" s="200"/>
      <c r="U590" s="152"/>
      <c r="V590" s="152"/>
      <c r="W590" s="157"/>
    </row>
    <row r="591" ht="15.75" customHeight="1">
      <c r="A591" s="167"/>
      <c r="B591" s="199"/>
      <c r="N591" s="152"/>
      <c r="Q591" s="195"/>
      <c r="S591" s="200"/>
      <c r="T591" s="200"/>
      <c r="U591" s="152"/>
      <c r="V591" s="152"/>
      <c r="W591" s="157"/>
    </row>
    <row r="592" ht="15.75" customHeight="1">
      <c r="A592" s="167"/>
      <c r="B592" s="199"/>
      <c r="N592" s="152"/>
      <c r="Q592" s="195"/>
      <c r="S592" s="200"/>
      <c r="T592" s="200"/>
      <c r="U592" s="152"/>
      <c r="V592" s="152"/>
      <c r="W592" s="157"/>
    </row>
    <row r="593" ht="15.75" customHeight="1">
      <c r="A593" s="167"/>
      <c r="B593" s="199"/>
      <c r="N593" s="152"/>
      <c r="Q593" s="195"/>
      <c r="S593" s="200"/>
      <c r="T593" s="200"/>
      <c r="U593" s="152"/>
      <c r="V593" s="152"/>
      <c r="W593" s="157"/>
    </row>
    <row r="594" ht="15.75" customHeight="1">
      <c r="A594" s="167"/>
      <c r="B594" s="199"/>
      <c r="N594" s="152"/>
      <c r="Q594" s="195"/>
      <c r="S594" s="200"/>
      <c r="T594" s="200"/>
      <c r="U594" s="152"/>
      <c r="V594" s="152"/>
      <c r="W594" s="157"/>
    </row>
    <row r="595" ht="15.75" customHeight="1">
      <c r="A595" s="167"/>
      <c r="B595" s="199"/>
      <c r="N595" s="152"/>
      <c r="Q595" s="195"/>
      <c r="S595" s="200"/>
      <c r="T595" s="200"/>
      <c r="U595" s="152"/>
      <c r="V595" s="152"/>
      <c r="W595" s="157"/>
    </row>
    <row r="596" ht="15.75" customHeight="1">
      <c r="A596" s="167"/>
      <c r="B596" s="199"/>
      <c r="N596" s="152"/>
      <c r="Q596" s="195"/>
      <c r="S596" s="200"/>
      <c r="T596" s="200"/>
      <c r="U596" s="152"/>
      <c r="V596" s="152"/>
      <c r="W596" s="157"/>
    </row>
    <row r="597" ht="15.75" customHeight="1">
      <c r="A597" s="167"/>
      <c r="B597" s="199"/>
      <c r="N597" s="152"/>
      <c r="Q597" s="195"/>
      <c r="S597" s="200"/>
      <c r="T597" s="200"/>
      <c r="U597" s="152"/>
      <c r="V597" s="152"/>
      <c r="W597" s="157"/>
    </row>
    <row r="598" ht="15.75" customHeight="1">
      <c r="A598" s="167"/>
      <c r="B598" s="199"/>
      <c r="N598" s="152"/>
      <c r="Q598" s="195"/>
      <c r="S598" s="200"/>
      <c r="T598" s="200"/>
      <c r="U598" s="152"/>
      <c r="V598" s="152"/>
      <c r="W598" s="157"/>
    </row>
    <row r="599" ht="15.75" customHeight="1">
      <c r="A599" s="167"/>
      <c r="B599" s="199"/>
      <c r="N599" s="152"/>
      <c r="Q599" s="195"/>
      <c r="S599" s="200"/>
      <c r="T599" s="200"/>
      <c r="U599" s="152"/>
      <c r="V599" s="152"/>
      <c r="W599" s="157"/>
    </row>
    <row r="600" ht="15.75" customHeight="1">
      <c r="A600" s="167"/>
      <c r="B600" s="199"/>
      <c r="N600" s="152"/>
      <c r="Q600" s="195"/>
      <c r="S600" s="200"/>
      <c r="T600" s="200"/>
      <c r="U600" s="152"/>
      <c r="V600" s="152"/>
      <c r="W600" s="157"/>
    </row>
    <row r="601" ht="15.75" customHeight="1">
      <c r="A601" s="167"/>
      <c r="B601" s="199"/>
      <c r="N601" s="152"/>
      <c r="Q601" s="195"/>
      <c r="S601" s="200"/>
      <c r="T601" s="200"/>
      <c r="U601" s="152"/>
      <c r="V601" s="152"/>
      <c r="W601" s="157"/>
    </row>
    <row r="602" ht="15.75" customHeight="1">
      <c r="A602" s="167"/>
      <c r="B602" s="199"/>
      <c r="N602" s="152"/>
      <c r="Q602" s="195"/>
      <c r="S602" s="200"/>
      <c r="T602" s="200"/>
      <c r="U602" s="152"/>
      <c r="V602" s="152"/>
      <c r="W602" s="157"/>
    </row>
    <row r="603" ht="15.75" customHeight="1">
      <c r="A603" s="167"/>
      <c r="B603" s="199"/>
      <c r="N603" s="152"/>
      <c r="Q603" s="195"/>
      <c r="S603" s="200"/>
      <c r="T603" s="200"/>
      <c r="U603" s="152"/>
      <c r="V603" s="152"/>
      <c r="W603" s="157"/>
    </row>
    <row r="604" ht="15.75" customHeight="1">
      <c r="A604" s="167"/>
      <c r="B604" s="199"/>
      <c r="N604" s="152"/>
      <c r="Q604" s="195"/>
      <c r="S604" s="200"/>
      <c r="T604" s="200"/>
      <c r="U604" s="152"/>
      <c r="V604" s="152"/>
      <c r="W604" s="157"/>
    </row>
    <row r="605" ht="15.75" customHeight="1">
      <c r="A605" s="167"/>
      <c r="B605" s="199"/>
      <c r="N605" s="152"/>
      <c r="Q605" s="195"/>
      <c r="S605" s="200"/>
      <c r="T605" s="200"/>
      <c r="U605" s="152"/>
      <c r="V605" s="152"/>
      <c r="W605" s="157"/>
    </row>
    <row r="606" ht="15.75" customHeight="1">
      <c r="A606" s="167"/>
      <c r="B606" s="199"/>
      <c r="N606" s="152"/>
      <c r="Q606" s="195"/>
      <c r="S606" s="200"/>
      <c r="T606" s="200"/>
      <c r="U606" s="152"/>
      <c r="V606" s="152"/>
      <c r="W606" s="157"/>
    </row>
    <row r="607" ht="15.75" customHeight="1">
      <c r="A607" s="167"/>
      <c r="B607" s="199"/>
      <c r="N607" s="152"/>
      <c r="Q607" s="195"/>
      <c r="S607" s="200"/>
      <c r="T607" s="200"/>
      <c r="U607" s="152"/>
      <c r="V607" s="152"/>
      <c r="W607" s="157"/>
    </row>
    <row r="608" ht="15.75" customHeight="1">
      <c r="A608" s="167"/>
      <c r="B608" s="199"/>
      <c r="N608" s="152"/>
      <c r="Q608" s="195"/>
      <c r="S608" s="200"/>
      <c r="T608" s="200"/>
      <c r="U608" s="152"/>
      <c r="V608" s="152"/>
      <c r="W608" s="157"/>
    </row>
    <row r="609" ht="15.75" customHeight="1">
      <c r="A609" s="167"/>
      <c r="B609" s="199"/>
      <c r="N609" s="152"/>
      <c r="Q609" s="195"/>
      <c r="S609" s="200"/>
      <c r="T609" s="200"/>
      <c r="U609" s="152"/>
      <c r="V609" s="152"/>
      <c r="W609" s="157"/>
    </row>
    <row r="610" ht="15.75" customHeight="1">
      <c r="A610" s="167"/>
      <c r="B610" s="199"/>
      <c r="N610" s="152"/>
      <c r="Q610" s="195"/>
      <c r="S610" s="200"/>
      <c r="T610" s="200"/>
      <c r="U610" s="152"/>
      <c r="V610" s="152"/>
      <c r="W610" s="157"/>
    </row>
    <row r="611" ht="15.75" customHeight="1">
      <c r="A611" s="167"/>
      <c r="B611" s="199"/>
      <c r="N611" s="152"/>
      <c r="Q611" s="195"/>
      <c r="S611" s="200"/>
      <c r="T611" s="200"/>
      <c r="U611" s="152"/>
      <c r="V611" s="152"/>
      <c r="W611" s="157"/>
    </row>
    <row r="612" ht="15.75" customHeight="1">
      <c r="A612" s="167"/>
      <c r="B612" s="199"/>
      <c r="N612" s="152"/>
      <c r="Q612" s="195"/>
      <c r="S612" s="200"/>
      <c r="T612" s="200"/>
      <c r="U612" s="152"/>
      <c r="V612" s="152"/>
      <c r="W612" s="157"/>
    </row>
    <row r="613" ht="15.75" customHeight="1">
      <c r="A613" s="167"/>
      <c r="B613" s="199"/>
      <c r="N613" s="152"/>
      <c r="Q613" s="195"/>
      <c r="S613" s="200"/>
      <c r="T613" s="200"/>
      <c r="U613" s="152"/>
      <c r="V613" s="152"/>
      <c r="W613" s="157"/>
    </row>
    <row r="614" ht="15.75" customHeight="1">
      <c r="A614" s="167"/>
      <c r="B614" s="199"/>
      <c r="N614" s="152"/>
      <c r="Q614" s="195"/>
      <c r="S614" s="200"/>
      <c r="T614" s="200"/>
      <c r="U614" s="152"/>
      <c r="V614" s="152"/>
      <c r="W614" s="157"/>
    </row>
    <row r="615" ht="15.75" customHeight="1">
      <c r="A615" s="167"/>
      <c r="B615" s="199"/>
      <c r="N615" s="152"/>
      <c r="Q615" s="195"/>
      <c r="S615" s="200"/>
      <c r="T615" s="200"/>
      <c r="U615" s="152"/>
      <c r="V615" s="152"/>
      <c r="W615" s="157"/>
    </row>
    <row r="616" ht="15.75" customHeight="1">
      <c r="A616" s="167"/>
      <c r="B616" s="199"/>
      <c r="N616" s="152"/>
      <c r="Q616" s="195"/>
      <c r="S616" s="200"/>
      <c r="T616" s="200"/>
      <c r="U616" s="152"/>
      <c r="V616" s="152"/>
      <c r="W616" s="157"/>
    </row>
    <row r="617" ht="15.75" customHeight="1">
      <c r="A617" s="167"/>
      <c r="B617" s="199"/>
      <c r="N617" s="152"/>
      <c r="Q617" s="195"/>
      <c r="S617" s="200"/>
      <c r="T617" s="200"/>
      <c r="U617" s="152"/>
      <c r="V617" s="152"/>
      <c r="W617" s="157"/>
    </row>
    <row r="618" ht="15.75" customHeight="1">
      <c r="A618" s="167"/>
      <c r="B618" s="199"/>
      <c r="N618" s="152"/>
      <c r="Q618" s="195"/>
      <c r="S618" s="200"/>
      <c r="T618" s="200"/>
      <c r="U618" s="152"/>
      <c r="V618" s="152"/>
      <c r="W618" s="157"/>
    </row>
    <row r="619" ht="15.75" customHeight="1">
      <c r="A619" s="167"/>
      <c r="B619" s="199"/>
      <c r="N619" s="152"/>
      <c r="Q619" s="195"/>
      <c r="S619" s="200"/>
      <c r="T619" s="200"/>
      <c r="U619" s="152"/>
      <c r="V619" s="152"/>
      <c r="W619" s="157"/>
    </row>
    <row r="620" ht="15.75" customHeight="1">
      <c r="A620" s="167"/>
      <c r="B620" s="199"/>
      <c r="N620" s="152"/>
      <c r="Q620" s="195"/>
      <c r="S620" s="200"/>
      <c r="T620" s="200"/>
      <c r="U620" s="152"/>
      <c r="V620" s="152"/>
      <c r="W620" s="157"/>
    </row>
    <row r="621" ht="15.75" customHeight="1">
      <c r="A621" s="167"/>
      <c r="B621" s="199"/>
      <c r="N621" s="152"/>
      <c r="Q621" s="195"/>
      <c r="S621" s="200"/>
      <c r="T621" s="200"/>
      <c r="U621" s="152"/>
      <c r="V621" s="152"/>
      <c r="W621" s="157"/>
    </row>
    <row r="622" ht="15.75" customHeight="1">
      <c r="A622" s="167"/>
      <c r="B622" s="199"/>
      <c r="N622" s="152"/>
      <c r="Q622" s="195"/>
      <c r="S622" s="200"/>
      <c r="T622" s="200"/>
      <c r="U622" s="152"/>
      <c r="V622" s="152"/>
      <c r="W622" s="157"/>
    </row>
    <row r="623" ht="15.75" customHeight="1">
      <c r="A623" s="167"/>
      <c r="B623" s="199"/>
      <c r="N623" s="152"/>
      <c r="Q623" s="195"/>
      <c r="S623" s="200"/>
      <c r="T623" s="200"/>
      <c r="U623" s="152"/>
      <c r="V623" s="152"/>
      <c r="W623" s="157"/>
    </row>
    <row r="624" ht="15.75" customHeight="1">
      <c r="A624" s="167"/>
      <c r="B624" s="199"/>
      <c r="N624" s="152"/>
      <c r="Q624" s="195"/>
      <c r="S624" s="200"/>
      <c r="T624" s="200"/>
      <c r="U624" s="152"/>
      <c r="V624" s="152"/>
      <c r="W624" s="157"/>
    </row>
    <row r="625" ht="15.75" customHeight="1">
      <c r="A625" s="167"/>
      <c r="B625" s="199"/>
      <c r="N625" s="152"/>
      <c r="Q625" s="195"/>
      <c r="S625" s="200"/>
      <c r="T625" s="200"/>
      <c r="U625" s="152"/>
      <c r="V625" s="152"/>
      <c r="W625" s="157"/>
    </row>
    <row r="626" ht="15.75" customHeight="1">
      <c r="A626" s="167"/>
      <c r="B626" s="199"/>
      <c r="N626" s="152"/>
      <c r="Q626" s="195"/>
      <c r="S626" s="200"/>
      <c r="T626" s="200"/>
      <c r="U626" s="152"/>
      <c r="V626" s="152"/>
      <c r="W626" s="157"/>
    </row>
    <row r="627" ht="15.75" customHeight="1">
      <c r="A627" s="167"/>
      <c r="B627" s="199"/>
      <c r="N627" s="152"/>
      <c r="Q627" s="195"/>
      <c r="S627" s="200"/>
      <c r="T627" s="200"/>
      <c r="U627" s="152"/>
      <c r="V627" s="152"/>
      <c r="W627" s="157"/>
    </row>
    <row r="628" ht="15.75" customHeight="1">
      <c r="A628" s="167"/>
      <c r="B628" s="199"/>
      <c r="N628" s="152"/>
      <c r="Q628" s="195"/>
      <c r="S628" s="200"/>
      <c r="T628" s="200"/>
      <c r="U628" s="152"/>
      <c r="V628" s="152"/>
      <c r="W628" s="157"/>
    </row>
    <row r="629" ht="15.75" customHeight="1">
      <c r="A629" s="167"/>
      <c r="B629" s="199"/>
      <c r="N629" s="152"/>
      <c r="Q629" s="195"/>
      <c r="S629" s="200"/>
      <c r="T629" s="200"/>
      <c r="U629" s="152"/>
      <c r="V629" s="152"/>
      <c r="W629" s="157"/>
    </row>
    <row r="630" ht="15.75" customHeight="1">
      <c r="A630" s="167"/>
      <c r="B630" s="199"/>
      <c r="N630" s="152"/>
      <c r="Q630" s="195"/>
      <c r="S630" s="200"/>
      <c r="T630" s="200"/>
      <c r="U630" s="152"/>
      <c r="V630" s="152"/>
      <c r="W630" s="157"/>
    </row>
    <row r="631" ht="15.75" customHeight="1">
      <c r="A631" s="167"/>
      <c r="B631" s="199"/>
      <c r="N631" s="152"/>
      <c r="Q631" s="195"/>
      <c r="S631" s="200"/>
      <c r="T631" s="200"/>
      <c r="U631" s="152"/>
      <c r="V631" s="152"/>
      <c r="W631" s="157"/>
    </row>
    <row r="632" ht="15.75" customHeight="1">
      <c r="A632" s="167"/>
      <c r="B632" s="199"/>
      <c r="N632" s="152"/>
      <c r="Q632" s="195"/>
      <c r="S632" s="200"/>
      <c r="T632" s="200"/>
      <c r="U632" s="152"/>
      <c r="V632" s="152"/>
      <c r="W632" s="157"/>
    </row>
    <row r="633" ht="15.75" customHeight="1">
      <c r="A633" s="167"/>
      <c r="B633" s="199"/>
      <c r="N633" s="152"/>
      <c r="Q633" s="195"/>
      <c r="S633" s="200"/>
      <c r="T633" s="200"/>
      <c r="U633" s="152"/>
      <c r="V633" s="152"/>
      <c r="W633" s="157"/>
    </row>
    <row r="634" ht="15.75" customHeight="1">
      <c r="A634" s="167"/>
      <c r="B634" s="199"/>
      <c r="N634" s="152"/>
      <c r="Q634" s="195"/>
      <c r="S634" s="200"/>
      <c r="T634" s="200"/>
      <c r="U634" s="152"/>
      <c r="V634" s="152"/>
      <c r="W634" s="157"/>
    </row>
    <row r="635" ht="15.75" customHeight="1">
      <c r="A635" s="167"/>
      <c r="B635" s="199"/>
      <c r="N635" s="152"/>
      <c r="Q635" s="195"/>
      <c r="S635" s="200"/>
      <c r="T635" s="200"/>
      <c r="U635" s="152"/>
      <c r="V635" s="152"/>
      <c r="W635" s="157"/>
    </row>
    <row r="636" ht="15.75" customHeight="1">
      <c r="A636" s="167"/>
      <c r="B636" s="199"/>
      <c r="N636" s="152"/>
      <c r="Q636" s="195"/>
      <c r="S636" s="200"/>
      <c r="T636" s="200"/>
      <c r="U636" s="152"/>
      <c r="V636" s="152"/>
      <c r="W636" s="157"/>
    </row>
    <row r="637" ht="15.75" customHeight="1">
      <c r="A637" s="167"/>
      <c r="B637" s="199"/>
      <c r="N637" s="152"/>
      <c r="Q637" s="195"/>
      <c r="S637" s="200"/>
      <c r="T637" s="200"/>
      <c r="U637" s="152"/>
      <c r="V637" s="152"/>
      <c r="W637" s="157"/>
    </row>
    <row r="638" ht="15.75" customHeight="1">
      <c r="A638" s="167"/>
      <c r="B638" s="199"/>
      <c r="N638" s="152"/>
      <c r="Q638" s="195"/>
      <c r="S638" s="200"/>
      <c r="T638" s="200"/>
      <c r="U638" s="152"/>
      <c r="V638" s="152"/>
      <c r="W638" s="157"/>
    </row>
    <row r="639" ht="15.75" customHeight="1">
      <c r="A639" s="167"/>
      <c r="B639" s="199"/>
      <c r="N639" s="152"/>
      <c r="Q639" s="195"/>
      <c r="S639" s="200"/>
      <c r="T639" s="200"/>
      <c r="U639" s="152"/>
      <c r="V639" s="152"/>
      <c r="W639" s="157"/>
    </row>
    <row r="640" ht="15.75" customHeight="1">
      <c r="A640" s="167"/>
      <c r="B640" s="199"/>
      <c r="N640" s="152"/>
      <c r="Q640" s="195"/>
      <c r="S640" s="200"/>
      <c r="T640" s="200"/>
      <c r="U640" s="152"/>
      <c r="V640" s="152"/>
      <c r="W640" s="157"/>
    </row>
    <row r="641" ht="15.75" customHeight="1">
      <c r="A641" s="167"/>
      <c r="B641" s="199"/>
      <c r="N641" s="152"/>
      <c r="Q641" s="195"/>
      <c r="S641" s="200"/>
      <c r="T641" s="200"/>
      <c r="U641" s="152"/>
      <c r="V641" s="152"/>
      <c r="W641" s="157"/>
    </row>
    <row r="642" ht="15.75" customHeight="1">
      <c r="A642" s="167"/>
      <c r="B642" s="199"/>
      <c r="N642" s="152"/>
      <c r="Q642" s="195"/>
      <c r="S642" s="200"/>
      <c r="T642" s="200"/>
      <c r="U642" s="152"/>
      <c r="V642" s="152"/>
      <c r="W642" s="157"/>
    </row>
    <row r="643" ht="15.75" customHeight="1">
      <c r="A643" s="167"/>
      <c r="B643" s="199"/>
      <c r="N643" s="152"/>
      <c r="Q643" s="195"/>
      <c r="S643" s="200"/>
      <c r="T643" s="200"/>
      <c r="U643" s="152"/>
      <c r="V643" s="152"/>
      <c r="W643" s="157"/>
    </row>
    <row r="644" ht="15.75" customHeight="1">
      <c r="A644" s="167"/>
      <c r="B644" s="199"/>
      <c r="N644" s="152"/>
      <c r="Q644" s="195"/>
      <c r="S644" s="200"/>
      <c r="T644" s="200"/>
      <c r="U644" s="152"/>
      <c r="V644" s="152"/>
      <c r="W644" s="157"/>
    </row>
    <row r="645" ht="15.75" customHeight="1">
      <c r="A645" s="167"/>
      <c r="B645" s="199"/>
      <c r="N645" s="152"/>
      <c r="Q645" s="195"/>
      <c r="S645" s="200"/>
      <c r="T645" s="200"/>
      <c r="U645" s="152"/>
      <c r="V645" s="152"/>
      <c r="W645" s="157"/>
    </row>
    <row r="646" ht="15.75" customHeight="1">
      <c r="A646" s="167"/>
      <c r="B646" s="199"/>
      <c r="N646" s="152"/>
      <c r="Q646" s="195"/>
      <c r="S646" s="200"/>
      <c r="T646" s="200"/>
      <c r="U646" s="152"/>
      <c r="V646" s="152"/>
      <c r="W646" s="157"/>
    </row>
    <row r="647" ht="15.75" customHeight="1">
      <c r="A647" s="167"/>
      <c r="B647" s="199"/>
      <c r="N647" s="152"/>
      <c r="Q647" s="195"/>
      <c r="S647" s="200"/>
      <c r="T647" s="200"/>
      <c r="U647" s="152"/>
      <c r="V647" s="152"/>
      <c r="W647" s="157"/>
    </row>
    <row r="648" ht="15.75" customHeight="1">
      <c r="A648" s="167"/>
      <c r="B648" s="199"/>
      <c r="N648" s="152"/>
      <c r="Q648" s="195"/>
      <c r="S648" s="200"/>
      <c r="T648" s="200"/>
      <c r="U648" s="152"/>
      <c r="V648" s="152"/>
      <c r="W648" s="157"/>
    </row>
    <row r="649" ht="15.75" customHeight="1">
      <c r="A649" s="167"/>
      <c r="B649" s="199"/>
      <c r="N649" s="152"/>
      <c r="Q649" s="195"/>
      <c r="S649" s="200"/>
      <c r="T649" s="200"/>
      <c r="U649" s="152"/>
      <c r="V649" s="152"/>
      <c r="W649" s="157"/>
    </row>
    <row r="650" ht="15.75" customHeight="1">
      <c r="A650" s="167"/>
      <c r="B650" s="199"/>
      <c r="N650" s="152"/>
      <c r="Q650" s="195"/>
      <c r="S650" s="200"/>
      <c r="T650" s="200"/>
      <c r="U650" s="152"/>
      <c r="V650" s="152"/>
      <c r="W650" s="157"/>
    </row>
    <row r="651" ht="15.75" customHeight="1">
      <c r="A651" s="167"/>
      <c r="B651" s="199"/>
      <c r="N651" s="152"/>
      <c r="Q651" s="195"/>
      <c r="S651" s="200"/>
      <c r="T651" s="200"/>
      <c r="U651" s="152"/>
      <c r="V651" s="152"/>
      <c r="W651" s="157"/>
    </row>
    <row r="652" ht="15.75" customHeight="1">
      <c r="A652" s="167"/>
      <c r="B652" s="199"/>
      <c r="N652" s="152"/>
      <c r="Q652" s="195"/>
      <c r="S652" s="200"/>
      <c r="T652" s="200"/>
      <c r="U652" s="152"/>
      <c r="V652" s="152"/>
      <c r="W652" s="157"/>
    </row>
    <row r="653" ht="15.75" customHeight="1">
      <c r="A653" s="167"/>
      <c r="B653" s="199"/>
      <c r="N653" s="152"/>
      <c r="Q653" s="195"/>
      <c r="S653" s="200"/>
      <c r="T653" s="200"/>
      <c r="U653" s="152"/>
      <c r="V653" s="152"/>
      <c r="W653" s="157"/>
    </row>
    <row r="654" ht="15.75" customHeight="1">
      <c r="A654" s="167"/>
      <c r="B654" s="199"/>
      <c r="N654" s="152"/>
      <c r="Q654" s="195"/>
      <c r="S654" s="200"/>
      <c r="T654" s="200"/>
      <c r="U654" s="152"/>
      <c r="V654" s="152"/>
      <c r="W654" s="157"/>
    </row>
    <row r="655" ht="15.75" customHeight="1">
      <c r="A655" s="167"/>
      <c r="B655" s="199"/>
      <c r="N655" s="152"/>
      <c r="Q655" s="195"/>
      <c r="S655" s="200"/>
      <c r="T655" s="200"/>
      <c r="U655" s="152"/>
      <c r="V655" s="152"/>
      <c r="W655" s="157"/>
    </row>
    <row r="656" ht="15.75" customHeight="1">
      <c r="A656" s="167"/>
      <c r="B656" s="199"/>
      <c r="N656" s="152"/>
      <c r="Q656" s="195"/>
      <c r="S656" s="200"/>
      <c r="T656" s="200"/>
      <c r="U656" s="152"/>
      <c r="V656" s="152"/>
      <c r="W656" s="157"/>
    </row>
    <row r="657" ht="15.75" customHeight="1">
      <c r="A657" s="167"/>
      <c r="B657" s="199"/>
      <c r="N657" s="152"/>
      <c r="Q657" s="195"/>
      <c r="S657" s="200"/>
      <c r="T657" s="200"/>
      <c r="U657" s="152"/>
      <c r="V657" s="152"/>
      <c r="W657" s="157"/>
    </row>
    <row r="658" ht="15.75" customHeight="1">
      <c r="A658" s="167"/>
      <c r="B658" s="199"/>
      <c r="N658" s="152"/>
      <c r="Q658" s="195"/>
      <c r="S658" s="200"/>
      <c r="T658" s="200"/>
      <c r="U658" s="152"/>
      <c r="V658" s="152"/>
      <c r="W658" s="157"/>
    </row>
    <row r="659" ht="15.75" customHeight="1">
      <c r="A659" s="167"/>
      <c r="B659" s="199"/>
      <c r="N659" s="152"/>
      <c r="Q659" s="195"/>
      <c r="S659" s="200"/>
      <c r="T659" s="200"/>
      <c r="U659" s="152"/>
      <c r="V659" s="152"/>
      <c r="W659" s="157"/>
    </row>
    <row r="660" ht="15.75" customHeight="1">
      <c r="A660" s="167"/>
      <c r="B660" s="199"/>
      <c r="N660" s="152"/>
      <c r="Q660" s="195"/>
      <c r="S660" s="200"/>
      <c r="T660" s="200"/>
      <c r="U660" s="152"/>
      <c r="V660" s="152"/>
      <c r="W660" s="157"/>
    </row>
    <row r="661" ht="15.75" customHeight="1">
      <c r="A661" s="167"/>
      <c r="B661" s="199"/>
      <c r="N661" s="152"/>
      <c r="Q661" s="195"/>
      <c r="S661" s="200"/>
      <c r="T661" s="200"/>
      <c r="U661" s="152"/>
      <c r="V661" s="152"/>
      <c r="W661" s="157"/>
    </row>
    <row r="662" ht="15.75" customHeight="1">
      <c r="A662" s="167"/>
      <c r="B662" s="199"/>
      <c r="N662" s="152"/>
      <c r="Q662" s="195"/>
      <c r="S662" s="200"/>
      <c r="T662" s="200"/>
      <c r="U662" s="152"/>
      <c r="V662" s="152"/>
      <c r="W662" s="157"/>
    </row>
    <row r="663" ht="15.75" customHeight="1">
      <c r="A663" s="167"/>
      <c r="B663" s="199"/>
      <c r="N663" s="152"/>
      <c r="Q663" s="195"/>
      <c r="S663" s="200"/>
      <c r="T663" s="200"/>
      <c r="U663" s="152"/>
      <c r="V663" s="152"/>
      <c r="W663" s="157"/>
    </row>
    <row r="664" ht="15.75" customHeight="1">
      <c r="A664" s="167"/>
      <c r="B664" s="199"/>
      <c r="N664" s="152"/>
      <c r="Q664" s="195"/>
      <c r="S664" s="200"/>
      <c r="T664" s="200"/>
      <c r="U664" s="152"/>
      <c r="V664" s="152"/>
      <c r="W664" s="157"/>
    </row>
    <row r="665" ht="15.75" customHeight="1">
      <c r="A665" s="167"/>
      <c r="B665" s="199"/>
      <c r="N665" s="152"/>
      <c r="Q665" s="195"/>
      <c r="S665" s="200"/>
      <c r="T665" s="200"/>
      <c r="U665" s="152"/>
      <c r="V665" s="152"/>
      <c r="W665" s="157"/>
    </row>
    <row r="666" ht="15.75" customHeight="1">
      <c r="A666" s="167"/>
      <c r="B666" s="199"/>
      <c r="N666" s="152"/>
      <c r="Q666" s="195"/>
      <c r="S666" s="200"/>
      <c r="T666" s="200"/>
      <c r="U666" s="152"/>
      <c r="V666" s="152"/>
      <c r="W666" s="157"/>
    </row>
    <row r="667" ht="15.75" customHeight="1">
      <c r="A667" s="167"/>
      <c r="B667" s="199"/>
      <c r="N667" s="152"/>
      <c r="Q667" s="195"/>
      <c r="S667" s="200"/>
      <c r="T667" s="200"/>
      <c r="U667" s="152"/>
      <c r="V667" s="152"/>
      <c r="W667" s="157"/>
    </row>
    <row r="668" ht="15.75" customHeight="1">
      <c r="A668" s="167"/>
      <c r="B668" s="199"/>
      <c r="N668" s="152"/>
      <c r="Q668" s="195"/>
      <c r="S668" s="200"/>
      <c r="T668" s="200"/>
      <c r="U668" s="152"/>
      <c r="V668" s="152"/>
      <c r="W668" s="157"/>
    </row>
    <row r="669" ht="15.75" customHeight="1">
      <c r="A669" s="167"/>
      <c r="B669" s="199"/>
      <c r="N669" s="152"/>
      <c r="Q669" s="195"/>
      <c r="S669" s="200"/>
      <c r="T669" s="200"/>
      <c r="U669" s="152"/>
      <c r="V669" s="152"/>
      <c r="W669" s="157"/>
    </row>
    <row r="670" ht="15.75" customHeight="1">
      <c r="A670" s="167"/>
      <c r="B670" s="199"/>
      <c r="N670" s="152"/>
      <c r="Q670" s="195"/>
      <c r="S670" s="200"/>
      <c r="T670" s="200"/>
      <c r="U670" s="152"/>
      <c r="V670" s="152"/>
      <c r="W670" s="157"/>
    </row>
    <row r="671" ht="15.75" customHeight="1">
      <c r="A671" s="167"/>
      <c r="B671" s="199"/>
      <c r="N671" s="152"/>
      <c r="Q671" s="195"/>
      <c r="S671" s="200"/>
      <c r="T671" s="200"/>
      <c r="U671" s="152"/>
      <c r="V671" s="152"/>
      <c r="W671" s="157"/>
    </row>
    <row r="672" ht="15.75" customHeight="1">
      <c r="A672" s="167"/>
      <c r="B672" s="199"/>
      <c r="N672" s="152"/>
      <c r="Q672" s="195"/>
      <c r="S672" s="200"/>
      <c r="T672" s="200"/>
      <c r="U672" s="152"/>
      <c r="V672" s="152"/>
      <c r="W672" s="157"/>
    </row>
    <row r="673" ht="15.75" customHeight="1">
      <c r="A673" s="167"/>
      <c r="B673" s="199"/>
      <c r="N673" s="152"/>
      <c r="Q673" s="195"/>
      <c r="S673" s="200"/>
      <c r="T673" s="200"/>
      <c r="U673" s="152"/>
      <c r="V673" s="152"/>
      <c r="W673" s="157"/>
    </row>
    <row r="674" ht="15.75" customHeight="1">
      <c r="A674" s="167"/>
      <c r="B674" s="199"/>
      <c r="N674" s="152"/>
      <c r="Q674" s="195"/>
      <c r="S674" s="200"/>
      <c r="T674" s="200"/>
      <c r="U674" s="152"/>
      <c r="V674" s="152"/>
      <c r="W674" s="157"/>
    </row>
    <row r="675" ht="15.75" customHeight="1">
      <c r="A675" s="167"/>
      <c r="B675" s="199"/>
      <c r="N675" s="152"/>
      <c r="Q675" s="195"/>
      <c r="S675" s="200"/>
      <c r="T675" s="200"/>
      <c r="U675" s="152"/>
      <c r="V675" s="152"/>
      <c r="W675" s="157"/>
    </row>
    <row r="676" ht="15.75" customHeight="1">
      <c r="A676" s="167"/>
      <c r="B676" s="199"/>
      <c r="N676" s="152"/>
      <c r="Q676" s="195"/>
      <c r="S676" s="200"/>
      <c r="T676" s="200"/>
      <c r="U676" s="152"/>
      <c r="V676" s="152"/>
      <c r="W676" s="157"/>
    </row>
    <row r="677" ht="15.75" customHeight="1">
      <c r="A677" s="167"/>
      <c r="B677" s="199"/>
      <c r="N677" s="152"/>
      <c r="Q677" s="195"/>
      <c r="S677" s="200"/>
      <c r="T677" s="200"/>
      <c r="U677" s="152"/>
      <c r="V677" s="152"/>
      <c r="W677" s="157"/>
    </row>
    <row r="678" ht="15.75" customHeight="1">
      <c r="A678" s="167"/>
      <c r="B678" s="199"/>
      <c r="N678" s="152"/>
      <c r="Q678" s="195"/>
      <c r="S678" s="200"/>
      <c r="T678" s="200"/>
      <c r="U678" s="152"/>
      <c r="V678" s="152"/>
      <c r="W678" s="157"/>
    </row>
    <row r="679" ht="15.75" customHeight="1">
      <c r="A679" s="167"/>
      <c r="B679" s="199"/>
      <c r="N679" s="152"/>
      <c r="Q679" s="195"/>
      <c r="S679" s="200"/>
      <c r="T679" s="200"/>
      <c r="U679" s="152"/>
      <c r="V679" s="152"/>
      <c r="W679" s="157"/>
    </row>
    <row r="680" ht="15.75" customHeight="1">
      <c r="A680" s="167"/>
      <c r="B680" s="199"/>
      <c r="N680" s="152"/>
      <c r="Q680" s="195"/>
      <c r="S680" s="200"/>
      <c r="T680" s="200"/>
      <c r="U680" s="152"/>
      <c r="V680" s="152"/>
      <c r="W680" s="157"/>
    </row>
    <row r="681" ht="15.75" customHeight="1">
      <c r="A681" s="167"/>
      <c r="B681" s="199"/>
      <c r="N681" s="152"/>
      <c r="Q681" s="195"/>
      <c r="S681" s="200"/>
      <c r="T681" s="200"/>
      <c r="U681" s="152"/>
      <c r="V681" s="152"/>
      <c r="W681" s="157"/>
    </row>
    <row r="682" ht="15.75" customHeight="1">
      <c r="A682" s="167"/>
      <c r="B682" s="199"/>
      <c r="N682" s="152"/>
      <c r="Q682" s="195"/>
      <c r="S682" s="200"/>
      <c r="T682" s="200"/>
      <c r="U682" s="152"/>
      <c r="V682" s="152"/>
      <c r="W682" s="157"/>
    </row>
    <row r="683" ht="15.75" customHeight="1">
      <c r="A683" s="167"/>
      <c r="B683" s="199"/>
      <c r="N683" s="152"/>
      <c r="Q683" s="195"/>
      <c r="S683" s="200"/>
      <c r="T683" s="200"/>
      <c r="U683" s="152"/>
      <c r="V683" s="152"/>
      <c r="W683" s="157"/>
    </row>
    <row r="684" ht="15.75" customHeight="1">
      <c r="A684" s="167"/>
      <c r="B684" s="199"/>
      <c r="N684" s="152"/>
      <c r="Q684" s="195"/>
      <c r="S684" s="200"/>
      <c r="T684" s="200"/>
      <c r="U684" s="152"/>
      <c r="V684" s="152"/>
      <c r="W684" s="157"/>
    </row>
    <row r="685" ht="15.75" customHeight="1">
      <c r="A685" s="167"/>
      <c r="B685" s="199"/>
      <c r="N685" s="152"/>
      <c r="Q685" s="195"/>
      <c r="S685" s="200"/>
      <c r="T685" s="200"/>
      <c r="U685" s="152"/>
      <c r="V685" s="152"/>
      <c r="W685" s="157"/>
    </row>
    <row r="686" ht="15.75" customHeight="1">
      <c r="A686" s="167"/>
      <c r="B686" s="199"/>
      <c r="N686" s="152"/>
      <c r="Q686" s="195"/>
      <c r="S686" s="200"/>
      <c r="T686" s="200"/>
      <c r="U686" s="152"/>
      <c r="V686" s="152"/>
      <c r="W686" s="157"/>
    </row>
    <row r="687" ht="15.75" customHeight="1">
      <c r="A687" s="167"/>
      <c r="B687" s="199"/>
      <c r="N687" s="152"/>
      <c r="Q687" s="195"/>
      <c r="S687" s="200"/>
      <c r="T687" s="200"/>
      <c r="U687" s="152"/>
      <c r="V687" s="152"/>
      <c r="W687" s="157"/>
    </row>
    <row r="688" ht="15.75" customHeight="1">
      <c r="A688" s="167"/>
      <c r="B688" s="199"/>
      <c r="N688" s="152"/>
      <c r="Q688" s="195"/>
      <c r="S688" s="200"/>
      <c r="T688" s="200"/>
      <c r="U688" s="152"/>
      <c r="V688" s="152"/>
      <c r="W688" s="157"/>
    </row>
    <row r="689" ht="15.75" customHeight="1">
      <c r="A689" s="167"/>
      <c r="B689" s="199"/>
      <c r="N689" s="152"/>
      <c r="Q689" s="195"/>
      <c r="S689" s="200"/>
      <c r="T689" s="200"/>
      <c r="U689" s="152"/>
      <c r="V689" s="152"/>
      <c r="W689" s="157"/>
    </row>
    <row r="690" ht="15.75" customHeight="1">
      <c r="A690" s="167"/>
      <c r="B690" s="199"/>
      <c r="N690" s="152"/>
      <c r="Q690" s="195"/>
      <c r="S690" s="200"/>
      <c r="T690" s="200"/>
      <c r="U690" s="152"/>
      <c r="V690" s="152"/>
      <c r="W690" s="157"/>
    </row>
    <row r="691" ht="15.75" customHeight="1">
      <c r="A691" s="167"/>
      <c r="B691" s="199"/>
      <c r="N691" s="152"/>
      <c r="Q691" s="195"/>
      <c r="S691" s="200"/>
      <c r="T691" s="200"/>
      <c r="U691" s="152"/>
      <c r="V691" s="152"/>
      <c r="W691" s="157"/>
    </row>
    <row r="692" ht="15.75" customHeight="1">
      <c r="A692" s="167"/>
      <c r="B692" s="199"/>
      <c r="N692" s="152"/>
      <c r="Q692" s="195"/>
      <c r="S692" s="200"/>
      <c r="T692" s="200"/>
      <c r="U692" s="152"/>
      <c r="V692" s="152"/>
      <c r="W692" s="157"/>
    </row>
    <row r="693" ht="15.75" customHeight="1">
      <c r="A693" s="167"/>
      <c r="B693" s="199"/>
      <c r="N693" s="152"/>
      <c r="Q693" s="195"/>
      <c r="S693" s="200"/>
      <c r="T693" s="200"/>
      <c r="U693" s="152"/>
      <c r="V693" s="152"/>
      <c r="W693" s="157"/>
    </row>
    <row r="694" ht="15.75" customHeight="1">
      <c r="A694" s="167"/>
      <c r="B694" s="199"/>
      <c r="N694" s="152"/>
      <c r="Q694" s="195"/>
      <c r="S694" s="200"/>
      <c r="T694" s="200"/>
      <c r="U694" s="152"/>
      <c r="V694" s="152"/>
      <c r="W694" s="157"/>
    </row>
    <row r="695" ht="15.75" customHeight="1">
      <c r="A695" s="167"/>
      <c r="B695" s="199"/>
      <c r="N695" s="152"/>
      <c r="Q695" s="195"/>
      <c r="S695" s="200"/>
      <c r="T695" s="200"/>
      <c r="U695" s="152"/>
      <c r="V695" s="152"/>
      <c r="W695" s="157"/>
    </row>
    <row r="696" ht="15.75" customHeight="1">
      <c r="A696" s="167"/>
      <c r="B696" s="199"/>
      <c r="N696" s="152"/>
      <c r="Q696" s="195"/>
      <c r="S696" s="200"/>
      <c r="T696" s="200"/>
      <c r="U696" s="152"/>
      <c r="V696" s="152"/>
      <c r="W696" s="157"/>
    </row>
    <row r="697" ht="15.75" customHeight="1">
      <c r="A697" s="167"/>
      <c r="B697" s="199"/>
      <c r="N697" s="152"/>
      <c r="Q697" s="195"/>
      <c r="S697" s="200"/>
      <c r="T697" s="200"/>
      <c r="U697" s="152"/>
      <c r="V697" s="152"/>
      <c r="W697" s="157"/>
    </row>
    <row r="698" ht="15.75" customHeight="1">
      <c r="A698" s="167"/>
      <c r="B698" s="199"/>
      <c r="N698" s="152"/>
      <c r="Q698" s="195"/>
      <c r="S698" s="200"/>
      <c r="T698" s="200"/>
      <c r="U698" s="152"/>
      <c r="V698" s="152"/>
      <c r="W698" s="157"/>
    </row>
    <row r="699" ht="15.75" customHeight="1">
      <c r="A699" s="167"/>
      <c r="B699" s="199"/>
      <c r="N699" s="152"/>
      <c r="Q699" s="195"/>
      <c r="S699" s="200"/>
      <c r="T699" s="200"/>
      <c r="U699" s="152"/>
      <c r="V699" s="152"/>
      <c r="W699" s="157"/>
    </row>
    <row r="700" ht="15.75" customHeight="1">
      <c r="A700" s="167"/>
      <c r="B700" s="199"/>
      <c r="N700" s="152"/>
      <c r="Q700" s="195"/>
      <c r="S700" s="200"/>
      <c r="T700" s="200"/>
      <c r="U700" s="152"/>
      <c r="V700" s="152"/>
      <c r="W700" s="157"/>
    </row>
    <row r="701" ht="15.75" customHeight="1">
      <c r="A701" s="167"/>
      <c r="B701" s="199"/>
      <c r="N701" s="152"/>
      <c r="Q701" s="195"/>
      <c r="S701" s="200"/>
      <c r="T701" s="200"/>
      <c r="U701" s="152"/>
      <c r="V701" s="152"/>
      <c r="W701" s="157"/>
    </row>
    <row r="702" ht="15.75" customHeight="1">
      <c r="A702" s="167"/>
      <c r="B702" s="199"/>
      <c r="N702" s="152"/>
      <c r="Q702" s="195"/>
      <c r="S702" s="200"/>
      <c r="T702" s="200"/>
      <c r="U702" s="152"/>
      <c r="V702" s="152"/>
      <c r="W702" s="157"/>
    </row>
    <row r="703" ht="15.75" customHeight="1">
      <c r="A703" s="167"/>
      <c r="B703" s="199"/>
      <c r="N703" s="152"/>
      <c r="Q703" s="195"/>
      <c r="S703" s="200"/>
      <c r="T703" s="200"/>
      <c r="U703" s="152"/>
      <c r="V703" s="152"/>
      <c r="W703" s="157"/>
    </row>
    <row r="704" ht="15.75" customHeight="1">
      <c r="A704" s="167"/>
      <c r="B704" s="199"/>
      <c r="N704" s="152"/>
      <c r="Q704" s="195"/>
      <c r="S704" s="200"/>
      <c r="T704" s="200"/>
      <c r="U704" s="152"/>
      <c r="V704" s="152"/>
      <c r="W704" s="157"/>
    </row>
    <row r="705" ht="15.75" customHeight="1">
      <c r="A705" s="167"/>
      <c r="B705" s="199"/>
      <c r="N705" s="152"/>
      <c r="Q705" s="195"/>
      <c r="S705" s="200"/>
      <c r="T705" s="200"/>
      <c r="U705" s="152"/>
      <c r="V705" s="152"/>
      <c r="W705" s="157"/>
    </row>
    <row r="706" ht="15.75" customHeight="1">
      <c r="A706" s="167"/>
      <c r="B706" s="199"/>
      <c r="N706" s="152"/>
      <c r="Q706" s="195"/>
      <c r="S706" s="200"/>
      <c r="T706" s="200"/>
      <c r="U706" s="152"/>
      <c r="V706" s="152"/>
      <c r="W706" s="157"/>
    </row>
    <row r="707" ht="15.75" customHeight="1">
      <c r="A707" s="167"/>
      <c r="B707" s="199"/>
      <c r="N707" s="152"/>
      <c r="Q707" s="195"/>
      <c r="S707" s="200"/>
      <c r="T707" s="200"/>
      <c r="U707" s="152"/>
      <c r="V707" s="152"/>
      <c r="W707" s="157"/>
    </row>
    <row r="708" ht="15.75" customHeight="1">
      <c r="A708" s="167"/>
      <c r="B708" s="199"/>
      <c r="N708" s="152"/>
      <c r="Q708" s="195"/>
      <c r="S708" s="200"/>
      <c r="T708" s="200"/>
      <c r="U708" s="152"/>
      <c r="V708" s="152"/>
      <c r="W708" s="157"/>
    </row>
    <row r="709" ht="15.75" customHeight="1">
      <c r="A709" s="167"/>
      <c r="B709" s="199"/>
      <c r="N709" s="152"/>
      <c r="Q709" s="195"/>
      <c r="S709" s="200"/>
      <c r="T709" s="200"/>
      <c r="U709" s="152"/>
      <c r="V709" s="152"/>
      <c r="W709" s="157"/>
    </row>
    <row r="710" ht="15.75" customHeight="1">
      <c r="A710" s="167"/>
      <c r="B710" s="199"/>
      <c r="N710" s="152"/>
      <c r="Q710" s="195"/>
      <c r="S710" s="200"/>
      <c r="T710" s="200"/>
      <c r="U710" s="152"/>
      <c r="V710" s="152"/>
      <c r="W710" s="157"/>
    </row>
    <row r="711" ht="15.75" customHeight="1">
      <c r="A711" s="167"/>
      <c r="B711" s="199"/>
      <c r="N711" s="152"/>
      <c r="Q711" s="195"/>
      <c r="S711" s="200"/>
      <c r="T711" s="200"/>
      <c r="U711" s="152"/>
      <c r="V711" s="152"/>
      <c r="W711" s="157"/>
    </row>
    <row r="712" ht="15.75" customHeight="1">
      <c r="A712" s="167"/>
      <c r="B712" s="199"/>
      <c r="N712" s="152"/>
      <c r="Q712" s="195"/>
      <c r="S712" s="200"/>
      <c r="T712" s="200"/>
      <c r="U712" s="152"/>
      <c r="V712" s="152"/>
      <c r="W712" s="157"/>
    </row>
    <row r="713" ht="15.75" customHeight="1">
      <c r="A713" s="167"/>
      <c r="B713" s="199"/>
      <c r="N713" s="152"/>
      <c r="Q713" s="195"/>
      <c r="S713" s="200"/>
      <c r="T713" s="200"/>
      <c r="U713" s="152"/>
      <c r="V713" s="152"/>
      <c r="W713" s="157"/>
    </row>
    <row r="714" ht="15.75" customHeight="1">
      <c r="A714" s="167"/>
      <c r="B714" s="199"/>
      <c r="N714" s="152"/>
      <c r="Q714" s="195"/>
      <c r="S714" s="200"/>
      <c r="T714" s="200"/>
      <c r="U714" s="152"/>
      <c r="V714" s="152"/>
      <c r="W714" s="157"/>
    </row>
    <row r="715" ht="15.75" customHeight="1">
      <c r="A715" s="167"/>
      <c r="B715" s="199"/>
      <c r="N715" s="152"/>
      <c r="Q715" s="195"/>
      <c r="S715" s="200"/>
      <c r="T715" s="200"/>
      <c r="U715" s="152"/>
      <c r="V715" s="152"/>
      <c r="W715" s="157"/>
    </row>
    <row r="716" ht="15.75" customHeight="1">
      <c r="A716" s="167"/>
      <c r="B716" s="199"/>
      <c r="N716" s="152"/>
      <c r="Q716" s="195"/>
      <c r="S716" s="200"/>
      <c r="T716" s="200"/>
      <c r="U716" s="152"/>
      <c r="V716" s="152"/>
      <c r="W716" s="157"/>
    </row>
    <row r="717" ht="15.75" customHeight="1">
      <c r="A717" s="167"/>
      <c r="B717" s="199"/>
      <c r="N717" s="152"/>
      <c r="Q717" s="195"/>
      <c r="S717" s="200"/>
      <c r="T717" s="200"/>
      <c r="U717" s="152"/>
      <c r="V717" s="152"/>
      <c r="W717" s="157"/>
    </row>
    <row r="718" ht="15.75" customHeight="1">
      <c r="A718" s="167"/>
      <c r="B718" s="199"/>
      <c r="N718" s="152"/>
      <c r="Q718" s="195"/>
      <c r="S718" s="200"/>
      <c r="T718" s="200"/>
      <c r="U718" s="152"/>
      <c r="V718" s="152"/>
      <c r="W718" s="157"/>
    </row>
    <row r="719" ht="15.75" customHeight="1">
      <c r="A719" s="167"/>
      <c r="B719" s="199"/>
      <c r="N719" s="152"/>
      <c r="Q719" s="195"/>
      <c r="S719" s="200"/>
      <c r="T719" s="200"/>
      <c r="U719" s="152"/>
      <c r="V719" s="152"/>
      <c r="W719" s="157"/>
    </row>
    <row r="720" ht="15.75" customHeight="1">
      <c r="A720" s="167"/>
      <c r="B720" s="199"/>
      <c r="N720" s="152"/>
      <c r="Q720" s="195"/>
      <c r="S720" s="200"/>
      <c r="T720" s="200"/>
      <c r="U720" s="152"/>
      <c r="V720" s="152"/>
      <c r="W720" s="157"/>
    </row>
    <row r="721" ht="15.75" customHeight="1">
      <c r="A721" s="167"/>
      <c r="B721" s="199"/>
      <c r="N721" s="152"/>
      <c r="Q721" s="195"/>
      <c r="S721" s="200"/>
      <c r="T721" s="200"/>
      <c r="U721" s="152"/>
      <c r="V721" s="152"/>
      <c r="W721" s="157"/>
    </row>
    <row r="722" ht="15.75" customHeight="1">
      <c r="A722" s="167"/>
      <c r="B722" s="199"/>
      <c r="N722" s="152"/>
      <c r="Q722" s="195"/>
      <c r="S722" s="200"/>
      <c r="T722" s="200"/>
      <c r="U722" s="152"/>
      <c r="V722" s="152"/>
      <c r="W722" s="157"/>
    </row>
    <row r="723" ht="15.75" customHeight="1">
      <c r="A723" s="167"/>
      <c r="B723" s="199"/>
      <c r="N723" s="152"/>
      <c r="Q723" s="195"/>
      <c r="S723" s="200"/>
      <c r="T723" s="200"/>
      <c r="U723" s="152"/>
      <c r="V723" s="152"/>
      <c r="W723" s="157"/>
    </row>
    <row r="724" ht="15.75" customHeight="1">
      <c r="A724" s="167"/>
      <c r="B724" s="199"/>
      <c r="N724" s="152"/>
      <c r="Q724" s="195"/>
      <c r="S724" s="200"/>
      <c r="T724" s="200"/>
      <c r="U724" s="152"/>
      <c r="V724" s="152"/>
      <c r="W724" s="157"/>
    </row>
    <row r="725" ht="15.75" customHeight="1">
      <c r="A725" s="167"/>
      <c r="B725" s="199"/>
      <c r="N725" s="152"/>
      <c r="Q725" s="195"/>
      <c r="S725" s="200"/>
      <c r="T725" s="200"/>
      <c r="U725" s="152"/>
      <c r="V725" s="152"/>
      <c r="W725" s="157"/>
    </row>
    <row r="726" ht="15.75" customHeight="1">
      <c r="A726" s="167"/>
      <c r="B726" s="199"/>
      <c r="N726" s="152"/>
      <c r="Q726" s="195"/>
      <c r="S726" s="200"/>
      <c r="T726" s="200"/>
      <c r="U726" s="152"/>
      <c r="V726" s="152"/>
      <c r="W726" s="157"/>
    </row>
    <row r="727" ht="15.75" customHeight="1">
      <c r="A727" s="167"/>
      <c r="B727" s="199"/>
      <c r="N727" s="152"/>
      <c r="Q727" s="195"/>
      <c r="S727" s="200"/>
      <c r="T727" s="200"/>
      <c r="U727" s="152"/>
      <c r="V727" s="152"/>
      <c r="W727" s="157"/>
    </row>
    <row r="728" ht="15.75" customHeight="1">
      <c r="A728" s="167"/>
      <c r="B728" s="199"/>
      <c r="N728" s="152"/>
      <c r="Q728" s="195"/>
      <c r="S728" s="200"/>
      <c r="T728" s="200"/>
      <c r="U728" s="152"/>
      <c r="V728" s="152"/>
      <c r="W728" s="157"/>
    </row>
    <row r="729" ht="15.75" customHeight="1">
      <c r="A729" s="167"/>
      <c r="B729" s="199"/>
      <c r="N729" s="152"/>
      <c r="Q729" s="195"/>
      <c r="S729" s="200"/>
      <c r="T729" s="200"/>
      <c r="U729" s="152"/>
      <c r="V729" s="152"/>
      <c r="W729" s="157"/>
    </row>
    <row r="730" ht="15.75" customHeight="1">
      <c r="A730" s="167"/>
      <c r="B730" s="199"/>
      <c r="N730" s="152"/>
      <c r="Q730" s="195"/>
      <c r="S730" s="200"/>
      <c r="T730" s="200"/>
      <c r="U730" s="152"/>
      <c r="V730" s="152"/>
      <c r="W730" s="157"/>
    </row>
    <row r="731" ht="15.75" customHeight="1">
      <c r="A731" s="167"/>
      <c r="B731" s="199"/>
      <c r="N731" s="152"/>
      <c r="Q731" s="195"/>
      <c r="S731" s="200"/>
      <c r="T731" s="200"/>
      <c r="U731" s="152"/>
      <c r="V731" s="152"/>
      <c r="W731" s="157"/>
    </row>
    <row r="732" ht="15.75" customHeight="1">
      <c r="A732" s="167"/>
      <c r="B732" s="199"/>
      <c r="N732" s="152"/>
      <c r="Q732" s="195"/>
      <c r="S732" s="200"/>
      <c r="T732" s="200"/>
      <c r="U732" s="152"/>
      <c r="V732" s="152"/>
      <c r="W732" s="157"/>
    </row>
    <row r="733" ht="15.75" customHeight="1">
      <c r="A733" s="167"/>
      <c r="B733" s="199"/>
      <c r="N733" s="152"/>
      <c r="Q733" s="195"/>
      <c r="S733" s="200"/>
      <c r="T733" s="200"/>
      <c r="U733" s="152"/>
      <c r="V733" s="152"/>
      <c r="W733" s="157"/>
    </row>
    <row r="734" ht="15.75" customHeight="1">
      <c r="A734" s="167"/>
      <c r="B734" s="199"/>
      <c r="N734" s="152"/>
      <c r="Q734" s="195"/>
      <c r="S734" s="200"/>
      <c r="T734" s="200"/>
      <c r="U734" s="152"/>
      <c r="V734" s="152"/>
      <c r="W734" s="157"/>
    </row>
    <row r="735" ht="15.75" customHeight="1">
      <c r="A735" s="167"/>
      <c r="B735" s="199"/>
      <c r="N735" s="152"/>
      <c r="Q735" s="195"/>
      <c r="S735" s="200"/>
      <c r="T735" s="200"/>
      <c r="U735" s="152"/>
      <c r="V735" s="152"/>
      <c r="W735" s="157"/>
    </row>
    <row r="736" ht="15.75" customHeight="1">
      <c r="A736" s="167"/>
      <c r="B736" s="199"/>
      <c r="N736" s="152"/>
      <c r="Q736" s="195"/>
      <c r="S736" s="200"/>
      <c r="T736" s="200"/>
      <c r="U736" s="152"/>
      <c r="V736" s="152"/>
      <c r="W736" s="157"/>
    </row>
    <row r="737" ht="15.75" customHeight="1">
      <c r="A737" s="167"/>
      <c r="B737" s="199"/>
      <c r="N737" s="152"/>
      <c r="Q737" s="195"/>
      <c r="S737" s="200"/>
      <c r="T737" s="200"/>
      <c r="U737" s="152"/>
      <c r="V737" s="152"/>
      <c r="W737" s="157"/>
    </row>
    <row r="738" ht="15.75" customHeight="1">
      <c r="A738" s="167"/>
      <c r="B738" s="199"/>
      <c r="N738" s="152"/>
      <c r="Q738" s="195"/>
      <c r="S738" s="200"/>
      <c r="T738" s="200"/>
      <c r="U738" s="152"/>
      <c r="V738" s="152"/>
      <c r="W738" s="157"/>
    </row>
    <row r="739" ht="15.75" customHeight="1">
      <c r="A739" s="167"/>
      <c r="B739" s="199"/>
      <c r="N739" s="152"/>
      <c r="Q739" s="195"/>
      <c r="S739" s="200"/>
      <c r="T739" s="200"/>
      <c r="U739" s="152"/>
      <c r="V739" s="152"/>
      <c r="W739" s="157"/>
    </row>
    <row r="740" ht="15.75" customHeight="1">
      <c r="A740" s="167"/>
      <c r="B740" s="199"/>
      <c r="N740" s="152"/>
      <c r="Q740" s="195"/>
      <c r="S740" s="200"/>
      <c r="T740" s="200"/>
      <c r="U740" s="152"/>
      <c r="V740" s="152"/>
      <c r="W740" s="157"/>
    </row>
    <row r="741" ht="15.75" customHeight="1">
      <c r="A741" s="167"/>
      <c r="B741" s="199"/>
      <c r="N741" s="152"/>
      <c r="Q741" s="195"/>
      <c r="S741" s="200"/>
      <c r="T741" s="200"/>
      <c r="U741" s="152"/>
      <c r="V741" s="152"/>
      <c r="W741" s="157"/>
    </row>
    <row r="742" ht="15.75" customHeight="1">
      <c r="A742" s="167"/>
      <c r="B742" s="199"/>
      <c r="N742" s="152"/>
      <c r="Q742" s="195"/>
      <c r="S742" s="200"/>
      <c r="T742" s="200"/>
      <c r="U742" s="152"/>
      <c r="V742" s="152"/>
      <c r="W742" s="157"/>
    </row>
    <row r="743" ht="15.75" customHeight="1">
      <c r="A743" s="167"/>
      <c r="B743" s="199"/>
      <c r="N743" s="152"/>
      <c r="Q743" s="195"/>
      <c r="S743" s="200"/>
      <c r="T743" s="200"/>
      <c r="U743" s="152"/>
      <c r="V743" s="152"/>
      <c r="W743" s="157"/>
    </row>
    <row r="744" ht="15.75" customHeight="1">
      <c r="A744" s="167"/>
      <c r="B744" s="199"/>
      <c r="N744" s="152"/>
      <c r="Q744" s="195"/>
      <c r="S744" s="200"/>
      <c r="T744" s="200"/>
      <c r="U744" s="152"/>
      <c r="V744" s="152"/>
      <c r="W744" s="157"/>
    </row>
    <row r="745" ht="15.75" customHeight="1">
      <c r="A745" s="167"/>
      <c r="B745" s="199"/>
      <c r="N745" s="152"/>
      <c r="Q745" s="195"/>
      <c r="S745" s="200"/>
      <c r="T745" s="200"/>
      <c r="U745" s="152"/>
      <c r="V745" s="152"/>
      <c r="W745" s="157"/>
    </row>
    <row r="746" ht="15.75" customHeight="1">
      <c r="A746" s="167"/>
      <c r="B746" s="199"/>
      <c r="N746" s="152"/>
      <c r="Q746" s="195"/>
      <c r="S746" s="200"/>
      <c r="T746" s="200"/>
      <c r="U746" s="152"/>
      <c r="V746" s="152"/>
      <c r="W746" s="157"/>
    </row>
    <row r="747" ht="15.75" customHeight="1">
      <c r="A747" s="167"/>
      <c r="B747" s="199"/>
      <c r="N747" s="152"/>
      <c r="Q747" s="195"/>
      <c r="S747" s="200"/>
      <c r="T747" s="200"/>
      <c r="U747" s="152"/>
      <c r="V747" s="152"/>
      <c r="W747" s="157"/>
    </row>
    <row r="748" ht="15.75" customHeight="1">
      <c r="A748" s="167"/>
      <c r="B748" s="199"/>
      <c r="N748" s="152"/>
      <c r="Q748" s="195"/>
      <c r="S748" s="200"/>
      <c r="T748" s="200"/>
      <c r="U748" s="152"/>
      <c r="V748" s="152"/>
      <c r="W748" s="157"/>
    </row>
    <row r="749" ht="15.75" customHeight="1">
      <c r="A749" s="167"/>
      <c r="B749" s="199"/>
      <c r="N749" s="152"/>
      <c r="Q749" s="195"/>
      <c r="S749" s="200"/>
      <c r="T749" s="200"/>
      <c r="U749" s="152"/>
      <c r="V749" s="152"/>
      <c r="W749" s="157"/>
    </row>
    <row r="750" ht="15.75" customHeight="1">
      <c r="A750" s="167"/>
      <c r="B750" s="199"/>
      <c r="N750" s="152"/>
      <c r="Q750" s="195"/>
      <c r="S750" s="200"/>
      <c r="T750" s="200"/>
      <c r="U750" s="152"/>
      <c r="V750" s="152"/>
      <c r="W750" s="157"/>
    </row>
    <row r="751" ht="15.75" customHeight="1">
      <c r="A751" s="167"/>
      <c r="B751" s="199"/>
      <c r="N751" s="152"/>
      <c r="Q751" s="195"/>
      <c r="S751" s="200"/>
      <c r="T751" s="200"/>
      <c r="U751" s="152"/>
      <c r="V751" s="152"/>
      <c r="W751" s="157"/>
    </row>
    <row r="752" ht="15.75" customHeight="1">
      <c r="A752" s="167"/>
      <c r="B752" s="199"/>
      <c r="N752" s="152"/>
      <c r="Q752" s="195"/>
      <c r="S752" s="200"/>
      <c r="T752" s="200"/>
      <c r="U752" s="152"/>
      <c r="V752" s="152"/>
      <c r="W752" s="157"/>
    </row>
    <row r="753" ht="15.75" customHeight="1">
      <c r="A753" s="167"/>
      <c r="B753" s="199"/>
      <c r="N753" s="152"/>
      <c r="Q753" s="195"/>
      <c r="S753" s="200"/>
      <c r="T753" s="200"/>
      <c r="U753" s="152"/>
      <c r="V753" s="152"/>
      <c r="W753" s="157"/>
    </row>
    <row r="754" ht="15.75" customHeight="1">
      <c r="A754" s="167"/>
      <c r="B754" s="199"/>
      <c r="N754" s="152"/>
      <c r="Q754" s="195"/>
      <c r="S754" s="200"/>
      <c r="T754" s="200"/>
      <c r="U754" s="152"/>
      <c r="V754" s="152"/>
      <c r="W754" s="157"/>
    </row>
    <row r="755" ht="15.75" customHeight="1">
      <c r="A755" s="167"/>
      <c r="B755" s="199"/>
      <c r="N755" s="152"/>
      <c r="Q755" s="195"/>
      <c r="S755" s="200"/>
      <c r="T755" s="200"/>
      <c r="U755" s="152"/>
      <c r="V755" s="152"/>
      <c r="W755" s="157"/>
    </row>
    <row r="756" ht="15.75" customHeight="1">
      <c r="A756" s="167"/>
      <c r="B756" s="199"/>
      <c r="N756" s="152"/>
      <c r="Q756" s="195"/>
      <c r="S756" s="200"/>
      <c r="T756" s="200"/>
      <c r="U756" s="152"/>
      <c r="V756" s="152"/>
      <c r="W756" s="157"/>
    </row>
    <row r="757" ht="15.75" customHeight="1">
      <c r="A757" s="167"/>
      <c r="B757" s="199"/>
      <c r="N757" s="152"/>
      <c r="Q757" s="195"/>
      <c r="S757" s="200"/>
      <c r="T757" s="200"/>
      <c r="U757" s="152"/>
      <c r="V757" s="152"/>
      <c r="W757" s="157"/>
    </row>
    <row r="758" ht="15.75" customHeight="1">
      <c r="A758" s="167"/>
      <c r="B758" s="199"/>
      <c r="N758" s="152"/>
      <c r="Q758" s="195"/>
      <c r="S758" s="200"/>
      <c r="T758" s="200"/>
      <c r="U758" s="152"/>
      <c r="V758" s="152"/>
      <c r="W758" s="157"/>
    </row>
    <row r="759" ht="15.75" customHeight="1">
      <c r="A759" s="167"/>
      <c r="B759" s="199"/>
      <c r="N759" s="152"/>
      <c r="Q759" s="195"/>
      <c r="S759" s="200"/>
      <c r="T759" s="200"/>
      <c r="U759" s="152"/>
      <c r="V759" s="152"/>
      <c r="W759" s="157"/>
    </row>
    <row r="760" ht="15.75" customHeight="1">
      <c r="A760" s="167"/>
      <c r="B760" s="199"/>
      <c r="N760" s="152"/>
      <c r="Q760" s="195"/>
      <c r="S760" s="200"/>
      <c r="T760" s="200"/>
      <c r="U760" s="152"/>
      <c r="V760" s="152"/>
      <c r="W760" s="157"/>
    </row>
    <row r="761" ht="15.75" customHeight="1">
      <c r="A761" s="167"/>
      <c r="B761" s="199"/>
      <c r="N761" s="152"/>
      <c r="Q761" s="195"/>
      <c r="S761" s="200"/>
      <c r="T761" s="200"/>
      <c r="U761" s="152"/>
      <c r="V761" s="152"/>
      <c r="W761" s="157"/>
    </row>
    <row r="762" ht="15.75" customHeight="1">
      <c r="A762" s="167"/>
      <c r="B762" s="199"/>
      <c r="N762" s="152"/>
      <c r="Q762" s="195"/>
      <c r="S762" s="200"/>
      <c r="T762" s="200"/>
      <c r="U762" s="152"/>
      <c r="V762" s="152"/>
      <c r="W762" s="157"/>
    </row>
    <row r="763" ht="15.75" customHeight="1">
      <c r="A763" s="167"/>
      <c r="B763" s="199"/>
      <c r="N763" s="152"/>
      <c r="Q763" s="195"/>
      <c r="S763" s="200"/>
      <c r="T763" s="200"/>
      <c r="U763" s="152"/>
      <c r="V763" s="152"/>
      <c r="W763" s="157"/>
    </row>
    <row r="764" ht="15.75" customHeight="1">
      <c r="A764" s="167"/>
      <c r="B764" s="199"/>
      <c r="N764" s="152"/>
      <c r="Q764" s="195"/>
      <c r="S764" s="200"/>
      <c r="T764" s="200"/>
      <c r="U764" s="152"/>
      <c r="V764" s="152"/>
      <c r="W764" s="157"/>
    </row>
    <row r="765" ht="15.75" customHeight="1">
      <c r="A765" s="167"/>
      <c r="B765" s="199"/>
      <c r="N765" s="152"/>
      <c r="Q765" s="195"/>
      <c r="S765" s="200"/>
      <c r="T765" s="200"/>
      <c r="U765" s="152"/>
      <c r="V765" s="152"/>
      <c r="W765" s="157"/>
    </row>
    <row r="766" ht="15.75" customHeight="1">
      <c r="A766" s="167"/>
      <c r="B766" s="199"/>
      <c r="N766" s="152"/>
      <c r="Q766" s="195"/>
      <c r="S766" s="200"/>
      <c r="T766" s="200"/>
      <c r="U766" s="152"/>
      <c r="V766" s="152"/>
      <c r="W766" s="157"/>
    </row>
    <row r="767" ht="15.75" customHeight="1">
      <c r="A767" s="167"/>
      <c r="B767" s="199"/>
      <c r="N767" s="152"/>
      <c r="Q767" s="195"/>
      <c r="S767" s="200"/>
      <c r="T767" s="200"/>
      <c r="U767" s="152"/>
      <c r="V767" s="152"/>
      <c r="W767" s="157"/>
    </row>
    <row r="768" ht="15.75" customHeight="1">
      <c r="A768" s="167"/>
      <c r="B768" s="199"/>
      <c r="N768" s="152"/>
      <c r="Q768" s="195"/>
      <c r="S768" s="200"/>
      <c r="T768" s="200"/>
      <c r="U768" s="152"/>
      <c r="V768" s="152"/>
      <c r="W768" s="157"/>
    </row>
    <row r="769" ht="15.75" customHeight="1">
      <c r="A769" s="167"/>
      <c r="B769" s="199"/>
      <c r="N769" s="152"/>
      <c r="Q769" s="195"/>
      <c r="S769" s="200"/>
      <c r="T769" s="200"/>
      <c r="U769" s="152"/>
      <c r="V769" s="152"/>
      <c r="W769" s="157"/>
    </row>
    <row r="770" ht="15.75" customHeight="1">
      <c r="A770" s="167"/>
      <c r="B770" s="199"/>
      <c r="N770" s="152"/>
      <c r="Q770" s="195"/>
      <c r="S770" s="200"/>
      <c r="T770" s="200"/>
      <c r="U770" s="152"/>
      <c r="V770" s="152"/>
      <c r="W770" s="157"/>
    </row>
    <row r="771" ht="15.75" customHeight="1">
      <c r="A771" s="167"/>
      <c r="B771" s="199"/>
      <c r="N771" s="152"/>
      <c r="Q771" s="195"/>
      <c r="S771" s="200"/>
      <c r="T771" s="200"/>
      <c r="U771" s="152"/>
      <c r="V771" s="152"/>
      <c r="W771" s="157"/>
    </row>
    <row r="772" ht="15.75" customHeight="1">
      <c r="A772" s="167"/>
      <c r="B772" s="199"/>
      <c r="N772" s="152"/>
      <c r="Q772" s="195"/>
      <c r="S772" s="200"/>
      <c r="T772" s="200"/>
      <c r="U772" s="152"/>
      <c r="V772" s="152"/>
      <c r="W772" s="157"/>
    </row>
    <row r="773" ht="15.75" customHeight="1">
      <c r="A773" s="167"/>
      <c r="B773" s="199"/>
      <c r="N773" s="152"/>
      <c r="Q773" s="195"/>
      <c r="S773" s="200"/>
      <c r="T773" s="200"/>
      <c r="U773" s="152"/>
      <c r="V773" s="152"/>
      <c r="W773" s="157"/>
    </row>
    <row r="774" ht="15.75" customHeight="1">
      <c r="A774" s="167"/>
      <c r="B774" s="199"/>
      <c r="N774" s="152"/>
      <c r="Q774" s="195"/>
      <c r="S774" s="200"/>
      <c r="T774" s="200"/>
      <c r="U774" s="152"/>
      <c r="V774" s="152"/>
      <c r="W774" s="157"/>
    </row>
    <row r="775" ht="15.75" customHeight="1">
      <c r="A775" s="167"/>
      <c r="B775" s="199"/>
      <c r="N775" s="152"/>
      <c r="Q775" s="195"/>
      <c r="S775" s="200"/>
      <c r="T775" s="200"/>
      <c r="U775" s="152"/>
      <c r="V775" s="152"/>
      <c r="W775" s="157"/>
    </row>
    <row r="776" ht="15.75" customHeight="1">
      <c r="A776" s="167"/>
      <c r="B776" s="199"/>
      <c r="N776" s="152"/>
      <c r="Q776" s="195"/>
      <c r="S776" s="200"/>
      <c r="T776" s="200"/>
      <c r="U776" s="152"/>
      <c r="V776" s="152"/>
      <c r="W776" s="157"/>
    </row>
    <row r="777" ht="15.75" customHeight="1">
      <c r="A777" s="167"/>
      <c r="B777" s="199"/>
      <c r="N777" s="152"/>
      <c r="Q777" s="195"/>
      <c r="S777" s="200"/>
      <c r="T777" s="200"/>
      <c r="U777" s="152"/>
      <c r="V777" s="152"/>
      <c r="W777" s="157"/>
    </row>
    <row r="778" ht="15.75" customHeight="1">
      <c r="A778" s="167"/>
      <c r="B778" s="199"/>
      <c r="N778" s="152"/>
      <c r="Q778" s="195"/>
      <c r="S778" s="200"/>
      <c r="T778" s="200"/>
      <c r="U778" s="152"/>
      <c r="V778" s="152"/>
      <c r="W778" s="157"/>
    </row>
    <row r="779" ht="15.75" customHeight="1">
      <c r="A779" s="167"/>
      <c r="B779" s="199"/>
      <c r="N779" s="152"/>
      <c r="Q779" s="195"/>
      <c r="S779" s="200"/>
      <c r="T779" s="200"/>
      <c r="U779" s="152"/>
      <c r="V779" s="152"/>
      <c r="W779" s="157"/>
    </row>
    <row r="780" ht="15.75" customHeight="1">
      <c r="A780" s="167"/>
      <c r="B780" s="199"/>
      <c r="N780" s="152"/>
      <c r="Q780" s="195"/>
      <c r="S780" s="200"/>
      <c r="T780" s="200"/>
      <c r="U780" s="152"/>
      <c r="V780" s="152"/>
      <c r="W780" s="157"/>
    </row>
    <row r="781" ht="15.75" customHeight="1">
      <c r="A781" s="167"/>
      <c r="B781" s="199"/>
      <c r="N781" s="152"/>
      <c r="Q781" s="195"/>
      <c r="S781" s="200"/>
      <c r="T781" s="200"/>
      <c r="U781" s="152"/>
      <c r="V781" s="152"/>
      <c r="W781" s="157"/>
    </row>
    <row r="782" ht="15.75" customHeight="1">
      <c r="A782" s="167"/>
      <c r="B782" s="199"/>
      <c r="N782" s="152"/>
      <c r="Q782" s="195"/>
      <c r="S782" s="200"/>
      <c r="T782" s="200"/>
      <c r="U782" s="152"/>
      <c r="V782" s="152"/>
      <c r="W782" s="157"/>
    </row>
    <row r="783" ht="15.75" customHeight="1">
      <c r="A783" s="167"/>
      <c r="B783" s="199"/>
      <c r="N783" s="152"/>
      <c r="Q783" s="195"/>
      <c r="S783" s="200"/>
      <c r="T783" s="200"/>
      <c r="U783" s="152"/>
      <c r="V783" s="152"/>
      <c r="W783" s="157"/>
    </row>
    <row r="784" ht="15.75" customHeight="1">
      <c r="A784" s="167"/>
      <c r="B784" s="199"/>
      <c r="N784" s="152"/>
      <c r="Q784" s="195"/>
      <c r="S784" s="200"/>
      <c r="T784" s="200"/>
      <c r="U784" s="152"/>
      <c r="V784" s="152"/>
      <c r="W784" s="157"/>
    </row>
    <row r="785" ht="15.75" customHeight="1">
      <c r="A785" s="167"/>
      <c r="B785" s="199"/>
      <c r="N785" s="152"/>
      <c r="Q785" s="195"/>
      <c r="S785" s="200"/>
      <c r="T785" s="200"/>
      <c r="U785" s="152"/>
      <c r="V785" s="152"/>
      <c r="W785" s="157"/>
    </row>
    <row r="786" ht="15.75" customHeight="1">
      <c r="A786" s="167"/>
      <c r="B786" s="199"/>
      <c r="N786" s="152"/>
      <c r="Q786" s="195"/>
      <c r="S786" s="200"/>
      <c r="T786" s="200"/>
      <c r="U786" s="152"/>
      <c r="V786" s="152"/>
      <c r="W786" s="157"/>
    </row>
    <row r="787" ht="15.75" customHeight="1">
      <c r="A787" s="167"/>
      <c r="B787" s="199"/>
      <c r="N787" s="152"/>
      <c r="Q787" s="195"/>
      <c r="S787" s="200"/>
      <c r="T787" s="200"/>
      <c r="U787" s="152"/>
      <c r="V787" s="152"/>
      <c r="W787" s="157"/>
    </row>
    <row r="788" ht="15.75" customHeight="1">
      <c r="A788" s="167"/>
      <c r="B788" s="199"/>
      <c r="N788" s="152"/>
      <c r="Q788" s="195"/>
      <c r="S788" s="200"/>
      <c r="T788" s="200"/>
      <c r="U788" s="152"/>
      <c r="V788" s="152"/>
      <c r="W788" s="157"/>
    </row>
    <row r="789" ht="15.75" customHeight="1">
      <c r="A789" s="167"/>
      <c r="B789" s="199"/>
      <c r="N789" s="152"/>
      <c r="Q789" s="195"/>
      <c r="S789" s="200"/>
      <c r="T789" s="200"/>
      <c r="U789" s="152"/>
      <c r="V789" s="152"/>
      <c r="W789" s="157"/>
    </row>
    <row r="790" ht="15.75" customHeight="1">
      <c r="A790" s="167"/>
      <c r="B790" s="199"/>
      <c r="N790" s="152"/>
      <c r="Q790" s="195"/>
      <c r="S790" s="200"/>
      <c r="T790" s="200"/>
      <c r="U790" s="152"/>
      <c r="V790" s="152"/>
      <c r="W790" s="157"/>
    </row>
    <row r="791" ht="15.75" customHeight="1">
      <c r="A791" s="167"/>
      <c r="B791" s="199"/>
      <c r="N791" s="152"/>
      <c r="Q791" s="195"/>
      <c r="S791" s="200"/>
      <c r="T791" s="200"/>
      <c r="U791" s="152"/>
      <c r="V791" s="152"/>
      <c r="W791" s="157"/>
    </row>
    <row r="792" ht="15.75" customHeight="1">
      <c r="A792" s="167"/>
      <c r="B792" s="199"/>
      <c r="N792" s="152"/>
      <c r="Q792" s="195"/>
      <c r="S792" s="200"/>
      <c r="T792" s="200"/>
      <c r="U792" s="152"/>
      <c r="V792" s="152"/>
      <c r="W792" s="157"/>
    </row>
    <row r="793" ht="15.75" customHeight="1">
      <c r="A793" s="167"/>
      <c r="B793" s="199"/>
      <c r="N793" s="152"/>
      <c r="Q793" s="195"/>
      <c r="S793" s="200"/>
      <c r="T793" s="200"/>
      <c r="U793" s="152"/>
      <c r="V793" s="152"/>
      <c r="W793" s="157"/>
    </row>
    <row r="794" ht="15.75" customHeight="1">
      <c r="A794" s="167"/>
      <c r="B794" s="199"/>
      <c r="N794" s="152"/>
      <c r="Q794" s="195"/>
      <c r="S794" s="200"/>
      <c r="T794" s="200"/>
      <c r="U794" s="152"/>
      <c r="V794" s="152"/>
      <c r="W794" s="157"/>
    </row>
    <row r="795" ht="15.75" customHeight="1">
      <c r="A795" s="167"/>
      <c r="B795" s="199"/>
      <c r="N795" s="152"/>
      <c r="Q795" s="195"/>
      <c r="S795" s="200"/>
      <c r="T795" s="200"/>
      <c r="U795" s="152"/>
      <c r="V795" s="152"/>
      <c r="W795" s="157"/>
    </row>
    <row r="796" ht="15.75" customHeight="1">
      <c r="A796" s="167"/>
      <c r="B796" s="199"/>
      <c r="N796" s="152"/>
      <c r="Q796" s="195"/>
      <c r="S796" s="200"/>
      <c r="T796" s="200"/>
      <c r="U796" s="152"/>
      <c r="V796" s="152"/>
      <c r="W796" s="157"/>
    </row>
    <row r="797" ht="15.75" customHeight="1">
      <c r="A797" s="167"/>
      <c r="B797" s="199"/>
      <c r="N797" s="152"/>
      <c r="Q797" s="195"/>
      <c r="S797" s="200"/>
      <c r="T797" s="200"/>
      <c r="U797" s="152"/>
      <c r="V797" s="152"/>
      <c r="W797" s="157"/>
    </row>
    <row r="798" ht="15.75" customHeight="1">
      <c r="A798" s="167"/>
      <c r="B798" s="199"/>
      <c r="N798" s="152"/>
      <c r="Q798" s="195"/>
      <c r="S798" s="200"/>
      <c r="T798" s="200"/>
      <c r="U798" s="152"/>
      <c r="V798" s="152"/>
      <c r="W798" s="157"/>
    </row>
    <row r="799" ht="15.75" customHeight="1">
      <c r="A799" s="167"/>
      <c r="B799" s="199"/>
      <c r="N799" s="152"/>
      <c r="Q799" s="195"/>
      <c r="S799" s="200"/>
      <c r="T799" s="200"/>
      <c r="U799" s="152"/>
      <c r="V799" s="152"/>
      <c r="W799" s="157"/>
    </row>
    <row r="800" ht="15.75" customHeight="1">
      <c r="A800" s="167"/>
      <c r="B800" s="199"/>
      <c r="N800" s="152"/>
      <c r="Q800" s="195"/>
      <c r="S800" s="200"/>
      <c r="T800" s="200"/>
      <c r="U800" s="152"/>
      <c r="V800" s="152"/>
      <c r="W800" s="157"/>
    </row>
    <row r="801" ht="15.75" customHeight="1">
      <c r="A801" s="167"/>
      <c r="B801" s="199"/>
      <c r="N801" s="152"/>
      <c r="Q801" s="195"/>
      <c r="S801" s="200"/>
      <c r="T801" s="200"/>
      <c r="U801" s="152"/>
      <c r="V801" s="152"/>
      <c r="W801" s="157"/>
    </row>
    <row r="802" ht="15.75" customHeight="1">
      <c r="A802" s="167"/>
      <c r="B802" s="199"/>
      <c r="N802" s="152"/>
      <c r="Q802" s="195"/>
      <c r="S802" s="200"/>
      <c r="T802" s="200"/>
      <c r="U802" s="152"/>
      <c r="V802" s="152"/>
      <c r="W802" s="157"/>
    </row>
    <row r="803" ht="15.75" customHeight="1">
      <c r="A803" s="167"/>
      <c r="B803" s="199"/>
      <c r="N803" s="152"/>
      <c r="Q803" s="195"/>
      <c r="S803" s="200"/>
      <c r="T803" s="200"/>
      <c r="U803" s="152"/>
      <c r="V803" s="152"/>
      <c r="W803" s="157"/>
    </row>
    <row r="804" ht="15.75" customHeight="1">
      <c r="A804" s="167"/>
      <c r="B804" s="199"/>
      <c r="N804" s="152"/>
      <c r="Q804" s="195"/>
      <c r="S804" s="200"/>
      <c r="T804" s="200"/>
      <c r="U804" s="152"/>
      <c r="V804" s="152"/>
      <c r="W804" s="157"/>
    </row>
    <row r="805" ht="15.75" customHeight="1">
      <c r="A805" s="167"/>
      <c r="B805" s="199"/>
      <c r="N805" s="152"/>
      <c r="Q805" s="195"/>
      <c r="S805" s="200"/>
      <c r="T805" s="200"/>
      <c r="U805" s="152"/>
      <c r="V805" s="152"/>
      <c r="W805" s="157"/>
    </row>
    <row r="806" ht="15.75" customHeight="1">
      <c r="A806" s="167"/>
      <c r="B806" s="199"/>
      <c r="N806" s="152"/>
      <c r="Q806" s="195"/>
      <c r="S806" s="200"/>
      <c r="T806" s="200"/>
      <c r="U806" s="152"/>
      <c r="V806" s="152"/>
      <c r="W806" s="157"/>
    </row>
    <row r="807" ht="15.75" customHeight="1">
      <c r="A807" s="167"/>
      <c r="B807" s="199"/>
      <c r="N807" s="152"/>
      <c r="Q807" s="195"/>
      <c r="S807" s="200"/>
      <c r="T807" s="200"/>
      <c r="U807" s="152"/>
      <c r="V807" s="152"/>
      <c r="W807" s="157"/>
    </row>
    <row r="808" ht="15.75" customHeight="1">
      <c r="A808" s="167"/>
      <c r="B808" s="199"/>
      <c r="N808" s="152"/>
      <c r="Q808" s="195"/>
      <c r="S808" s="200"/>
      <c r="T808" s="200"/>
      <c r="U808" s="152"/>
      <c r="V808" s="152"/>
      <c r="W808" s="157"/>
    </row>
    <row r="809" ht="15.75" customHeight="1">
      <c r="A809" s="167"/>
      <c r="B809" s="199"/>
      <c r="N809" s="152"/>
      <c r="Q809" s="195"/>
      <c r="S809" s="200"/>
      <c r="T809" s="200"/>
      <c r="U809" s="152"/>
      <c r="V809" s="152"/>
      <c r="W809" s="157"/>
    </row>
    <row r="810" ht="15.75" customHeight="1">
      <c r="A810" s="167"/>
      <c r="B810" s="199"/>
      <c r="N810" s="152"/>
      <c r="Q810" s="195"/>
      <c r="S810" s="200"/>
      <c r="T810" s="200"/>
      <c r="U810" s="152"/>
      <c r="V810" s="152"/>
      <c r="W810" s="157"/>
    </row>
    <row r="811" ht="15.75" customHeight="1">
      <c r="A811" s="167"/>
      <c r="B811" s="199"/>
      <c r="N811" s="152"/>
      <c r="Q811" s="195"/>
      <c r="S811" s="200"/>
      <c r="T811" s="200"/>
      <c r="U811" s="152"/>
      <c r="V811" s="152"/>
      <c r="W811" s="157"/>
    </row>
    <row r="812" ht="15.75" customHeight="1">
      <c r="A812" s="167"/>
      <c r="B812" s="199"/>
      <c r="N812" s="152"/>
      <c r="Q812" s="195"/>
      <c r="S812" s="200"/>
      <c r="T812" s="200"/>
      <c r="U812" s="152"/>
      <c r="V812" s="152"/>
      <c r="W812" s="157"/>
    </row>
    <row r="813" ht="15.75" customHeight="1">
      <c r="A813" s="167"/>
      <c r="B813" s="199"/>
      <c r="N813" s="152"/>
      <c r="Q813" s="195"/>
      <c r="S813" s="200"/>
      <c r="T813" s="200"/>
      <c r="U813" s="152"/>
      <c r="V813" s="152"/>
      <c r="W813" s="157"/>
    </row>
    <row r="814" ht="15.75" customHeight="1">
      <c r="A814" s="167"/>
      <c r="B814" s="199"/>
      <c r="N814" s="152"/>
      <c r="Q814" s="195"/>
      <c r="S814" s="200"/>
      <c r="T814" s="200"/>
      <c r="U814" s="152"/>
      <c r="V814" s="152"/>
      <c r="W814" s="157"/>
    </row>
    <row r="815" ht="15.75" customHeight="1">
      <c r="A815" s="167"/>
      <c r="B815" s="199"/>
      <c r="N815" s="152"/>
      <c r="Q815" s="195"/>
      <c r="S815" s="200"/>
      <c r="T815" s="200"/>
      <c r="U815" s="152"/>
      <c r="V815" s="152"/>
      <c r="W815" s="157"/>
    </row>
    <row r="816" ht="15.75" customHeight="1">
      <c r="A816" s="167"/>
      <c r="B816" s="199"/>
      <c r="N816" s="152"/>
      <c r="Q816" s="195"/>
      <c r="S816" s="200"/>
      <c r="T816" s="200"/>
      <c r="U816" s="152"/>
      <c r="V816" s="152"/>
      <c r="W816" s="157"/>
    </row>
    <row r="817" ht="15.75" customHeight="1">
      <c r="A817" s="167"/>
      <c r="B817" s="199"/>
      <c r="N817" s="152"/>
      <c r="Q817" s="195"/>
      <c r="S817" s="200"/>
      <c r="T817" s="200"/>
      <c r="U817" s="152"/>
      <c r="V817" s="152"/>
      <c r="W817" s="157"/>
    </row>
    <row r="818" ht="15.75" customHeight="1">
      <c r="A818" s="167"/>
      <c r="B818" s="199"/>
      <c r="N818" s="152"/>
      <c r="Q818" s="195"/>
      <c r="S818" s="200"/>
      <c r="T818" s="200"/>
      <c r="U818" s="152"/>
      <c r="V818" s="152"/>
      <c r="W818" s="157"/>
    </row>
    <row r="819" ht="15.75" customHeight="1">
      <c r="A819" s="167"/>
      <c r="B819" s="199"/>
      <c r="N819" s="152"/>
      <c r="Q819" s="195"/>
      <c r="S819" s="200"/>
      <c r="T819" s="200"/>
      <c r="U819" s="152"/>
      <c r="V819" s="152"/>
      <c r="W819" s="157"/>
    </row>
    <row r="820" ht="15.75" customHeight="1">
      <c r="A820" s="167"/>
      <c r="B820" s="199"/>
      <c r="N820" s="152"/>
      <c r="Q820" s="195"/>
      <c r="S820" s="200"/>
      <c r="T820" s="200"/>
      <c r="U820" s="152"/>
      <c r="V820" s="152"/>
      <c r="W820" s="157"/>
    </row>
    <row r="821" ht="15.75" customHeight="1">
      <c r="A821" s="167"/>
      <c r="B821" s="199"/>
      <c r="N821" s="152"/>
      <c r="Q821" s="195"/>
      <c r="S821" s="200"/>
      <c r="T821" s="200"/>
      <c r="U821" s="152"/>
      <c r="V821" s="152"/>
      <c r="W821" s="157"/>
    </row>
    <row r="822" ht="15.75" customHeight="1">
      <c r="A822" s="167"/>
      <c r="B822" s="199"/>
      <c r="N822" s="152"/>
      <c r="Q822" s="195"/>
      <c r="S822" s="200"/>
      <c r="T822" s="200"/>
      <c r="U822" s="152"/>
      <c r="V822" s="152"/>
      <c r="W822" s="157"/>
    </row>
    <row r="823" ht="15.75" customHeight="1">
      <c r="A823" s="167"/>
      <c r="B823" s="199"/>
      <c r="N823" s="152"/>
      <c r="Q823" s="195"/>
      <c r="S823" s="200"/>
      <c r="T823" s="200"/>
      <c r="U823" s="152"/>
      <c r="V823" s="152"/>
      <c r="W823" s="157"/>
    </row>
    <row r="824" ht="15.75" customHeight="1">
      <c r="A824" s="167"/>
      <c r="B824" s="199"/>
      <c r="N824" s="152"/>
      <c r="Q824" s="195"/>
      <c r="S824" s="200"/>
      <c r="T824" s="200"/>
      <c r="U824" s="152"/>
      <c r="V824" s="152"/>
      <c r="W824" s="157"/>
    </row>
    <row r="825" ht="15.75" customHeight="1">
      <c r="A825" s="167"/>
      <c r="B825" s="199"/>
      <c r="N825" s="152"/>
      <c r="Q825" s="195"/>
      <c r="S825" s="200"/>
      <c r="T825" s="200"/>
      <c r="U825" s="152"/>
      <c r="V825" s="152"/>
      <c r="W825" s="157"/>
    </row>
    <row r="826" ht="15.75" customHeight="1">
      <c r="A826" s="167"/>
      <c r="B826" s="199"/>
      <c r="N826" s="152"/>
      <c r="Q826" s="195"/>
      <c r="S826" s="200"/>
      <c r="T826" s="200"/>
      <c r="U826" s="152"/>
      <c r="V826" s="152"/>
      <c r="W826" s="157"/>
    </row>
    <row r="827" ht="15.75" customHeight="1">
      <c r="A827" s="167"/>
      <c r="B827" s="199"/>
      <c r="N827" s="152"/>
      <c r="Q827" s="195"/>
      <c r="S827" s="200"/>
      <c r="T827" s="200"/>
      <c r="U827" s="152"/>
      <c r="V827" s="152"/>
      <c r="W827" s="157"/>
    </row>
    <row r="828" ht="15.75" customHeight="1">
      <c r="A828" s="167"/>
      <c r="B828" s="199"/>
      <c r="N828" s="152"/>
      <c r="Q828" s="195"/>
      <c r="S828" s="200"/>
      <c r="T828" s="200"/>
      <c r="U828" s="152"/>
      <c r="V828" s="152"/>
      <c r="W828" s="157"/>
    </row>
    <row r="829" ht="15.75" customHeight="1">
      <c r="A829" s="167"/>
      <c r="B829" s="199"/>
      <c r="N829" s="152"/>
      <c r="Q829" s="195"/>
      <c r="S829" s="200"/>
      <c r="T829" s="200"/>
      <c r="U829" s="152"/>
      <c r="V829" s="152"/>
      <c r="W829" s="157"/>
    </row>
    <row r="830" ht="15.75" customHeight="1">
      <c r="A830" s="167"/>
      <c r="B830" s="199"/>
      <c r="N830" s="152"/>
      <c r="Q830" s="195"/>
      <c r="S830" s="200"/>
      <c r="T830" s="200"/>
      <c r="U830" s="152"/>
      <c r="V830" s="152"/>
      <c r="W830" s="157"/>
    </row>
    <row r="831" ht="15.75" customHeight="1">
      <c r="A831" s="167"/>
      <c r="B831" s="199"/>
      <c r="N831" s="152"/>
      <c r="Q831" s="195"/>
      <c r="S831" s="200"/>
      <c r="T831" s="200"/>
      <c r="U831" s="152"/>
      <c r="V831" s="152"/>
      <c r="W831" s="157"/>
    </row>
    <row r="832" ht="15.75" customHeight="1">
      <c r="A832" s="167"/>
      <c r="B832" s="199"/>
      <c r="N832" s="152"/>
      <c r="Q832" s="195"/>
      <c r="S832" s="200"/>
      <c r="T832" s="200"/>
      <c r="U832" s="152"/>
      <c r="V832" s="152"/>
      <c r="W832" s="157"/>
    </row>
    <row r="833" ht="15.75" customHeight="1">
      <c r="A833" s="167"/>
      <c r="B833" s="199"/>
      <c r="N833" s="152"/>
      <c r="Q833" s="195"/>
      <c r="S833" s="200"/>
      <c r="T833" s="200"/>
      <c r="U833" s="152"/>
      <c r="V833" s="152"/>
      <c r="W833" s="157"/>
    </row>
    <row r="834" ht="15.75" customHeight="1">
      <c r="A834" s="167"/>
      <c r="B834" s="199"/>
      <c r="N834" s="152"/>
      <c r="Q834" s="195"/>
      <c r="S834" s="200"/>
      <c r="T834" s="200"/>
      <c r="U834" s="152"/>
      <c r="V834" s="152"/>
      <c r="W834" s="157"/>
    </row>
    <row r="835" ht="15.75" customHeight="1">
      <c r="A835" s="167"/>
      <c r="B835" s="199"/>
      <c r="N835" s="152"/>
      <c r="Q835" s="195"/>
      <c r="S835" s="200"/>
      <c r="T835" s="200"/>
      <c r="U835" s="152"/>
      <c r="V835" s="152"/>
      <c r="W835" s="157"/>
    </row>
    <row r="836" ht="15.75" customHeight="1">
      <c r="A836" s="167"/>
      <c r="B836" s="199"/>
      <c r="N836" s="152"/>
      <c r="Q836" s="195"/>
      <c r="S836" s="200"/>
      <c r="T836" s="200"/>
      <c r="U836" s="152"/>
      <c r="V836" s="152"/>
      <c r="W836" s="157"/>
    </row>
    <row r="837" ht="15.75" customHeight="1">
      <c r="A837" s="167"/>
      <c r="B837" s="199"/>
      <c r="N837" s="152"/>
      <c r="Q837" s="195"/>
      <c r="S837" s="200"/>
      <c r="T837" s="200"/>
      <c r="U837" s="152"/>
      <c r="V837" s="152"/>
      <c r="W837" s="157"/>
    </row>
    <row r="838" ht="15.75" customHeight="1">
      <c r="A838" s="167"/>
      <c r="B838" s="199"/>
      <c r="N838" s="152"/>
      <c r="Q838" s="195"/>
      <c r="S838" s="200"/>
      <c r="T838" s="200"/>
      <c r="U838" s="152"/>
      <c r="V838" s="152"/>
      <c r="W838" s="157"/>
    </row>
    <row r="839" ht="15.75" customHeight="1">
      <c r="A839" s="167"/>
      <c r="B839" s="199"/>
      <c r="N839" s="152"/>
      <c r="Q839" s="195"/>
      <c r="S839" s="200"/>
      <c r="T839" s="200"/>
      <c r="U839" s="152"/>
      <c r="V839" s="152"/>
      <c r="W839" s="157"/>
    </row>
    <row r="840" ht="15.75" customHeight="1">
      <c r="A840" s="167"/>
      <c r="B840" s="199"/>
      <c r="N840" s="152"/>
      <c r="Q840" s="195"/>
      <c r="S840" s="200"/>
      <c r="T840" s="200"/>
      <c r="U840" s="152"/>
      <c r="V840" s="152"/>
      <c r="W840" s="157"/>
    </row>
    <row r="841" ht="15.75" customHeight="1">
      <c r="A841" s="167"/>
      <c r="B841" s="199"/>
      <c r="N841" s="152"/>
      <c r="Q841" s="195"/>
      <c r="S841" s="200"/>
      <c r="T841" s="200"/>
      <c r="U841" s="152"/>
      <c r="V841" s="152"/>
      <c r="W841" s="157"/>
    </row>
    <row r="842" ht="15.75" customHeight="1">
      <c r="A842" s="167"/>
      <c r="B842" s="199"/>
      <c r="N842" s="152"/>
      <c r="Q842" s="195"/>
      <c r="S842" s="200"/>
      <c r="T842" s="200"/>
      <c r="U842" s="152"/>
      <c r="V842" s="152"/>
      <c r="W842" s="157"/>
    </row>
    <row r="843" ht="15.75" customHeight="1">
      <c r="A843" s="167"/>
      <c r="B843" s="199"/>
      <c r="N843" s="152"/>
      <c r="Q843" s="195"/>
      <c r="S843" s="200"/>
      <c r="T843" s="200"/>
      <c r="U843" s="152"/>
      <c r="V843" s="152"/>
      <c r="W843" s="157"/>
    </row>
    <row r="844" ht="15.75" customHeight="1">
      <c r="A844" s="167"/>
      <c r="B844" s="199"/>
      <c r="N844" s="152"/>
      <c r="Q844" s="195"/>
      <c r="S844" s="200"/>
      <c r="T844" s="200"/>
      <c r="U844" s="152"/>
      <c r="V844" s="152"/>
      <c r="W844" s="157"/>
    </row>
    <row r="845" ht="15.75" customHeight="1">
      <c r="A845" s="167"/>
      <c r="B845" s="199"/>
      <c r="N845" s="152"/>
      <c r="Q845" s="195"/>
      <c r="S845" s="200"/>
      <c r="T845" s="200"/>
      <c r="U845" s="152"/>
      <c r="V845" s="152"/>
      <c r="W845" s="157"/>
    </row>
    <row r="846" ht="15.75" customHeight="1">
      <c r="A846" s="167"/>
      <c r="B846" s="199"/>
      <c r="N846" s="152"/>
      <c r="Q846" s="195"/>
      <c r="S846" s="200"/>
      <c r="T846" s="200"/>
      <c r="U846" s="152"/>
      <c r="V846" s="152"/>
      <c r="W846" s="157"/>
    </row>
    <row r="847" ht="15.75" customHeight="1">
      <c r="A847" s="167"/>
      <c r="B847" s="199"/>
      <c r="N847" s="152"/>
      <c r="Q847" s="195"/>
      <c r="S847" s="200"/>
      <c r="T847" s="200"/>
      <c r="U847" s="152"/>
      <c r="V847" s="152"/>
      <c r="W847" s="157"/>
    </row>
    <row r="848" ht="15.75" customHeight="1">
      <c r="A848" s="167"/>
      <c r="B848" s="199"/>
      <c r="N848" s="152"/>
      <c r="Q848" s="195"/>
      <c r="S848" s="200"/>
      <c r="T848" s="200"/>
      <c r="U848" s="152"/>
      <c r="V848" s="152"/>
      <c r="W848" s="157"/>
    </row>
    <row r="849" ht="15.75" customHeight="1">
      <c r="A849" s="167"/>
      <c r="B849" s="199"/>
      <c r="N849" s="152"/>
      <c r="Q849" s="195"/>
      <c r="S849" s="200"/>
      <c r="T849" s="200"/>
      <c r="U849" s="152"/>
      <c r="V849" s="152"/>
      <c r="W849" s="157"/>
    </row>
    <row r="850" ht="15.75" customHeight="1">
      <c r="A850" s="167"/>
      <c r="B850" s="199"/>
      <c r="N850" s="152"/>
      <c r="Q850" s="195"/>
      <c r="S850" s="200"/>
      <c r="T850" s="200"/>
      <c r="U850" s="152"/>
      <c r="V850" s="152"/>
      <c r="W850" s="157"/>
    </row>
    <row r="851" ht="15.75" customHeight="1">
      <c r="A851" s="167"/>
      <c r="B851" s="199"/>
      <c r="N851" s="152"/>
      <c r="Q851" s="195"/>
      <c r="S851" s="200"/>
      <c r="T851" s="200"/>
      <c r="U851" s="152"/>
      <c r="V851" s="152"/>
      <c r="W851" s="157"/>
    </row>
    <row r="852" ht="15.75" customHeight="1">
      <c r="A852" s="167"/>
      <c r="B852" s="199"/>
      <c r="N852" s="152"/>
      <c r="Q852" s="195"/>
      <c r="S852" s="200"/>
      <c r="T852" s="200"/>
      <c r="U852" s="152"/>
      <c r="V852" s="152"/>
      <c r="W852" s="157"/>
    </row>
    <row r="853" ht="15.75" customHeight="1">
      <c r="A853" s="167"/>
      <c r="B853" s="199"/>
      <c r="N853" s="152"/>
      <c r="Q853" s="195"/>
      <c r="S853" s="200"/>
      <c r="T853" s="200"/>
      <c r="U853" s="152"/>
      <c r="V853" s="152"/>
      <c r="W853" s="157"/>
    </row>
    <row r="854" ht="15.75" customHeight="1">
      <c r="A854" s="167"/>
      <c r="B854" s="199"/>
      <c r="N854" s="152"/>
      <c r="Q854" s="195"/>
      <c r="S854" s="200"/>
      <c r="T854" s="200"/>
      <c r="U854" s="152"/>
      <c r="V854" s="152"/>
      <c r="W854" s="157"/>
    </row>
    <row r="855" ht="15.75" customHeight="1">
      <c r="A855" s="167"/>
      <c r="B855" s="199"/>
      <c r="N855" s="152"/>
      <c r="Q855" s="195"/>
      <c r="S855" s="200"/>
      <c r="T855" s="200"/>
      <c r="U855" s="152"/>
      <c r="V855" s="152"/>
      <c r="W855" s="157"/>
    </row>
    <row r="856" ht="15.75" customHeight="1">
      <c r="A856" s="167"/>
      <c r="B856" s="199"/>
      <c r="N856" s="152"/>
      <c r="Q856" s="195"/>
      <c r="S856" s="200"/>
      <c r="T856" s="200"/>
      <c r="U856" s="152"/>
      <c r="V856" s="152"/>
      <c r="W856" s="157"/>
    </row>
    <row r="857" ht="15.75" customHeight="1">
      <c r="A857" s="167"/>
      <c r="B857" s="199"/>
      <c r="N857" s="152"/>
      <c r="Q857" s="195"/>
      <c r="S857" s="200"/>
      <c r="T857" s="200"/>
      <c r="U857" s="152"/>
      <c r="V857" s="152"/>
      <c r="W857" s="157"/>
    </row>
    <row r="858" ht="15.75" customHeight="1">
      <c r="A858" s="167"/>
      <c r="B858" s="199"/>
      <c r="N858" s="152"/>
      <c r="Q858" s="195"/>
      <c r="S858" s="200"/>
      <c r="T858" s="200"/>
      <c r="U858" s="152"/>
      <c r="V858" s="152"/>
      <c r="W858" s="157"/>
    </row>
    <row r="859" ht="15.75" customHeight="1">
      <c r="A859" s="167"/>
      <c r="B859" s="199"/>
      <c r="N859" s="152"/>
      <c r="Q859" s="195"/>
      <c r="S859" s="200"/>
      <c r="T859" s="200"/>
      <c r="U859" s="152"/>
      <c r="V859" s="152"/>
      <c r="W859" s="157"/>
    </row>
    <row r="860" ht="15.75" customHeight="1">
      <c r="A860" s="167"/>
      <c r="B860" s="199"/>
      <c r="N860" s="152"/>
      <c r="Q860" s="195"/>
      <c r="S860" s="200"/>
      <c r="T860" s="200"/>
      <c r="U860" s="152"/>
      <c r="V860" s="152"/>
      <c r="W860" s="157"/>
    </row>
    <row r="861" ht="15.75" customHeight="1">
      <c r="A861" s="167"/>
      <c r="B861" s="199"/>
      <c r="N861" s="152"/>
      <c r="Q861" s="195"/>
      <c r="S861" s="200"/>
      <c r="T861" s="200"/>
      <c r="U861" s="152"/>
      <c r="V861" s="152"/>
      <c r="W861" s="157"/>
    </row>
    <row r="862" ht="15.75" customHeight="1">
      <c r="A862" s="167"/>
      <c r="B862" s="199"/>
      <c r="N862" s="152"/>
      <c r="Q862" s="195"/>
      <c r="S862" s="200"/>
      <c r="T862" s="200"/>
      <c r="U862" s="152"/>
      <c r="V862" s="152"/>
      <c r="W862" s="157"/>
    </row>
    <row r="863" ht="15.75" customHeight="1">
      <c r="A863" s="167"/>
      <c r="B863" s="199"/>
      <c r="N863" s="152"/>
      <c r="Q863" s="195"/>
      <c r="S863" s="200"/>
      <c r="T863" s="200"/>
      <c r="U863" s="152"/>
      <c r="V863" s="152"/>
      <c r="W863" s="157"/>
    </row>
    <row r="864" ht="15.75" customHeight="1">
      <c r="A864" s="167"/>
      <c r="B864" s="199"/>
      <c r="N864" s="152"/>
      <c r="Q864" s="195"/>
      <c r="S864" s="200"/>
      <c r="T864" s="200"/>
      <c r="U864" s="152"/>
      <c r="V864" s="152"/>
      <c r="W864" s="157"/>
    </row>
    <row r="865" ht="15.75" customHeight="1">
      <c r="A865" s="167"/>
      <c r="B865" s="199"/>
      <c r="N865" s="152"/>
      <c r="Q865" s="195"/>
      <c r="S865" s="200"/>
      <c r="T865" s="200"/>
      <c r="U865" s="152"/>
      <c r="V865" s="152"/>
      <c r="W865" s="157"/>
    </row>
    <row r="866" ht="15.75" customHeight="1">
      <c r="A866" s="167"/>
      <c r="B866" s="199"/>
      <c r="N866" s="152"/>
      <c r="Q866" s="195"/>
      <c r="S866" s="200"/>
      <c r="T866" s="200"/>
      <c r="U866" s="152"/>
      <c r="V866" s="152"/>
      <c r="W866" s="157"/>
    </row>
    <row r="867" ht="15.75" customHeight="1">
      <c r="A867" s="167"/>
      <c r="B867" s="199"/>
      <c r="N867" s="152"/>
      <c r="Q867" s="195"/>
      <c r="S867" s="200"/>
      <c r="T867" s="200"/>
      <c r="U867" s="152"/>
      <c r="V867" s="152"/>
      <c r="W867" s="157"/>
    </row>
    <row r="868" ht="15.75" customHeight="1">
      <c r="A868" s="167"/>
      <c r="B868" s="199"/>
      <c r="N868" s="152"/>
      <c r="Q868" s="195"/>
      <c r="S868" s="200"/>
      <c r="T868" s="200"/>
      <c r="U868" s="152"/>
      <c r="V868" s="152"/>
      <c r="W868" s="157"/>
    </row>
    <row r="869" ht="15.75" customHeight="1">
      <c r="A869" s="167"/>
      <c r="B869" s="199"/>
      <c r="N869" s="152"/>
      <c r="Q869" s="195"/>
      <c r="S869" s="200"/>
      <c r="T869" s="200"/>
      <c r="U869" s="152"/>
      <c r="V869" s="152"/>
      <c r="W869" s="157"/>
    </row>
    <row r="870" ht="15.75" customHeight="1">
      <c r="A870" s="167"/>
      <c r="B870" s="199"/>
      <c r="N870" s="152"/>
      <c r="Q870" s="195"/>
      <c r="S870" s="200"/>
      <c r="T870" s="200"/>
      <c r="U870" s="152"/>
      <c r="V870" s="152"/>
      <c r="W870" s="157"/>
    </row>
    <row r="871" ht="15.75" customHeight="1">
      <c r="A871" s="167"/>
      <c r="B871" s="199"/>
      <c r="N871" s="152"/>
      <c r="Q871" s="195"/>
      <c r="S871" s="200"/>
      <c r="T871" s="200"/>
      <c r="U871" s="152"/>
      <c r="V871" s="152"/>
      <c r="W871" s="157"/>
    </row>
    <row r="872" ht="15.75" customHeight="1">
      <c r="A872" s="167"/>
      <c r="B872" s="199"/>
      <c r="N872" s="152"/>
      <c r="Q872" s="195"/>
      <c r="S872" s="200"/>
      <c r="T872" s="200"/>
      <c r="U872" s="152"/>
      <c r="V872" s="152"/>
      <c r="W872" s="157"/>
    </row>
    <row r="873" ht="15.75" customHeight="1">
      <c r="A873" s="167"/>
      <c r="B873" s="199"/>
      <c r="N873" s="152"/>
      <c r="Q873" s="195"/>
      <c r="S873" s="200"/>
      <c r="T873" s="200"/>
      <c r="U873" s="152"/>
      <c r="V873" s="152"/>
      <c r="W873" s="157"/>
    </row>
    <row r="874" ht="15.75" customHeight="1">
      <c r="A874" s="167"/>
      <c r="B874" s="199"/>
      <c r="N874" s="152"/>
      <c r="Q874" s="195"/>
      <c r="S874" s="200"/>
      <c r="T874" s="200"/>
      <c r="U874" s="152"/>
      <c r="V874" s="152"/>
      <c r="W874" s="157"/>
    </row>
    <row r="875" ht="15.75" customHeight="1">
      <c r="A875" s="167"/>
      <c r="B875" s="199"/>
      <c r="N875" s="152"/>
      <c r="Q875" s="195"/>
      <c r="S875" s="200"/>
      <c r="T875" s="200"/>
      <c r="U875" s="152"/>
      <c r="V875" s="152"/>
      <c r="W875" s="157"/>
    </row>
    <row r="876" ht="15.75" customHeight="1">
      <c r="A876" s="167"/>
      <c r="B876" s="199"/>
      <c r="N876" s="152"/>
      <c r="Q876" s="195"/>
      <c r="S876" s="200"/>
      <c r="T876" s="200"/>
      <c r="U876" s="152"/>
      <c r="V876" s="152"/>
      <c r="W876" s="157"/>
    </row>
    <row r="877" ht="15.75" customHeight="1">
      <c r="A877" s="167"/>
      <c r="B877" s="199"/>
      <c r="N877" s="152"/>
      <c r="Q877" s="195"/>
      <c r="S877" s="200"/>
      <c r="T877" s="200"/>
      <c r="U877" s="152"/>
      <c r="V877" s="152"/>
      <c r="W877" s="157"/>
    </row>
    <row r="878" ht="15.75" customHeight="1">
      <c r="A878" s="167"/>
      <c r="B878" s="199"/>
      <c r="N878" s="152"/>
      <c r="Q878" s="195"/>
      <c r="S878" s="200"/>
      <c r="T878" s="200"/>
      <c r="U878" s="152"/>
      <c r="V878" s="152"/>
      <c r="W878" s="157"/>
    </row>
    <row r="879" ht="15.75" customHeight="1">
      <c r="A879" s="167"/>
      <c r="B879" s="199"/>
      <c r="N879" s="152"/>
      <c r="Q879" s="195"/>
      <c r="S879" s="200"/>
      <c r="T879" s="200"/>
      <c r="U879" s="152"/>
      <c r="V879" s="152"/>
      <c r="W879" s="157"/>
    </row>
    <row r="880" ht="15.75" customHeight="1">
      <c r="A880" s="167"/>
      <c r="B880" s="199"/>
      <c r="N880" s="152"/>
      <c r="Q880" s="195"/>
      <c r="S880" s="200"/>
      <c r="T880" s="200"/>
      <c r="U880" s="152"/>
      <c r="V880" s="152"/>
      <c r="W880" s="157"/>
    </row>
    <row r="881" ht="15.75" customHeight="1">
      <c r="A881" s="167"/>
      <c r="B881" s="199"/>
      <c r="N881" s="152"/>
      <c r="Q881" s="195"/>
      <c r="S881" s="200"/>
      <c r="T881" s="200"/>
      <c r="U881" s="152"/>
      <c r="V881" s="152"/>
      <c r="W881" s="157"/>
    </row>
    <row r="882" ht="15.75" customHeight="1">
      <c r="A882" s="167"/>
      <c r="B882" s="199"/>
      <c r="N882" s="152"/>
      <c r="Q882" s="195"/>
      <c r="S882" s="200"/>
      <c r="T882" s="200"/>
      <c r="U882" s="152"/>
      <c r="V882" s="152"/>
      <c r="W882" s="157"/>
    </row>
    <row r="883" ht="15.75" customHeight="1">
      <c r="A883" s="167"/>
      <c r="B883" s="199"/>
      <c r="N883" s="152"/>
      <c r="Q883" s="195"/>
      <c r="S883" s="200"/>
      <c r="T883" s="200"/>
      <c r="U883" s="152"/>
      <c r="V883" s="152"/>
      <c r="W883" s="157"/>
    </row>
    <row r="884" ht="15.75" customHeight="1">
      <c r="A884" s="167"/>
      <c r="B884" s="199"/>
      <c r="N884" s="152"/>
      <c r="Q884" s="195"/>
      <c r="S884" s="200"/>
      <c r="T884" s="200"/>
      <c r="U884" s="152"/>
      <c r="V884" s="152"/>
      <c r="W884" s="157"/>
    </row>
    <row r="885" ht="15.75" customHeight="1">
      <c r="A885" s="167"/>
      <c r="B885" s="199"/>
      <c r="N885" s="152"/>
      <c r="Q885" s="195"/>
      <c r="S885" s="200"/>
      <c r="T885" s="200"/>
      <c r="U885" s="152"/>
      <c r="V885" s="152"/>
      <c r="W885" s="157"/>
    </row>
    <row r="886" ht="15.75" customHeight="1">
      <c r="A886" s="167"/>
      <c r="B886" s="199"/>
      <c r="N886" s="152"/>
      <c r="Q886" s="195"/>
      <c r="S886" s="200"/>
      <c r="T886" s="200"/>
      <c r="U886" s="152"/>
      <c r="V886" s="152"/>
      <c r="W886" s="157"/>
    </row>
    <row r="887" ht="15.75" customHeight="1">
      <c r="A887" s="167"/>
      <c r="B887" s="199"/>
      <c r="N887" s="152"/>
      <c r="Q887" s="195"/>
      <c r="S887" s="200"/>
      <c r="T887" s="200"/>
      <c r="U887" s="152"/>
      <c r="V887" s="152"/>
      <c r="W887" s="157"/>
    </row>
    <row r="888" ht="15.75" customHeight="1">
      <c r="A888" s="167"/>
      <c r="B888" s="199"/>
      <c r="N888" s="152"/>
      <c r="Q888" s="195"/>
      <c r="S888" s="200"/>
      <c r="T888" s="200"/>
      <c r="U888" s="152"/>
      <c r="V888" s="152"/>
      <c r="W888" s="157"/>
    </row>
    <row r="889" ht="15.75" customHeight="1">
      <c r="A889" s="167"/>
      <c r="B889" s="199"/>
      <c r="N889" s="152"/>
      <c r="Q889" s="195"/>
      <c r="S889" s="200"/>
      <c r="T889" s="200"/>
      <c r="U889" s="152"/>
      <c r="V889" s="152"/>
      <c r="W889" s="157"/>
    </row>
    <row r="890" ht="15.75" customHeight="1">
      <c r="A890" s="167"/>
      <c r="B890" s="199"/>
      <c r="N890" s="152"/>
      <c r="Q890" s="195"/>
      <c r="S890" s="200"/>
      <c r="T890" s="200"/>
      <c r="U890" s="152"/>
      <c r="V890" s="152"/>
      <c r="W890" s="157"/>
    </row>
    <row r="891" ht="15.75" customHeight="1">
      <c r="A891" s="167"/>
      <c r="B891" s="199"/>
      <c r="N891" s="152"/>
      <c r="Q891" s="195"/>
      <c r="S891" s="200"/>
      <c r="T891" s="200"/>
      <c r="U891" s="152"/>
      <c r="V891" s="152"/>
      <c r="W891" s="157"/>
    </row>
    <row r="892" ht="15.75" customHeight="1">
      <c r="A892" s="167"/>
      <c r="B892" s="199"/>
      <c r="N892" s="152"/>
      <c r="Q892" s="195"/>
      <c r="S892" s="200"/>
      <c r="T892" s="200"/>
      <c r="U892" s="152"/>
      <c r="V892" s="152"/>
      <c r="W892" s="157"/>
    </row>
    <row r="893" ht="15.75" customHeight="1">
      <c r="A893" s="167"/>
      <c r="B893" s="199"/>
      <c r="N893" s="152"/>
      <c r="Q893" s="195"/>
      <c r="S893" s="200"/>
      <c r="T893" s="200"/>
      <c r="U893" s="152"/>
      <c r="V893" s="152"/>
      <c r="W893" s="157"/>
    </row>
    <row r="894" ht="15.75" customHeight="1">
      <c r="A894" s="167"/>
      <c r="B894" s="199"/>
      <c r="N894" s="152"/>
      <c r="Q894" s="195"/>
      <c r="S894" s="200"/>
      <c r="T894" s="200"/>
      <c r="U894" s="152"/>
      <c r="V894" s="152"/>
      <c r="W894" s="157"/>
    </row>
    <row r="895" ht="15.75" customHeight="1">
      <c r="A895" s="167"/>
      <c r="B895" s="199"/>
      <c r="N895" s="152"/>
      <c r="Q895" s="195"/>
      <c r="S895" s="200"/>
      <c r="T895" s="200"/>
      <c r="U895" s="152"/>
      <c r="V895" s="152"/>
      <c r="W895" s="157"/>
    </row>
    <row r="896" ht="15.75" customHeight="1">
      <c r="A896" s="167"/>
      <c r="B896" s="199"/>
      <c r="N896" s="152"/>
      <c r="Q896" s="195"/>
      <c r="S896" s="200"/>
      <c r="T896" s="200"/>
      <c r="U896" s="152"/>
      <c r="V896" s="152"/>
      <c r="W896" s="157"/>
    </row>
    <row r="897" ht="15.75" customHeight="1">
      <c r="A897" s="167"/>
      <c r="B897" s="199"/>
      <c r="N897" s="152"/>
      <c r="Q897" s="195"/>
      <c r="S897" s="200"/>
      <c r="T897" s="200"/>
      <c r="U897" s="152"/>
      <c r="V897" s="152"/>
      <c r="W897" s="157"/>
    </row>
    <row r="898" ht="15.75" customHeight="1">
      <c r="A898" s="167"/>
      <c r="B898" s="199"/>
      <c r="N898" s="152"/>
      <c r="Q898" s="195"/>
      <c r="S898" s="200"/>
      <c r="T898" s="200"/>
      <c r="U898" s="152"/>
      <c r="V898" s="152"/>
      <c r="W898" s="157"/>
    </row>
    <row r="899" ht="15.75" customHeight="1">
      <c r="A899" s="167"/>
      <c r="B899" s="199"/>
      <c r="N899" s="152"/>
      <c r="Q899" s="195"/>
      <c r="S899" s="200"/>
      <c r="T899" s="200"/>
      <c r="U899" s="152"/>
      <c r="V899" s="152"/>
      <c r="W899" s="157"/>
    </row>
    <row r="900" ht="15.75" customHeight="1">
      <c r="A900" s="167"/>
      <c r="B900" s="199"/>
      <c r="N900" s="152"/>
      <c r="Q900" s="195"/>
      <c r="S900" s="200"/>
      <c r="T900" s="200"/>
      <c r="U900" s="152"/>
      <c r="V900" s="152"/>
      <c r="W900" s="157"/>
    </row>
    <row r="901" ht="15.75" customHeight="1">
      <c r="A901" s="167"/>
      <c r="B901" s="199"/>
      <c r="N901" s="152"/>
      <c r="Q901" s="195"/>
      <c r="S901" s="200"/>
      <c r="T901" s="200"/>
      <c r="U901" s="152"/>
      <c r="V901" s="152"/>
      <c r="W901" s="157"/>
    </row>
    <row r="902" ht="15.75" customHeight="1">
      <c r="A902" s="167"/>
      <c r="B902" s="199"/>
      <c r="N902" s="152"/>
      <c r="Q902" s="195"/>
      <c r="S902" s="200"/>
      <c r="T902" s="200"/>
      <c r="U902" s="152"/>
      <c r="V902" s="152"/>
      <c r="W902" s="157"/>
    </row>
    <row r="903" ht="15.75" customHeight="1">
      <c r="A903" s="167"/>
      <c r="B903" s="199"/>
      <c r="N903" s="152"/>
      <c r="Q903" s="195"/>
      <c r="S903" s="200"/>
      <c r="T903" s="200"/>
      <c r="U903" s="152"/>
      <c r="V903" s="152"/>
      <c r="W903" s="157"/>
    </row>
    <row r="904" ht="15.75" customHeight="1">
      <c r="A904" s="167"/>
      <c r="B904" s="199"/>
      <c r="N904" s="152"/>
      <c r="Q904" s="195"/>
      <c r="S904" s="200"/>
      <c r="T904" s="200"/>
      <c r="U904" s="152"/>
      <c r="V904" s="152"/>
      <c r="W904" s="157"/>
    </row>
    <row r="905" ht="15.75" customHeight="1">
      <c r="A905" s="167"/>
      <c r="B905" s="199"/>
      <c r="N905" s="152"/>
      <c r="Q905" s="195"/>
      <c r="S905" s="200"/>
      <c r="T905" s="200"/>
      <c r="U905" s="152"/>
      <c r="V905" s="152"/>
      <c r="W905" s="157"/>
    </row>
    <row r="906" ht="15.75" customHeight="1">
      <c r="A906" s="167"/>
      <c r="B906" s="199"/>
      <c r="N906" s="152"/>
      <c r="Q906" s="195"/>
      <c r="S906" s="200"/>
      <c r="T906" s="200"/>
      <c r="U906" s="152"/>
      <c r="V906" s="152"/>
      <c r="W906" s="157"/>
    </row>
    <row r="907" ht="15.75" customHeight="1">
      <c r="A907" s="167"/>
      <c r="B907" s="199"/>
      <c r="N907" s="152"/>
      <c r="Q907" s="195"/>
      <c r="S907" s="200"/>
      <c r="T907" s="200"/>
      <c r="U907" s="152"/>
      <c r="V907" s="152"/>
      <c r="W907" s="157"/>
    </row>
    <row r="908" ht="15.75" customHeight="1">
      <c r="A908" s="167"/>
      <c r="B908" s="199"/>
      <c r="N908" s="152"/>
      <c r="Q908" s="195"/>
      <c r="S908" s="200"/>
      <c r="T908" s="200"/>
      <c r="U908" s="152"/>
      <c r="V908" s="152"/>
      <c r="W908" s="157"/>
    </row>
    <row r="909" ht="15.75" customHeight="1">
      <c r="A909" s="167"/>
      <c r="B909" s="199"/>
      <c r="N909" s="152"/>
      <c r="Q909" s="195"/>
      <c r="S909" s="200"/>
      <c r="T909" s="200"/>
      <c r="U909" s="152"/>
      <c r="V909" s="152"/>
      <c r="W909" s="157"/>
    </row>
    <row r="910" ht="15.75" customHeight="1">
      <c r="A910" s="167"/>
      <c r="B910" s="199"/>
      <c r="N910" s="152"/>
      <c r="Q910" s="195"/>
      <c r="S910" s="200"/>
      <c r="T910" s="200"/>
      <c r="U910" s="152"/>
      <c r="V910" s="152"/>
      <c r="W910" s="157"/>
    </row>
    <row r="911" ht="15.75" customHeight="1">
      <c r="A911" s="167"/>
      <c r="B911" s="199"/>
      <c r="N911" s="152"/>
      <c r="Q911" s="195"/>
      <c r="S911" s="200"/>
      <c r="T911" s="200"/>
      <c r="U911" s="152"/>
      <c r="V911" s="152"/>
      <c r="W911" s="157"/>
    </row>
    <row r="912" ht="15.75" customHeight="1">
      <c r="A912" s="167"/>
      <c r="B912" s="199"/>
      <c r="N912" s="152"/>
      <c r="Q912" s="195"/>
      <c r="S912" s="200"/>
      <c r="T912" s="200"/>
      <c r="U912" s="152"/>
      <c r="V912" s="152"/>
      <c r="W912" s="157"/>
    </row>
    <row r="913" ht="15.75" customHeight="1">
      <c r="A913" s="167"/>
      <c r="B913" s="199"/>
      <c r="N913" s="152"/>
      <c r="Q913" s="195"/>
      <c r="S913" s="200"/>
      <c r="T913" s="200"/>
      <c r="U913" s="152"/>
      <c r="V913" s="152"/>
      <c r="W913" s="157"/>
    </row>
    <row r="914" ht="15.75" customHeight="1">
      <c r="A914" s="167"/>
      <c r="B914" s="199"/>
      <c r="N914" s="152"/>
      <c r="Q914" s="195"/>
      <c r="S914" s="200"/>
      <c r="T914" s="200"/>
      <c r="U914" s="152"/>
      <c r="V914" s="152"/>
      <c r="W914" s="157"/>
    </row>
    <row r="915" ht="15.75" customHeight="1">
      <c r="A915" s="167"/>
      <c r="B915" s="199"/>
      <c r="N915" s="152"/>
      <c r="Q915" s="195"/>
      <c r="S915" s="200"/>
      <c r="T915" s="200"/>
      <c r="U915" s="152"/>
      <c r="V915" s="152"/>
      <c r="W915" s="157"/>
    </row>
    <row r="916" ht="15.75" customHeight="1">
      <c r="A916" s="167"/>
      <c r="B916" s="199"/>
      <c r="N916" s="152"/>
      <c r="Q916" s="195"/>
      <c r="S916" s="200"/>
      <c r="T916" s="200"/>
      <c r="U916" s="152"/>
      <c r="V916" s="152"/>
      <c r="W916" s="157"/>
    </row>
    <row r="917" ht="15.75" customHeight="1">
      <c r="A917" s="167"/>
      <c r="B917" s="199"/>
      <c r="N917" s="152"/>
      <c r="Q917" s="195"/>
      <c r="S917" s="200"/>
      <c r="T917" s="200"/>
      <c r="U917" s="152"/>
      <c r="V917" s="152"/>
      <c r="W917" s="157"/>
    </row>
    <row r="918" ht="15.75" customHeight="1">
      <c r="A918" s="167"/>
      <c r="B918" s="199"/>
      <c r="N918" s="152"/>
      <c r="Q918" s="195"/>
      <c r="S918" s="200"/>
      <c r="T918" s="200"/>
      <c r="U918" s="152"/>
      <c r="V918" s="152"/>
      <c r="W918" s="157"/>
    </row>
    <row r="919" ht="15.75" customHeight="1">
      <c r="A919" s="167"/>
      <c r="B919" s="199"/>
      <c r="N919" s="152"/>
      <c r="Q919" s="195"/>
      <c r="S919" s="200"/>
      <c r="T919" s="200"/>
      <c r="U919" s="152"/>
      <c r="V919" s="152"/>
      <c r="W919" s="157"/>
    </row>
    <row r="920" ht="15.75" customHeight="1">
      <c r="A920" s="167"/>
      <c r="B920" s="199"/>
      <c r="N920" s="152"/>
      <c r="Q920" s="195"/>
      <c r="S920" s="200"/>
      <c r="T920" s="200"/>
      <c r="U920" s="152"/>
      <c r="V920" s="152"/>
      <c r="W920" s="157"/>
    </row>
    <row r="921" ht="15.75" customHeight="1">
      <c r="A921" s="167"/>
      <c r="B921" s="199"/>
      <c r="N921" s="152"/>
      <c r="Q921" s="195"/>
      <c r="S921" s="200"/>
      <c r="T921" s="200"/>
      <c r="U921" s="152"/>
      <c r="V921" s="152"/>
      <c r="W921" s="157"/>
    </row>
    <row r="922" ht="15.75" customHeight="1">
      <c r="A922" s="167"/>
      <c r="B922" s="199"/>
      <c r="N922" s="152"/>
      <c r="Q922" s="195"/>
      <c r="S922" s="200"/>
      <c r="T922" s="200"/>
      <c r="U922" s="152"/>
      <c r="V922" s="152"/>
      <c r="W922" s="157"/>
    </row>
    <row r="923" ht="15.75" customHeight="1">
      <c r="A923" s="167"/>
      <c r="B923" s="199"/>
      <c r="N923" s="152"/>
      <c r="Q923" s="195"/>
      <c r="S923" s="200"/>
      <c r="T923" s="200"/>
      <c r="U923" s="152"/>
      <c r="V923" s="152"/>
      <c r="W923" s="157"/>
    </row>
    <row r="924" ht="15.75" customHeight="1">
      <c r="A924" s="167"/>
      <c r="B924" s="199"/>
      <c r="N924" s="152"/>
      <c r="Q924" s="195"/>
      <c r="S924" s="200"/>
      <c r="T924" s="200"/>
      <c r="U924" s="152"/>
      <c r="V924" s="152"/>
      <c r="W924" s="157"/>
    </row>
    <row r="925" ht="15.75" customHeight="1">
      <c r="A925" s="167"/>
      <c r="B925" s="199"/>
      <c r="N925" s="152"/>
      <c r="Q925" s="195"/>
      <c r="S925" s="200"/>
      <c r="T925" s="200"/>
      <c r="U925" s="152"/>
      <c r="V925" s="152"/>
      <c r="W925" s="157"/>
    </row>
    <row r="926" ht="15.75" customHeight="1">
      <c r="A926" s="167"/>
      <c r="B926" s="199"/>
      <c r="N926" s="152"/>
      <c r="Q926" s="195"/>
      <c r="S926" s="200"/>
      <c r="T926" s="200"/>
      <c r="U926" s="152"/>
      <c r="V926" s="152"/>
      <c r="W926" s="157"/>
    </row>
    <row r="927" ht="15.75" customHeight="1">
      <c r="A927" s="167"/>
      <c r="B927" s="199"/>
      <c r="N927" s="152"/>
      <c r="Q927" s="195"/>
      <c r="S927" s="200"/>
      <c r="T927" s="200"/>
      <c r="U927" s="152"/>
      <c r="V927" s="152"/>
      <c r="W927" s="157"/>
    </row>
    <row r="928" ht="15.75" customHeight="1">
      <c r="A928" s="167"/>
      <c r="B928" s="199"/>
      <c r="N928" s="152"/>
      <c r="Q928" s="195"/>
      <c r="S928" s="200"/>
      <c r="T928" s="200"/>
      <c r="U928" s="152"/>
      <c r="V928" s="152"/>
      <c r="W928" s="157"/>
    </row>
    <row r="929" ht="15.75" customHeight="1">
      <c r="A929" s="167"/>
      <c r="B929" s="199"/>
      <c r="N929" s="152"/>
      <c r="Q929" s="195"/>
      <c r="S929" s="200"/>
      <c r="T929" s="200"/>
      <c r="U929" s="152"/>
      <c r="V929" s="152"/>
      <c r="W929" s="157"/>
    </row>
    <row r="930" ht="15.75" customHeight="1">
      <c r="A930" s="167"/>
      <c r="B930" s="199"/>
      <c r="N930" s="152"/>
      <c r="Q930" s="195"/>
      <c r="S930" s="200"/>
      <c r="T930" s="200"/>
      <c r="U930" s="152"/>
      <c r="V930" s="152"/>
      <c r="W930" s="157"/>
    </row>
    <row r="931" ht="15.75" customHeight="1">
      <c r="A931" s="167"/>
      <c r="B931" s="199"/>
      <c r="N931" s="152"/>
      <c r="Q931" s="195"/>
      <c r="S931" s="200"/>
      <c r="T931" s="200"/>
      <c r="U931" s="152"/>
      <c r="V931" s="152"/>
      <c r="W931" s="157"/>
    </row>
    <row r="932" ht="15.75" customHeight="1">
      <c r="A932" s="167"/>
      <c r="B932" s="199"/>
      <c r="N932" s="152"/>
      <c r="Q932" s="195"/>
      <c r="S932" s="200"/>
      <c r="T932" s="200"/>
      <c r="U932" s="152"/>
      <c r="V932" s="152"/>
      <c r="W932" s="157"/>
    </row>
    <row r="933" ht="15.75" customHeight="1">
      <c r="A933" s="167"/>
      <c r="B933" s="199"/>
      <c r="N933" s="152"/>
      <c r="Q933" s="195"/>
      <c r="S933" s="200"/>
      <c r="T933" s="200"/>
      <c r="U933" s="152"/>
      <c r="V933" s="152"/>
      <c r="W933" s="157"/>
    </row>
    <row r="934" ht="15.75" customHeight="1">
      <c r="A934" s="167"/>
      <c r="B934" s="199"/>
      <c r="N934" s="152"/>
      <c r="Q934" s="195"/>
      <c r="S934" s="200"/>
      <c r="T934" s="200"/>
      <c r="U934" s="152"/>
      <c r="V934" s="152"/>
      <c r="W934" s="157"/>
    </row>
    <row r="935" ht="15.75" customHeight="1">
      <c r="A935" s="167"/>
      <c r="B935" s="199"/>
      <c r="N935" s="152"/>
      <c r="Q935" s="195"/>
      <c r="S935" s="200"/>
      <c r="T935" s="200"/>
      <c r="U935" s="152"/>
      <c r="V935" s="152"/>
      <c r="W935" s="157"/>
    </row>
    <row r="936" ht="15.75" customHeight="1">
      <c r="A936" s="167"/>
      <c r="B936" s="199"/>
      <c r="N936" s="152"/>
      <c r="Q936" s="195"/>
      <c r="S936" s="200"/>
      <c r="T936" s="200"/>
      <c r="U936" s="152"/>
      <c r="V936" s="152"/>
      <c r="W936" s="157"/>
    </row>
    <row r="937" ht="15.75" customHeight="1">
      <c r="A937" s="167"/>
      <c r="B937" s="199"/>
      <c r="N937" s="152"/>
      <c r="Q937" s="195"/>
      <c r="S937" s="200"/>
      <c r="T937" s="200"/>
      <c r="U937" s="152"/>
      <c r="V937" s="152"/>
      <c r="W937" s="157"/>
    </row>
    <row r="938" ht="15.75" customHeight="1">
      <c r="A938" s="167"/>
      <c r="B938" s="199"/>
      <c r="N938" s="152"/>
      <c r="Q938" s="195"/>
      <c r="S938" s="200"/>
      <c r="T938" s="200"/>
      <c r="U938" s="152"/>
      <c r="V938" s="152"/>
      <c r="W938" s="157"/>
    </row>
    <row r="939" ht="15.75" customHeight="1">
      <c r="A939" s="167"/>
      <c r="B939" s="199"/>
      <c r="N939" s="152"/>
      <c r="Q939" s="195"/>
      <c r="S939" s="200"/>
      <c r="T939" s="200"/>
      <c r="U939" s="152"/>
      <c r="V939" s="152"/>
      <c r="W939" s="157"/>
    </row>
    <row r="940" ht="15.75" customHeight="1">
      <c r="A940" s="167"/>
      <c r="B940" s="199"/>
      <c r="N940" s="152"/>
      <c r="Q940" s="195"/>
      <c r="S940" s="200"/>
      <c r="T940" s="200"/>
      <c r="U940" s="152"/>
      <c r="V940" s="152"/>
      <c r="W940" s="157"/>
    </row>
    <row r="941" ht="15.75" customHeight="1">
      <c r="A941" s="167"/>
      <c r="B941" s="199"/>
      <c r="N941" s="152"/>
      <c r="Q941" s="195"/>
      <c r="S941" s="200"/>
      <c r="T941" s="200"/>
      <c r="U941" s="152"/>
      <c r="V941" s="152"/>
      <c r="W941" s="157"/>
    </row>
    <row r="942" ht="15.75" customHeight="1">
      <c r="A942" s="167"/>
      <c r="B942" s="199"/>
      <c r="N942" s="152"/>
      <c r="Q942" s="195"/>
      <c r="S942" s="200"/>
      <c r="T942" s="200"/>
      <c r="U942" s="152"/>
      <c r="V942" s="152"/>
      <c r="W942" s="157"/>
    </row>
    <row r="943" ht="15.75" customHeight="1">
      <c r="A943" s="167"/>
      <c r="B943" s="199"/>
      <c r="N943" s="152"/>
      <c r="Q943" s="195"/>
      <c r="S943" s="200"/>
      <c r="T943" s="200"/>
      <c r="U943" s="152"/>
      <c r="V943" s="152"/>
      <c r="W943" s="157"/>
    </row>
    <row r="944" ht="15.75" customHeight="1">
      <c r="A944" s="167"/>
      <c r="B944" s="199"/>
      <c r="N944" s="152"/>
      <c r="Q944" s="195"/>
      <c r="S944" s="200"/>
      <c r="T944" s="200"/>
      <c r="U944" s="152"/>
      <c r="V944" s="152"/>
      <c r="W944" s="157"/>
    </row>
    <row r="945" ht="15.75" customHeight="1">
      <c r="A945" s="167"/>
      <c r="B945" s="199"/>
      <c r="N945" s="152"/>
      <c r="Q945" s="195"/>
      <c r="S945" s="200"/>
      <c r="T945" s="200"/>
      <c r="U945" s="152"/>
      <c r="V945" s="152"/>
      <c r="W945" s="157"/>
    </row>
    <row r="946" ht="15.75" customHeight="1">
      <c r="A946" s="167"/>
      <c r="B946" s="199"/>
      <c r="N946" s="152"/>
      <c r="Q946" s="195"/>
      <c r="S946" s="200"/>
      <c r="T946" s="200"/>
      <c r="U946" s="152"/>
      <c r="V946" s="152"/>
      <c r="W946" s="157"/>
    </row>
    <row r="947" ht="15.75" customHeight="1">
      <c r="A947" s="167"/>
      <c r="B947" s="199"/>
      <c r="N947" s="152"/>
      <c r="Q947" s="195"/>
      <c r="S947" s="200"/>
      <c r="T947" s="200"/>
      <c r="U947" s="152"/>
      <c r="V947" s="152"/>
      <c r="W947" s="157"/>
    </row>
    <row r="948" ht="15.75" customHeight="1">
      <c r="A948" s="167"/>
      <c r="B948" s="199"/>
      <c r="N948" s="152"/>
      <c r="Q948" s="195"/>
      <c r="S948" s="200"/>
      <c r="T948" s="200"/>
      <c r="U948" s="152"/>
      <c r="V948" s="152"/>
      <c r="W948" s="157"/>
    </row>
    <row r="949" ht="15.75" customHeight="1">
      <c r="A949" s="167"/>
      <c r="B949" s="199"/>
      <c r="N949" s="152"/>
      <c r="Q949" s="195"/>
      <c r="S949" s="200"/>
      <c r="T949" s="200"/>
      <c r="U949" s="152"/>
      <c r="V949" s="152"/>
      <c r="W949" s="157"/>
    </row>
    <row r="950" ht="15.75" customHeight="1">
      <c r="A950" s="167"/>
      <c r="B950" s="199"/>
      <c r="N950" s="152"/>
      <c r="Q950" s="195"/>
      <c r="S950" s="200"/>
      <c r="T950" s="200"/>
      <c r="U950" s="152"/>
      <c r="V950" s="152"/>
      <c r="W950" s="157"/>
    </row>
    <row r="951" ht="15.75" customHeight="1">
      <c r="A951" s="167"/>
      <c r="B951" s="199"/>
      <c r="N951" s="152"/>
      <c r="Q951" s="195"/>
      <c r="S951" s="200"/>
      <c r="T951" s="200"/>
      <c r="U951" s="152"/>
      <c r="V951" s="152"/>
      <c r="W951" s="157"/>
    </row>
    <row r="952" ht="15.75" customHeight="1">
      <c r="A952" s="167"/>
      <c r="B952" s="199"/>
      <c r="N952" s="152"/>
      <c r="Q952" s="195"/>
      <c r="S952" s="200"/>
      <c r="T952" s="200"/>
      <c r="U952" s="152"/>
      <c r="V952" s="152"/>
      <c r="W952" s="157"/>
    </row>
    <row r="953" ht="15.75" customHeight="1">
      <c r="A953" s="167"/>
      <c r="B953" s="199"/>
      <c r="N953" s="152"/>
      <c r="Q953" s="195"/>
      <c r="S953" s="200"/>
      <c r="T953" s="200"/>
      <c r="U953" s="152"/>
      <c r="V953" s="152"/>
      <c r="W953" s="157"/>
    </row>
    <row r="954" ht="15.75" customHeight="1">
      <c r="A954" s="167"/>
      <c r="B954" s="199"/>
      <c r="N954" s="152"/>
      <c r="Q954" s="195"/>
      <c r="S954" s="200"/>
      <c r="T954" s="200"/>
      <c r="U954" s="152"/>
      <c r="V954" s="152"/>
      <c r="W954" s="157"/>
    </row>
    <row r="955" ht="15.75" customHeight="1">
      <c r="A955" s="167"/>
      <c r="B955" s="199"/>
      <c r="N955" s="152"/>
      <c r="Q955" s="195"/>
      <c r="S955" s="200"/>
      <c r="T955" s="200"/>
      <c r="U955" s="152"/>
      <c r="V955" s="152"/>
      <c r="W955" s="157"/>
    </row>
    <row r="956" ht="15.75" customHeight="1">
      <c r="A956" s="167"/>
      <c r="B956" s="199"/>
      <c r="N956" s="152"/>
      <c r="Q956" s="195"/>
      <c r="S956" s="200"/>
      <c r="T956" s="200"/>
      <c r="U956" s="152"/>
      <c r="V956" s="152"/>
      <c r="W956" s="157"/>
    </row>
    <row r="957" ht="15.75" customHeight="1">
      <c r="A957" s="167"/>
      <c r="B957" s="199"/>
      <c r="N957" s="152"/>
      <c r="Q957" s="195"/>
      <c r="S957" s="200"/>
      <c r="T957" s="200"/>
      <c r="U957" s="152"/>
      <c r="V957" s="152"/>
      <c r="W957" s="157"/>
    </row>
    <row r="958" ht="15.75" customHeight="1">
      <c r="A958" s="167"/>
      <c r="B958" s="199"/>
      <c r="N958" s="152"/>
      <c r="Q958" s="195"/>
      <c r="S958" s="200"/>
      <c r="T958" s="200"/>
      <c r="U958" s="152"/>
      <c r="V958" s="152"/>
      <c r="W958" s="157"/>
    </row>
    <row r="959" ht="15.75" customHeight="1">
      <c r="A959" s="167"/>
      <c r="B959" s="199"/>
      <c r="N959" s="152"/>
      <c r="Q959" s="195"/>
      <c r="S959" s="200"/>
      <c r="T959" s="200"/>
      <c r="U959" s="152"/>
      <c r="V959" s="152"/>
      <c r="W959" s="157"/>
    </row>
    <row r="960" ht="15.75" customHeight="1">
      <c r="A960" s="167"/>
      <c r="B960" s="199"/>
      <c r="N960" s="152"/>
      <c r="Q960" s="195"/>
      <c r="S960" s="200"/>
      <c r="T960" s="200"/>
      <c r="U960" s="152"/>
      <c r="V960" s="152"/>
      <c r="W960" s="157"/>
    </row>
    <row r="961" ht="15.75" customHeight="1">
      <c r="A961" s="167"/>
      <c r="B961" s="199"/>
      <c r="N961" s="152"/>
      <c r="Q961" s="195"/>
      <c r="S961" s="200"/>
      <c r="T961" s="200"/>
      <c r="U961" s="152"/>
      <c r="V961" s="152"/>
      <c r="W961" s="157"/>
    </row>
    <row r="962" ht="15.75" customHeight="1">
      <c r="A962" s="167"/>
      <c r="B962" s="199"/>
      <c r="N962" s="152"/>
      <c r="Q962" s="195"/>
      <c r="S962" s="200"/>
      <c r="T962" s="200"/>
      <c r="U962" s="152"/>
      <c r="V962" s="152"/>
      <c r="W962" s="157"/>
    </row>
    <row r="963" ht="15.75" customHeight="1">
      <c r="A963" s="167"/>
      <c r="B963" s="199"/>
      <c r="N963" s="152"/>
      <c r="Q963" s="195"/>
      <c r="S963" s="200"/>
      <c r="T963" s="200"/>
      <c r="U963" s="152"/>
      <c r="V963" s="152"/>
      <c r="W963" s="157"/>
    </row>
    <row r="964" ht="15.75" customHeight="1">
      <c r="A964" s="167"/>
      <c r="B964" s="199"/>
      <c r="N964" s="152"/>
      <c r="Q964" s="195"/>
      <c r="S964" s="200"/>
      <c r="T964" s="200"/>
      <c r="U964" s="152"/>
      <c r="V964" s="152"/>
      <c r="W964" s="157"/>
    </row>
    <row r="965" ht="15.75" customHeight="1">
      <c r="A965" s="167"/>
      <c r="B965" s="199"/>
      <c r="N965" s="152"/>
      <c r="Q965" s="195"/>
      <c r="S965" s="200"/>
      <c r="T965" s="200"/>
      <c r="U965" s="152"/>
      <c r="V965" s="152"/>
      <c r="W965" s="157"/>
    </row>
    <row r="966" ht="15.75" customHeight="1">
      <c r="A966" s="167"/>
      <c r="B966" s="199"/>
      <c r="N966" s="152"/>
      <c r="Q966" s="195"/>
      <c r="S966" s="200"/>
      <c r="T966" s="200"/>
      <c r="U966" s="152"/>
      <c r="V966" s="152"/>
      <c r="W966" s="157"/>
    </row>
    <row r="967" ht="15.75" customHeight="1">
      <c r="A967" s="167"/>
      <c r="B967" s="199"/>
      <c r="N967" s="152"/>
      <c r="Q967" s="195"/>
      <c r="S967" s="200"/>
      <c r="T967" s="200"/>
      <c r="U967" s="152"/>
      <c r="V967" s="152"/>
      <c r="W967" s="157"/>
    </row>
    <row r="968" ht="15.75" customHeight="1">
      <c r="A968" s="167"/>
      <c r="B968" s="199"/>
      <c r="N968" s="152"/>
      <c r="Q968" s="195"/>
      <c r="S968" s="200"/>
      <c r="T968" s="200"/>
      <c r="U968" s="152"/>
      <c r="V968" s="152"/>
      <c r="W968" s="157"/>
    </row>
    <row r="969" ht="15.75" customHeight="1">
      <c r="A969" s="167"/>
      <c r="B969" s="199"/>
      <c r="N969" s="152"/>
      <c r="Q969" s="195"/>
      <c r="S969" s="200"/>
      <c r="T969" s="200"/>
      <c r="U969" s="152"/>
      <c r="V969" s="152"/>
      <c r="W969" s="157"/>
    </row>
    <row r="970" ht="15.75" customHeight="1">
      <c r="A970" s="167"/>
      <c r="B970" s="199"/>
      <c r="N970" s="152"/>
      <c r="Q970" s="195"/>
      <c r="S970" s="200"/>
      <c r="T970" s="200"/>
      <c r="U970" s="152"/>
      <c r="V970" s="152"/>
      <c r="W970" s="157"/>
    </row>
    <row r="971" ht="15.75" customHeight="1">
      <c r="A971" s="167"/>
      <c r="B971" s="199"/>
      <c r="N971" s="152"/>
      <c r="Q971" s="195"/>
      <c r="S971" s="200"/>
      <c r="T971" s="200"/>
      <c r="U971" s="152"/>
      <c r="V971" s="152"/>
      <c r="W971" s="157"/>
    </row>
    <row r="972" ht="15.75" customHeight="1">
      <c r="A972" s="167"/>
      <c r="B972" s="199"/>
      <c r="N972" s="152"/>
      <c r="Q972" s="195"/>
      <c r="S972" s="200"/>
      <c r="T972" s="200"/>
      <c r="U972" s="152"/>
      <c r="V972" s="152"/>
      <c r="W972" s="157"/>
    </row>
    <row r="973" ht="15.75" customHeight="1">
      <c r="A973" s="167"/>
      <c r="B973" s="199"/>
      <c r="N973" s="152"/>
      <c r="Q973" s="195"/>
      <c r="S973" s="200"/>
      <c r="T973" s="200"/>
      <c r="U973" s="152"/>
      <c r="V973" s="152"/>
      <c r="W973" s="157"/>
    </row>
    <row r="974" ht="15.75" customHeight="1">
      <c r="A974" s="167"/>
      <c r="B974" s="199"/>
      <c r="N974" s="152"/>
      <c r="Q974" s="195"/>
      <c r="S974" s="200"/>
      <c r="T974" s="200"/>
      <c r="U974" s="152"/>
      <c r="V974" s="152"/>
      <c r="W974" s="157"/>
    </row>
    <row r="975" ht="15.75" customHeight="1">
      <c r="A975" s="167"/>
      <c r="B975" s="199"/>
      <c r="N975" s="152"/>
      <c r="Q975" s="195"/>
      <c r="S975" s="200"/>
      <c r="T975" s="200"/>
      <c r="U975" s="152"/>
      <c r="V975" s="152"/>
      <c r="W975" s="157"/>
    </row>
    <row r="976" ht="15.75" customHeight="1">
      <c r="A976" s="167"/>
      <c r="B976" s="199"/>
      <c r="N976" s="152"/>
      <c r="Q976" s="195"/>
      <c r="S976" s="200"/>
      <c r="T976" s="200"/>
      <c r="U976" s="152"/>
      <c r="V976" s="152"/>
      <c r="W976" s="157"/>
    </row>
    <row r="977" ht="15.75" customHeight="1">
      <c r="A977" s="167"/>
      <c r="B977" s="199"/>
      <c r="N977" s="152"/>
      <c r="Q977" s="195"/>
      <c r="S977" s="200"/>
      <c r="T977" s="200"/>
      <c r="U977" s="152"/>
      <c r="V977" s="152"/>
      <c r="W977" s="157"/>
    </row>
    <row r="978" ht="15.75" customHeight="1">
      <c r="A978" s="167"/>
      <c r="B978" s="199"/>
      <c r="N978" s="152"/>
      <c r="Q978" s="195"/>
      <c r="S978" s="200"/>
      <c r="T978" s="200"/>
      <c r="U978" s="152"/>
      <c r="V978" s="152"/>
      <c r="W978" s="157"/>
    </row>
    <row r="979" ht="15.75" customHeight="1">
      <c r="A979" s="167"/>
      <c r="B979" s="199"/>
      <c r="N979" s="152"/>
      <c r="Q979" s="195"/>
      <c r="S979" s="200"/>
      <c r="T979" s="200"/>
      <c r="U979" s="152"/>
      <c r="V979" s="152"/>
      <c r="W979" s="157"/>
    </row>
    <row r="980" ht="15.75" customHeight="1">
      <c r="A980" s="167"/>
      <c r="B980" s="199"/>
      <c r="N980" s="152"/>
      <c r="Q980" s="195"/>
      <c r="S980" s="200"/>
      <c r="T980" s="200"/>
      <c r="U980" s="152"/>
      <c r="V980" s="152"/>
      <c r="W980" s="157"/>
    </row>
    <row r="981" ht="15.75" customHeight="1">
      <c r="A981" s="167"/>
      <c r="B981" s="199"/>
      <c r="N981" s="152"/>
      <c r="Q981" s="195"/>
      <c r="S981" s="200"/>
      <c r="T981" s="200"/>
      <c r="U981" s="152"/>
      <c r="V981" s="152"/>
      <c r="W981" s="157"/>
    </row>
    <row r="982" ht="15.75" customHeight="1">
      <c r="A982" s="167"/>
      <c r="B982" s="199"/>
      <c r="N982" s="152"/>
      <c r="Q982" s="195"/>
      <c r="S982" s="200"/>
      <c r="T982" s="200"/>
      <c r="U982" s="152"/>
      <c r="V982" s="152"/>
      <c r="W982" s="157"/>
    </row>
    <row r="983" ht="15.75" customHeight="1">
      <c r="A983" s="167"/>
      <c r="B983" s="199"/>
      <c r="N983" s="152"/>
      <c r="Q983" s="195"/>
      <c r="S983" s="200"/>
      <c r="T983" s="200"/>
      <c r="U983" s="152"/>
      <c r="V983" s="152"/>
      <c r="W983" s="157"/>
    </row>
    <row r="984" ht="15.75" customHeight="1">
      <c r="A984" s="167"/>
      <c r="B984" s="199"/>
      <c r="N984" s="152"/>
      <c r="Q984" s="195"/>
      <c r="S984" s="200"/>
      <c r="T984" s="200"/>
      <c r="U984" s="152"/>
      <c r="V984" s="152"/>
      <c r="W984" s="157"/>
    </row>
    <row r="985" ht="15.75" customHeight="1">
      <c r="A985" s="167"/>
      <c r="B985" s="199"/>
      <c r="N985" s="152"/>
      <c r="Q985" s="195"/>
      <c r="S985" s="200"/>
      <c r="T985" s="200"/>
      <c r="U985" s="152"/>
      <c r="V985" s="152"/>
      <c r="W985" s="157"/>
    </row>
    <row r="986" ht="15.75" customHeight="1">
      <c r="A986" s="167"/>
      <c r="B986" s="199"/>
      <c r="N986" s="152"/>
      <c r="Q986" s="195"/>
      <c r="S986" s="200"/>
      <c r="T986" s="200"/>
      <c r="U986" s="152"/>
      <c r="V986" s="152"/>
      <c r="W986" s="157"/>
    </row>
    <row r="987" ht="15.75" customHeight="1">
      <c r="A987" s="167"/>
      <c r="B987" s="199"/>
      <c r="N987" s="152"/>
      <c r="Q987" s="195"/>
      <c r="S987" s="200"/>
      <c r="T987" s="200"/>
      <c r="U987" s="152"/>
      <c r="V987" s="152"/>
      <c r="W987" s="157"/>
    </row>
    <row r="988" ht="15.75" customHeight="1">
      <c r="A988" s="167"/>
      <c r="B988" s="199"/>
      <c r="N988" s="152"/>
      <c r="Q988" s="195"/>
      <c r="S988" s="200"/>
      <c r="T988" s="200"/>
      <c r="U988" s="152"/>
      <c r="V988" s="152"/>
      <c r="W988" s="157"/>
    </row>
    <row r="989" ht="15.75" customHeight="1">
      <c r="A989" s="167"/>
      <c r="B989" s="199"/>
      <c r="N989" s="152"/>
      <c r="Q989" s="195"/>
      <c r="S989" s="200"/>
      <c r="T989" s="200"/>
      <c r="U989" s="152"/>
      <c r="V989" s="152"/>
      <c r="W989" s="157"/>
    </row>
    <row r="990" ht="15.75" customHeight="1">
      <c r="A990" s="167"/>
      <c r="B990" s="199"/>
      <c r="N990" s="152"/>
      <c r="Q990" s="195"/>
      <c r="S990" s="200"/>
      <c r="T990" s="200"/>
      <c r="U990" s="152"/>
      <c r="V990" s="152"/>
      <c r="W990" s="157"/>
    </row>
    <row r="991" ht="15.75" customHeight="1">
      <c r="A991" s="167"/>
      <c r="B991" s="199"/>
      <c r="N991" s="152"/>
      <c r="Q991" s="195"/>
      <c r="S991" s="200"/>
      <c r="T991" s="200"/>
      <c r="U991" s="152"/>
      <c r="V991" s="152"/>
      <c r="W991" s="157"/>
    </row>
    <row r="992" ht="15.75" customHeight="1">
      <c r="A992" s="167"/>
      <c r="B992" s="199"/>
      <c r="N992" s="152"/>
      <c r="Q992" s="195"/>
      <c r="S992" s="200"/>
      <c r="T992" s="200"/>
      <c r="U992" s="152"/>
      <c r="V992" s="152"/>
      <c r="W992" s="157"/>
    </row>
    <row r="993" ht="15.75" customHeight="1">
      <c r="A993" s="167"/>
      <c r="B993" s="199"/>
      <c r="N993" s="152"/>
      <c r="Q993" s="195"/>
      <c r="S993" s="200"/>
      <c r="T993" s="200"/>
      <c r="U993" s="152"/>
      <c r="V993" s="152"/>
      <c r="W993" s="157"/>
    </row>
    <row r="994" ht="15.75" customHeight="1">
      <c r="A994" s="167"/>
      <c r="B994" s="199"/>
      <c r="N994" s="152"/>
      <c r="Q994" s="195"/>
      <c r="S994" s="200"/>
      <c r="T994" s="200"/>
      <c r="U994" s="152"/>
      <c r="V994" s="152"/>
      <c r="W994" s="157"/>
    </row>
    <row r="995" ht="15.75" customHeight="1">
      <c r="A995" s="167"/>
      <c r="B995" s="199"/>
      <c r="N995" s="152"/>
      <c r="Q995" s="195"/>
      <c r="S995" s="200"/>
      <c r="T995" s="200"/>
      <c r="U995" s="152"/>
      <c r="V995" s="152"/>
      <c r="W995" s="157"/>
    </row>
    <row r="996" ht="15.75" customHeight="1">
      <c r="A996" s="167"/>
      <c r="B996" s="199"/>
      <c r="N996" s="152"/>
      <c r="Q996" s="195"/>
      <c r="S996" s="200"/>
      <c r="T996" s="200"/>
      <c r="U996" s="152"/>
      <c r="V996" s="152"/>
      <c r="W996" s="157"/>
    </row>
    <row r="997" ht="15.75" customHeight="1">
      <c r="A997" s="167"/>
      <c r="B997" s="199"/>
      <c r="N997" s="152"/>
      <c r="Q997" s="195"/>
      <c r="S997" s="200"/>
      <c r="T997" s="200"/>
      <c r="U997" s="152"/>
      <c r="V997" s="152"/>
      <c r="W997" s="157"/>
    </row>
    <row r="998" ht="15.75" customHeight="1">
      <c r="A998" s="167"/>
      <c r="B998" s="199"/>
      <c r="N998" s="152"/>
      <c r="Q998" s="195"/>
      <c r="S998" s="200"/>
      <c r="T998" s="200"/>
      <c r="U998" s="152"/>
      <c r="V998" s="152"/>
      <c r="W998" s="157"/>
    </row>
    <row r="999" ht="15.75" customHeight="1">
      <c r="A999" s="167"/>
      <c r="B999" s="199"/>
      <c r="N999" s="152"/>
      <c r="Q999" s="195"/>
      <c r="S999" s="200"/>
      <c r="T999" s="200"/>
      <c r="U999" s="152"/>
      <c r="V999" s="152"/>
      <c r="W999" s="157"/>
    </row>
    <row r="1000" ht="15.75" customHeight="1">
      <c r="A1000" s="167"/>
      <c r="B1000" s="199"/>
      <c r="N1000" s="152"/>
      <c r="Q1000" s="195"/>
      <c r="S1000" s="200"/>
      <c r="T1000" s="200"/>
      <c r="U1000" s="152"/>
      <c r="V1000" s="152"/>
      <c r="W1000" s="157"/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83F0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2" width="12.63"/>
    <col customWidth="1" min="3" max="3" width="13.5"/>
    <col customWidth="1" min="4" max="6" width="12.63"/>
    <col customWidth="1" min="8" max="8" width="17.88"/>
    <col customWidth="1" min="9" max="9" width="14.38"/>
    <col customWidth="1" min="10" max="10" width="9.75"/>
    <col customWidth="1" min="20" max="20" width="19.13"/>
  </cols>
  <sheetData>
    <row r="1" ht="15.75" customHeight="1">
      <c r="A1" s="168" t="str">
        <f>Datos!A1</f>
        <v>   Fecha </v>
      </c>
      <c r="B1" s="168" t="str">
        <f>Datos!B1</f>
        <v>NIS</v>
      </c>
      <c r="C1" s="168" t="str">
        <f>Datos!C1</f>
        <v>Cliente</v>
      </c>
      <c r="D1" s="168" t="str">
        <f>Datos!D1</f>
        <v>IVA</v>
      </c>
      <c r="E1" s="168" t="str">
        <f>Datos!E1</f>
        <v>Consumo [kWh]</v>
      </c>
      <c r="F1" s="168" t="str">
        <f>Datos!F1</f>
        <v>Consumo hs punta [kWh]</v>
      </c>
      <c r="G1" s="168" t="str">
        <f>Datos!G1</f>
        <v>Consumo hs valle [kWh]</v>
      </c>
      <c r="H1" s="168" t="str">
        <f>Datos!H1</f>
        <v>Consumo hs resto[kWh]</v>
      </c>
      <c r="I1" s="168" t="str">
        <f>Datos!I1</f>
        <v>Catergoria</v>
      </c>
      <c r="J1" s="168" t="str">
        <f>Datos!J1</f>
        <v>Tarifa punta</v>
      </c>
      <c r="K1" s="168" t="str">
        <f>Datos!K1</f>
        <v>Tarifa valle</v>
      </c>
      <c r="L1" s="168" t="str">
        <f>Datos!L1</f>
        <v>Tarifa resto</v>
      </c>
      <c r="M1" s="168" t="str">
        <f>Datos!M1</f>
        <v>Generacion FV [kWh]</v>
      </c>
      <c r="N1" s="168" t="str">
        <f>Datos!N1</f>
        <v>CONSUMO TOTAL</v>
      </c>
      <c r="O1" s="168" t="str">
        <f>Datos!O1</f>
        <v>Total a pagar S / IVA</v>
      </c>
      <c r="P1" s="168" t="str">
        <f>Datos!P1</f>
        <v>Valor USD</v>
      </c>
      <c r="Q1" s="168" t="str">
        <f>Datos!Q1</f>
        <v>Ahorro (USD)</v>
      </c>
      <c r="R1" s="168" t="str">
        <f>Datos!R1</f>
        <v>Ahorro ($)</v>
      </c>
      <c r="S1" s="168" t="str">
        <f>Datos!S1</f>
        <v>Valor dolar Actual ($)</v>
      </c>
      <c r="T1" s="168" t="str">
        <f>Datos!T1</f>
        <v>Ahorro ($)-A precio actual</v>
      </c>
      <c r="U1" s="168" t="str">
        <f>Datos!U1</f>
        <v>kg CO2e evitados</v>
      </c>
      <c r="V1" s="168" t="str">
        <f>Datos!V1</f>
        <v>Equivalente en árboles</v>
      </c>
      <c r="W1" s="168" t="str">
        <f>Datos!W1</f>
        <v>% de ahorro sobre los consumos</v>
      </c>
      <c r="X1" s="168" t="str">
        <f>Datos!X1</f>
        <v>SIN PANELES S/IVA</v>
      </c>
      <c r="Y1" s="206" t="s">
        <v>74</v>
      </c>
      <c r="Z1" s="175" t="s">
        <v>75</v>
      </c>
      <c r="AA1" s="176" t="s">
        <v>76</v>
      </c>
      <c r="AB1" s="177">
        <v>0.85</v>
      </c>
      <c r="AC1" s="178" t="s">
        <v>77</v>
      </c>
    </row>
    <row r="2" ht="15.75" customHeight="1">
      <c r="A2" s="12" t="str">
        <f>IFERROR(__xludf.DUMMYFUNCTION("FILTER(Datos!1:1247,Datos!B:B=5076619)"),"#REF!")</f>
        <v>#REF!</v>
      </c>
      <c r="B2" s="77"/>
      <c r="C2" s="77"/>
      <c r="D2" s="29"/>
      <c r="E2" s="17"/>
      <c r="F2" s="17"/>
      <c r="G2" s="17"/>
      <c r="H2" s="17"/>
      <c r="I2" s="28"/>
      <c r="J2" s="30"/>
      <c r="K2" s="30"/>
      <c r="L2" s="30"/>
      <c r="M2" s="15"/>
      <c r="N2" s="17"/>
      <c r="O2" s="31"/>
      <c r="P2" s="20"/>
      <c r="Q2" s="181"/>
      <c r="R2" s="32"/>
      <c r="S2" s="84"/>
      <c r="T2" s="34"/>
      <c r="U2" s="35"/>
      <c r="V2" s="36"/>
      <c r="W2" s="37"/>
      <c r="X2" s="31"/>
      <c r="Y2" s="165">
        <v>4.9</v>
      </c>
      <c r="Z2" s="187">
        <v>7.77</v>
      </c>
      <c r="AA2" s="188">
        <f t="shared" ref="AA2:AA13" si="1">Y2*Z2*30</f>
        <v>1142.19</v>
      </c>
      <c r="AB2" s="188">
        <f t="shared" ref="AB2:AB13" si="2">AA2*AB$1</f>
        <v>970.8615</v>
      </c>
      <c r="AC2" s="202">
        <f t="shared" ref="AC2:AC13" si="3">M2-AB2</f>
        <v>-970.8615</v>
      </c>
    </row>
    <row r="3" ht="15.75" customHeight="1">
      <c r="A3" s="12"/>
      <c r="B3" s="77"/>
      <c r="C3" s="77"/>
      <c r="D3" s="29"/>
      <c r="E3" s="17"/>
      <c r="F3" s="17"/>
      <c r="G3" s="17"/>
      <c r="H3" s="17"/>
      <c r="I3" s="28"/>
      <c r="J3" s="30"/>
      <c r="K3" s="30"/>
      <c r="L3" s="30"/>
      <c r="M3" s="15"/>
      <c r="N3" s="17"/>
      <c r="O3" s="31"/>
      <c r="P3" s="20"/>
      <c r="Q3" s="181"/>
      <c r="R3" s="32"/>
      <c r="S3" s="84"/>
      <c r="T3" s="34"/>
      <c r="U3" s="35"/>
      <c r="V3" s="36"/>
      <c r="W3" s="37"/>
      <c r="X3" s="31"/>
      <c r="Y3" s="165">
        <v>5.93</v>
      </c>
      <c r="Z3" s="187">
        <v>7.77</v>
      </c>
      <c r="AA3" s="188">
        <f t="shared" si="1"/>
        <v>1382.283</v>
      </c>
      <c r="AB3" s="188">
        <f t="shared" si="2"/>
        <v>1174.94055</v>
      </c>
      <c r="AC3" s="202">
        <f t="shared" si="3"/>
        <v>-1174.94055</v>
      </c>
    </row>
    <row r="4" ht="15.75" customHeight="1">
      <c r="A4" s="12"/>
      <c r="B4" s="77"/>
      <c r="C4" s="77"/>
      <c r="D4" s="29"/>
      <c r="E4" s="17"/>
      <c r="F4" s="17"/>
      <c r="G4" s="17"/>
      <c r="H4" s="17"/>
      <c r="I4" s="28"/>
      <c r="J4" s="30"/>
      <c r="K4" s="30"/>
      <c r="L4" s="30"/>
      <c r="M4" s="15"/>
      <c r="N4" s="17"/>
      <c r="O4" s="31"/>
      <c r="P4" s="20"/>
      <c r="Q4" s="181"/>
      <c r="R4" s="32"/>
      <c r="S4" s="84"/>
      <c r="T4" s="34"/>
      <c r="U4" s="35"/>
      <c r="V4" s="36"/>
      <c r="W4" s="37"/>
      <c r="X4" s="31"/>
      <c r="Y4" s="165">
        <v>6.7</v>
      </c>
      <c r="Z4" s="187">
        <v>7.77</v>
      </c>
      <c r="AA4" s="188">
        <f t="shared" si="1"/>
        <v>1561.77</v>
      </c>
      <c r="AB4" s="188">
        <f t="shared" si="2"/>
        <v>1327.5045</v>
      </c>
      <c r="AC4" s="202">
        <f t="shared" si="3"/>
        <v>-1327.5045</v>
      </c>
    </row>
    <row r="5" ht="15.75" customHeight="1">
      <c r="A5" s="12"/>
      <c r="B5" s="77"/>
      <c r="C5" s="77"/>
      <c r="D5" s="29"/>
      <c r="E5" s="17"/>
      <c r="F5" s="17"/>
      <c r="G5" s="17"/>
      <c r="H5" s="17"/>
      <c r="I5" s="28"/>
      <c r="J5" s="30"/>
      <c r="K5" s="30"/>
      <c r="L5" s="30"/>
      <c r="M5" s="15"/>
      <c r="N5" s="17"/>
      <c r="O5" s="31"/>
      <c r="P5" s="20"/>
      <c r="Q5" s="181"/>
      <c r="R5" s="32"/>
      <c r="S5" s="84"/>
      <c r="T5" s="34"/>
      <c r="U5" s="35"/>
      <c r="V5" s="36"/>
      <c r="W5" s="37"/>
      <c r="X5" s="31"/>
      <c r="Y5" s="165">
        <v>7.19</v>
      </c>
      <c r="Z5" s="187">
        <v>7.77</v>
      </c>
      <c r="AA5" s="188">
        <f t="shared" si="1"/>
        <v>1675.989</v>
      </c>
      <c r="AB5" s="188">
        <f t="shared" si="2"/>
        <v>1424.59065</v>
      </c>
      <c r="AC5" s="202">
        <f t="shared" si="3"/>
        <v>-1424.59065</v>
      </c>
    </row>
    <row r="6" ht="15.75" customHeight="1">
      <c r="A6" s="12"/>
      <c r="B6" s="77"/>
      <c r="C6" s="77"/>
      <c r="D6" s="29"/>
      <c r="E6" s="17"/>
      <c r="F6" s="17"/>
      <c r="G6" s="17"/>
      <c r="H6" s="17"/>
      <c r="I6" s="28"/>
      <c r="J6" s="30"/>
      <c r="K6" s="30"/>
      <c r="L6" s="30"/>
      <c r="M6" s="15"/>
      <c r="N6" s="17"/>
      <c r="O6" s="31"/>
      <c r="P6" s="20"/>
      <c r="Q6" s="181"/>
      <c r="R6" s="32"/>
      <c r="S6" s="84"/>
      <c r="T6" s="34"/>
      <c r="U6" s="35"/>
      <c r="V6" s="36"/>
      <c r="W6" s="37"/>
      <c r="X6" s="31"/>
      <c r="Y6" s="165">
        <v>7.32</v>
      </c>
      <c r="Z6" s="187">
        <v>7.77</v>
      </c>
      <c r="AA6" s="188">
        <f t="shared" si="1"/>
        <v>1706.292</v>
      </c>
      <c r="AB6" s="188">
        <f t="shared" si="2"/>
        <v>1450.3482</v>
      </c>
      <c r="AC6" s="202">
        <f t="shared" si="3"/>
        <v>-1450.3482</v>
      </c>
    </row>
    <row r="7" ht="15.75" customHeight="1">
      <c r="A7" s="12"/>
      <c r="B7" s="77"/>
      <c r="C7" s="77"/>
      <c r="D7" s="29"/>
      <c r="E7" s="17"/>
      <c r="F7" s="17"/>
      <c r="G7" s="17"/>
      <c r="H7" s="17"/>
      <c r="I7" s="28"/>
      <c r="J7" s="30"/>
      <c r="K7" s="30"/>
      <c r="L7" s="30"/>
      <c r="M7" s="15"/>
      <c r="N7" s="17"/>
      <c r="O7" s="31"/>
      <c r="P7" s="20"/>
      <c r="Q7" s="181"/>
      <c r="R7" s="32"/>
      <c r="S7" s="84"/>
      <c r="T7" s="34"/>
      <c r="U7" s="35"/>
      <c r="V7" s="36"/>
      <c r="W7" s="37"/>
      <c r="X7" s="31"/>
      <c r="Y7" s="165">
        <v>7.9</v>
      </c>
      <c r="Z7" s="187">
        <v>7.77</v>
      </c>
      <c r="AA7" s="188">
        <f t="shared" si="1"/>
        <v>1841.49</v>
      </c>
      <c r="AB7" s="188">
        <f t="shared" si="2"/>
        <v>1565.2665</v>
      </c>
      <c r="AC7" s="202">
        <f t="shared" si="3"/>
        <v>-1565.2665</v>
      </c>
    </row>
    <row r="8" ht="15.75" customHeight="1">
      <c r="A8" s="12"/>
      <c r="B8" s="77"/>
      <c r="C8" s="77"/>
      <c r="D8" s="29"/>
      <c r="E8" s="17"/>
      <c r="F8" s="17"/>
      <c r="G8" s="17"/>
      <c r="H8" s="17"/>
      <c r="I8" s="28"/>
      <c r="J8" s="30"/>
      <c r="K8" s="30"/>
      <c r="L8" s="30"/>
      <c r="M8" s="15"/>
      <c r="N8" s="17"/>
      <c r="O8" s="31"/>
      <c r="P8" s="20"/>
      <c r="Q8" s="181"/>
      <c r="R8" s="32"/>
      <c r="S8" s="84"/>
      <c r="T8" s="34"/>
      <c r="U8" s="35"/>
      <c r="V8" s="36"/>
      <c r="W8" s="37"/>
      <c r="X8" s="31"/>
      <c r="Y8" s="165">
        <v>8.45</v>
      </c>
      <c r="Z8" s="187">
        <v>7.77</v>
      </c>
      <c r="AA8" s="188">
        <f t="shared" si="1"/>
        <v>1969.695</v>
      </c>
      <c r="AB8" s="188">
        <f t="shared" si="2"/>
        <v>1674.24075</v>
      </c>
      <c r="AC8" s="202">
        <f t="shared" si="3"/>
        <v>-1674.24075</v>
      </c>
    </row>
    <row r="9" ht="15.75" customHeight="1">
      <c r="A9" s="12"/>
      <c r="B9" s="77"/>
      <c r="C9" s="77"/>
      <c r="D9" s="29"/>
      <c r="E9" s="17"/>
      <c r="F9" s="17"/>
      <c r="G9" s="17"/>
      <c r="H9" s="17"/>
      <c r="I9" s="28"/>
      <c r="J9" s="30"/>
      <c r="K9" s="30"/>
      <c r="L9" s="30"/>
      <c r="M9" s="15"/>
      <c r="N9" s="17"/>
      <c r="O9" s="31"/>
      <c r="P9" s="20"/>
      <c r="Q9" s="181"/>
      <c r="R9" s="32"/>
      <c r="S9" s="84"/>
      <c r="T9" s="34"/>
      <c r="U9" s="35"/>
      <c r="V9" s="36"/>
      <c r="W9" s="37"/>
      <c r="X9" s="31"/>
      <c r="Y9" s="165">
        <v>7.91</v>
      </c>
      <c r="Z9" s="187">
        <v>7.77</v>
      </c>
      <c r="AA9" s="188">
        <f t="shared" si="1"/>
        <v>1843.821</v>
      </c>
      <c r="AB9" s="188">
        <f t="shared" si="2"/>
        <v>1567.24785</v>
      </c>
      <c r="AC9" s="202">
        <f t="shared" si="3"/>
        <v>-1567.24785</v>
      </c>
    </row>
    <row r="10" ht="15.75" customHeight="1">
      <c r="A10" s="12"/>
      <c r="B10" s="77"/>
      <c r="C10" s="77"/>
      <c r="D10" s="29"/>
      <c r="E10" s="17"/>
      <c r="F10" s="17"/>
      <c r="G10" s="17"/>
      <c r="H10" s="17"/>
      <c r="I10" s="28"/>
      <c r="J10" s="30"/>
      <c r="K10" s="30"/>
      <c r="L10" s="30"/>
      <c r="M10" s="15"/>
      <c r="N10" s="17"/>
      <c r="O10" s="31"/>
      <c r="P10" s="20"/>
      <c r="Q10" s="181"/>
      <c r="R10" s="32"/>
      <c r="S10" s="84"/>
      <c r="T10" s="34"/>
      <c r="U10" s="35"/>
      <c r="V10" s="36"/>
      <c r="W10" s="37"/>
      <c r="X10" s="31"/>
      <c r="Y10" s="165">
        <v>6.83</v>
      </c>
      <c r="Z10" s="187">
        <v>7.77</v>
      </c>
      <c r="AA10" s="188">
        <f t="shared" si="1"/>
        <v>1592.073</v>
      </c>
      <c r="AB10" s="188">
        <f t="shared" si="2"/>
        <v>1353.26205</v>
      </c>
      <c r="AC10" s="202">
        <f t="shared" si="3"/>
        <v>-1353.26205</v>
      </c>
    </row>
    <row r="11" ht="15.75" customHeight="1">
      <c r="A11" s="12"/>
      <c r="B11" s="77"/>
      <c r="C11" s="77"/>
      <c r="D11" s="29"/>
      <c r="E11" s="17"/>
      <c r="F11" s="17"/>
      <c r="G11" s="17"/>
      <c r="H11" s="17"/>
      <c r="I11" s="28"/>
      <c r="J11" s="30"/>
      <c r="K11" s="30"/>
      <c r="L11" s="30"/>
      <c r="M11" s="15"/>
      <c r="N11" s="17"/>
      <c r="O11" s="31"/>
      <c r="P11" s="20"/>
      <c r="Q11" s="181"/>
      <c r="R11" s="32"/>
      <c r="S11" s="84"/>
      <c r="T11" s="34"/>
      <c r="U11" s="35"/>
      <c r="V11" s="36"/>
      <c r="W11" s="37"/>
      <c r="X11" s="31"/>
      <c r="Y11" s="165">
        <v>5.49</v>
      </c>
      <c r="Z11" s="187">
        <v>7.77</v>
      </c>
      <c r="AA11" s="188">
        <f t="shared" si="1"/>
        <v>1279.719</v>
      </c>
      <c r="AB11" s="188">
        <f t="shared" si="2"/>
        <v>1087.76115</v>
      </c>
      <c r="AC11" s="202">
        <f t="shared" si="3"/>
        <v>-1087.76115</v>
      </c>
    </row>
    <row r="12" ht="15.75" customHeight="1">
      <c r="A12" s="12"/>
      <c r="B12" s="77"/>
      <c r="C12" s="77"/>
      <c r="D12" s="29"/>
      <c r="E12" s="17"/>
      <c r="F12" s="17"/>
      <c r="G12" s="17"/>
      <c r="H12" s="17"/>
      <c r="I12" s="28"/>
      <c r="J12" s="30"/>
      <c r="K12" s="30"/>
      <c r="L12" s="30"/>
      <c r="M12" s="15"/>
      <c r="N12" s="17"/>
      <c r="O12" s="31"/>
      <c r="P12" s="20"/>
      <c r="Q12" s="181"/>
      <c r="R12" s="32"/>
      <c r="S12" s="84"/>
      <c r="T12" s="34"/>
      <c r="U12" s="35"/>
      <c r="V12" s="36"/>
      <c r="W12" s="37"/>
      <c r="X12" s="31"/>
      <c r="Y12" s="165">
        <v>4.54</v>
      </c>
      <c r="Z12" s="187">
        <v>7.77</v>
      </c>
      <c r="AA12" s="188">
        <f t="shared" si="1"/>
        <v>1058.274</v>
      </c>
      <c r="AB12" s="188">
        <f t="shared" si="2"/>
        <v>899.5329</v>
      </c>
      <c r="AC12" s="202">
        <f t="shared" si="3"/>
        <v>-899.5329</v>
      </c>
    </row>
    <row r="13" ht="15.75" customHeight="1">
      <c r="A13" s="12"/>
      <c r="B13" s="77"/>
      <c r="C13" s="77"/>
      <c r="D13" s="29"/>
      <c r="E13" s="17"/>
      <c r="F13" s="17"/>
      <c r="G13" s="17"/>
      <c r="H13" s="17"/>
      <c r="I13" s="28"/>
      <c r="J13" s="30"/>
      <c r="K13" s="30"/>
      <c r="L13" s="30"/>
      <c r="M13" s="15"/>
      <c r="N13" s="17"/>
      <c r="O13" s="31"/>
      <c r="P13" s="20"/>
      <c r="Q13" s="181"/>
      <c r="R13" s="32"/>
      <c r="S13" s="84"/>
      <c r="T13" s="34"/>
      <c r="U13" s="35"/>
      <c r="V13" s="36"/>
      <c r="W13" s="37"/>
      <c r="X13" s="31"/>
      <c r="Y13" s="165">
        <v>4.24</v>
      </c>
      <c r="Z13" s="187">
        <v>7.77</v>
      </c>
      <c r="AA13" s="188">
        <f t="shared" si="1"/>
        <v>988.344</v>
      </c>
      <c r="AB13" s="188">
        <f t="shared" si="2"/>
        <v>840.0924</v>
      </c>
      <c r="AC13" s="202">
        <f t="shared" si="3"/>
        <v>-840.0924</v>
      </c>
    </row>
    <row r="14" ht="15.75" customHeight="1">
      <c r="A14" s="12"/>
      <c r="B14" s="77"/>
      <c r="C14" s="77"/>
      <c r="D14" s="29"/>
      <c r="E14" s="17"/>
      <c r="F14" s="17"/>
      <c r="G14" s="17"/>
      <c r="H14" s="17"/>
      <c r="I14" s="28"/>
      <c r="J14" s="30"/>
      <c r="K14" s="30"/>
      <c r="L14" s="30"/>
      <c r="M14" s="15"/>
      <c r="N14" s="17"/>
      <c r="O14" s="31"/>
      <c r="P14" s="20"/>
      <c r="Q14" s="181"/>
      <c r="R14" s="32"/>
      <c r="S14" s="84"/>
      <c r="T14" s="34"/>
      <c r="U14" s="35"/>
      <c r="V14" s="36"/>
      <c r="W14" s="37"/>
      <c r="X14" s="31"/>
      <c r="AA14" s="156"/>
    </row>
    <row r="15" ht="15.75" customHeight="1">
      <c r="A15" s="12"/>
      <c r="B15" s="77"/>
      <c r="C15" s="77"/>
      <c r="D15" s="29"/>
      <c r="E15" s="17"/>
      <c r="F15" s="17"/>
      <c r="G15" s="17"/>
      <c r="H15" s="17"/>
      <c r="I15" s="28"/>
      <c r="J15" s="30"/>
      <c r="K15" s="30"/>
      <c r="L15" s="30"/>
      <c r="M15" s="15"/>
      <c r="N15" s="17"/>
      <c r="O15" s="31"/>
      <c r="P15" s="20"/>
      <c r="Q15" s="181"/>
      <c r="R15" s="32"/>
      <c r="S15" s="84"/>
      <c r="T15" s="34"/>
      <c r="U15" s="35"/>
      <c r="V15" s="36"/>
      <c r="W15" s="37"/>
      <c r="X15" s="31"/>
      <c r="AA15" s="156"/>
    </row>
    <row r="16" ht="15.75" customHeight="1">
      <c r="A16" s="192"/>
      <c r="B16" s="193"/>
      <c r="C16" s="194"/>
      <c r="D16" s="152"/>
      <c r="E16" s="153"/>
      <c r="F16" s="153"/>
      <c r="G16" s="153"/>
      <c r="H16" s="153"/>
      <c r="J16" s="154"/>
      <c r="K16" s="154"/>
      <c r="L16" s="154"/>
      <c r="M16" s="152"/>
      <c r="N16" s="152"/>
      <c r="O16" s="154"/>
      <c r="P16" s="154"/>
      <c r="Q16" s="195"/>
      <c r="R16" s="154"/>
      <c r="S16" s="196"/>
      <c r="T16" s="196"/>
      <c r="U16" s="152"/>
      <c r="V16" s="152"/>
      <c r="W16" s="157"/>
      <c r="X16" s="154"/>
      <c r="AA16" s="156"/>
    </row>
    <row r="17" ht="15.75" customHeight="1">
      <c r="A17" s="192"/>
      <c r="B17" s="193"/>
      <c r="C17" s="194"/>
      <c r="D17" s="152"/>
      <c r="E17" s="153"/>
      <c r="F17" s="153"/>
      <c r="G17" s="153"/>
      <c r="H17" s="153"/>
      <c r="J17" s="154"/>
      <c r="K17" s="154"/>
      <c r="L17" s="154"/>
      <c r="M17" s="152"/>
      <c r="N17" s="152"/>
      <c r="O17" s="154"/>
      <c r="P17" s="154"/>
      <c r="Q17" s="195"/>
      <c r="R17" s="154"/>
      <c r="S17" s="196"/>
      <c r="T17" s="196"/>
      <c r="U17" s="152"/>
      <c r="V17" s="152"/>
      <c r="W17" s="157"/>
      <c r="X17" s="154"/>
      <c r="AA17" s="156"/>
    </row>
    <row r="18" ht="15.75" customHeight="1">
      <c r="A18" s="192"/>
      <c r="B18" s="193"/>
      <c r="C18" s="194"/>
      <c r="D18" s="152"/>
      <c r="E18" s="153"/>
      <c r="F18" s="153"/>
      <c r="G18" s="153"/>
      <c r="H18" s="153"/>
      <c r="J18" s="154"/>
      <c r="K18" s="154"/>
      <c r="L18" s="154"/>
      <c r="M18" s="152"/>
      <c r="N18" s="152"/>
      <c r="O18" s="154"/>
      <c r="P18" s="154"/>
      <c r="Q18" s="195"/>
      <c r="R18" s="154"/>
      <c r="S18" s="196"/>
      <c r="T18" s="196"/>
      <c r="U18" s="152"/>
      <c r="V18" s="152"/>
      <c r="W18" s="157"/>
      <c r="X18" s="154"/>
      <c r="AA18" s="156"/>
    </row>
    <row r="19" ht="15.75" customHeight="1">
      <c r="A19" s="189"/>
      <c r="B19" s="193"/>
      <c r="C19" s="194"/>
      <c r="N19" s="152"/>
      <c r="Q19" s="195"/>
      <c r="S19" s="196"/>
      <c r="T19" s="196"/>
      <c r="U19" s="152"/>
      <c r="V19" s="152"/>
      <c r="W19" s="157"/>
      <c r="AA19" s="156"/>
    </row>
    <row r="20" ht="15.75" customHeight="1">
      <c r="A20" s="189"/>
      <c r="B20" s="193"/>
      <c r="C20" s="194"/>
      <c r="N20" s="152"/>
      <c r="Q20" s="195"/>
      <c r="S20" s="196"/>
      <c r="T20" s="196"/>
      <c r="U20" s="152"/>
      <c r="V20" s="152"/>
      <c r="W20" s="157"/>
      <c r="AA20" s="156"/>
    </row>
    <row r="21" ht="15.75" customHeight="1">
      <c r="A21" s="189"/>
      <c r="B21" s="193"/>
      <c r="C21" s="194"/>
      <c r="N21" s="152"/>
      <c r="Q21" s="195"/>
      <c r="S21" s="196"/>
      <c r="T21" s="196"/>
      <c r="U21" s="152"/>
      <c r="V21" s="152"/>
      <c r="W21" s="157"/>
      <c r="AA21" s="156"/>
    </row>
    <row r="22" ht="15.75" customHeight="1">
      <c r="A22" s="189"/>
      <c r="B22" s="193"/>
      <c r="C22" s="194"/>
      <c r="N22" s="152"/>
      <c r="Q22" s="195"/>
      <c r="S22" s="196"/>
      <c r="T22" s="196"/>
      <c r="U22" s="152"/>
      <c r="V22" s="152"/>
      <c r="W22" s="157"/>
      <c r="AA22" s="156"/>
    </row>
    <row r="23" ht="15.75" customHeight="1">
      <c r="A23" s="189"/>
      <c r="B23" s="193"/>
      <c r="C23" s="194"/>
      <c r="N23" s="152"/>
      <c r="Q23" s="195"/>
      <c r="S23" s="196"/>
      <c r="T23" s="196"/>
      <c r="U23" s="152"/>
      <c r="V23" s="152"/>
      <c r="W23" s="157"/>
      <c r="AA23" s="156"/>
    </row>
    <row r="24" ht="15.75" customHeight="1">
      <c r="A24" s="189"/>
      <c r="B24" s="193"/>
      <c r="C24" s="194"/>
      <c r="N24" s="152"/>
      <c r="Q24" s="195"/>
      <c r="S24" s="196"/>
      <c r="T24" s="196"/>
      <c r="U24" s="152"/>
      <c r="V24" s="152"/>
      <c r="W24" s="157"/>
      <c r="AA24" s="156"/>
    </row>
    <row r="25" ht="15.75" customHeight="1">
      <c r="A25" s="189"/>
      <c r="B25" s="193"/>
      <c r="C25" s="194"/>
      <c r="N25" s="152"/>
      <c r="Q25" s="195"/>
      <c r="S25" s="196"/>
      <c r="T25" s="196"/>
      <c r="U25" s="152"/>
      <c r="V25" s="152"/>
      <c r="W25" s="157"/>
      <c r="AA25" s="156"/>
    </row>
    <row r="26" ht="15.75" customHeight="1">
      <c r="A26" s="189"/>
      <c r="B26" s="193"/>
      <c r="C26" s="194"/>
      <c r="N26" s="152"/>
      <c r="Q26" s="195"/>
      <c r="S26" s="196"/>
      <c r="T26" s="196"/>
      <c r="U26" s="152"/>
      <c r="V26" s="152"/>
      <c r="W26" s="157"/>
      <c r="AA26" s="156"/>
    </row>
    <row r="27" ht="15.75" customHeight="1">
      <c r="A27" s="189"/>
      <c r="B27" s="193"/>
      <c r="C27" s="194"/>
      <c r="N27" s="152"/>
      <c r="Q27" s="195"/>
      <c r="S27" s="196"/>
      <c r="T27" s="196"/>
      <c r="U27" s="152"/>
      <c r="V27" s="152"/>
      <c r="W27" s="157"/>
      <c r="AA27" s="156"/>
    </row>
    <row r="28" ht="15.75" customHeight="1">
      <c r="A28" s="189"/>
      <c r="B28" s="193"/>
      <c r="C28" s="194"/>
      <c r="N28" s="152"/>
      <c r="Q28" s="195"/>
      <c r="S28" s="196"/>
      <c r="T28" s="196"/>
      <c r="U28" s="152"/>
      <c r="V28" s="152"/>
      <c r="W28" s="157"/>
      <c r="AA28" s="156"/>
    </row>
    <row r="29" ht="15.75" customHeight="1">
      <c r="A29" s="189"/>
      <c r="B29" s="193"/>
      <c r="C29" s="194"/>
      <c r="N29" s="152"/>
      <c r="Q29" s="195"/>
      <c r="S29" s="196"/>
      <c r="T29" s="196"/>
      <c r="U29" s="152"/>
      <c r="V29" s="152"/>
      <c r="W29" s="157"/>
      <c r="AA29" s="156"/>
    </row>
    <row r="30" ht="15.75" customHeight="1">
      <c r="A30" s="189"/>
      <c r="B30" s="193"/>
      <c r="C30" s="194"/>
      <c r="N30" s="152"/>
      <c r="Q30" s="195"/>
      <c r="S30" s="196"/>
      <c r="T30" s="196"/>
      <c r="U30" s="152"/>
      <c r="V30" s="152"/>
      <c r="W30" s="157"/>
      <c r="AA30" s="156"/>
    </row>
    <row r="31" ht="15.75" customHeight="1">
      <c r="A31" s="189"/>
      <c r="B31" s="193"/>
      <c r="C31" s="194"/>
      <c r="N31" s="152"/>
      <c r="Q31" s="195"/>
      <c r="S31" s="196"/>
      <c r="T31" s="196"/>
      <c r="U31" s="152"/>
      <c r="V31" s="152"/>
      <c r="W31" s="157"/>
      <c r="AA31" s="156"/>
    </row>
    <row r="32" ht="15.75" customHeight="1">
      <c r="A32" s="189"/>
      <c r="B32" s="193"/>
      <c r="C32" s="194"/>
      <c r="N32" s="152"/>
      <c r="Q32" s="195"/>
      <c r="S32" s="196"/>
      <c r="T32" s="196"/>
      <c r="U32" s="152"/>
      <c r="V32" s="152"/>
      <c r="W32" s="157"/>
      <c r="AA32" s="156"/>
    </row>
    <row r="33" ht="15.75" customHeight="1">
      <c r="A33" s="189"/>
      <c r="B33" s="193"/>
      <c r="C33" s="194"/>
      <c r="N33" s="152"/>
      <c r="Q33" s="195"/>
      <c r="S33" s="196"/>
      <c r="T33" s="196"/>
      <c r="U33" s="152"/>
      <c r="V33" s="152"/>
      <c r="W33" s="157"/>
      <c r="AA33" s="156"/>
    </row>
    <row r="34" ht="15.75" customHeight="1">
      <c r="A34" s="189"/>
      <c r="B34" s="193"/>
      <c r="C34" s="194"/>
      <c r="N34" s="152"/>
      <c r="Q34" s="195"/>
      <c r="S34" s="196"/>
      <c r="T34" s="196"/>
      <c r="U34" s="152"/>
      <c r="V34" s="152"/>
      <c r="W34" s="157"/>
      <c r="AA34" s="156"/>
    </row>
    <row r="35" ht="15.75" customHeight="1">
      <c r="A35" s="189"/>
      <c r="B35" s="193"/>
      <c r="C35" s="194"/>
      <c r="N35" s="152"/>
      <c r="Q35" s="195"/>
      <c r="S35" s="196"/>
      <c r="T35" s="196"/>
      <c r="U35" s="152"/>
      <c r="V35" s="152"/>
      <c r="W35" s="157"/>
      <c r="AA35" s="156"/>
    </row>
    <row r="36" ht="15.75" customHeight="1">
      <c r="A36" s="189"/>
      <c r="B36" s="193"/>
      <c r="C36" s="194"/>
      <c r="N36" s="152"/>
      <c r="Q36" s="195"/>
      <c r="S36" s="196"/>
      <c r="T36" s="196"/>
      <c r="U36" s="152"/>
      <c r="V36" s="152"/>
      <c r="W36" s="157"/>
      <c r="AA36" s="156"/>
    </row>
    <row r="37" ht="15.75" customHeight="1">
      <c r="A37" s="189"/>
      <c r="B37" s="193"/>
      <c r="C37" s="194"/>
      <c r="N37" s="152"/>
      <c r="Q37" s="195"/>
      <c r="S37" s="196"/>
      <c r="T37" s="196"/>
      <c r="U37" s="152"/>
      <c r="V37" s="152"/>
      <c r="W37" s="157"/>
      <c r="AA37" s="156"/>
    </row>
    <row r="38" ht="15.75" customHeight="1">
      <c r="A38" s="189"/>
      <c r="B38" s="193"/>
      <c r="C38" s="194"/>
      <c r="N38" s="152"/>
      <c r="Q38" s="195"/>
      <c r="S38" s="196"/>
      <c r="T38" s="196"/>
      <c r="U38" s="152"/>
      <c r="V38" s="152"/>
      <c r="W38" s="157"/>
      <c r="AA38" s="156"/>
    </row>
    <row r="39" ht="15.75" customHeight="1">
      <c r="A39" s="189"/>
      <c r="B39" s="193"/>
      <c r="C39" s="194"/>
      <c r="N39" s="152"/>
      <c r="Q39" s="195"/>
      <c r="S39" s="196"/>
      <c r="T39" s="196"/>
      <c r="U39" s="152"/>
      <c r="V39" s="152"/>
      <c r="W39" s="157"/>
      <c r="AA39" s="156"/>
    </row>
    <row r="40" ht="15.75" customHeight="1">
      <c r="A40" s="189"/>
      <c r="B40" s="193"/>
      <c r="C40" s="194"/>
      <c r="N40" s="152"/>
      <c r="Q40" s="195"/>
      <c r="S40" s="196"/>
      <c r="T40" s="196"/>
      <c r="U40" s="152"/>
      <c r="V40" s="152"/>
      <c r="W40" s="157"/>
      <c r="AA40" s="156"/>
    </row>
    <row r="41" ht="15.75" customHeight="1">
      <c r="A41" s="189"/>
      <c r="B41" s="193"/>
      <c r="C41" s="194"/>
      <c r="N41" s="152"/>
      <c r="Q41" s="195"/>
      <c r="S41" s="196"/>
      <c r="T41" s="196"/>
      <c r="U41" s="152"/>
      <c r="V41" s="152"/>
      <c r="W41" s="157"/>
      <c r="AA41" s="156"/>
    </row>
    <row r="42" ht="15.75" customHeight="1">
      <c r="A42" s="189"/>
      <c r="B42" s="193"/>
      <c r="C42" s="194"/>
      <c r="N42" s="152"/>
      <c r="Q42" s="195"/>
      <c r="S42" s="196"/>
      <c r="T42" s="196"/>
      <c r="U42" s="152"/>
      <c r="V42" s="152"/>
      <c r="W42" s="157"/>
      <c r="AA42" s="156"/>
    </row>
    <row r="43" ht="15.75" customHeight="1">
      <c r="A43" s="189"/>
      <c r="B43" s="193"/>
      <c r="C43" s="194"/>
      <c r="N43" s="152"/>
      <c r="Q43" s="195"/>
      <c r="S43" s="196"/>
      <c r="T43" s="196"/>
      <c r="U43" s="152"/>
      <c r="V43" s="152"/>
      <c r="W43" s="157"/>
      <c r="AA43" s="156"/>
    </row>
    <row r="44" ht="15.75" customHeight="1">
      <c r="A44" s="189"/>
      <c r="B44" s="193"/>
      <c r="C44" s="194"/>
      <c r="N44" s="152"/>
      <c r="Q44" s="195"/>
      <c r="S44" s="196"/>
      <c r="T44" s="196"/>
      <c r="U44" s="152"/>
      <c r="V44" s="152"/>
      <c r="W44" s="157"/>
      <c r="AA44" s="156"/>
    </row>
    <row r="45" ht="15.75" customHeight="1">
      <c r="A45" s="189"/>
      <c r="B45" s="193"/>
      <c r="C45" s="194"/>
      <c r="N45" s="152"/>
      <c r="Q45" s="195"/>
      <c r="S45" s="196"/>
      <c r="T45" s="196"/>
      <c r="U45" s="152"/>
      <c r="V45" s="152"/>
      <c r="W45" s="157"/>
      <c r="AA45" s="156"/>
    </row>
    <row r="46" ht="15.75" customHeight="1">
      <c r="A46" s="189"/>
      <c r="B46" s="193"/>
      <c r="C46" s="194"/>
      <c r="N46" s="152"/>
      <c r="Q46" s="195"/>
      <c r="S46" s="196"/>
      <c r="T46" s="196"/>
      <c r="U46" s="152"/>
      <c r="V46" s="152"/>
      <c r="W46" s="157"/>
      <c r="AA46" s="156"/>
    </row>
    <row r="47" ht="15.75" customHeight="1">
      <c r="A47" s="189"/>
      <c r="B47" s="193"/>
      <c r="C47" s="194"/>
      <c r="N47" s="152"/>
      <c r="Q47" s="195"/>
      <c r="S47" s="196"/>
      <c r="T47" s="196"/>
      <c r="U47" s="152"/>
      <c r="V47" s="152"/>
      <c r="W47" s="157"/>
      <c r="AA47" s="156"/>
    </row>
    <row r="48" ht="15.75" customHeight="1">
      <c r="A48" s="189"/>
      <c r="B48" s="193"/>
      <c r="C48" s="194"/>
      <c r="N48" s="152"/>
      <c r="Q48" s="195"/>
      <c r="S48" s="196"/>
      <c r="T48" s="196"/>
      <c r="U48" s="152"/>
      <c r="V48" s="152"/>
      <c r="W48" s="157"/>
      <c r="AA48" s="156"/>
    </row>
    <row r="49" ht="15.75" customHeight="1">
      <c r="A49" s="189"/>
      <c r="B49" s="193"/>
      <c r="C49" s="194"/>
      <c r="N49" s="152"/>
      <c r="Q49" s="195"/>
      <c r="S49" s="196"/>
      <c r="T49" s="196"/>
      <c r="U49" s="152"/>
      <c r="V49" s="152"/>
      <c r="W49" s="157"/>
      <c r="AA49" s="156"/>
    </row>
    <row r="50" ht="15.75" customHeight="1">
      <c r="A50" s="189"/>
      <c r="B50" s="193"/>
      <c r="C50" s="194"/>
      <c r="N50" s="152"/>
      <c r="Q50" s="195"/>
      <c r="S50" s="196"/>
      <c r="T50" s="196"/>
      <c r="U50" s="152"/>
      <c r="V50" s="152"/>
      <c r="W50" s="157"/>
      <c r="AA50" s="156"/>
    </row>
    <row r="51" ht="15.75" customHeight="1">
      <c r="A51" s="189"/>
      <c r="B51" s="193"/>
      <c r="C51" s="194"/>
      <c r="N51" s="152"/>
      <c r="Q51" s="195"/>
      <c r="S51" s="196"/>
      <c r="T51" s="196"/>
      <c r="U51" s="152"/>
      <c r="V51" s="152"/>
      <c r="W51" s="157"/>
      <c r="AA51" s="156"/>
    </row>
    <row r="52" ht="15.75" customHeight="1">
      <c r="A52" s="189"/>
      <c r="B52" s="193"/>
      <c r="C52" s="194"/>
      <c r="N52" s="152"/>
      <c r="Q52" s="195"/>
      <c r="S52" s="196"/>
      <c r="T52" s="196"/>
      <c r="U52" s="152"/>
      <c r="V52" s="152"/>
      <c r="W52" s="157"/>
      <c r="AA52" s="156"/>
    </row>
    <row r="53" ht="15.75" customHeight="1">
      <c r="A53" s="189"/>
      <c r="B53" s="193"/>
      <c r="C53" s="194"/>
      <c r="N53" s="152"/>
      <c r="Q53" s="195"/>
      <c r="S53" s="196"/>
      <c r="T53" s="196"/>
      <c r="U53" s="152"/>
      <c r="V53" s="152"/>
      <c r="W53" s="157"/>
      <c r="AA53" s="156"/>
    </row>
    <row r="54" ht="15.75" customHeight="1">
      <c r="A54" s="189"/>
      <c r="B54" s="193"/>
      <c r="C54" s="194"/>
      <c r="N54" s="152"/>
      <c r="Q54" s="195"/>
      <c r="S54" s="196"/>
      <c r="T54" s="196"/>
      <c r="U54" s="152"/>
      <c r="V54" s="152"/>
      <c r="W54" s="157"/>
      <c r="AA54" s="156"/>
    </row>
    <row r="55" ht="15.75" customHeight="1">
      <c r="A55" s="189"/>
      <c r="B55" s="193"/>
      <c r="C55" s="194"/>
      <c r="N55" s="152"/>
      <c r="Q55" s="195"/>
      <c r="S55" s="196"/>
      <c r="T55" s="196"/>
      <c r="U55" s="152"/>
      <c r="V55" s="152"/>
      <c r="W55" s="157"/>
      <c r="AA55" s="156"/>
    </row>
    <row r="56" ht="15.75" customHeight="1">
      <c r="A56" s="189"/>
      <c r="B56" s="193"/>
      <c r="C56" s="194"/>
      <c r="N56" s="152"/>
      <c r="Q56" s="195"/>
      <c r="S56" s="196"/>
      <c r="T56" s="196"/>
      <c r="U56" s="152"/>
      <c r="V56" s="152"/>
      <c r="W56" s="157"/>
      <c r="AA56" s="156"/>
    </row>
    <row r="57" ht="15.75" customHeight="1">
      <c r="A57" s="189"/>
      <c r="B57" s="193"/>
      <c r="C57" s="194"/>
      <c r="N57" s="152"/>
      <c r="Q57" s="195"/>
      <c r="S57" s="196"/>
      <c r="T57" s="196"/>
      <c r="U57" s="152"/>
      <c r="V57" s="152"/>
      <c r="W57" s="157"/>
      <c r="AA57" s="156"/>
    </row>
    <row r="58" ht="15.75" customHeight="1">
      <c r="A58" s="189"/>
      <c r="B58" s="193"/>
      <c r="C58" s="194"/>
      <c r="N58" s="152"/>
      <c r="Q58" s="195"/>
      <c r="S58" s="196"/>
      <c r="T58" s="196"/>
      <c r="U58" s="152"/>
      <c r="V58" s="152"/>
      <c r="W58" s="157"/>
      <c r="AA58" s="156"/>
    </row>
    <row r="59" ht="15.75" customHeight="1">
      <c r="A59" s="189"/>
      <c r="B59" s="193"/>
      <c r="C59" s="194"/>
      <c r="N59" s="152"/>
      <c r="Q59" s="195"/>
      <c r="S59" s="196"/>
      <c r="T59" s="196"/>
      <c r="U59" s="152"/>
      <c r="V59" s="152"/>
      <c r="W59" s="157"/>
      <c r="AA59" s="156"/>
    </row>
    <row r="60" ht="15.75" customHeight="1">
      <c r="A60" s="189"/>
      <c r="B60" s="193"/>
      <c r="C60" s="194"/>
      <c r="N60" s="152"/>
      <c r="Q60" s="195"/>
      <c r="S60" s="196"/>
      <c r="T60" s="196"/>
      <c r="U60" s="152"/>
      <c r="V60" s="152"/>
      <c r="W60" s="157"/>
      <c r="AA60" s="156"/>
    </row>
    <row r="61" ht="15.75" customHeight="1">
      <c r="A61" s="189"/>
      <c r="B61" s="193"/>
      <c r="C61" s="194"/>
      <c r="N61" s="152"/>
      <c r="Q61" s="195"/>
      <c r="S61" s="196"/>
      <c r="T61" s="196"/>
      <c r="U61" s="152"/>
      <c r="V61" s="152"/>
      <c r="W61" s="157"/>
      <c r="AA61" s="156"/>
    </row>
    <row r="62" ht="15.75" customHeight="1">
      <c r="A62" s="189"/>
      <c r="B62" s="193"/>
      <c r="C62" s="194"/>
      <c r="N62" s="152"/>
      <c r="Q62" s="195"/>
      <c r="S62" s="196"/>
      <c r="T62" s="196"/>
      <c r="U62" s="152"/>
      <c r="V62" s="152"/>
      <c r="W62" s="157"/>
      <c r="AA62" s="156"/>
    </row>
    <row r="63" ht="15.75" customHeight="1">
      <c r="A63" s="189"/>
      <c r="B63" s="193"/>
      <c r="C63" s="194"/>
      <c r="N63" s="152"/>
      <c r="Q63" s="195"/>
      <c r="S63" s="196"/>
      <c r="T63" s="196"/>
      <c r="U63" s="152"/>
      <c r="V63" s="152"/>
      <c r="W63" s="157"/>
      <c r="AA63" s="156"/>
    </row>
    <row r="64" ht="15.75" customHeight="1">
      <c r="A64" s="189"/>
      <c r="B64" s="193"/>
      <c r="C64" s="194"/>
      <c r="N64" s="152"/>
      <c r="Q64" s="195"/>
      <c r="S64" s="196"/>
      <c r="T64" s="196"/>
      <c r="U64" s="152"/>
      <c r="V64" s="152"/>
      <c r="W64" s="157"/>
      <c r="AA64" s="156"/>
    </row>
    <row r="65" ht="15.75" customHeight="1">
      <c r="A65" s="189"/>
      <c r="B65" s="193"/>
      <c r="C65" s="194"/>
      <c r="N65" s="152"/>
      <c r="Q65" s="195"/>
      <c r="S65" s="196"/>
      <c r="T65" s="196"/>
      <c r="U65" s="152"/>
      <c r="V65" s="152"/>
      <c r="W65" s="157"/>
      <c r="AA65" s="156"/>
    </row>
    <row r="66" ht="15.75" customHeight="1">
      <c r="A66" s="189"/>
      <c r="B66" s="193"/>
      <c r="C66" s="194"/>
      <c r="N66" s="152"/>
      <c r="Q66" s="195"/>
      <c r="S66" s="196"/>
      <c r="T66" s="196"/>
      <c r="U66" s="152"/>
      <c r="V66" s="152"/>
      <c r="W66" s="157"/>
      <c r="AA66" s="156"/>
    </row>
    <row r="67" ht="15.75" customHeight="1">
      <c r="A67" s="189"/>
      <c r="B67" s="193"/>
      <c r="C67" s="194"/>
      <c r="N67" s="152"/>
      <c r="Q67" s="195"/>
      <c r="S67" s="196"/>
      <c r="T67" s="196"/>
      <c r="U67" s="152"/>
      <c r="V67" s="152"/>
      <c r="W67" s="157"/>
      <c r="AA67" s="156"/>
    </row>
    <row r="68" ht="15.75" customHeight="1">
      <c r="A68" s="189"/>
      <c r="B68" s="193"/>
      <c r="C68" s="194"/>
      <c r="N68" s="152"/>
      <c r="Q68" s="195"/>
      <c r="S68" s="196"/>
      <c r="T68" s="196"/>
      <c r="U68" s="152"/>
      <c r="V68" s="152"/>
      <c r="W68" s="157"/>
      <c r="AA68" s="156"/>
    </row>
    <row r="69" ht="15.75" customHeight="1">
      <c r="A69" s="189"/>
      <c r="B69" s="193"/>
      <c r="C69" s="194"/>
      <c r="N69" s="152"/>
      <c r="Q69" s="195"/>
      <c r="S69" s="196"/>
      <c r="T69" s="196"/>
      <c r="U69" s="152"/>
      <c r="V69" s="152"/>
      <c r="W69" s="157"/>
      <c r="AA69" s="156"/>
    </row>
    <row r="70" ht="15.75" customHeight="1">
      <c r="A70" s="189"/>
      <c r="B70" s="193"/>
      <c r="C70" s="194"/>
      <c r="N70" s="152"/>
      <c r="Q70" s="195"/>
      <c r="S70" s="196"/>
      <c r="T70" s="196"/>
      <c r="U70" s="152"/>
      <c r="V70" s="152"/>
      <c r="W70" s="157"/>
      <c r="AA70" s="156"/>
    </row>
    <row r="71" ht="15.75" customHeight="1">
      <c r="A71" s="189"/>
      <c r="B71" s="193"/>
      <c r="C71" s="194"/>
      <c r="N71" s="152"/>
      <c r="Q71" s="195"/>
      <c r="S71" s="196"/>
      <c r="T71" s="196"/>
      <c r="U71" s="152"/>
      <c r="V71" s="152"/>
      <c r="W71" s="157"/>
      <c r="AA71" s="156"/>
    </row>
    <row r="72" ht="15.75" customHeight="1">
      <c r="A72" s="189"/>
      <c r="B72" s="193"/>
      <c r="C72" s="194"/>
      <c r="N72" s="152"/>
      <c r="Q72" s="195"/>
      <c r="S72" s="196"/>
      <c r="T72" s="196"/>
      <c r="U72" s="152"/>
      <c r="V72" s="152"/>
      <c r="W72" s="157"/>
      <c r="AA72" s="156"/>
    </row>
    <row r="73" ht="15.75" customHeight="1">
      <c r="A73" s="189"/>
      <c r="B73" s="193"/>
      <c r="C73" s="194"/>
      <c r="N73" s="152"/>
      <c r="Q73" s="195"/>
      <c r="S73" s="196"/>
      <c r="T73" s="196"/>
      <c r="U73" s="152"/>
      <c r="V73" s="152"/>
      <c r="W73" s="157"/>
      <c r="AA73" s="156"/>
    </row>
    <row r="74" ht="15.75" customHeight="1">
      <c r="A74" s="189"/>
      <c r="B74" s="193"/>
      <c r="C74" s="194"/>
      <c r="N74" s="152"/>
      <c r="Q74" s="195"/>
      <c r="S74" s="196"/>
      <c r="T74" s="196"/>
      <c r="U74" s="152"/>
      <c r="V74" s="152"/>
      <c r="W74" s="157"/>
      <c r="AA74" s="156"/>
    </row>
    <row r="75" ht="15.75" customHeight="1">
      <c r="A75" s="189"/>
      <c r="B75" s="193"/>
      <c r="C75" s="194"/>
      <c r="N75" s="152"/>
      <c r="Q75" s="195"/>
      <c r="S75" s="196"/>
      <c r="T75" s="196"/>
      <c r="U75" s="152"/>
      <c r="V75" s="152"/>
      <c r="W75" s="157"/>
      <c r="AA75" s="156"/>
    </row>
    <row r="76" ht="15.75" customHeight="1">
      <c r="A76" s="189"/>
      <c r="B76" s="193"/>
      <c r="C76" s="194"/>
      <c r="N76" s="152"/>
      <c r="Q76" s="195"/>
      <c r="S76" s="196"/>
      <c r="T76" s="196"/>
      <c r="U76" s="152"/>
      <c r="V76" s="152"/>
      <c r="W76" s="157"/>
      <c r="AA76" s="156"/>
    </row>
    <row r="77" ht="15.75" customHeight="1">
      <c r="A77" s="189"/>
      <c r="B77" s="193"/>
      <c r="C77" s="194"/>
      <c r="N77" s="152"/>
      <c r="Q77" s="195"/>
      <c r="S77" s="196"/>
      <c r="T77" s="196"/>
      <c r="U77" s="152"/>
      <c r="V77" s="152"/>
      <c r="W77" s="157"/>
      <c r="AA77" s="156"/>
    </row>
    <row r="78" ht="15.75" customHeight="1">
      <c r="A78" s="189"/>
      <c r="B78" s="193"/>
      <c r="C78" s="194"/>
      <c r="N78" s="152"/>
      <c r="Q78" s="195"/>
      <c r="S78" s="196"/>
      <c r="T78" s="196"/>
      <c r="U78" s="152"/>
      <c r="V78" s="152"/>
      <c r="W78" s="157"/>
      <c r="AA78" s="156"/>
    </row>
    <row r="79" ht="15.75" customHeight="1">
      <c r="A79" s="189"/>
      <c r="B79" s="193"/>
      <c r="C79" s="194"/>
      <c r="N79" s="152"/>
      <c r="Q79" s="195"/>
      <c r="S79" s="196"/>
      <c r="T79" s="196"/>
      <c r="U79" s="152"/>
      <c r="V79" s="152"/>
      <c r="W79" s="157"/>
      <c r="AA79" s="156"/>
    </row>
    <row r="80" ht="15.75" customHeight="1">
      <c r="A80" s="189"/>
      <c r="B80" s="193"/>
      <c r="C80" s="194"/>
      <c r="N80" s="152"/>
      <c r="Q80" s="195"/>
      <c r="S80" s="196"/>
      <c r="T80" s="196"/>
      <c r="U80" s="152"/>
      <c r="V80" s="152"/>
      <c r="W80" s="157"/>
      <c r="AA80" s="156"/>
    </row>
    <row r="81" ht="15.75" customHeight="1">
      <c r="A81" s="189"/>
      <c r="B81" s="193"/>
      <c r="C81" s="194"/>
      <c r="N81" s="152"/>
      <c r="Q81" s="195"/>
      <c r="S81" s="196"/>
      <c r="T81" s="196"/>
      <c r="U81" s="152"/>
      <c r="V81" s="152"/>
      <c r="W81" s="157"/>
      <c r="AA81" s="156"/>
    </row>
    <row r="82" ht="15.75" customHeight="1">
      <c r="A82" s="189"/>
      <c r="B82" s="193"/>
      <c r="C82" s="194"/>
      <c r="N82" s="152"/>
      <c r="Q82" s="195"/>
      <c r="S82" s="196"/>
      <c r="T82" s="196"/>
      <c r="U82" s="152"/>
      <c r="V82" s="152"/>
      <c r="W82" s="157"/>
      <c r="AA82" s="156"/>
    </row>
    <row r="83" ht="15.75" customHeight="1">
      <c r="A83" s="189"/>
      <c r="B83" s="193"/>
      <c r="C83" s="194"/>
      <c r="N83" s="152"/>
      <c r="Q83" s="195"/>
      <c r="S83" s="196"/>
      <c r="T83" s="196"/>
      <c r="U83" s="152"/>
      <c r="V83" s="152"/>
      <c r="W83" s="157"/>
      <c r="AA83" s="156"/>
    </row>
    <row r="84" ht="15.75" customHeight="1">
      <c r="A84" s="189"/>
      <c r="B84" s="193"/>
      <c r="C84" s="194"/>
      <c r="N84" s="152"/>
      <c r="Q84" s="195"/>
      <c r="S84" s="196"/>
      <c r="T84" s="196"/>
      <c r="U84" s="152"/>
      <c r="V84" s="152"/>
      <c r="W84" s="157"/>
      <c r="AA84" s="156"/>
    </row>
    <row r="85" ht="15.75" customHeight="1">
      <c r="A85" s="189"/>
      <c r="B85" s="193"/>
      <c r="C85" s="194"/>
      <c r="N85" s="152"/>
      <c r="Q85" s="195"/>
      <c r="S85" s="196"/>
      <c r="T85" s="196"/>
      <c r="U85" s="152"/>
      <c r="V85" s="152"/>
      <c r="W85" s="157"/>
      <c r="AA85" s="156"/>
    </row>
    <row r="86" ht="15.75" customHeight="1">
      <c r="A86" s="189"/>
      <c r="B86" s="193"/>
      <c r="C86" s="194"/>
      <c r="N86" s="152"/>
      <c r="Q86" s="195"/>
      <c r="S86" s="196"/>
      <c r="T86" s="196"/>
      <c r="U86" s="152"/>
      <c r="V86" s="152"/>
      <c r="W86" s="157"/>
      <c r="AA86" s="156"/>
    </row>
    <row r="87" ht="15.75" customHeight="1">
      <c r="A87" s="189"/>
      <c r="B87" s="193"/>
      <c r="C87" s="194"/>
      <c r="N87" s="152"/>
      <c r="Q87" s="195"/>
      <c r="S87" s="196"/>
      <c r="T87" s="196"/>
      <c r="U87" s="152"/>
      <c r="V87" s="152"/>
      <c r="W87" s="157"/>
      <c r="AA87" s="156"/>
    </row>
    <row r="88" ht="15.75" customHeight="1">
      <c r="A88" s="189"/>
      <c r="B88" s="193"/>
      <c r="C88" s="194"/>
      <c r="N88" s="152"/>
      <c r="Q88" s="195"/>
      <c r="S88" s="196"/>
      <c r="T88" s="196"/>
      <c r="U88" s="152"/>
      <c r="V88" s="152"/>
      <c r="W88" s="157"/>
      <c r="AA88" s="156"/>
    </row>
    <row r="89" ht="15.75" customHeight="1">
      <c r="A89" s="189"/>
      <c r="B89" s="193"/>
      <c r="C89" s="194"/>
      <c r="N89" s="152"/>
      <c r="Q89" s="195"/>
      <c r="S89" s="196"/>
      <c r="T89" s="196"/>
      <c r="U89" s="152"/>
      <c r="V89" s="152"/>
      <c r="W89" s="157"/>
      <c r="AA89" s="156"/>
    </row>
    <row r="90" ht="15.75" customHeight="1">
      <c r="A90" s="189"/>
      <c r="B90" s="193"/>
      <c r="C90" s="194"/>
      <c r="N90" s="152"/>
      <c r="Q90" s="195"/>
      <c r="S90" s="196"/>
      <c r="T90" s="196"/>
      <c r="U90" s="152"/>
      <c r="V90" s="152"/>
      <c r="W90" s="157"/>
      <c r="AA90" s="156"/>
    </row>
    <row r="91" ht="15.75" customHeight="1">
      <c r="A91" s="189"/>
      <c r="B91" s="193"/>
      <c r="C91" s="194"/>
      <c r="N91" s="152"/>
      <c r="Q91" s="195"/>
      <c r="S91" s="196"/>
      <c r="T91" s="196"/>
      <c r="U91" s="152"/>
      <c r="V91" s="152"/>
      <c r="W91" s="157"/>
      <c r="AA91" s="156"/>
    </row>
    <row r="92" ht="15.75" customHeight="1">
      <c r="A92" s="189"/>
      <c r="B92" s="193"/>
      <c r="C92" s="194"/>
      <c r="N92" s="152"/>
      <c r="Q92" s="195"/>
      <c r="S92" s="196"/>
      <c r="T92" s="196"/>
      <c r="U92" s="152"/>
      <c r="V92" s="152"/>
      <c r="W92" s="157"/>
      <c r="AA92" s="156"/>
    </row>
    <row r="93" ht="15.75" customHeight="1">
      <c r="A93" s="189"/>
      <c r="B93" s="193"/>
      <c r="C93" s="194"/>
      <c r="N93" s="152"/>
      <c r="Q93" s="195"/>
      <c r="S93" s="196"/>
      <c r="T93" s="196"/>
      <c r="U93" s="152"/>
      <c r="V93" s="152"/>
      <c r="W93" s="157"/>
      <c r="AA93" s="156"/>
    </row>
    <row r="94" ht="15.75" customHeight="1">
      <c r="A94" s="189"/>
      <c r="B94" s="193"/>
      <c r="C94" s="194"/>
      <c r="N94" s="152"/>
      <c r="Q94" s="195"/>
      <c r="S94" s="196"/>
      <c r="T94" s="196"/>
      <c r="U94" s="152"/>
      <c r="V94" s="152"/>
      <c r="W94" s="157"/>
      <c r="AA94" s="156"/>
    </row>
    <row r="95" ht="15.75" customHeight="1">
      <c r="A95" s="189"/>
      <c r="B95" s="193"/>
      <c r="C95" s="194"/>
      <c r="N95" s="152"/>
      <c r="Q95" s="195"/>
      <c r="S95" s="196"/>
      <c r="T95" s="196"/>
      <c r="U95" s="152"/>
      <c r="V95" s="152"/>
      <c r="W95" s="157"/>
      <c r="AA95" s="156"/>
    </row>
    <row r="96" ht="15.75" customHeight="1">
      <c r="A96" s="189"/>
      <c r="B96" s="193"/>
      <c r="C96" s="194"/>
      <c r="N96" s="152"/>
      <c r="Q96" s="195"/>
      <c r="S96" s="196"/>
      <c r="T96" s="196"/>
      <c r="U96" s="152"/>
      <c r="V96" s="152"/>
      <c r="W96" s="157"/>
      <c r="AA96" s="156"/>
    </row>
    <row r="97" ht="15.75" customHeight="1">
      <c r="A97" s="189"/>
      <c r="B97" s="193"/>
      <c r="C97" s="194"/>
      <c r="N97" s="152"/>
      <c r="Q97" s="195"/>
      <c r="S97" s="196"/>
      <c r="T97" s="196"/>
      <c r="U97" s="152"/>
      <c r="V97" s="152"/>
      <c r="W97" s="157"/>
      <c r="AA97" s="156"/>
    </row>
    <row r="98" ht="15.75" customHeight="1">
      <c r="A98" s="189"/>
      <c r="B98" s="193"/>
      <c r="C98" s="194"/>
      <c r="N98" s="152"/>
      <c r="Q98" s="195"/>
      <c r="S98" s="196"/>
      <c r="T98" s="196"/>
      <c r="U98" s="152"/>
      <c r="V98" s="152"/>
      <c r="W98" s="157"/>
      <c r="AA98" s="156"/>
    </row>
    <row r="99" ht="15.75" customHeight="1">
      <c r="A99" s="189"/>
      <c r="B99" s="193"/>
      <c r="C99" s="194"/>
      <c r="N99" s="152"/>
      <c r="Q99" s="195"/>
      <c r="S99" s="196"/>
      <c r="T99" s="196"/>
      <c r="U99" s="152"/>
      <c r="V99" s="152"/>
      <c r="W99" s="157"/>
      <c r="AA99" s="156"/>
    </row>
    <row r="100" ht="15.75" customHeight="1">
      <c r="A100" s="189"/>
      <c r="B100" s="193"/>
      <c r="C100" s="194"/>
      <c r="N100" s="152"/>
      <c r="Q100" s="195"/>
      <c r="S100" s="196"/>
      <c r="T100" s="196"/>
      <c r="U100" s="152"/>
      <c r="V100" s="152"/>
      <c r="W100" s="157"/>
      <c r="AA100" s="156"/>
    </row>
    <row r="101" ht="15.75" customHeight="1">
      <c r="A101" s="189"/>
      <c r="B101" s="193"/>
      <c r="C101" s="194"/>
      <c r="N101" s="152"/>
      <c r="Q101" s="195"/>
      <c r="S101" s="196"/>
      <c r="T101" s="196"/>
      <c r="U101" s="152"/>
      <c r="V101" s="152"/>
      <c r="W101" s="157"/>
      <c r="AA101" s="156"/>
    </row>
    <row r="102" ht="15.75" customHeight="1">
      <c r="A102" s="189"/>
      <c r="B102" s="193"/>
      <c r="C102" s="194"/>
      <c r="N102" s="152"/>
      <c r="Q102" s="195"/>
      <c r="S102" s="196"/>
      <c r="T102" s="196"/>
      <c r="U102" s="152"/>
      <c r="V102" s="152"/>
      <c r="W102" s="157"/>
      <c r="AA102" s="156"/>
    </row>
    <row r="103" ht="15.75" customHeight="1">
      <c r="A103" s="189"/>
      <c r="B103" s="193"/>
      <c r="C103" s="194"/>
      <c r="N103" s="152"/>
      <c r="Q103" s="195"/>
      <c r="S103" s="196"/>
      <c r="T103" s="196"/>
      <c r="U103" s="152"/>
      <c r="V103" s="152"/>
      <c r="W103" s="157"/>
      <c r="AA103" s="156"/>
    </row>
    <row r="104" ht="15.75" customHeight="1">
      <c r="A104" s="189"/>
      <c r="B104" s="193"/>
      <c r="C104" s="194"/>
      <c r="N104" s="152"/>
      <c r="Q104" s="195"/>
      <c r="S104" s="196"/>
      <c r="T104" s="196"/>
      <c r="U104" s="152"/>
      <c r="V104" s="152"/>
      <c r="W104" s="157"/>
      <c r="AA104" s="156"/>
    </row>
    <row r="105" ht="15.75" customHeight="1">
      <c r="A105" s="189"/>
      <c r="B105" s="193"/>
      <c r="C105" s="194"/>
      <c r="N105" s="152"/>
      <c r="Q105" s="195"/>
      <c r="S105" s="196"/>
      <c r="T105" s="196"/>
      <c r="U105" s="152"/>
      <c r="V105" s="152"/>
      <c r="W105" s="157"/>
      <c r="AA105" s="156"/>
    </row>
    <row r="106" ht="15.75" customHeight="1">
      <c r="A106" s="189"/>
      <c r="B106" s="193"/>
      <c r="C106" s="194"/>
      <c r="N106" s="152"/>
      <c r="Q106" s="195"/>
      <c r="S106" s="196"/>
      <c r="T106" s="196"/>
      <c r="U106" s="152"/>
      <c r="V106" s="152"/>
      <c r="W106" s="157"/>
      <c r="AA106" s="156"/>
    </row>
    <row r="107" ht="15.75" customHeight="1">
      <c r="A107" s="189"/>
      <c r="B107" s="193"/>
      <c r="C107" s="194"/>
      <c r="N107" s="152"/>
      <c r="Q107" s="195"/>
      <c r="S107" s="196"/>
      <c r="T107" s="196"/>
      <c r="U107" s="152"/>
      <c r="V107" s="152"/>
      <c r="W107" s="157"/>
      <c r="AA107" s="156"/>
    </row>
    <row r="108" ht="15.75" customHeight="1">
      <c r="A108" s="189"/>
      <c r="B108" s="193"/>
      <c r="C108" s="194"/>
      <c r="N108" s="152"/>
      <c r="Q108" s="195"/>
      <c r="S108" s="196"/>
      <c r="T108" s="196"/>
      <c r="U108" s="152"/>
      <c r="V108" s="152"/>
      <c r="W108" s="157"/>
      <c r="AA108" s="156"/>
    </row>
    <row r="109" ht="15.75" customHeight="1">
      <c r="A109" s="189"/>
      <c r="B109" s="193"/>
      <c r="C109" s="194"/>
      <c r="N109" s="152"/>
      <c r="Q109" s="195"/>
      <c r="S109" s="196"/>
      <c r="T109" s="196"/>
      <c r="U109" s="152"/>
      <c r="V109" s="152"/>
      <c r="W109" s="157"/>
      <c r="AA109" s="156"/>
    </row>
    <row r="110" ht="15.75" customHeight="1">
      <c r="A110" s="189"/>
      <c r="B110" s="193"/>
      <c r="C110" s="194"/>
      <c r="N110" s="152"/>
      <c r="Q110" s="195"/>
      <c r="S110" s="196"/>
      <c r="T110" s="196"/>
      <c r="U110" s="152"/>
      <c r="V110" s="152"/>
      <c r="W110" s="157"/>
      <c r="AA110" s="156"/>
    </row>
    <row r="111" ht="15.75" customHeight="1">
      <c r="A111" s="189"/>
      <c r="B111" s="193"/>
      <c r="C111" s="194"/>
      <c r="N111" s="152"/>
      <c r="Q111" s="195"/>
      <c r="S111" s="196"/>
      <c r="T111" s="196"/>
      <c r="U111" s="152"/>
      <c r="V111" s="152"/>
      <c r="W111" s="157"/>
      <c r="AA111" s="156"/>
    </row>
    <row r="112" ht="15.75" customHeight="1">
      <c r="A112" s="189"/>
      <c r="B112" s="193"/>
      <c r="C112" s="194"/>
      <c r="N112" s="152"/>
      <c r="Q112" s="195"/>
      <c r="S112" s="196"/>
      <c r="T112" s="196"/>
      <c r="U112" s="152"/>
      <c r="V112" s="152"/>
      <c r="W112" s="157"/>
      <c r="AA112" s="156"/>
    </row>
    <row r="113" ht="15.75" customHeight="1">
      <c r="A113" s="189"/>
      <c r="B113" s="193"/>
      <c r="C113" s="194"/>
      <c r="N113" s="152"/>
      <c r="Q113" s="195"/>
      <c r="S113" s="196"/>
      <c r="T113" s="196"/>
      <c r="U113" s="152"/>
      <c r="V113" s="152"/>
      <c r="W113" s="157"/>
      <c r="AA113" s="156"/>
    </row>
    <row r="114" ht="15.75" customHeight="1">
      <c r="A114" s="189"/>
      <c r="B114" s="193"/>
      <c r="C114" s="194"/>
      <c r="N114" s="152"/>
      <c r="Q114" s="195"/>
      <c r="S114" s="196"/>
      <c r="T114" s="196"/>
      <c r="U114" s="152"/>
      <c r="V114" s="152"/>
      <c r="W114" s="157"/>
      <c r="AA114" s="156"/>
    </row>
    <row r="115" ht="15.75" customHeight="1">
      <c r="A115" s="189"/>
      <c r="B115" s="193"/>
      <c r="C115" s="194"/>
      <c r="N115" s="152"/>
      <c r="Q115" s="195"/>
      <c r="S115" s="196"/>
      <c r="T115" s="196"/>
      <c r="U115" s="152"/>
      <c r="V115" s="152"/>
      <c r="W115" s="157"/>
      <c r="AA115" s="156"/>
    </row>
    <row r="116" ht="15.75" customHeight="1">
      <c r="A116" s="189"/>
      <c r="B116" s="193"/>
      <c r="C116" s="194"/>
      <c r="N116" s="152"/>
      <c r="Q116" s="195"/>
      <c r="S116" s="196"/>
      <c r="T116" s="196"/>
      <c r="U116" s="152"/>
      <c r="V116" s="152"/>
      <c r="W116" s="157"/>
      <c r="AA116" s="156"/>
    </row>
    <row r="117" ht="15.75" customHeight="1">
      <c r="A117" s="189"/>
      <c r="B117" s="193"/>
      <c r="C117" s="194"/>
      <c r="N117" s="152"/>
      <c r="Q117" s="195"/>
      <c r="S117" s="196"/>
      <c r="T117" s="196"/>
      <c r="U117" s="152"/>
      <c r="V117" s="152"/>
      <c r="W117" s="157"/>
      <c r="AA117" s="156"/>
    </row>
    <row r="118" ht="15.75" customHeight="1">
      <c r="A118" s="189"/>
      <c r="B118" s="193"/>
      <c r="C118" s="194"/>
      <c r="N118" s="152"/>
      <c r="Q118" s="195"/>
      <c r="S118" s="196"/>
      <c r="T118" s="196"/>
      <c r="U118" s="152"/>
      <c r="V118" s="152"/>
      <c r="W118" s="157"/>
      <c r="AA118" s="156"/>
    </row>
    <row r="119" ht="15.75" customHeight="1">
      <c r="A119" s="189"/>
      <c r="B119" s="193"/>
      <c r="C119" s="194"/>
      <c r="N119" s="152"/>
      <c r="Q119" s="195"/>
      <c r="S119" s="196"/>
      <c r="T119" s="196"/>
      <c r="U119" s="152"/>
      <c r="V119" s="152"/>
      <c r="W119" s="157"/>
      <c r="AA119" s="156"/>
    </row>
    <row r="120" ht="15.75" customHeight="1">
      <c r="A120" s="189"/>
      <c r="B120" s="193"/>
      <c r="C120" s="194"/>
      <c r="N120" s="152"/>
      <c r="Q120" s="195"/>
      <c r="S120" s="196"/>
      <c r="T120" s="196"/>
      <c r="U120" s="152"/>
      <c r="V120" s="152"/>
      <c r="W120" s="157"/>
      <c r="AA120" s="156"/>
    </row>
    <row r="121" ht="15.75" customHeight="1">
      <c r="A121" s="189"/>
      <c r="B121" s="193"/>
      <c r="C121" s="194"/>
      <c r="N121" s="152"/>
      <c r="Q121" s="195"/>
      <c r="S121" s="196"/>
      <c r="T121" s="196"/>
      <c r="U121" s="152"/>
      <c r="V121" s="152"/>
      <c r="W121" s="157"/>
      <c r="AA121" s="156"/>
    </row>
    <row r="122" ht="15.75" customHeight="1">
      <c r="A122" s="189"/>
      <c r="B122" s="193"/>
      <c r="C122" s="194"/>
      <c r="N122" s="152"/>
      <c r="Q122" s="195"/>
      <c r="S122" s="196"/>
      <c r="T122" s="196"/>
      <c r="U122" s="152"/>
      <c r="V122" s="152"/>
      <c r="W122" s="157"/>
      <c r="AA122" s="156"/>
    </row>
    <row r="123" ht="15.75" customHeight="1">
      <c r="A123" s="189"/>
      <c r="B123" s="193"/>
      <c r="C123" s="194"/>
      <c r="N123" s="152"/>
      <c r="Q123" s="195"/>
      <c r="S123" s="196"/>
      <c r="T123" s="196"/>
      <c r="U123" s="152"/>
      <c r="V123" s="152"/>
      <c r="W123" s="157"/>
      <c r="AA123" s="156"/>
    </row>
    <row r="124" ht="15.75" customHeight="1">
      <c r="A124" s="189"/>
      <c r="B124" s="193"/>
      <c r="C124" s="194"/>
      <c r="N124" s="152"/>
      <c r="Q124" s="195"/>
      <c r="S124" s="196"/>
      <c r="T124" s="196"/>
      <c r="U124" s="152"/>
      <c r="V124" s="152"/>
      <c r="W124" s="157"/>
      <c r="AA124" s="156"/>
    </row>
    <row r="125" ht="15.75" customHeight="1">
      <c r="A125" s="189"/>
      <c r="B125" s="193"/>
      <c r="C125" s="194"/>
      <c r="N125" s="152"/>
      <c r="Q125" s="195"/>
      <c r="S125" s="196"/>
      <c r="T125" s="196"/>
      <c r="U125" s="152"/>
      <c r="V125" s="152"/>
      <c r="W125" s="157"/>
      <c r="AA125" s="156"/>
    </row>
    <row r="126" ht="15.75" customHeight="1">
      <c r="A126" s="189"/>
      <c r="B126" s="193"/>
      <c r="C126" s="194"/>
      <c r="N126" s="152"/>
      <c r="Q126" s="195"/>
      <c r="S126" s="196"/>
      <c r="T126" s="196"/>
      <c r="U126" s="152"/>
      <c r="V126" s="152"/>
      <c r="W126" s="157"/>
      <c r="AA126" s="156"/>
    </row>
    <row r="127" ht="15.75" customHeight="1">
      <c r="A127" s="189"/>
      <c r="B127" s="193"/>
      <c r="C127" s="194"/>
      <c r="N127" s="152"/>
      <c r="Q127" s="195"/>
      <c r="S127" s="196"/>
      <c r="T127" s="196"/>
      <c r="U127" s="152"/>
      <c r="V127" s="152"/>
      <c r="W127" s="157"/>
      <c r="AA127" s="156"/>
    </row>
    <row r="128" ht="15.75" customHeight="1">
      <c r="A128" s="189"/>
      <c r="B128" s="193"/>
      <c r="C128" s="194"/>
      <c r="N128" s="152"/>
      <c r="Q128" s="195"/>
      <c r="S128" s="196"/>
      <c r="T128" s="196"/>
      <c r="U128" s="152"/>
      <c r="V128" s="152"/>
      <c r="W128" s="157"/>
      <c r="AA128" s="156"/>
    </row>
    <row r="129" ht="15.75" customHeight="1">
      <c r="A129" s="189"/>
      <c r="B129" s="193"/>
      <c r="C129" s="194"/>
      <c r="N129" s="152"/>
      <c r="Q129" s="195"/>
      <c r="S129" s="196"/>
      <c r="T129" s="196"/>
      <c r="U129" s="152"/>
      <c r="V129" s="152"/>
      <c r="W129" s="157"/>
      <c r="AA129" s="156"/>
    </row>
    <row r="130" ht="15.75" customHeight="1">
      <c r="A130" s="189"/>
      <c r="B130" s="193"/>
      <c r="C130" s="194"/>
      <c r="N130" s="152"/>
      <c r="Q130" s="195"/>
      <c r="S130" s="196"/>
      <c r="T130" s="196"/>
      <c r="U130" s="152"/>
      <c r="V130" s="152"/>
      <c r="W130" s="157"/>
      <c r="AA130" s="156"/>
    </row>
    <row r="131" ht="15.75" customHeight="1">
      <c r="A131" s="189"/>
      <c r="B131" s="193"/>
      <c r="C131" s="194"/>
      <c r="N131" s="152"/>
      <c r="Q131" s="195"/>
      <c r="S131" s="196"/>
      <c r="T131" s="196"/>
      <c r="U131" s="152"/>
      <c r="V131" s="152"/>
      <c r="W131" s="157"/>
      <c r="AA131" s="156"/>
    </row>
    <row r="132" ht="15.75" customHeight="1">
      <c r="A132" s="189"/>
      <c r="B132" s="193"/>
      <c r="C132" s="194"/>
      <c r="N132" s="152"/>
      <c r="Q132" s="195"/>
      <c r="S132" s="196"/>
      <c r="T132" s="196"/>
      <c r="U132" s="152"/>
      <c r="V132" s="152"/>
      <c r="W132" s="157"/>
      <c r="AA132" s="156"/>
    </row>
    <row r="133" ht="15.75" customHeight="1">
      <c r="A133" s="189"/>
      <c r="B133" s="193"/>
      <c r="C133" s="194"/>
      <c r="N133" s="152"/>
      <c r="Q133" s="195"/>
      <c r="S133" s="196"/>
      <c r="T133" s="196"/>
      <c r="U133" s="152"/>
      <c r="V133" s="152"/>
      <c r="W133" s="157"/>
      <c r="AA133" s="156"/>
    </row>
    <row r="134" ht="15.75" customHeight="1">
      <c r="A134" s="189"/>
      <c r="B134" s="193"/>
      <c r="C134" s="194"/>
      <c r="N134" s="152"/>
      <c r="Q134" s="195"/>
      <c r="S134" s="196"/>
      <c r="T134" s="196"/>
      <c r="U134" s="152"/>
      <c r="V134" s="152"/>
      <c r="W134" s="157"/>
      <c r="AA134" s="156"/>
    </row>
    <row r="135" ht="15.75" customHeight="1">
      <c r="A135" s="189"/>
      <c r="B135" s="193"/>
      <c r="C135" s="194"/>
      <c r="N135" s="152"/>
      <c r="Q135" s="195"/>
      <c r="S135" s="196"/>
      <c r="T135" s="196"/>
      <c r="U135" s="152"/>
      <c r="V135" s="152"/>
      <c r="W135" s="157"/>
      <c r="AA135" s="156"/>
    </row>
    <row r="136" ht="15.75" customHeight="1">
      <c r="A136" s="189"/>
      <c r="B136" s="193"/>
      <c r="C136" s="194"/>
      <c r="N136" s="152"/>
      <c r="Q136" s="195"/>
      <c r="S136" s="196"/>
      <c r="T136" s="196"/>
      <c r="U136" s="152"/>
      <c r="V136" s="152"/>
      <c r="W136" s="157"/>
      <c r="AA136" s="156"/>
    </row>
    <row r="137" ht="15.75" customHeight="1">
      <c r="A137" s="189"/>
      <c r="B137" s="193"/>
      <c r="C137" s="194"/>
      <c r="N137" s="152"/>
      <c r="Q137" s="195"/>
      <c r="S137" s="196"/>
      <c r="T137" s="196"/>
      <c r="U137" s="152"/>
      <c r="V137" s="152"/>
      <c r="W137" s="157"/>
      <c r="AA137" s="156"/>
    </row>
    <row r="138" ht="15.75" customHeight="1">
      <c r="A138" s="189"/>
      <c r="B138" s="193"/>
      <c r="C138" s="194"/>
      <c r="N138" s="152"/>
      <c r="Q138" s="195"/>
      <c r="S138" s="196"/>
      <c r="T138" s="196"/>
      <c r="U138" s="152"/>
      <c r="V138" s="152"/>
      <c r="W138" s="157"/>
      <c r="AA138" s="156"/>
    </row>
    <row r="139" ht="15.75" customHeight="1">
      <c r="A139" s="189"/>
      <c r="B139" s="193"/>
      <c r="C139" s="194"/>
      <c r="N139" s="152"/>
      <c r="Q139" s="195"/>
      <c r="S139" s="196"/>
      <c r="T139" s="196"/>
      <c r="U139" s="152"/>
      <c r="V139" s="152"/>
      <c r="W139" s="157"/>
      <c r="AA139" s="156"/>
    </row>
    <row r="140" ht="15.75" customHeight="1">
      <c r="A140" s="189"/>
      <c r="B140" s="193"/>
      <c r="C140" s="194"/>
      <c r="N140" s="152"/>
      <c r="Q140" s="195"/>
      <c r="S140" s="196"/>
      <c r="T140" s="196"/>
      <c r="U140" s="152"/>
      <c r="V140" s="152"/>
      <c r="W140" s="157"/>
      <c r="AA140" s="156"/>
    </row>
    <row r="141" ht="15.75" customHeight="1">
      <c r="A141" s="189"/>
      <c r="B141" s="193"/>
      <c r="C141" s="194"/>
      <c r="N141" s="152"/>
      <c r="Q141" s="195"/>
      <c r="S141" s="196"/>
      <c r="T141" s="196"/>
      <c r="U141" s="152"/>
      <c r="V141" s="152"/>
      <c r="W141" s="157"/>
      <c r="AA141" s="156"/>
    </row>
    <row r="142" ht="15.75" customHeight="1">
      <c r="A142" s="189"/>
      <c r="B142" s="193"/>
      <c r="C142" s="194"/>
      <c r="N142" s="152"/>
      <c r="Q142" s="195"/>
      <c r="S142" s="196"/>
      <c r="T142" s="196"/>
      <c r="U142" s="152"/>
      <c r="V142" s="152"/>
      <c r="W142" s="157"/>
      <c r="AA142" s="156"/>
    </row>
    <row r="143" ht="15.75" customHeight="1">
      <c r="A143" s="189"/>
      <c r="B143" s="193"/>
      <c r="C143" s="194"/>
      <c r="N143" s="152"/>
      <c r="Q143" s="195"/>
      <c r="S143" s="196"/>
      <c r="T143" s="196"/>
      <c r="U143" s="152"/>
      <c r="V143" s="152"/>
      <c r="W143" s="157"/>
      <c r="AA143" s="156"/>
    </row>
    <row r="144" ht="15.75" customHeight="1">
      <c r="A144" s="189"/>
      <c r="B144" s="193"/>
      <c r="C144" s="194"/>
      <c r="N144" s="152"/>
      <c r="Q144" s="195"/>
      <c r="S144" s="196"/>
      <c r="T144" s="196"/>
      <c r="U144" s="152"/>
      <c r="V144" s="152"/>
      <c r="W144" s="157"/>
      <c r="AA144" s="156"/>
    </row>
    <row r="145" ht="15.75" customHeight="1">
      <c r="A145" s="189"/>
      <c r="B145" s="193"/>
      <c r="C145" s="194"/>
      <c r="N145" s="152"/>
      <c r="Q145" s="195"/>
      <c r="S145" s="196"/>
      <c r="T145" s="196"/>
      <c r="U145" s="152"/>
      <c r="V145" s="152"/>
      <c r="W145" s="157"/>
      <c r="AA145" s="156"/>
    </row>
    <row r="146" ht="15.75" customHeight="1">
      <c r="A146" s="189"/>
      <c r="B146" s="193"/>
      <c r="C146" s="194"/>
      <c r="N146" s="152"/>
      <c r="Q146" s="195"/>
      <c r="S146" s="196"/>
      <c r="T146" s="196"/>
      <c r="U146" s="152"/>
      <c r="V146" s="152"/>
      <c r="W146" s="157"/>
      <c r="AA146" s="156"/>
    </row>
    <row r="147" ht="15.75" customHeight="1">
      <c r="A147" s="189"/>
      <c r="B147" s="193"/>
      <c r="C147" s="194"/>
      <c r="N147" s="152"/>
      <c r="Q147" s="195"/>
      <c r="S147" s="196"/>
      <c r="T147" s="196"/>
      <c r="U147" s="152"/>
      <c r="V147" s="152"/>
      <c r="W147" s="157"/>
      <c r="AA147" s="156"/>
    </row>
    <row r="148" ht="15.75" customHeight="1">
      <c r="A148" s="189"/>
      <c r="B148" s="193"/>
      <c r="C148" s="194"/>
      <c r="N148" s="152"/>
      <c r="Q148" s="195"/>
      <c r="S148" s="196"/>
      <c r="T148" s="196"/>
      <c r="U148" s="152"/>
      <c r="V148" s="152"/>
      <c r="W148" s="157"/>
      <c r="AA148" s="156"/>
    </row>
    <row r="149" ht="15.75" customHeight="1">
      <c r="A149" s="189"/>
      <c r="B149" s="193"/>
      <c r="C149" s="194"/>
      <c r="N149" s="152"/>
      <c r="Q149" s="195"/>
      <c r="S149" s="196"/>
      <c r="T149" s="196"/>
      <c r="U149" s="152"/>
      <c r="V149" s="152"/>
      <c r="W149" s="157"/>
      <c r="AA149" s="156"/>
    </row>
    <row r="150" ht="15.75" customHeight="1">
      <c r="A150" s="189"/>
      <c r="B150" s="193"/>
      <c r="C150" s="194"/>
      <c r="N150" s="152"/>
      <c r="Q150" s="195"/>
      <c r="S150" s="196"/>
      <c r="T150" s="196"/>
      <c r="U150" s="152"/>
      <c r="V150" s="152"/>
      <c r="W150" s="157"/>
      <c r="AA150" s="156"/>
    </row>
    <row r="151" ht="15.75" customHeight="1">
      <c r="A151" s="189"/>
      <c r="B151" s="193"/>
      <c r="C151" s="194"/>
      <c r="N151" s="152"/>
      <c r="Q151" s="195"/>
      <c r="S151" s="196"/>
      <c r="T151" s="196"/>
      <c r="U151" s="152"/>
      <c r="V151" s="152"/>
      <c r="W151" s="157"/>
      <c r="AA151" s="156"/>
    </row>
    <row r="152" ht="15.75" customHeight="1">
      <c r="A152" s="189"/>
      <c r="B152" s="193"/>
      <c r="C152" s="194"/>
      <c r="N152" s="152"/>
      <c r="Q152" s="195"/>
      <c r="S152" s="196"/>
      <c r="T152" s="196"/>
      <c r="U152" s="152"/>
      <c r="V152" s="152"/>
      <c r="W152" s="157"/>
      <c r="AA152" s="156"/>
    </row>
    <row r="153" ht="15.75" customHeight="1">
      <c r="A153" s="189"/>
      <c r="B153" s="193"/>
      <c r="C153" s="194"/>
      <c r="N153" s="152"/>
      <c r="Q153" s="195"/>
      <c r="S153" s="196"/>
      <c r="T153" s="196"/>
      <c r="U153" s="152"/>
      <c r="V153" s="152"/>
      <c r="W153" s="157"/>
      <c r="AA153" s="156"/>
    </row>
    <row r="154" ht="15.75" customHeight="1">
      <c r="A154" s="189"/>
      <c r="B154" s="193"/>
      <c r="C154" s="194"/>
      <c r="N154" s="152"/>
      <c r="Q154" s="195"/>
      <c r="S154" s="196"/>
      <c r="T154" s="196"/>
      <c r="U154" s="152"/>
      <c r="V154" s="152"/>
      <c r="W154" s="157"/>
      <c r="AA154" s="156"/>
    </row>
    <row r="155" ht="15.75" customHeight="1">
      <c r="A155" s="189"/>
      <c r="B155" s="193"/>
      <c r="C155" s="194"/>
      <c r="N155" s="152"/>
      <c r="Q155" s="195"/>
      <c r="S155" s="196"/>
      <c r="T155" s="196"/>
      <c r="U155" s="152"/>
      <c r="V155" s="152"/>
      <c r="W155" s="157"/>
      <c r="AA155" s="156"/>
    </row>
    <row r="156" ht="15.75" customHeight="1">
      <c r="A156" s="189"/>
      <c r="B156" s="193"/>
      <c r="C156" s="194"/>
      <c r="N156" s="152"/>
      <c r="Q156" s="195"/>
      <c r="S156" s="196"/>
      <c r="T156" s="196"/>
      <c r="U156" s="152"/>
      <c r="V156" s="152"/>
      <c r="W156" s="157"/>
      <c r="AA156" s="156"/>
    </row>
    <row r="157" ht="15.75" customHeight="1">
      <c r="A157" s="189"/>
      <c r="B157" s="193"/>
      <c r="C157" s="194"/>
      <c r="N157" s="152"/>
      <c r="Q157" s="195"/>
      <c r="S157" s="196"/>
      <c r="T157" s="196"/>
      <c r="U157" s="152"/>
      <c r="V157" s="152"/>
      <c r="W157" s="157"/>
      <c r="AA157" s="156"/>
    </row>
    <row r="158" ht="15.75" customHeight="1">
      <c r="A158" s="189"/>
      <c r="B158" s="193"/>
      <c r="C158" s="194"/>
      <c r="N158" s="152"/>
      <c r="Q158" s="195"/>
      <c r="S158" s="196"/>
      <c r="T158" s="196"/>
      <c r="U158" s="152"/>
      <c r="V158" s="152"/>
      <c r="W158" s="157"/>
      <c r="AA158" s="156"/>
    </row>
    <row r="159" ht="15.75" customHeight="1">
      <c r="A159" s="189"/>
      <c r="B159" s="193"/>
      <c r="C159" s="194"/>
      <c r="N159" s="152"/>
      <c r="Q159" s="195"/>
      <c r="S159" s="196"/>
      <c r="T159" s="196"/>
      <c r="U159" s="152"/>
      <c r="V159" s="152"/>
      <c r="W159" s="157"/>
      <c r="AA159" s="156"/>
    </row>
    <row r="160" ht="15.75" customHeight="1">
      <c r="A160" s="189"/>
      <c r="B160" s="193"/>
      <c r="C160" s="194"/>
      <c r="N160" s="152"/>
      <c r="Q160" s="195"/>
      <c r="S160" s="196"/>
      <c r="T160" s="196"/>
      <c r="U160" s="152"/>
      <c r="V160" s="152"/>
      <c r="W160" s="157"/>
      <c r="AA160" s="156"/>
    </row>
    <row r="161" ht="15.75" customHeight="1">
      <c r="A161" s="189"/>
      <c r="B161" s="193"/>
      <c r="C161" s="194"/>
      <c r="N161" s="152"/>
      <c r="Q161" s="195"/>
      <c r="S161" s="196"/>
      <c r="T161" s="196"/>
      <c r="U161" s="152"/>
      <c r="V161" s="152"/>
      <c r="W161" s="157"/>
      <c r="AA161" s="156"/>
    </row>
    <row r="162" ht="15.75" customHeight="1">
      <c r="A162" s="189"/>
      <c r="B162" s="193"/>
      <c r="C162" s="194"/>
      <c r="N162" s="152"/>
      <c r="Q162" s="195"/>
      <c r="S162" s="196"/>
      <c r="T162" s="196"/>
      <c r="U162" s="152"/>
      <c r="V162" s="152"/>
      <c r="W162" s="157"/>
      <c r="AA162" s="156"/>
    </row>
    <row r="163" ht="15.75" customHeight="1">
      <c r="A163" s="189"/>
      <c r="B163" s="193"/>
      <c r="C163" s="194"/>
      <c r="N163" s="152"/>
      <c r="Q163" s="195"/>
      <c r="S163" s="196"/>
      <c r="T163" s="196"/>
      <c r="U163" s="152"/>
      <c r="V163" s="152"/>
      <c r="W163" s="157"/>
      <c r="AA163" s="156"/>
    </row>
    <row r="164" ht="15.75" customHeight="1">
      <c r="A164" s="189"/>
      <c r="B164" s="193"/>
      <c r="C164" s="194"/>
      <c r="N164" s="152"/>
      <c r="Q164" s="195"/>
      <c r="S164" s="196"/>
      <c r="T164" s="196"/>
      <c r="U164" s="152"/>
      <c r="V164" s="152"/>
      <c r="W164" s="157"/>
      <c r="AA164" s="156"/>
    </row>
    <row r="165" ht="15.75" customHeight="1">
      <c r="A165" s="189"/>
      <c r="B165" s="193"/>
      <c r="C165" s="194"/>
      <c r="N165" s="152"/>
      <c r="Q165" s="195"/>
      <c r="S165" s="196"/>
      <c r="T165" s="196"/>
      <c r="U165" s="152"/>
      <c r="V165" s="152"/>
      <c r="W165" s="157"/>
      <c r="AA165" s="156"/>
    </row>
    <row r="166" ht="15.75" customHeight="1">
      <c r="A166" s="189"/>
      <c r="B166" s="193"/>
      <c r="C166" s="194"/>
      <c r="N166" s="152"/>
      <c r="Q166" s="195"/>
      <c r="S166" s="196"/>
      <c r="T166" s="196"/>
      <c r="U166" s="152"/>
      <c r="V166" s="152"/>
      <c r="W166" s="157"/>
      <c r="AA166" s="156"/>
    </row>
    <row r="167" ht="15.75" customHeight="1">
      <c r="A167" s="189"/>
      <c r="B167" s="193"/>
      <c r="C167" s="194"/>
      <c r="N167" s="152"/>
      <c r="Q167" s="195"/>
      <c r="S167" s="196"/>
      <c r="T167" s="196"/>
      <c r="U167" s="152"/>
      <c r="V167" s="152"/>
      <c r="W167" s="157"/>
      <c r="AA167" s="156"/>
    </row>
    <row r="168" ht="15.75" customHeight="1">
      <c r="A168" s="189"/>
      <c r="B168" s="193"/>
      <c r="C168" s="194"/>
      <c r="N168" s="152"/>
      <c r="Q168" s="195"/>
      <c r="S168" s="196"/>
      <c r="T168" s="196"/>
      <c r="U168" s="152"/>
      <c r="V168" s="152"/>
      <c r="W168" s="157"/>
      <c r="AA168" s="156"/>
    </row>
    <row r="169" ht="15.75" customHeight="1">
      <c r="A169" s="189"/>
      <c r="B169" s="193"/>
      <c r="C169" s="194"/>
      <c r="N169" s="152"/>
      <c r="Q169" s="195"/>
      <c r="S169" s="196"/>
      <c r="T169" s="196"/>
      <c r="U169" s="152"/>
      <c r="V169" s="152"/>
      <c r="W169" s="157"/>
      <c r="AA169" s="156"/>
    </row>
    <row r="170" ht="15.75" customHeight="1">
      <c r="A170" s="189"/>
      <c r="B170" s="193"/>
      <c r="C170" s="194"/>
      <c r="N170" s="152"/>
      <c r="Q170" s="195"/>
      <c r="S170" s="196"/>
      <c r="T170" s="196"/>
      <c r="U170" s="152"/>
      <c r="V170" s="152"/>
      <c r="W170" s="157"/>
      <c r="AA170" s="156"/>
    </row>
    <row r="171" ht="15.75" customHeight="1">
      <c r="A171" s="189"/>
      <c r="B171" s="193"/>
      <c r="C171" s="194"/>
      <c r="N171" s="152"/>
      <c r="Q171" s="195"/>
      <c r="S171" s="196"/>
      <c r="T171" s="196"/>
      <c r="U171" s="152"/>
      <c r="V171" s="152"/>
      <c r="W171" s="157"/>
      <c r="AA171" s="156"/>
    </row>
    <row r="172" ht="15.75" customHeight="1">
      <c r="A172" s="189"/>
      <c r="B172" s="193"/>
      <c r="C172" s="194"/>
      <c r="N172" s="152"/>
      <c r="Q172" s="195"/>
      <c r="S172" s="196"/>
      <c r="T172" s="196"/>
      <c r="U172" s="152"/>
      <c r="V172" s="152"/>
      <c r="W172" s="157"/>
      <c r="AA172" s="156"/>
    </row>
    <row r="173" ht="15.75" customHeight="1">
      <c r="A173" s="189"/>
      <c r="B173" s="193"/>
      <c r="C173" s="194"/>
      <c r="N173" s="152"/>
      <c r="Q173" s="195"/>
      <c r="S173" s="196"/>
      <c r="T173" s="196"/>
      <c r="U173" s="152"/>
      <c r="V173" s="152"/>
      <c r="W173" s="157"/>
      <c r="AA173" s="156"/>
    </row>
    <row r="174" ht="15.75" customHeight="1">
      <c r="A174" s="189"/>
      <c r="B174" s="193"/>
      <c r="C174" s="194"/>
      <c r="N174" s="152"/>
      <c r="Q174" s="195"/>
      <c r="S174" s="196"/>
      <c r="T174" s="196"/>
      <c r="U174" s="152"/>
      <c r="V174" s="152"/>
      <c r="W174" s="157"/>
      <c r="AA174" s="156"/>
    </row>
    <row r="175" ht="15.75" customHeight="1">
      <c r="A175" s="189"/>
      <c r="B175" s="193"/>
      <c r="C175" s="194"/>
      <c r="N175" s="152"/>
      <c r="Q175" s="195"/>
      <c r="S175" s="196"/>
      <c r="T175" s="196"/>
      <c r="U175" s="152"/>
      <c r="V175" s="152"/>
      <c r="W175" s="157"/>
      <c r="AA175" s="156"/>
    </row>
    <row r="176" ht="15.75" customHeight="1">
      <c r="A176" s="189"/>
      <c r="B176" s="193"/>
      <c r="C176" s="194"/>
      <c r="N176" s="152"/>
      <c r="Q176" s="195"/>
      <c r="S176" s="196"/>
      <c r="T176" s="196"/>
      <c r="U176" s="152"/>
      <c r="V176" s="152"/>
      <c r="W176" s="157"/>
      <c r="AA176" s="156"/>
    </row>
    <row r="177" ht="15.75" customHeight="1">
      <c r="A177" s="189"/>
      <c r="B177" s="193"/>
      <c r="C177" s="194"/>
      <c r="N177" s="152"/>
      <c r="Q177" s="195"/>
      <c r="S177" s="196"/>
      <c r="T177" s="196"/>
      <c r="U177" s="152"/>
      <c r="V177" s="152"/>
      <c r="W177" s="157"/>
      <c r="AA177" s="156"/>
    </row>
    <row r="178" ht="15.75" customHeight="1">
      <c r="A178" s="189"/>
      <c r="B178" s="193"/>
      <c r="C178" s="194"/>
      <c r="N178" s="152"/>
      <c r="Q178" s="195"/>
      <c r="S178" s="196"/>
      <c r="T178" s="196"/>
      <c r="U178" s="152"/>
      <c r="V178" s="152"/>
      <c r="W178" s="157"/>
      <c r="AA178" s="156"/>
    </row>
    <row r="179" ht="15.75" customHeight="1">
      <c r="A179" s="189"/>
      <c r="B179" s="193"/>
      <c r="C179" s="194"/>
      <c r="N179" s="152"/>
      <c r="Q179" s="195"/>
      <c r="S179" s="196"/>
      <c r="T179" s="196"/>
      <c r="U179" s="152"/>
      <c r="V179" s="152"/>
      <c r="W179" s="157"/>
      <c r="AA179" s="156"/>
    </row>
    <row r="180" ht="15.75" customHeight="1">
      <c r="A180" s="189"/>
      <c r="B180" s="193"/>
      <c r="C180" s="194"/>
      <c r="N180" s="152"/>
      <c r="Q180" s="195"/>
      <c r="S180" s="196"/>
      <c r="T180" s="196"/>
      <c r="U180" s="152"/>
      <c r="V180" s="152"/>
      <c r="W180" s="157"/>
      <c r="AA180" s="156"/>
    </row>
    <row r="181" ht="15.75" customHeight="1">
      <c r="A181" s="189"/>
      <c r="B181" s="193"/>
      <c r="C181" s="194"/>
      <c r="N181" s="152"/>
      <c r="Q181" s="195"/>
      <c r="S181" s="196"/>
      <c r="T181" s="196"/>
      <c r="U181" s="152"/>
      <c r="V181" s="152"/>
      <c r="W181" s="157"/>
      <c r="AA181" s="156"/>
    </row>
    <row r="182" ht="15.75" customHeight="1">
      <c r="A182" s="189"/>
      <c r="B182" s="193"/>
      <c r="C182" s="194"/>
      <c r="N182" s="152"/>
      <c r="Q182" s="195"/>
      <c r="S182" s="196"/>
      <c r="T182" s="196"/>
      <c r="U182" s="152"/>
      <c r="V182" s="152"/>
      <c r="W182" s="157"/>
      <c r="AA182" s="156"/>
    </row>
    <row r="183" ht="15.75" customHeight="1">
      <c r="A183" s="189"/>
      <c r="B183" s="193"/>
      <c r="C183" s="194"/>
      <c r="N183" s="152"/>
      <c r="Q183" s="195"/>
      <c r="S183" s="196"/>
      <c r="T183" s="196"/>
      <c r="U183" s="152"/>
      <c r="V183" s="152"/>
      <c r="W183" s="157"/>
      <c r="AA183" s="156"/>
    </row>
    <row r="184" ht="15.75" customHeight="1">
      <c r="A184" s="189"/>
      <c r="B184" s="193"/>
      <c r="C184" s="194"/>
      <c r="N184" s="152"/>
      <c r="Q184" s="195"/>
      <c r="S184" s="196"/>
      <c r="T184" s="196"/>
      <c r="U184" s="152"/>
      <c r="V184" s="152"/>
      <c r="W184" s="157"/>
      <c r="AA184" s="156"/>
    </row>
    <row r="185" ht="15.75" customHeight="1">
      <c r="A185" s="189"/>
      <c r="B185" s="193"/>
      <c r="C185" s="194"/>
      <c r="N185" s="152"/>
      <c r="Q185" s="195"/>
      <c r="S185" s="196"/>
      <c r="T185" s="196"/>
      <c r="U185" s="152"/>
      <c r="V185" s="152"/>
      <c r="W185" s="157"/>
      <c r="AA185" s="156"/>
    </row>
    <row r="186" ht="15.75" customHeight="1">
      <c r="A186" s="189"/>
      <c r="B186" s="193"/>
      <c r="C186" s="194"/>
      <c r="N186" s="152"/>
      <c r="Q186" s="195"/>
      <c r="S186" s="196"/>
      <c r="T186" s="196"/>
      <c r="U186" s="152"/>
      <c r="V186" s="152"/>
      <c r="W186" s="157"/>
      <c r="AA186" s="156"/>
    </row>
    <row r="187" ht="15.75" customHeight="1">
      <c r="A187" s="189"/>
      <c r="B187" s="193"/>
      <c r="C187" s="194"/>
      <c r="N187" s="152"/>
      <c r="Q187" s="195"/>
      <c r="S187" s="196"/>
      <c r="T187" s="196"/>
      <c r="U187" s="152"/>
      <c r="V187" s="152"/>
      <c r="W187" s="157"/>
      <c r="AA187" s="156"/>
    </row>
    <row r="188" ht="15.75" customHeight="1">
      <c r="A188" s="189"/>
      <c r="B188" s="193"/>
      <c r="C188" s="194"/>
      <c r="N188" s="152"/>
      <c r="Q188" s="195"/>
      <c r="S188" s="196"/>
      <c r="T188" s="196"/>
      <c r="U188" s="152"/>
      <c r="V188" s="152"/>
      <c r="W188" s="157"/>
      <c r="AA188" s="156"/>
    </row>
    <row r="189" ht="15.75" customHeight="1">
      <c r="A189" s="189"/>
      <c r="B189" s="193"/>
      <c r="C189" s="194"/>
      <c r="N189" s="152"/>
      <c r="Q189" s="195"/>
      <c r="S189" s="196"/>
      <c r="T189" s="196"/>
      <c r="U189" s="152"/>
      <c r="V189" s="152"/>
      <c r="W189" s="157"/>
      <c r="AA189" s="156"/>
    </row>
    <row r="190" ht="15.75" customHeight="1">
      <c r="A190" s="189"/>
      <c r="B190" s="193"/>
      <c r="C190" s="194"/>
      <c r="N190" s="152"/>
      <c r="Q190" s="195"/>
      <c r="S190" s="196"/>
      <c r="T190" s="196"/>
      <c r="U190" s="152"/>
      <c r="V190" s="152"/>
      <c r="W190" s="157"/>
      <c r="AA190" s="156"/>
    </row>
    <row r="191" ht="15.75" customHeight="1">
      <c r="A191" s="189"/>
      <c r="B191" s="193"/>
      <c r="C191" s="194"/>
      <c r="N191" s="152"/>
      <c r="Q191" s="195"/>
      <c r="S191" s="196"/>
      <c r="T191" s="196"/>
      <c r="U191" s="152"/>
      <c r="V191" s="152"/>
      <c r="W191" s="157"/>
      <c r="AA191" s="156"/>
    </row>
    <row r="192" ht="15.75" customHeight="1">
      <c r="A192" s="189"/>
      <c r="B192" s="193"/>
      <c r="C192" s="194"/>
      <c r="N192" s="152"/>
      <c r="Q192" s="195"/>
      <c r="S192" s="196"/>
      <c r="T192" s="196"/>
      <c r="U192" s="152"/>
      <c r="V192" s="152"/>
      <c r="W192" s="157"/>
      <c r="AA192" s="156"/>
    </row>
    <row r="193" ht="15.75" customHeight="1">
      <c r="A193" s="189"/>
      <c r="B193" s="193"/>
      <c r="C193" s="194"/>
      <c r="N193" s="152"/>
      <c r="Q193" s="195"/>
      <c r="S193" s="196"/>
      <c r="T193" s="196"/>
      <c r="U193" s="152"/>
      <c r="V193" s="152"/>
      <c r="W193" s="157"/>
      <c r="AA193" s="156"/>
    </row>
    <row r="194" ht="15.75" customHeight="1">
      <c r="A194" s="189"/>
      <c r="B194" s="193"/>
      <c r="C194" s="194"/>
      <c r="N194" s="152"/>
      <c r="Q194" s="195"/>
      <c r="S194" s="196"/>
      <c r="T194" s="196"/>
      <c r="U194" s="152"/>
      <c r="V194" s="152"/>
      <c r="W194" s="157"/>
      <c r="AA194" s="156"/>
    </row>
    <row r="195" ht="15.75" customHeight="1">
      <c r="A195" s="189"/>
      <c r="B195" s="193"/>
      <c r="C195" s="194"/>
      <c r="N195" s="152"/>
      <c r="Q195" s="195"/>
      <c r="S195" s="196"/>
      <c r="T195" s="196"/>
      <c r="U195" s="152"/>
      <c r="V195" s="152"/>
      <c r="W195" s="157"/>
      <c r="AA195" s="156"/>
    </row>
    <row r="196" ht="15.75" customHeight="1">
      <c r="A196" s="189"/>
      <c r="B196" s="193"/>
      <c r="C196" s="194"/>
      <c r="N196" s="152"/>
      <c r="Q196" s="195"/>
      <c r="S196" s="196"/>
      <c r="T196" s="196"/>
      <c r="U196" s="152"/>
      <c r="V196" s="152"/>
      <c r="W196" s="157"/>
      <c r="AA196" s="156"/>
    </row>
    <row r="197" ht="15.75" customHeight="1">
      <c r="A197" s="189"/>
      <c r="B197" s="193"/>
      <c r="C197" s="194"/>
      <c r="N197" s="152"/>
      <c r="Q197" s="195"/>
      <c r="S197" s="196"/>
      <c r="T197" s="196"/>
      <c r="U197" s="152"/>
      <c r="V197" s="152"/>
      <c r="W197" s="157"/>
      <c r="AA197" s="156"/>
    </row>
    <row r="198" ht="15.75" customHeight="1">
      <c r="A198" s="189"/>
      <c r="B198" s="193"/>
      <c r="C198" s="194"/>
      <c r="N198" s="152"/>
      <c r="Q198" s="195"/>
      <c r="S198" s="196"/>
      <c r="T198" s="196"/>
      <c r="U198" s="152"/>
      <c r="V198" s="152"/>
      <c r="W198" s="157"/>
      <c r="AA198" s="156"/>
    </row>
    <row r="199" ht="15.75" customHeight="1">
      <c r="A199" s="189"/>
      <c r="B199" s="193"/>
      <c r="C199" s="194"/>
      <c r="N199" s="152"/>
      <c r="Q199" s="195"/>
      <c r="S199" s="196"/>
      <c r="T199" s="196"/>
      <c r="U199" s="152"/>
      <c r="V199" s="152"/>
      <c r="W199" s="157"/>
      <c r="AA199" s="156"/>
    </row>
    <row r="200" ht="15.75" customHeight="1">
      <c r="A200" s="189"/>
      <c r="B200" s="193"/>
      <c r="C200" s="194"/>
      <c r="N200" s="152"/>
      <c r="Q200" s="195"/>
      <c r="S200" s="196"/>
      <c r="T200" s="196"/>
      <c r="U200" s="152"/>
      <c r="V200" s="152"/>
      <c r="W200" s="157"/>
      <c r="AA200" s="156"/>
    </row>
    <row r="201" ht="15.75" customHeight="1">
      <c r="A201" s="189"/>
      <c r="B201" s="193"/>
      <c r="C201" s="194"/>
      <c r="N201" s="152"/>
      <c r="Q201" s="195"/>
      <c r="S201" s="196"/>
      <c r="T201" s="196"/>
      <c r="U201" s="152"/>
      <c r="V201" s="152"/>
      <c r="W201" s="157"/>
      <c r="AA201" s="156"/>
    </row>
    <row r="202" ht="15.75" customHeight="1">
      <c r="A202" s="189"/>
      <c r="B202" s="193"/>
      <c r="C202" s="194"/>
      <c r="N202" s="152"/>
      <c r="Q202" s="195"/>
      <c r="S202" s="196"/>
      <c r="T202" s="196"/>
      <c r="U202" s="152"/>
      <c r="V202" s="152"/>
      <c r="W202" s="157"/>
      <c r="AA202" s="156"/>
    </row>
    <row r="203" ht="15.75" customHeight="1">
      <c r="A203" s="189"/>
      <c r="B203" s="193"/>
      <c r="C203" s="194"/>
      <c r="N203" s="152"/>
      <c r="Q203" s="195"/>
      <c r="S203" s="196"/>
      <c r="T203" s="196"/>
      <c r="U203" s="152"/>
      <c r="V203" s="152"/>
      <c r="W203" s="157"/>
      <c r="AA203" s="156"/>
    </row>
    <row r="204" ht="15.75" customHeight="1">
      <c r="A204" s="189"/>
      <c r="B204" s="193"/>
      <c r="C204" s="194"/>
      <c r="N204" s="152"/>
      <c r="Q204" s="195"/>
      <c r="S204" s="196"/>
      <c r="T204" s="196"/>
      <c r="U204" s="152"/>
      <c r="V204" s="152"/>
      <c r="W204" s="157"/>
      <c r="AA204" s="156"/>
    </row>
    <row r="205" ht="15.75" customHeight="1">
      <c r="A205" s="189"/>
      <c r="B205" s="193"/>
      <c r="C205" s="194"/>
      <c r="N205" s="152"/>
      <c r="Q205" s="195"/>
      <c r="S205" s="196"/>
      <c r="T205" s="196"/>
      <c r="U205" s="152"/>
      <c r="V205" s="152"/>
      <c r="W205" s="157"/>
      <c r="AA205" s="156"/>
    </row>
    <row r="206" ht="15.75" customHeight="1">
      <c r="A206" s="189"/>
      <c r="B206" s="193"/>
      <c r="C206" s="194"/>
      <c r="N206" s="152"/>
      <c r="Q206" s="195"/>
      <c r="S206" s="196"/>
      <c r="T206" s="196"/>
      <c r="U206" s="152"/>
      <c r="V206" s="152"/>
      <c r="W206" s="157"/>
      <c r="AA206" s="156"/>
    </row>
    <row r="207" ht="15.75" customHeight="1">
      <c r="A207" s="189"/>
      <c r="B207" s="193"/>
      <c r="C207" s="194"/>
      <c r="N207" s="152"/>
      <c r="Q207" s="195"/>
      <c r="S207" s="196"/>
      <c r="T207" s="196"/>
      <c r="U207" s="152"/>
      <c r="V207" s="152"/>
      <c r="W207" s="157"/>
      <c r="AA207" s="156"/>
    </row>
    <row r="208" ht="15.75" customHeight="1">
      <c r="A208" s="189"/>
      <c r="B208" s="193"/>
      <c r="C208" s="194"/>
      <c r="N208" s="152"/>
      <c r="Q208" s="195"/>
      <c r="S208" s="196"/>
      <c r="T208" s="196"/>
      <c r="U208" s="152"/>
      <c r="V208" s="152"/>
      <c r="W208" s="157"/>
      <c r="AA208" s="156"/>
    </row>
    <row r="209" ht="15.75" customHeight="1">
      <c r="A209" s="189"/>
      <c r="B209" s="193"/>
      <c r="C209" s="194"/>
      <c r="N209" s="152"/>
      <c r="Q209" s="195"/>
      <c r="S209" s="196"/>
      <c r="T209" s="196"/>
      <c r="U209" s="152"/>
      <c r="V209" s="152"/>
      <c r="W209" s="157"/>
      <c r="AA209" s="156"/>
    </row>
    <row r="210" ht="15.75" customHeight="1">
      <c r="A210" s="189"/>
      <c r="B210" s="193"/>
      <c r="C210" s="194"/>
      <c r="N210" s="152"/>
      <c r="Q210" s="195"/>
      <c r="S210" s="196"/>
      <c r="T210" s="196"/>
      <c r="U210" s="152"/>
      <c r="V210" s="152"/>
      <c r="W210" s="157"/>
      <c r="AA210" s="156"/>
    </row>
    <row r="211" ht="15.75" customHeight="1">
      <c r="A211" s="189"/>
      <c r="B211" s="193"/>
      <c r="C211" s="194"/>
      <c r="N211" s="152"/>
      <c r="Q211" s="195"/>
      <c r="S211" s="196"/>
      <c r="T211" s="196"/>
      <c r="U211" s="152"/>
      <c r="V211" s="152"/>
      <c r="W211" s="157"/>
      <c r="AA211" s="156"/>
    </row>
    <row r="212" ht="15.75" customHeight="1">
      <c r="A212" s="189"/>
      <c r="B212" s="193"/>
      <c r="C212" s="194"/>
      <c r="N212" s="152"/>
      <c r="Q212" s="195"/>
      <c r="S212" s="196"/>
      <c r="T212" s="196"/>
      <c r="U212" s="152"/>
      <c r="V212" s="152"/>
      <c r="W212" s="157"/>
      <c r="AA212" s="156"/>
    </row>
    <row r="213" ht="15.75" customHeight="1">
      <c r="A213" s="189"/>
      <c r="B213" s="193"/>
      <c r="C213" s="194"/>
      <c r="N213" s="152"/>
      <c r="Q213" s="195"/>
      <c r="S213" s="196"/>
      <c r="T213" s="196"/>
      <c r="U213" s="152"/>
      <c r="V213" s="152"/>
      <c r="W213" s="157"/>
      <c r="AA213" s="156"/>
    </row>
    <row r="214" ht="15.75" customHeight="1">
      <c r="A214" s="189"/>
      <c r="B214" s="193"/>
      <c r="C214" s="194"/>
      <c r="N214" s="152"/>
      <c r="Q214" s="195"/>
      <c r="S214" s="196"/>
      <c r="T214" s="196"/>
      <c r="U214" s="152"/>
      <c r="V214" s="152"/>
      <c r="W214" s="157"/>
      <c r="AA214" s="156"/>
    </row>
    <row r="215" ht="15.75" customHeight="1">
      <c r="A215" s="189"/>
      <c r="B215" s="193"/>
      <c r="C215" s="194"/>
      <c r="N215" s="152"/>
      <c r="Q215" s="195"/>
      <c r="S215" s="196"/>
      <c r="T215" s="196"/>
      <c r="U215" s="152"/>
      <c r="V215" s="152"/>
      <c r="W215" s="157"/>
      <c r="AA215" s="156"/>
    </row>
    <row r="216" ht="15.75" customHeight="1">
      <c r="A216" s="189"/>
      <c r="B216" s="193"/>
      <c r="C216" s="194"/>
      <c r="N216" s="152"/>
      <c r="Q216" s="195"/>
      <c r="S216" s="196"/>
      <c r="T216" s="196"/>
      <c r="U216" s="152"/>
      <c r="V216" s="152"/>
      <c r="W216" s="157"/>
      <c r="AA216" s="156"/>
    </row>
    <row r="217" ht="15.75" customHeight="1">
      <c r="A217" s="189"/>
      <c r="B217" s="193"/>
      <c r="C217" s="194"/>
      <c r="N217" s="152"/>
      <c r="Q217" s="195"/>
      <c r="S217" s="196"/>
      <c r="T217" s="196"/>
      <c r="U217" s="152"/>
      <c r="V217" s="152"/>
      <c r="W217" s="157"/>
      <c r="AA217" s="156"/>
    </row>
    <row r="218" ht="15.75" customHeight="1">
      <c r="A218" s="189"/>
      <c r="B218" s="193"/>
      <c r="C218" s="194"/>
      <c r="N218" s="152"/>
      <c r="Q218" s="195"/>
      <c r="S218" s="196"/>
      <c r="T218" s="196"/>
      <c r="U218" s="152"/>
      <c r="V218" s="152"/>
      <c r="W218" s="157"/>
      <c r="AA218" s="156"/>
    </row>
    <row r="219" ht="15.75" customHeight="1">
      <c r="A219" s="189"/>
      <c r="B219" s="193"/>
      <c r="C219" s="194"/>
      <c r="N219" s="152"/>
      <c r="Q219" s="195"/>
      <c r="S219" s="196"/>
      <c r="T219" s="196"/>
      <c r="U219" s="152"/>
      <c r="V219" s="152"/>
      <c r="W219" s="157"/>
      <c r="AA219" s="156"/>
    </row>
    <row r="220" ht="15.75" customHeight="1">
      <c r="A220" s="189"/>
      <c r="B220" s="193"/>
      <c r="C220" s="194"/>
      <c r="N220" s="152"/>
      <c r="Q220" s="195"/>
      <c r="S220" s="196"/>
      <c r="T220" s="196"/>
      <c r="U220" s="152"/>
      <c r="V220" s="152"/>
      <c r="W220" s="157"/>
      <c r="AA220" s="156"/>
    </row>
    <row r="221" ht="15.75" customHeight="1">
      <c r="B221" s="199"/>
      <c r="N221" s="152"/>
      <c r="Q221" s="195"/>
      <c r="S221" s="200"/>
      <c r="T221" s="200"/>
      <c r="U221" s="152"/>
      <c r="V221" s="152"/>
      <c r="W221" s="157"/>
      <c r="AA221" s="156"/>
    </row>
    <row r="222" ht="15.75" customHeight="1">
      <c r="B222" s="199"/>
      <c r="N222" s="152"/>
      <c r="Q222" s="195"/>
      <c r="S222" s="200"/>
      <c r="T222" s="200"/>
      <c r="U222" s="152"/>
      <c r="V222" s="152"/>
      <c r="W222" s="157"/>
      <c r="AA222" s="156"/>
    </row>
    <row r="223" ht="15.75" customHeight="1">
      <c r="B223" s="199"/>
      <c r="N223" s="152"/>
      <c r="Q223" s="195"/>
      <c r="S223" s="200"/>
      <c r="T223" s="200"/>
      <c r="U223" s="152"/>
      <c r="V223" s="152"/>
      <c r="W223" s="157"/>
      <c r="AA223" s="156"/>
    </row>
    <row r="224" ht="15.75" customHeight="1">
      <c r="B224" s="199"/>
      <c r="N224" s="152"/>
      <c r="Q224" s="195"/>
      <c r="S224" s="200"/>
      <c r="T224" s="200"/>
      <c r="U224" s="152"/>
      <c r="V224" s="152"/>
      <c r="W224" s="157"/>
      <c r="AA224" s="156"/>
    </row>
    <row r="225" ht="15.75" customHeight="1">
      <c r="B225" s="199"/>
      <c r="N225" s="152"/>
      <c r="Q225" s="195"/>
      <c r="S225" s="200"/>
      <c r="T225" s="200"/>
      <c r="U225" s="152"/>
      <c r="V225" s="152"/>
      <c r="W225" s="157"/>
      <c r="AA225" s="156"/>
    </row>
    <row r="226" ht="15.75" customHeight="1">
      <c r="B226" s="199"/>
      <c r="N226" s="152"/>
      <c r="Q226" s="195"/>
      <c r="S226" s="200"/>
      <c r="T226" s="200"/>
      <c r="U226" s="152"/>
      <c r="V226" s="152"/>
      <c r="W226" s="157"/>
      <c r="AA226" s="156"/>
    </row>
    <row r="227" ht="15.75" customHeight="1">
      <c r="B227" s="199"/>
      <c r="N227" s="152"/>
      <c r="Q227" s="195"/>
      <c r="S227" s="200"/>
      <c r="T227" s="200"/>
      <c r="U227" s="152"/>
      <c r="V227" s="152"/>
      <c r="W227" s="157"/>
      <c r="AA227" s="156"/>
    </row>
    <row r="228" ht="15.75" customHeight="1">
      <c r="B228" s="199"/>
      <c r="N228" s="152"/>
      <c r="Q228" s="195"/>
      <c r="S228" s="200"/>
      <c r="T228" s="200"/>
      <c r="U228" s="152"/>
      <c r="V228" s="152"/>
      <c r="W228" s="157"/>
      <c r="AA228" s="156"/>
    </row>
    <row r="229" ht="15.75" customHeight="1">
      <c r="B229" s="199"/>
      <c r="N229" s="152"/>
      <c r="Q229" s="195"/>
      <c r="S229" s="200"/>
      <c r="T229" s="200"/>
      <c r="U229" s="152"/>
      <c r="V229" s="152"/>
      <c r="W229" s="157"/>
      <c r="AA229" s="156"/>
    </row>
    <row r="230" ht="15.75" customHeight="1">
      <c r="B230" s="199"/>
      <c r="N230" s="152"/>
      <c r="Q230" s="195"/>
      <c r="S230" s="200"/>
      <c r="T230" s="200"/>
      <c r="U230" s="152"/>
      <c r="V230" s="152"/>
      <c r="W230" s="157"/>
      <c r="AA230" s="156"/>
    </row>
    <row r="231" ht="15.75" customHeight="1">
      <c r="B231" s="199"/>
      <c r="N231" s="152"/>
      <c r="Q231" s="195"/>
      <c r="S231" s="200"/>
      <c r="T231" s="200"/>
      <c r="U231" s="152"/>
      <c r="V231" s="152"/>
      <c r="W231" s="157"/>
      <c r="AA231" s="156"/>
    </row>
    <row r="232" ht="15.75" customHeight="1">
      <c r="B232" s="199"/>
      <c r="N232" s="152"/>
      <c r="Q232" s="195"/>
      <c r="S232" s="200"/>
      <c r="T232" s="200"/>
      <c r="U232" s="152"/>
      <c r="V232" s="152"/>
      <c r="W232" s="157"/>
      <c r="AA232" s="156"/>
    </row>
    <row r="233" ht="15.75" customHeight="1">
      <c r="B233" s="199"/>
      <c r="N233" s="152"/>
      <c r="Q233" s="195"/>
      <c r="S233" s="200"/>
      <c r="T233" s="200"/>
      <c r="U233" s="152"/>
      <c r="V233" s="152"/>
      <c r="W233" s="157"/>
      <c r="AA233" s="156"/>
    </row>
    <row r="234" ht="15.75" customHeight="1">
      <c r="B234" s="199"/>
      <c r="N234" s="152"/>
      <c r="Q234" s="195"/>
      <c r="S234" s="200"/>
      <c r="T234" s="200"/>
      <c r="U234" s="152"/>
      <c r="V234" s="152"/>
      <c r="W234" s="157"/>
      <c r="AA234" s="156"/>
    </row>
    <row r="235" ht="15.75" customHeight="1">
      <c r="B235" s="199"/>
      <c r="N235" s="152"/>
      <c r="Q235" s="195"/>
      <c r="S235" s="200"/>
      <c r="T235" s="200"/>
      <c r="U235" s="152"/>
      <c r="V235" s="152"/>
      <c r="W235" s="157"/>
      <c r="AA235" s="156"/>
    </row>
    <row r="236" ht="15.75" customHeight="1">
      <c r="B236" s="199"/>
      <c r="N236" s="152"/>
      <c r="Q236" s="195"/>
      <c r="S236" s="200"/>
      <c r="T236" s="200"/>
      <c r="U236" s="152"/>
      <c r="V236" s="152"/>
      <c r="W236" s="157"/>
      <c r="AA236" s="156"/>
    </row>
    <row r="237" ht="15.75" customHeight="1">
      <c r="B237" s="199"/>
      <c r="N237" s="152"/>
      <c r="Q237" s="195"/>
      <c r="S237" s="200"/>
      <c r="T237" s="200"/>
      <c r="U237" s="152"/>
      <c r="V237" s="152"/>
      <c r="W237" s="157"/>
      <c r="AA237" s="156"/>
    </row>
    <row r="238" ht="15.75" customHeight="1">
      <c r="B238" s="199"/>
      <c r="N238" s="152"/>
      <c r="Q238" s="195"/>
      <c r="S238" s="200"/>
      <c r="T238" s="200"/>
      <c r="U238" s="152"/>
      <c r="V238" s="152"/>
      <c r="W238" s="157"/>
      <c r="AA238" s="156"/>
    </row>
    <row r="239" ht="15.75" customHeight="1">
      <c r="B239" s="199"/>
      <c r="N239" s="152"/>
      <c r="Q239" s="195"/>
      <c r="S239" s="200"/>
      <c r="T239" s="200"/>
      <c r="U239" s="152"/>
      <c r="V239" s="152"/>
      <c r="W239" s="157"/>
      <c r="AA239" s="156"/>
    </row>
    <row r="240" ht="15.75" customHeight="1">
      <c r="B240" s="199"/>
      <c r="N240" s="152"/>
      <c r="Q240" s="195"/>
      <c r="S240" s="200"/>
      <c r="T240" s="200"/>
      <c r="U240" s="152"/>
      <c r="V240" s="152"/>
      <c r="W240" s="157"/>
      <c r="AA240" s="156"/>
    </row>
    <row r="241" ht="15.75" customHeight="1">
      <c r="B241" s="199"/>
      <c r="N241" s="152"/>
      <c r="Q241" s="195"/>
      <c r="S241" s="200"/>
      <c r="T241" s="200"/>
      <c r="U241" s="152"/>
      <c r="V241" s="152"/>
      <c r="W241" s="157"/>
      <c r="AA241" s="156"/>
    </row>
    <row r="242" ht="15.75" customHeight="1">
      <c r="B242" s="199"/>
      <c r="N242" s="152"/>
      <c r="Q242" s="195"/>
      <c r="S242" s="200"/>
      <c r="T242" s="200"/>
      <c r="U242" s="152"/>
      <c r="V242" s="152"/>
      <c r="W242" s="157"/>
      <c r="AA242" s="156"/>
    </row>
    <row r="243" ht="15.75" customHeight="1">
      <c r="B243" s="199"/>
      <c r="N243" s="152"/>
      <c r="Q243" s="195"/>
      <c r="S243" s="200"/>
      <c r="T243" s="200"/>
      <c r="U243" s="152"/>
      <c r="V243" s="152"/>
      <c r="W243" s="157"/>
      <c r="AA243" s="156"/>
    </row>
    <row r="244" ht="15.75" customHeight="1">
      <c r="B244" s="199"/>
      <c r="N244" s="152"/>
      <c r="Q244" s="195"/>
      <c r="S244" s="200"/>
      <c r="T244" s="200"/>
      <c r="U244" s="152"/>
      <c r="V244" s="152"/>
      <c r="W244" s="157"/>
      <c r="AA244" s="156"/>
    </row>
    <row r="245" ht="15.75" customHeight="1">
      <c r="B245" s="199"/>
      <c r="N245" s="152"/>
      <c r="Q245" s="195"/>
      <c r="S245" s="200"/>
      <c r="T245" s="200"/>
      <c r="U245" s="152"/>
      <c r="V245" s="152"/>
      <c r="W245" s="157"/>
      <c r="AA245" s="156"/>
    </row>
    <row r="246" ht="15.75" customHeight="1">
      <c r="B246" s="199"/>
      <c r="N246" s="152"/>
      <c r="Q246" s="195"/>
      <c r="S246" s="200"/>
      <c r="T246" s="200"/>
      <c r="U246" s="152"/>
      <c r="V246" s="152"/>
      <c r="W246" s="157"/>
      <c r="AA246" s="156"/>
    </row>
    <row r="247" ht="15.75" customHeight="1">
      <c r="B247" s="199"/>
      <c r="N247" s="152"/>
      <c r="Q247" s="195"/>
      <c r="S247" s="200"/>
      <c r="T247" s="200"/>
      <c r="U247" s="152"/>
      <c r="V247" s="152"/>
      <c r="W247" s="157"/>
      <c r="AA247" s="156"/>
    </row>
    <row r="248" ht="15.75" customHeight="1">
      <c r="B248" s="199"/>
      <c r="N248" s="152"/>
      <c r="Q248" s="195"/>
      <c r="S248" s="200"/>
      <c r="T248" s="200"/>
      <c r="U248" s="152"/>
      <c r="V248" s="152"/>
      <c r="W248" s="157"/>
      <c r="AA248" s="156"/>
    </row>
    <row r="249" ht="15.75" customHeight="1">
      <c r="B249" s="199"/>
      <c r="N249" s="152"/>
      <c r="Q249" s="195"/>
      <c r="S249" s="200"/>
      <c r="T249" s="200"/>
      <c r="U249" s="152"/>
      <c r="V249" s="152"/>
      <c r="W249" s="157"/>
      <c r="AA249" s="156"/>
    </row>
    <row r="250" ht="15.75" customHeight="1">
      <c r="B250" s="199"/>
      <c r="N250" s="152"/>
      <c r="Q250" s="195"/>
      <c r="S250" s="200"/>
      <c r="T250" s="200"/>
      <c r="U250" s="152"/>
      <c r="V250" s="152"/>
      <c r="W250" s="157"/>
      <c r="AA250" s="156"/>
    </row>
    <row r="251" ht="15.75" customHeight="1">
      <c r="B251" s="199"/>
      <c r="N251" s="152"/>
      <c r="Q251" s="195"/>
      <c r="S251" s="200"/>
      <c r="T251" s="200"/>
      <c r="U251" s="152"/>
      <c r="V251" s="152"/>
      <c r="W251" s="157"/>
      <c r="AA251" s="156"/>
    </row>
    <row r="252" ht="15.75" customHeight="1">
      <c r="B252" s="199"/>
      <c r="N252" s="152"/>
      <c r="Q252" s="195"/>
      <c r="S252" s="200"/>
      <c r="T252" s="200"/>
      <c r="U252" s="152"/>
      <c r="V252" s="152"/>
      <c r="W252" s="157"/>
      <c r="AA252" s="156"/>
    </row>
    <row r="253" ht="15.75" customHeight="1">
      <c r="B253" s="199"/>
      <c r="N253" s="152"/>
      <c r="Q253" s="195"/>
      <c r="S253" s="200"/>
      <c r="T253" s="200"/>
      <c r="U253" s="152"/>
      <c r="V253" s="152"/>
      <c r="W253" s="157"/>
      <c r="AA253" s="156"/>
    </row>
    <row r="254" ht="15.75" customHeight="1">
      <c r="B254" s="199"/>
      <c r="N254" s="152"/>
      <c r="Q254" s="195"/>
      <c r="S254" s="200"/>
      <c r="T254" s="200"/>
      <c r="U254" s="152"/>
      <c r="V254" s="152"/>
      <c r="W254" s="157"/>
      <c r="AA254" s="156"/>
    </row>
    <row r="255" ht="15.75" customHeight="1">
      <c r="B255" s="199"/>
      <c r="N255" s="152"/>
      <c r="Q255" s="195"/>
      <c r="S255" s="200"/>
      <c r="T255" s="200"/>
      <c r="U255" s="152"/>
      <c r="V255" s="152"/>
      <c r="W255" s="157"/>
      <c r="AA255" s="156"/>
    </row>
    <row r="256" ht="15.75" customHeight="1">
      <c r="B256" s="199"/>
      <c r="N256" s="152"/>
      <c r="Q256" s="195"/>
      <c r="S256" s="200"/>
      <c r="T256" s="200"/>
      <c r="U256" s="152"/>
      <c r="V256" s="152"/>
      <c r="W256" s="157"/>
      <c r="AA256" s="156"/>
    </row>
    <row r="257" ht="15.75" customHeight="1">
      <c r="B257" s="199"/>
      <c r="N257" s="152"/>
      <c r="Q257" s="195"/>
      <c r="S257" s="200"/>
      <c r="T257" s="200"/>
      <c r="U257" s="152"/>
      <c r="V257" s="152"/>
      <c r="W257" s="157"/>
      <c r="AA257" s="156"/>
    </row>
    <row r="258" ht="15.75" customHeight="1">
      <c r="B258" s="199"/>
      <c r="N258" s="152"/>
      <c r="Q258" s="195"/>
      <c r="S258" s="200"/>
      <c r="T258" s="200"/>
      <c r="U258" s="152"/>
      <c r="V258" s="152"/>
      <c r="W258" s="157"/>
      <c r="AA258" s="156"/>
    </row>
    <row r="259" ht="15.75" customHeight="1">
      <c r="B259" s="199"/>
      <c r="N259" s="152"/>
      <c r="Q259" s="195"/>
      <c r="S259" s="200"/>
      <c r="T259" s="200"/>
      <c r="U259" s="152"/>
      <c r="V259" s="152"/>
      <c r="W259" s="157"/>
      <c r="AA259" s="156"/>
    </row>
    <row r="260" ht="15.75" customHeight="1">
      <c r="B260" s="199"/>
      <c r="N260" s="152"/>
      <c r="Q260" s="195"/>
      <c r="S260" s="200"/>
      <c r="T260" s="200"/>
      <c r="U260" s="152"/>
      <c r="V260" s="152"/>
      <c r="W260" s="157"/>
      <c r="AA260" s="156"/>
    </row>
    <row r="261" ht="15.75" customHeight="1">
      <c r="B261" s="199"/>
      <c r="N261" s="152"/>
      <c r="Q261" s="195"/>
      <c r="S261" s="200"/>
      <c r="T261" s="200"/>
      <c r="U261" s="152"/>
      <c r="V261" s="152"/>
      <c r="W261" s="157"/>
      <c r="AA261" s="156"/>
    </row>
    <row r="262" ht="15.75" customHeight="1">
      <c r="B262" s="199"/>
      <c r="N262" s="152"/>
      <c r="Q262" s="195"/>
      <c r="S262" s="200"/>
      <c r="T262" s="200"/>
      <c r="U262" s="152"/>
      <c r="V262" s="152"/>
      <c r="W262" s="157"/>
      <c r="AA262" s="156"/>
    </row>
    <row r="263" ht="15.75" customHeight="1">
      <c r="B263" s="199"/>
      <c r="N263" s="152"/>
      <c r="Q263" s="195"/>
      <c r="S263" s="200"/>
      <c r="T263" s="200"/>
      <c r="U263" s="152"/>
      <c r="V263" s="152"/>
      <c r="W263" s="157"/>
      <c r="AA263" s="156"/>
    </row>
    <row r="264" ht="15.75" customHeight="1">
      <c r="B264" s="199"/>
      <c r="N264" s="152"/>
      <c r="Q264" s="195"/>
      <c r="S264" s="200"/>
      <c r="T264" s="200"/>
      <c r="U264" s="152"/>
      <c r="V264" s="152"/>
      <c r="W264" s="157"/>
      <c r="AA264" s="156"/>
    </row>
    <row r="265" ht="15.75" customHeight="1">
      <c r="B265" s="199"/>
      <c r="N265" s="152"/>
      <c r="Q265" s="195"/>
      <c r="S265" s="200"/>
      <c r="T265" s="200"/>
      <c r="U265" s="152"/>
      <c r="V265" s="152"/>
      <c r="W265" s="157"/>
      <c r="AA265" s="156"/>
    </row>
    <row r="266" ht="15.75" customHeight="1">
      <c r="B266" s="199"/>
      <c r="N266" s="152"/>
      <c r="Q266" s="195"/>
      <c r="S266" s="200"/>
      <c r="T266" s="200"/>
      <c r="U266" s="152"/>
      <c r="V266" s="152"/>
      <c r="W266" s="157"/>
      <c r="AA266" s="156"/>
    </row>
    <row r="267" ht="15.75" customHeight="1">
      <c r="B267" s="199"/>
      <c r="N267" s="152"/>
      <c r="Q267" s="195"/>
      <c r="S267" s="200"/>
      <c r="T267" s="200"/>
      <c r="U267" s="152"/>
      <c r="V267" s="152"/>
      <c r="W267" s="157"/>
      <c r="AA267" s="156"/>
    </row>
    <row r="268" ht="15.75" customHeight="1">
      <c r="B268" s="199"/>
      <c r="N268" s="152"/>
      <c r="Q268" s="195"/>
      <c r="S268" s="200"/>
      <c r="T268" s="200"/>
      <c r="U268" s="152"/>
      <c r="V268" s="152"/>
      <c r="W268" s="157"/>
      <c r="AA268" s="156"/>
    </row>
    <row r="269" ht="15.75" customHeight="1">
      <c r="B269" s="199"/>
      <c r="N269" s="152"/>
      <c r="Q269" s="195"/>
      <c r="S269" s="200"/>
      <c r="T269" s="200"/>
      <c r="U269" s="152"/>
      <c r="V269" s="152"/>
      <c r="W269" s="157"/>
      <c r="AA269" s="156"/>
    </row>
    <row r="270" ht="15.75" customHeight="1">
      <c r="B270" s="199"/>
      <c r="N270" s="152"/>
      <c r="Q270" s="195"/>
      <c r="S270" s="200"/>
      <c r="T270" s="200"/>
      <c r="U270" s="152"/>
      <c r="V270" s="152"/>
      <c r="W270" s="157"/>
      <c r="AA270" s="156"/>
    </row>
    <row r="271" ht="15.75" customHeight="1">
      <c r="B271" s="199"/>
      <c r="N271" s="152"/>
      <c r="Q271" s="195"/>
      <c r="S271" s="200"/>
      <c r="T271" s="200"/>
      <c r="U271" s="152"/>
      <c r="V271" s="152"/>
      <c r="W271" s="157"/>
      <c r="AA271" s="156"/>
    </row>
    <row r="272" ht="15.75" customHeight="1">
      <c r="B272" s="199"/>
      <c r="N272" s="152"/>
      <c r="Q272" s="195"/>
      <c r="S272" s="200"/>
      <c r="T272" s="200"/>
      <c r="U272" s="152"/>
      <c r="V272" s="152"/>
      <c r="W272" s="157"/>
      <c r="AA272" s="156"/>
    </row>
    <row r="273" ht="15.75" customHeight="1">
      <c r="B273" s="199"/>
      <c r="N273" s="152"/>
      <c r="Q273" s="195"/>
      <c r="S273" s="200"/>
      <c r="T273" s="200"/>
      <c r="U273" s="152"/>
      <c r="V273" s="152"/>
      <c r="W273" s="157"/>
      <c r="AA273" s="156"/>
    </row>
    <row r="274" ht="15.75" customHeight="1">
      <c r="B274" s="199"/>
      <c r="N274" s="152"/>
      <c r="Q274" s="195"/>
      <c r="S274" s="200"/>
      <c r="T274" s="200"/>
      <c r="U274" s="152"/>
      <c r="V274" s="152"/>
      <c r="W274" s="157"/>
      <c r="AA274" s="156"/>
    </row>
    <row r="275" ht="15.75" customHeight="1">
      <c r="B275" s="199"/>
      <c r="N275" s="152"/>
      <c r="Q275" s="195"/>
      <c r="S275" s="200"/>
      <c r="T275" s="200"/>
      <c r="U275" s="152"/>
      <c r="V275" s="152"/>
      <c r="W275" s="157"/>
      <c r="AA275" s="156"/>
    </row>
    <row r="276" ht="15.75" customHeight="1">
      <c r="B276" s="199"/>
      <c r="N276" s="152"/>
      <c r="Q276" s="195"/>
      <c r="S276" s="200"/>
      <c r="T276" s="200"/>
      <c r="U276" s="152"/>
      <c r="V276" s="152"/>
      <c r="W276" s="157"/>
      <c r="AA276" s="156"/>
    </row>
    <row r="277" ht="15.75" customHeight="1">
      <c r="B277" s="199"/>
      <c r="N277" s="152"/>
      <c r="Q277" s="195"/>
      <c r="S277" s="200"/>
      <c r="T277" s="200"/>
      <c r="U277" s="152"/>
      <c r="V277" s="152"/>
      <c r="W277" s="157"/>
      <c r="AA277" s="156"/>
    </row>
    <row r="278" ht="15.75" customHeight="1">
      <c r="B278" s="199"/>
      <c r="N278" s="152"/>
      <c r="Q278" s="195"/>
      <c r="S278" s="200"/>
      <c r="T278" s="200"/>
      <c r="U278" s="152"/>
      <c r="V278" s="152"/>
      <c r="W278" s="157"/>
      <c r="AA278" s="156"/>
    </row>
    <row r="279" ht="15.75" customHeight="1">
      <c r="B279" s="199"/>
      <c r="N279" s="152"/>
      <c r="Q279" s="195"/>
      <c r="S279" s="200"/>
      <c r="T279" s="200"/>
      <c r="U279" s="152"/>
      <c r="V279" s="152"/>
      <c r="W279" s="157"/>
      <c r="AA279" s="156"/>
    </row>
    <row r="280" ht="15.75" customHeight="1">
      <c r="B280" s="199"/>
      <c r="N280" s="152"/>
      <c r="Q280" s="195"/>
      <c r="S280" s="200"/>
      <c r="T280" s="200"/>
      <c r="U280" s="152"/>
      <c r="V280" s="152"/>
      <c r="W280" s="157"/>
      <c r="AA280" s="156"/>
    </row>
    <row r="281" ht="15.75" customHeight="1">
      <c r="B281" s="199"/>
      <c r="N281" s="152"/>
      <c r="Q281" s="195"/>
      <c r="S281" s="200"/>
      <c r="T281" s="200"/>
      <c r="U281" s="152"/>
      <c r="V281" s="152"/>
      <c r="W281" s="157"/>
      <c r="AA281" s="156"/>
    </row>
    <row r="282" ht="15.75" customHeight="1">
      <c r="B282" s="199"/>
      <c r="N282" s="152"/>
      <c r="Q282" s="195"/>
      <c r="S282" s="200"/>
      <c r="T282" s="200"/>
      <c r="U282" s="152"/>
      <c r="V282" s="152"/>
      <c r="W282" s="157"/>
      <c r="AA282" s="156"/>
    </row>
    <row r="283" ht="15.75" customHeight="1">
      <c r="B283" s="199"/>
      <c r="N283" s="152"/>
      <c r="Q283" s="195"/>
      <c r="S283" s="200"/>
      <c r="T283" s="200"/>
      <c r="U283" s="152"/>
      <c r="V283" s="152"/>
      <c r="W283" s="157"/>
      <c r="AA283" s="156"/>
    </row>
    <row r="284" ht="15.75" customHeight="1">
      <c r="B284" s="199"/>
      <c r="N284" s="152"/>
      <c r="Q284" s="195"/>
      <c r="S284" s="200"/>
      <c r="T284" s="200"/>
      <c r="U284" s="152"/>
      <c r="V284" s="152"/>
      <c r="W284" s="157"/>
      <c r="AA284" s="156"/>
    </row>
    <row r="285" ht="15.75" customHeight="1">
      <c r="B285" s="199"/>
      <c r="N285" s="152"/>
      <c r="Q285" s="195"/>
      <c r="S285" s="200"/>
      <c r="T285" s="200"/>
      <c r="U285" s="152"/>
      <c r="V285" s="152"/>
      <c r="W285" s="157"/>
      <c r="AA285" s="156"/>
    </row>
    <row r="286" ht="15.75" customHeight="1">
      <c r="B286" s="199"/>
      <c r="N286" s="152"/>
      <c r="Q286" s="195"/>
      <c r="S286" s="200"/>
      <c r="T286" s="200"/>
      <c r="U286" s="152"/>
      <c r="V286" s="152"/>
      <c r="W286" s="157"/>
      <c r="AA286" s="156"/>
    </row>
    <row r="287" ht="15.75" customHeight="1">
      <c r="B287" s="199"/>
      <c r="N287" s="152"/>
      <c r="Q287" s="195"/>
      <c r="S287" s="200"/>
      <c r="T287" s="200"/>
      <c r="U287" s="152"/>
      <c r="V287" s="152"/>
      <c r="W287" s="157"/>
      <c r="AA287" s="156"/>
    </row>
    <row r="288" ht="15.75" customHeight="1">
      <c r="B288" s="199"/>
      <c r="N288" s="152"/>
      <c r="Q288" s="195"/>
      <c r="S288" s="200"/>
      <c r="T288" s="200"/>
      <c r="U288" s="152"/>
      <c r="V288" s="152"/>
      <c r="W288" s="157"/>
      <c r="AA288" s="156"/>
    </row>
    <row r="289" ht="15.75" customHeight="1">
      <c r="B289" s="199"/>
      <c r="N289" s="152"/>
      <c r="Q289" s="195"/>
      <c r="S289" s="200"/>
      <c r="T289" s="200"/>
      <c r="U289" s="152"/>
      <c r="V289" s="152"/>
      <c r="W289" s="157"/>
      <c r="AA289" s="156"/>
    </row>
    <row r="290" ht="15.75" customHeight="1">
      <c r="B290" s="199"/>
      <c r="N290" s="152"/>
      <c r="Q290" s="195"/>
      <c r="S290" s="200"/>
      <c r="T290" s="200"/>
      <c r="U290" s="152"/>
      <c r="V290" s="152"/>
      <c r="W290" s="157"/>
      <c r="AA290" s="156"/>
    </row>
    <row r="291" ht="15.75" customHeight="1">
      <c r="B291" s="199"/>
      <c r="N291" s="152"/>
      <c r="Q291" s="195"/>
      <c r="S291" s="200"/>
      <c r="T291" s="200"/>
      <c r="U291" s="152"/>
      <c r="V291" s="152"/>
      <c r="W291" s="157"/>
      <c r="AA291" s="156"/>
    </row>
    <row r="292" ht="15.75" customHeight="1">
      <c r="B292" s="199"/>
      <c r="N292" s="152"/>
      <c r="Q292" s="195"/>
      <c r="S292" s="200"/>
      <c r="T292" s="200"/>
      <c r="U292" s="152"/>
      <c r="V292" s="152"/>
      <c r="W292" s="157"/>
      <c r="AA292" s="156"/>
    </row>
    <row r="293" ht="15.75" customHeight="1">
      <c r="B293" s="199"/>
      <c r="N293" s="152"/>
      <c r="Q293" s="195"/>
      <c r="S293" s="200"/>
      <c r="T293" s="200"/>
      <c r="U293" s="152"/>
      <c r="V293" s="152"/>
      <c r="W293" s="157"/>
      <c r="AA293" s="156"/>
    </row>
    <row r="294" ht="15.75" customHeight="1">
      <c r="B294" s="199"/>
      <c r="N294" s="152"/>
      <c r="Q294" s="195"/>
      <c r="S294" s="200"/>
      <c r="T294" s="200"/>
      <c r="U294" s="152"/>
      <c r="V294" s="152"/>
      <c r="W294" s="157"/>
      <c r="AA294" s="156"/>
    </row>
    <row r="295" ht="15.75" customHeight="1">
      <c r="B295" s="199"/>
      <c r="N295" s="152"/>
      <c r="Q295" s="195"/>
      <c r="S295" s="200"/>
      <c r="T295" s="200"/>
      <c r="U295" s="152"/>
      <c r="V295" s="152"/>
      <c r="W295" s="157"/>
      <c r="AA295" s="156"/>
    </row>
    <row r="296" ht="15.75" customHeight="1">
      <c r="B296" s="199"/>
      <c r="N296" s="152"/>
      <c r="Q296" s="195"/>
      <c r="S296" s="200"/>
      <c r="T296" s="200"/>
      <c r="U296" s="152"/>
      <c r="V296" s="152"/>
      <c r="W296" s="157"/>
      <c r="AA296" s="156"/>
    </row>
    <row r="297" ht="15.75" customHeight="1">
      <c r="B297" s="199"/>
      <c r="N297" s="152"/>
      <c r="Q297" s="195"/>
      <c r="S297" s="200"/>
      <c r="T297" s="200"/>
      <c r="U297" s="152"/>
      <c r="V297" s="152"/>
      <c r="W297" s="157"/>
      <c r="AA297" s="156"/>
    </row>
    <row r="298" ht="15.75" customHeight="1">
      <c r="B298" s="199"/>
      <c r="N298" s="152"/>
      <c r="Q298" s="195"/>
      <c r="S298" s="200"/>
      <c r="T298" s="200"/>
      <c r="U298" s="152"/>
      <c r="V298" s="152"/>
      <c r="W298" s="157"/>
      <c r="AA298" s="156"/>
    </row>
    <row r="299" ht="15.75" customHeight="1">
      <c r="B299" s="199"/>
      <c r="N299" s="152"/>
      <c r="Q299" s="195"/>
      <c r="S299" s="200"/>
      <c r="T299" s="200"/>
      <c r="U299" s="152"/>
      <c r="V299" s="152"/>
      <c r="W299" s="157"/>
      <c r="AA299" s="156"/>
    </row>
    <row r="300" ht="15.75" customHeight="1">
      <c r="B300" s="199"/>
      <c r="N300" s="152"/>
      <c r="Q300" s="195"/>
      <c r="S300" s="200"/>
      <c r="T300" s="200"/>
      <c r="U300" s="152"/>
      <c r="V300" s="152"/>
      <c r="W300" s="157"/>
      <c r="AA300" s="156"/>
    </row>
    <row r="301" ht="15.75" customHeight="1">
      <c r="B301" s="199"/>
      <c r="N301" s="152"/>
      <c r="Q301" s="195"/>
      <c r="S301" s="200"/>
      <c r="T301" s="200"/>
      <c r="U301" s="152"/>
      <c r="V301" s="152"/>
      <c r="W301" s="157"/>
      <c r="AA301" s="156"/>
    </row>
    <row r="302" ht="15.75" customHeight="1">
      <c r="B302" s="199"/>
      <c r="N302" s="152"/>
      <c r="Q302" s="195"/>
      <c r="S302" s="200"/>
      <c r="T302" s="200"/>
      <c r="U302" s="152"/>
      <c r="V302" s="152"/>
      <c r="W302" s="157"/>
      <c r="AA302" s="156"/>
    </row>
    <row r="303" ht="15.75" customHeight="1">
      <c r="B303" s="199"/>
      <c r="N303" s="152"/>
      <c r="Q303" s="195"/>
      <c r="S303" s="200"/>
      <c r="T303" s="200"/>
      <c r="U303" s="152"/>
      <c r="V303" s="152"/>
      <c r="W303" s="157"/>
      <c r="AA303" s="156"/>
    </row>
    <row r="304" ht="15.75" customHeight="1">
      <c r="B304" s="199"/>
      <c r="N304" s="152"/>
      <c r="Q304" s="195"/>
      <c r="S304" s="200"/>
      <c r="T304" s="200"/>
      <c r="U304" s="152"/>
      <c r="V304" s="152"/>
      <c r="W304" s="157"/>
      <c r="AA304" s="156"/>
    </row>
    <row r="305" ht="15.75" customHeight="1">
      <c r="B305" s="199"/>
      <c r="N305" s="152"/>
      <c r="Q305" s="195"/>
      <c r="S305" s="200"/>
      <c r="T305" s="200"/>
      <c r="U305" s="152"/>
      <c r="V305" s="152"/>
      <c r="W305" s="157"/>
      <c r="AA305" s="156"/>
    </row>
    <row r="306" ht="15.75" customHeight="1">
      <c r="B306" s="199"/>
      <c r="N306" s="152"/>
      <c r="Q306" s="195"/>
      <c r="S306" s="200"/>
      <c r="T306" s="200"/>
      <c r="U306" s="152"/>
      <c r="V306" s="152"/>
      <c r="W306" s="157"/>
      <c r="AA306" s="156"/>
    </row>
    <row r="307" ht="15.75" customHeight="1">
      <c r="B307" s="199"/>
      <c r="N307" s="152"/>
      <c r="Q307" s="195"/>
      <c r="S307" s="200"/>
      <c r="T307" s="200"/>
      <c r="U307" s="152"/>
      <c r="V307" s="152"/>
      <c r="W307" s="157"/>
      <c r="AA307" s="156"/>
    </row>
    <row r="308" ht="15.75" customHeight="1">
      <c r="B308" s="199"/>
      <c r="N308" s="152"/>
      <c r="Q308" s="195"/>
      <c r="S308" s="200"/>
      <c r="T308" s="200"/>
      <c r="U308" s="152"/>
      <c r="V308" s="152"/>
      <c r="W308" s="157"/>
      <c r="AA308" s="156"/>
    </row>
    <row r="309" ht="15.75" customHeight="1">
      <c r="B309" s="199"/>
      <c r="N309" s="152"/>
      <c r="Q309" s="195"/>
      <c r="S309" s="200"/>
      <c r="T309" s="200"/>
      <c r="U309" s="152"/>
      <c r="V309" s="152"/>
      <c r="W309" s="157"/>
      <c r="AA309" s="156"/>
    </row>
    <row r="310" ht="15.75" customHeight="1">
      <c r="B310" s="199"/>
      <c r="N310" s="152"/>
      <c r="Q310" s="195"/>
      <c r="S310" s="200"/>
      <c r="T310" s="200"/>
      <c r="U310" s="152"/>
      <c r="V310" s="152"/>
      <c r="W310" s="157"/>
      <c r="AA310" s="156"/>
    </row>
    <row r="311" ht="15.75" customHeight="1">
      <c r="B311" s="199"/>
      <c r="N311" s="152"/>
      <c r="Q311" s="195"/>
      <c r="S311" s="200"/>
      <c r="T311" s="200"/>
      <c r="U311" s="152"/>
      <c r="V311" s="152"/>
      <c r="W311" s="157"/>
      <c r="AA311" s="156"/>
    </row>
    <row r="312" ht="15.75" customHeight="1">
      <c r="B312" s="199"/>
      <c r="N312" s="152"/>
      <c r="Q312" s="195"/>
      <c r="S312" s="200"/>
      <c r="T312" s="200"/>
      <c r="U312" s="152"/>
      <c r="V312" s="152"/>
      <c r="W312" s="157"/>
      <c r="AA312" s="156"/>
    </row>
    <row r="313" ht="15.75" customHeight="1">
      <c r="B313" s="199"/>
      <c r="N313" s="152"/>
      <c r="Q313" s="195"/>
      <c r="S313" s="200"/>
      <c r="T313" s="200"/>
      <c r="U313" s="152"/>
      <c r="V313" s="152"/>
      <c r="W313" s="157"/>
      <c r="AA313" s="156"/>
    </row>
    <row r="314" ht="15.75" customHeight="1">
      <c r="B314" s="199"/>
      <c r="N314" s="152"/>
      <c r="Q314" s="195"/>
      <c r="S314" s="200"/>
      <c r="T314" s="200"/>
      <c r="U314" s="152"/>
      <c r="V314" s="152"/>
      <c r="W314" s="157"/>
      <c r="AA314" s="156"/>
    </row>
    <row r="315" ht="15.75" customHeight="1">
      <c r="B315" s="199"/>
      <c r="N315" s="152"/>
      <c r="Q315" s="195"/>
      <c r="S315" s="200"/>
      <c r="T315" s="200"/>
      <c r="U315" s="152"/>
      <c r="V315" s="152"/>
      <c r="W315" s="157"/>
      <c r="AA315" s="156"/>
    </row>
    <row r="316" ht="15.75" customHeight="1">
      <c r="B316" s="199"/>
      <c r="N316" s="152"/>
      <c r="Q316" s="195"/>
      <c r="S316" s="200"/>
      <c r="T316" s="200"/>
      <c r="U316" s="152"/>
      <c r="V316" s="152"/>
      <c r="W316" s="157"/>
      <c r="AA316" s="156"/>
    </row>
    <row r="317" ht="15.75" customHeight="1">
      <c r="B317" s="199"/>
      <c r="N317" s="152"/>
      <c r="Q317" s="195"/>
      <c r="S317" s="200"/>
      <c r="T317" s="200"/>
      <c r="U317" s="152"/>
      <c r="V317" s="152"/>
      <c r="W317" s="157"/>
      <c r="AA317" s="156"/>
    </row>
    <row r="318" ht="15.75" customHeight="1">
      <c r="B318" s="199"/>
      <c r="N318" s="152"/>
      <c r="Q318" s="195"/>
      <c r="S318" s="200"/>
      <c r="T318" s="200"/>
      <c r="U318" s="152"/>
      <c r="V318" s="152"/>
      <c r="W318" s="157"/>
      <c r="AA318" s="156"/>
    </row>
    <row r="319" ht="15.75" customHeight="1">
      <c r="B319" s="199"/>
      <c r="N319" s="152"/>
      <c r="Q319" s="195"/>
      <c r="S319" s="200"/>
      <c r="T319" s="200"/>
      <c r="U319" s="152"/>
      <c r="V319" s="152"/>
      <c r="W319" s="157"/>
      <c r="AA319" s="156"/>
    </row>
    <row r="320" ht="15.75" customHeight="1">
      <c r="B320" s="199"/>
      <c r="N320" s="152"/>
      <c r="Q320" s="195"/>
      <c r="S320" s="200"/>
      <c r="T320" s="200"/>
      <c r="U320" s="152"/>
      <c r="V320" s="152"/>
      <c r="W320" s="157"/>
      <c r="AA320" s="156"/>
    </row>
    <row r="321" ht="15.75" customHeight="1">
      <c r="B321" s="199"/>
      <c r="N321" s="152"/>
      <c r="Q321" s="195"/>
      <c r="S321" s="200"/>
      <c r="T321" s="200"/>
      <c r="U321" s="152"/>
      <c r="V321" s="152"/>
      <c r="W321" s="157"/>
      <c r="AA321" s="156"/>
    </row>
    <row r="322" ht="15.75" customHeight="1">
      <c r="B322" s="199"/>
      <c r="N322" s="152"/>
      <c r="Q322" s="195"/>
      <c r="S322" s="200"/>
      <c r="T322" s="200"/>
      <c r="U322" s="152"/>
      <c r="V322" s="152"/>
      <c r="W322" s="157"/>
      <c r="AA322" s="156"/>
    </row>
    <row r="323" ht="15.75" customHeight="1">
      <c r="B323" s="199"/>
      <c r="N323" s="152"/>
      <c r="Q323" s="195"/>
      <c r="S323" s="200"/>
      <c r="T323" s="200"/>
      <c r="U323" s="152"/>
      <c r="V323" s="152"/>
      <c r="W323" s="157"/>
      <c r="AA323" s="156"/>
    </row>
    <row r="324" ht="15.75" customHeight="1">
      <c r="B324" s="199"/>
      <c r="N324" s="152"/>
      <c r="Q324" s="195"/>
      <c r="S324" s="200"/>
      <c r="T324" s="200"/>
      <c r="U324" s="152"/>
      <c r="V324" s="152"/>
      <c r="W324" s="157"/>
      <c r="AA324" s="156"/>
    </row>
    <row r="325" ht="15.75" customHeight="1">
      <c r="B325" s="199"/>
      <c r="N325" s="152"/>
      <c r="Q325" s="195"/>
      <c r="S325" s="200"/>
      <c r="T325" s="200"/>
      <c r="U325" s="152"/>
      <c r="V325" s="152"/>
      <c r="W325" s="157"/>
      <c r="AA325" s="156"/>
    </row>
    <row r="326" ht="15.75" customHeight="1">
      <c r="B326" s="199"/>
      <c r="N326" s="152"/>
      <c r="Q326" s="195"/>
      <c r="S326" s="200"/>
      <c r="T326" s="200"/>
      <c r="U326" s="152"/>
      <c r="V326" s="152"/>
      <c r="W326" s="157"/>
      <c r="AA326" s="156"/>
    </row>
    <row r="327" ht="15.75" customHeight="1">
      <c r="B327" s="199"/>
      <c r="N327" s="152"/>
      <c r="Q327" s="195"/>
      <c r="S327" s="200"/>
      <c r="T327" s="200"/>
      <c r="U327" s="152"/>
      <c r="V327" s="152"/>
      <c r="W327" s="157"/>
      <c r="AA327" s="156"/>
    </row>
    <row r="328" ht="15.75" customHeight="1">
      <c r="B328" s="199"/>
      <c r="N328" s="152"/>
      <c r="Q328" s="195"/>
      <c r="S328" s="200"/>
      <c r="T328" s="200"/>
      <c r="U328" s="152"/>
      <c r="V328" s="152"/>
      <c r="W328" s="157"/>
      <c r="AA328" s="156"/>
    </row>
    <row r="329" ht="15.75" customHeight="1">
      <c r="B329" s="199"/>
      <c r="N329" s="152"/>
      <c r="Q329" s="195"/>
      <c r="S329" s="200"/>
      <c r="T329" s="200"/>
      <c r="U329" s="152"/>
      <c r="V329" s="152"/>
      <c r="W329" s="157"/>
      <c r="AA329" s="156"/>
    </row>
    <row r="330" ht="15.75" customHeight="1">
      <c r="B330" s="199"/>
      <c r="N330" s="152"/>
      <c r="Q330" s="195"/>
      <c r="S330" s="200"/>
      <c r="T330" s="200"/>
      <c r="U330" s="152"/>
      <c r="V330" s="152"/>
      <c r="W330" s="157"/>
      <c r="AA330" s="156"/>
    </row>
    <row r="331" ht="15.75" customHeight="1">
      <c r="B331" s="199"/>
      <c r="N331" s="152"/>
      <c r="Q331" s="195"/>
      <c r="S331" s="200"/>
      <c r="T331" s="200"/>
      <c r="U331" s="152"/>
      <c r="V331" s="152"/>
      <c r="W331" s="157"/>
      <c r="AA331" s="156"/>
    </row>
    <row r="332" ht="15.75" customHeight="1">
      <c r="B332" s="199"/>
      <c r="N332" s="152"/>
      <c r="Q332" s="195"/>
      <c r="S332" s="200"/>
      <c r="T332" s="200"/>
      <c r="U332" s="152"/>
      <c r="V332" s="152"/>
      <c r="W332" s="157"/>
      <c r="AA332" s="156"/>
    </row>
    <row r="333" ht="15.75" customHeight="1">
      <c r="B333" s="199"/>
      <c r="N333" s="152"/>
      <c r="Q333" s="195"/>
      <c r="S333" s="200"/>
      <c r="T333" s="200"/>
      <c r="U333" s="152"/>
      <c r="V333" s="152"/>
      <c r="W333" s="157"/>
      <c r="AA333" s="156"/>
    </row>
    <row r="334" ht="15.75" customHeight="1">
      <c r="B334" s="199"/>
      <c r="N334" s="152"/>
      <c r="Q334" s="195"/>
      <c r="S334" s="200"/>
      <c r="T334" s="200"/>
      <c r="U334" s="152"/>
      <c r="V334" s="152"/>
      <c r="W334" s="157"/>
      <c r="AA334" s="156"/>
    </row>
    <row r="335" ht="15.75" customHeight="1">
      <c r="B335" s="199"/>
      <c r="N335" s="152"/>
      <c r="Q335" s="195"/>
      <c r="S335" s="200"/>
      <c r="T335" s="200"/>
      <c r="U335" s="152"/>
      <c r="V335" s="152"/>
      <c r="W335" s="157"/>
      <c r="AA335" s="156"/>
    </row>
    <row r="336" ht="15.75" customHeight="1">
      <c r="B336" s="199"/>
      <c r="N336" s="152"/>
      <c r="Q336" s="195"/>
      <c r="S336" s="200"/>
      <c r="T336" s="200"/>
      <c r="U336" s="152"/>
      <c r="V336" s="152"/>
      <c r="W336" s="157"/>
      <c r="AA336" s="156"/>
    </row>
    <row r="337" ht="15.75" customHeight="1">
      <c r="B337" s="199"/>
      <c r="N337" s="152"/>
      <c r="Q337" s="195"/>
      <c r="S337" s="200"/>
      <c r="T337" s="200"/>
      <c r="U337" s="152"/>
      <c r="V337" s="152"/>
      <c r="W337" s="157"/>
      <c r="AA337" s="156"/>
    </row>
    <row r="338" ht="15.75" customHeight="1">
      <c r="B338" s="199"/>
      <c r="N338" s="152"/>
      <c r="Q338" s="195"/>
      <c r="S338" s="200"/>
      <c r="T338" s="200"/>
      <c r="U338" s="152"/>
      <c r="V338" s="152"/>
      <c r="W338" s="157"/>
      <c r="AA338" s="156"/>
    </row>
    <row r="339" ht="15.75" customHeight="1">
      <c r="B339" s="199"/>
      <c r="N339" s="152"/>
      <c r="Q339" s="195"/>
      <c r="S339" s="200"/>
      <c r="T339" s="200"/>
      <c r="U339" s="152"/>
      <c r="V339" s="152"/>
      <c r="W339" s="157"/>
      <c r="AA339" s="156"/>
    </row>
    <row r="340" ht="15.75" customHeight="1">
      <c r="B340" s="199"/>
      <c r="N340" s="152"/>
      <c r="Q340" s="195"/>
      <c r="S340" s="200"/>
      <c r="T340" s="200"/>
      <c r="U340" s="152"/>
      <c r="V340" s="152"/>
      <c r="W340" s="157"/>
      <c r="AA340" s="156"/>
    </row>
    <row r="341" ht="15.75" customHeight="1">
      <c r="B341" s="199"/>
      <c r="N341" s="152"/>
      <c r="Q341" s="195"/>
      <c r="S341" s="200"/>
      <c r="T341" s="200"/>
      <c r="U341" s="152"/>
      <c r="V341" s="152"/>
      <c r="W341" s="157"/>
      <c r="AA341" s="156"/>
    </row>
    <row r="342" ht="15.75" customHeight="1">
      <c r="B342" s="199"/>
      <c r="N342" s="152"/>
      <c r="Q342" s="195"/>
      <c r="S342" s="200"/>
      <c r="T342" s="200"/>
      <c r="U342" s="152"/>
      <c r="V342" s="152"/>
      <c r="W342" s="157"/>
      <c r="AA342" s="156"/>
    </row>
    <row r="343" ht="15.75" customHeight="1">
      <c r="B343" s="199"/>
      <c r="N343" s="152"/>
      <c r="Q343" s="195"/>
      <c r="S343" s="200"/>
      <c r="T343" s="200"/>
      <c r="U343" s="152"/>
      <c r="V343" s="152"/>
      <c r="W343" s="157"/>
      <c r="AA343" s="156"/>
    </row>
    <row r="344" ht="15.75" customHeight="1">
      <c r="B344" s="199"/>
      <c r="N344" s="152"/>
      <c r="Q344" s="195"/>
      <c r="S344" s="200"/>
      <c r="T344" s="200"/>
      <c r="U344" s="152"/>
      <c r="V344" s="152"/>
      <c r="W344" s="157"/>
      <c r="AA344" s="156"/>
    </row>
    <row r="345" ht="15.75" customHeight="1">
      <c r="B345" s="199"/>
      <c r="N345" s="152"/>
      <c r="Q345" s="195"/>
      <c r="S345" s="200"/>
      <c r="T345" s="200"/>
      <c r="U345" s="152"/>
      <c r="V345" s="152"/>
      <c r="W345" s="157"/>
      <c r="AA345" s="156"/>
    </row>
    <row r="346" ht="15.75" customHeight="1">
      <c r="B346" s="199"/>
      <c r="N346" s="152"/>
      <c r="Q346" s="195"/>
      <c r="S346" s="200"/>
      <c r="T346" s="200"/>
      <c r="U346" s="152"/>
      <c r="V346" s="152"/>
      <c r="W346" s="157"/>
      <c r="AA346" s="156"/>
    </row>
    <row r="347" ht="15.75" customHeight="1">
      <c r="B347" s="199"/>
      <c r="N347" s="152"/>
      <c r="Q347" s="195"/>
      <c r="S347" s="200"/>
      <c r="T347" s="200"/>
      <c r="U347" s="152"/>
      <c r="V347" s="152"/>
      <c r="W347" s="157"/>
      <c r="AA347" s="156"/>
    </row>
    <row r="348" ht="15.75" customHeight="1">
      <c r="B348" s="199"/>
      <c r="N348" s="152"/>
      <c r="Q348" s="195"/>
      <c r="S348" s="200"/>
      <c r="T348" s="200"/>
      <c r="U348" s="152"/>
      <c r="V348" s="152"/>
      <c r="W348" s="157"/>
      <c r="AA348" s="156"/>
    </row>
    <row r="349" ht="15.75" customHeight="1">
      <c r="B349" s="199"/>
      <c r="N349" s="152"/>
      <c r="Q349" s="195"/>
      <c r="S349" s="200"/>
      <c r="T349" s="200"/>
      <c r="U349" s="152"/>
      <c r="V349" s="152"/>
      <c r="W349" s="157"/>
      <c r="AA349" s="156"/>
    </row>
    <row r="350" ht="15.75" customHeight="1">
      <c r="B350" s="199"/>
      <c r="N350" s="152"/>
      <c r="Q350" s="195"/>
      <c r="S350" s="200"/>
      <c r="T350" s="200"/>
      <c r="U350" s="152"/>
      <c r="V350" s="152"/>
      <c r="W350" s="157"/>
      <c r="AA350" s="156"/>
    </row>
    <row r="351" ht="15.75" customHeight="1">
      <c r="B351" s="199"/>
      <c r="N351" s="152"/>
      <c r="Q351" s="195"/>
      <c r="S351" s="200"/>
      <c r="T351" s="200"/>
      <c r="U351" s="152"/>
      <c r="V351" s="152"/>
      <c r="W351" s="157"/>
      <c r="AA351" s="156"/>
    </row>
    <row r="352" ht="15.75" customHeight="1">
      <c r="B352" s="199"/>
      <c r="N352" s="152"/>
      <c r="Q352" s="195"/>
      <c r="S352" s="200"/>
      <c r="T352" s="200"/>
      <c r="U352" s="152"/>
      <c r="V352" s="152"/>
      <c r="W352" s="157"/>
      <c r="AA352" s="156"/>
    </row>
    <row r="353" ht="15.75" customHeight="1">
      <c r="B353" s="199"/>
      <c r="N353" s="152"/>
      <c r="Q353" s="195"/>
      <c r="S353" s="200"/>
      <c r="T353" s="200"/>
      <c r="U353" s="152"/>
      <c r="V353" s="152"/>
      <c r="W353" s="157"/>
      <c r="AA353" s="156"/>
    </row>
    <row r="354" ht="15.75" customHeight="1">
      <c r="B354" s="199"/>
      <c r="N354" s="152"/>
      <c r="Q354" s="195"/>
      <c r="S354" s="200"/>
      <c r="T354" s="200"/>
      <c r="U354" s="152"/>
      <c r="V354" s="152"/>
      <c r="W354" s="157"/>
      <c r="AA354" s="156"/>
    </row>
    <row r="355" ht="15.75" customHeight="1">
      <c r="B355" s="199"/>
      <c r="N355" s="152"/>
      <c r="Q355" s="195"/>
      <c r="S355" s="200"/>
      <c r="T355" s="200"/>
      <c r="U355" s="152"/>
      <c r="V355" s="152"/>
      <c r="W355" s="157"/>
      <c r="AA355" s="156"/>
    </row>
    <row r="356" ht="15.75" customHeight="1">
      <c r="B356" s="199"/>
      <c r="N356" s="152"/>
      <c r="Q356" s="195"/>
      <c r="S356" s="200"/>
      <c r="T356" s="200"/>
      <c r="U356" s="152"/>
      <c r="V356" s="152"/>
      <c r="W356" s="157"/>
      <c r="AA356" s="156"/>
    </row>
    <row r="357" ht="15.75" customHeight="1">
      <c r="B357" s="199"/>
      <c r="N357" s="152"/>
      <c r="Q357" s="195"/>
      <c r="S357" s="200"/>
      <c r="T357" s="200"/>
      <c r="U357" s="152"/>
      <c r="V357" s="152"/>
      <c r="W357" s="157"/>
      <c r="AA357" s="156"/>
    </row>
    <row r="358" ht="15.75" customHeight="1">
      <c r="B358" s="199"/>
      <c r="N358" s="152"/>
      <c r="Q358" s="195"/>
      <c r="S358" s="200"/>
      <c r="T358" s="200"/>
      <c r="U358" s="152"/>
      <c r="V358" s="152"/>
      <c r="W358" s="157"/>
      <c r="AA358" s="156"/>
    </row>
    <row r="359" ht="15.75" customHeight="1">
      <c r="B359" s="199"/>
      <c r="N359" s="152"/>
      <c r="Q359" s="195"/>
      <c r="S359" s="200"/>
      <c r="T359" s="200"/>
      <c r="U359" s="152"/>
      <c r="V359" s="152"/>
      <c r="W359" s="157"/>
      <c r="AA359" s="156"/>
    </row>
    <row r="360" ht="15.75" customHeight="1">
      <c r="B360" s="199"/>
      <c r="N360" s="152"/>
      <c r="Q360" s="195"/>
      <c r="S360" s="200"/>
      <c r="T360" s="200"/>
      <c r="U360" s="152"/>
      <c r="V360" s="152"/>
      <c r="W360" s="157"/>
      <c r="AA360" s="156"/>
    </row>
    <row r="361" ht="15.75" customHeight="1">
      <c r="B361" s="199"/>
      <c r="N361" s="152"/>
      <c r="Q361" s="195"/>
      <c r="S361" s="200"/>
      <c r="T361" s="200"/>
      <c r="U361" s="152"/>
      <c r="V361" s="152"/>
      <c r="W361" s="157"/>
      <c r="AA361" s="156"/>
    </row>
    <row r="362" ht="15.75" customHeight="1">
      <c r="B362" s="199"/>
      <c r="N362" s="152"/>
      <c r="Q362" s="195"/>
      <c r="S362" s="200"/>
      <c r="T362" s="200"/>
      <c r="U362" s="152"/>
      <c r="V362" s="152"/>
      <c r="W362" s="157"/>
      <c r="AA362" s="156"/>
    </row>
    <row r="363" ht="15.75" customHeight="1">
      <c r="B363" s="199"/>
      <c r="N363" s="152"/>
      <c r="Q363" s="195"/>
      <c r="S363" s="200"/>
      <c r="T363" s="200"/>
      <c r="U363" s="152"/>
      <c r="V363" s="152"/>
      <c r="W363" s="157"/>
      <c r="AA363" s="156"/>
    </row>
    <row r="364" ht="15.75" customHeight="1">
      <c r="B364" s="199"/>
      <c r="N364" s="152"/>
      <c r="Q364" s="195"/>
      <c r="S364" s="200"/>
      <c r="T364" s="200"/>
      <c r="U364" s="152"/>
      <c r="V364" s="152"/>
      <c r="W364" s="157"/>
      <c r="AA364" s="156"/>
    </row>
    <row r="365" ht="15.75" customHeight="1">
      <c r="B365" s="199"/>
      <c r="N365" s="152"/>
      <c r="Q365" s="195"/>
      <c r="S365" s="200"/>
      <c r="T365" s="200"/>
      <c r="U365" s="152"/>
      <c r="V365" s="152"/>
      <c r="W365" s="157"/>
      <c r="AA365" s="156"/>
    </row>
    <row r="366" ht="15.75" customHeight="1">
      <c r="B366" s="199"/>
      <c r="N366" s="152"/>
      <c r="Q366" s="195"/>
      <c r="S366" s="200"/>
      <c r="T366" s="200"/>
      <c r="U366" s="152"/>
      <c r="V366" s="152"/>
      <c r="W366" s="157"/>
      <c r="AA366" s="156"/>
    </row>
    <row r="367" ht="15.75" customHeight="1">
      <c r="B367" s="199"/>
      <c r="N367" s="152"/>
      <c r="Q367" s="195"/>
      <c r="S367" s="200"/>
      <c r="T367" s="200"/>
      <c r="U367" s="152"/>
      <c r="V367" s="152"/>
      <c r="W367" s="157"/>
      <c r="AA367" s="156"/>
    </row>
    <row r="368" ht="15.75" customHeight="1">
      <c r="B368" s="199"/>
      <c r="N368" s="152"/>
      <c r="Q368" s="195"/>
      <c r="S368" s="200"/>
      <c r="T368" s="200"/>
      <c r="U368" s="152"/>
      <c r="V368" s="152"/>
      <c r="W368" s="157"/>
      <c r="AA368" s="156"/>
    </row>
    <row r="369" ht="15.75" customHeight="1">
      <c r="B369" s="199"/>
      <c r="N369" s="152"/>
      <c r="Q369" s="195"/>
      <c r="S369" s="200"/>
      <c r="T369" s="200"/>
      <c r="U369" s="152"/>
      <c r="V369" s="152"/>
      <c r="W369" s="157"/>
      <c r="AA369" s="156"/>
    </row>
    <row r="370" ht="15.75" customHeight="1">
      <c r="B370" s="199"/>
      <c r="N370" s="152"/>
      <c r="Q370" s="195"/>
      <c r="S370" s="200"/>
      <c r="T370" s="200"/>
      <c r="U370" s="152"/>
      <c r="V370" s="152"/>
      <c r="W370" s="157"/>
      <c r="AA370" s="156"/>
    </row>
    <row r="371" ht="15.75" customHeight="1">
      <c r="B371" s="199"/>
      <c r="N371" s="152"/>
      <c r="Q371" s="195"/>
      <c r="S371" s="200"/>
      <c r="T371" s="200"/>
      <c r="U371" s="152"/>
      <c r="V371" s="152"/>
      <c r="W371" s="157"/>
      <c r="AA371" s="156"/>
    </row>
    <row r="372" ht="15.75" customHeight="1">
      <c r="B372" s="199"/>
      <c r="N372" s="152"/>
      <c r="Q372" s="195"/>
      <c r="S372" s="200"/>
      <c r="T372" s="200"/>
      <c r="U372" s="152"/>
      <c r="V372" s="152"/>
      <c r="W372" s="157"/>
      <c r="AA372" s="156"/>
    </row>
    <row r="373" ht="15.75" customHeight="1">
      <c r="B373" s="199"/>
      <c r="N373" s="152"/>
      <c r="Q373" s="195"/>
      <c r="S373" s="200"/>
      <c r="T373" s="200"/>
      <c r="U373" s="152"/>
      <c r="V373" s="152"/>
      <c r="W373" s="157"/>
      <c r="AA373" s="156"/>
    </row>
    <row r="374" ht="15.75" customHeight="1">
      <c r="B374" s="199"/>
      <c r="N374" s="152"/>
      <c r="Q374" s="195"/>
      <c r="S374" s="200"/>
      <c r="T374" s="200"/>
      <c r="U374" s="152"/>
      <c r="V374" s="152"/>
      <c r="W374" s="157"/>
      <c r="AA374" s="156"/>
    </row>
    <row r="375" ht="15.75" customHeight="1">
      <c r="B375" s="199"/>
      <c r="N375" s="152"/>
      <c r="Q375" s="195"/>
      <c r="S375" s="200"/>
      <c r="T375" s="200"/>
      <c r="U375" s="152"/>
      <c r="V375" s="152"/>
      <c r="W375" s="157"/>
      <c r="AA375" s="156"/>
    </row>
    <row r="376" ht="15.75" customHeight="1">
      <c r="B376" s="199"/>
      <c r="N376" s="152"/>
      <c r="Q376" s="195"/>
      <c r="S376" s="200"/>
      <c r="T376" s="200"/>
      <c r="U376" s="152"/>
      <c r="V376" s="152"/>
      <c r="W376" s="157"/>
      <c r="AA376" s="156"/>
    </row>
    <row r="377" ht="15.75" customHeight="1">
      <c r="B377" s="199"/>
      <c r="N377" s="152"/>
      <c r="Q377" s="195"/>
      <c r="S377" s="200"/>
      <c r="T377" s="200"/>
      <c r="U377" s="152"/>
      <c r="V377" s="152"/>
      <c r="W377" s="157"/>
      <c r="AA377" s="156"/>
    </row>
    <row r="378" ht="15.75" customHeight="1">
      <c r="B378" s="199"/>
      <c r="N378" s="152"/>
      <c r="Q378" s="195"/>
      <c r="S378" s="200"/>
      <c r="T378" s="200"/>
      <c r="U378" s="152"/>
      <c r="V378" s="152"/>
      <c r="W378" s="157"/>
      <c r="AA378" s="156"/>
    </row>
    <row r="379" ht="15.75" customHeight="1">
      <c r="B379" s="199"/>
      <c r="N379" s="152"/>
      <c r="Q379" s="195"/>
      <c r="S379" s="200"/>
      <c r="T379" s="200"/>
      <c r="U379" s="152"/>
      <c r="V379" s="152"/>
      <c r="W379" s="157"/>
      <c r="AA379" s="156"/>
    </row>
    <row r="380" ht="15.75" customHeight="1">
      <c r="B380" s="199"/>
      <c r="N380" s="152"/>
      <c r="Q380" s="195"/>
      <c r="S380" s="200"/>
      <c r="T380" s="200"/>
      <c r="U380" s="152"/>
      <c r="V380" s="152"/>
      <c r="W380" s="157"/>
      <c r="AA380" s="156"/>
    </row>
    <row r="381" ht="15.75" customHeight="1">
      <c r="B381" s="199"/>
      <c r="N381" s="152"/>
      <c r="Q381" s="195"/>
      <c r="S381" s="200"/>
      <c r="T381" s="200"/>
      <c r="U381" s="152"/>
      <c r="V381" s="152"/>
      <c r="W381" s="157"/>
      <c r="AA381" s="156"/>
    </row>
    <row r="382" ht="15.75" customHeight="1">
      <c r="B382" s="199"/>
      <c r="N382" s="152"/>
      <c r="Q382" s="195"/>
      <c r="S382" s="200"/>
      <c r="T382" s="200"/>
      <c r="U382" s="152"/>
      <c r="V382" s="152"/>
      <c r="W382" s="157"/>
      <c r="AA382" s="156"/>
    </row>
    <row r="383" ht="15.75" customHeight="1">
      <c r="B383" s="199"/>
      <c r="N383" s="152"/>
      <c r="Q383" s="195"/>
      <c r="S383" s="200"/>
      <c r="T383" s="200"/>
      <c r="U383" s="152"/>
      <c r="V383" s="152"/>
      <c r="W383" s="157"/>
      <c r="AA383" s="156"/>
    </row>
    <row r="384" ht="15.75" customHeight="1">
      <c r="B384" s="199"/>
      <c r="N384" s="152"/>
      <c r="Q384" s="195"/>
      <c r="S384" s="200"/>
      <c r="T384" s="200"/>
      <c r="U384" s="152"/>
      <c r="V384" s="152"/>
      <c r="W384" s="157"/>
      <c r="AA384" s="156"/>
    </row>
    <row r="385" ht="15.75" customHeight="1">
      <c r="B385" s="199"/>
      <c r="N385" s="152"/>
      <c r="Q385" s="195"/>
      <c r="S385" s="200"/>
      <c r="T385" s="200"/>
      <c r="U385" s="152"/>
      <c r="V385" s="152"/>
      <c r="W385" s="157"/>
      <c r="AA385" s="156"/>
    </row>
    <row r="386" ht="15.75" customHeight="1">
      <c r="B386" s="199"/>
      <c r="N386" s="152"/>
      <c r="Q386" s="195"/>
      <c r="S386" s="200"/>
      <c r="T386" s="200"/>
      <c r="U386" s="152"/>
      <c r="V386" s="152"/>
      <c r="W386" s="157"/>
      <c r="AA386" s="156"/>
    </row>
    <row r="387" ht="15.75" customHeight="1">
      <c r="B387" s="199"/>
      <c r="N387" s="152"/>
      <c r="Q387" s="195"/>
      <c r="S387" s="200"/>
      <c r="T387" s="200"/>
      <c r="U387" s="152"/>
      <c r="V387" s="152"/>
      <c r="W387" s="157"/>
      <c r="AA387" s="156"/>
    </row>
    <row r="388" ht="15.75" customHeight="1">
      <c r="B388" s="199"/>
      <c r="N388" s="152"/>
      <c r="Q388" s="195"/>
      <c r="S388" s="200"/>
      <c r="T388" s="200"/>
      <c r="U388" s="152"/>
      <c r="V388" s="152"/>
      <c r="W388" s="157"/>
      <c r="AA388" s="156"/>
    </row>
    <row r="389" ht="15.75" customHeight="1">
      <c r="B389" s="199"/>
      <c r="N389" s="152"/>
      <c r="Q389" s="195"/>
      <c r="S389" s="200"/>
      <c r="T389" s="200"/>
      <c r="U389" s="152"/>
      <c r="V389" s="152"/>
      <c r="W389" s="157"/>
      <c r="AA389" s="156"/>
    </row>
    <row r="390" ht="15.75" customHeight="1">
      <c r="B390" s="199"/>
      <c r="N390" s="152"/>
      <c r="Q390" s="195"/>
      <c r="S390" s="200"/>
      <c r="T390" s="200"/>
      <c r="U390" s="152"/>
      <c r="V390" s="152"/>
      <c r="W390" s="157"/>
      <c r="AA390" s="156"/>
    </row>
    <row r="391" ht="15.75" customHeight="1">
      <c r="B391" s="199"/>
      <c r="N391" s="152"/>
      <c r="Q391" s="195"/>
      <c r="S391" s="200"/>
      <c r="T391" s="200"/>
      <c r="U391" s="152"/>
      <c r="V391" s="152"/>
      <c r="W391" s="157"/>
      <c r="AA391" s="156"/>
    </row>
    <row r="392" ht="15.75" customHeight="1">
      <c r="B392" s="199"/>
      <c r="N392" s="152"/>
      <c r="Q392" s="195"/>
      <c r="S392" s="200"/>
      <c r="T392" s="200"/>
      <c r="U392" s="152"/>
      <c r="V392" s="152"/>
      <c r="W392" s="157"/>
      <c r="AA392" s="156"/>
    </row>
    <row r="393" ht="15.75" customHeight="1">
      <c r="B393" s="199"/>
      <c r="N393" s="152"/>
      <c r="Q393" s="195"/>
      <c r="S393" s="200"/>
      <c r="T393" s="200"/>
      <c r="U393" s="152"/>
      <c r="V393" s="152"/>
      <c r="W393" s="157"/>
      <c r="AA393" s="156"/>
    </row>
    <row r="394" ht="15.75" customHeight="1">
      <c r="B394" s="199"/>
      <c r="N394" s="152"/>
      <c r="Q394" s="195"/>
      <c r="S394" s="200"/>
      <c r="T394" s="200"/>
      <c r="U394" s="152"/>
      <c r="V394" s="152"/>
      <c r="W394" s="157"/>
      <c r="AA394" s="156"/>
    </row>
    <row r="395" ht="15.75" customHeight="1">
      <c r="B395" s="199"/>
      <c r="N395" s="152"/>
      <c r="Q395" s="195"/>
      <c r="S395" s="200"/>
      <c r="T395" s="200"/>
      <c r="U395" s="152"/>
      <c r="V395" s="152"/>
      <c r="W395" s="157"/>
      <c r="AA395" s="156"/>
    </row>
    <row r="396" ht="15.75" customHeight="1">
      <c r="B396" s="199"/>
      <c r="N396" s="152"/>
      <c r="Q396" s="195"/>
      <c r="S396" s="200"/>
      <c r="T396" s="200"/>
      <c r="U396" s="152"/>
      <c r="V396" s="152"/>
      <c r="W396" s="157"/>
      <c r="AA396" s="156"/>
    </row>
    <row r="397" ht="15.75" customHeight="1">
      <c r="B397" s="199"/>
      <c r="N397" s="152"/>
      <c r="Q397" s="195"/>
      <c r="S397" s="200"/>
      <c r="T397" s="200"/>
      <c r="U397" s="152"/>
      <c r="V397" s="152"/>
      <c r="W397" s="157"/>
      <c r="AA397" s="156"/>
    </row>
    <row r="398" ht="15.75" customHeight="1">
      <c r="B398" s="199"/>
      <c r="N398" s="152"/>
      <c r="Q398" s="195"/>
      <c r="S398" s="200"/>
      <c r="T398" s="200"/>
      <c r="U398" s="152"/>
      <c r="V398" s="152"/>
      <c r="W398" s="157"/>
      <c r="AA398" s="156"/>
    </row>
    <row r="399" ht="15.75" customHeight="1">
      <c r="B399" s="199"/>
      <c r="N399" s="152"/>
      <c r="Q399" s="195"/>
      <c r="S399" s="200"/>
      <c r="T399" s="200"/>
      <c r="U399" s="152"/>
      <c r="V399" s="152"/>
      <c r="W399" s="157"/>
      <c r="AA399" s="156"/>
    </row>
    <row r="400" ht="15.75" customHeight="1">
      <c r="B400" s="199"/>
      <c r="N400" s="152"/>
      <c r="Q400" s="195"/>
      <c r="S400" s="200"/>
      <c r="T400" s="200"/>
      <c r="U400" s="152"/>
      <c r="V400" s="152"/>
      <c r="W400" s="157"/>
      <c r="AA400" s="156"/>
    </row>
    <row r="401" ht="15.75" customHeight="1">
      <c r="B401" s="199"/>
      <c r="N401" s="152"/>
      <c r="Q401" s="195"/>
      <c r="S401" s="200"/>
      <c r="T401" s="200"/>
      <c r="U401" s="152"/>
      <c r="V401" s="152"/>
      <c r="W401" s="157"/>
      <c r="AA401" s="156"/>
    </row>
    <row r="402" ht="15.75" customHeight="1">
      <c r="B402" s="199"/>
      <c r="N402" s="152"/>
      <c r="Q402" s="195"/>
      <c r="S402" s="200"/>
      <c r="T402" s="200"/>
      <c r="U402" s="152"/>
      <c r="V402" s="152"/>
      <c r="W402" s="157"/>
      <c r="AA402" s="156"/>
    </row>
    <row r="403" ht="15.75" customHeight="1">
      <c r="B403" s="199"/>
      <c r="N403" s="152"/>
      <c r="Q403" s="195"/>
      <c r="S403" s="200"/>
      <c r="T403" s="200"/>
      <c r="U403" s="152"/>
      <c r="V403" s="152"/>
      <c r="W403" s="157"/>
      <c r="AA403" s="156"/>
    </row>
    <row r="404" ht="15.75" customHeight="1">
      <c r="B404" s="199"/>
      <c r="N404" s="152"/>
      <c r="Q404" s="195"/>
      <c r="S404" s="200"/>
      <c r="T404" s="200"/>
      <c r="U404" s="152"/>
      <c r="V404" s="152"/>
      <c r="W404" s="157"/>
      <c r="AA404" s="156"/>
    </row>
    <row r="405" ht="15.75" customHeight="1">
      <c r="B405" s="199"/>
      <c r="N405" s="152"/>
      <c r="Q405" s="195"/>
      <c r="S405" s="200"/>
      <c r="T405" s="200"/>
      <c r="U405" s="152"/>
      <c r="V405" s="152"/>
      <c r="W405" s="157"/>
      <c r="AA405" s="156"/>
    </row>
    <row r="406" ht="15.75" customHeight="1">
      <c r="B406" s="199"/>
      <c r="N406" s="152"/>
      <c r="Q406" s="195"/>
      <c r="S406" s="200"/>
      <c r="T406" s="200"/>
      <c r="U406" s="152"/>
      <c r="V406" s="152"/>
      <c r="W406" s="157"/>
      <c r="AA406" s="156"/>
    </row>
    <row r="407" ht="15.75" customHeight="1">
      <c r="B407" s="199"/>
      <c r="N407" s="152"/>
      <c r="Q407" s="195"/>
      <c r="S407" s="200"/>
      <c r="T407" s="200"/>
      <c r="U407" s="152"/>
      <c r="V407" s="152"/>
      <c r="W407" s="157"/>
      <c r="AA407" s="156"/>
    </row>
    <row r="408" ht="15.75" customHeight="1">
      <c r="B408" s="199"/>
      <c r="N408" s="152"/>
      <c r="Q408" s="195"/>
      <c r="S408" s="200"/>
      <c r="T408" s="200"/>
      <c r="U408" s="152"/>
      <c r="V408" s="152"/>
      <c r="W408" s="157"/>
      <c r="AA408" s="156"/>
    </row>
    <row r="409" ht="15.75" customHeight="1">
      <c r="B409" s="199"/>
      <c r="N409" s="152"/>
      <c r="Q409" s="195"/>
      <c r="S409" s="200"/>
      <c r="T409" s="200"/>
      <c r="U409" s="152"/>
      <c r="V409" s="152"/>
      <c r="W409" s="157"/>
      <c r="AA409" s="156"/>
    </row>
    <row r="410" ht="15.75" customHeight="1">
      <c r="B410" s="199"/>
      <c r="N410" s="152"/>
      <c r="Q410" s="195"/>
      <c r="S410" s="200"/>
      <c r="T410" s="200"/>
      <c r="U410" s="152"/>
      <c r="V410" s="152"/>
      <c r="W410" s="157"/>
      <c r="AA410" s="156"/>
    </row>
    <row r="411" ht="15.75" customHeight="1">
      <c r="B411" s="199"/>
      <c r="N411" s="152"/>
      <c r="Q411" s="195"/>
      <c r="S411" s="200"/>
      <c r="T411" s="200"/>
      <c r="U411" s="152"/>
      <c r="V411" s="152"/>
      <c r="W411" s="157"/>
      <c r="AA411" s="156"/>
    </row>
    <row r="412" ht="15.75" customHeight="1">
      <c r="B412" s="199"/>
      <c r="N412" s="152"/>
      <c r="Q412" s="195"/>
      <c r="S412" s="200"/>
      <c r="T412" s="200"/>
      <c r="U412" s="152"/>
      <c r="V412" s="152"/>
      <c r="W412" s="157"/>
      <c r="AA412" s="156"/>
    </row>
    <row r="413" ht="15.75" customHeight="1">
      <c r="B413" s="199"/>
      <c r="N413" s="152"/>
      <c r="Q413" s="195"/>
      <c r="S413" s="200"/>
      <c r="T413" s="200"/>
      <c r="U413" s="152"/>
      <c r="V413" s="152"/>
      <c r="W413" s="157"/>
      <c r="AA413" s="156"/>
    </row>
    <row r="414" ht="15.75" customHeight="1">
      <c r="B414" s="199"/>
      <c r="N414" s="152"/>
      <c r="Q414" s="195"/>
      <c r="S414" s="200"/>
      <c r="T414" s="200"/>
      <c r="U414" s="152"/>
      <c r="V414" s="152"/>
      <c r="W414" s="157"/>
      <c r="AA414" s="156"/>
    </row>
    <row r="415" ht="15.75" customHeight="1">
      <c r="B415" s="199"/>
      <c r="N415" s="152"/>
      <c r="Q415" s="195"/>
      <c r="S415" s="200"/>
      <c r="T415" s="200"/>
      <c r="U415" s="152"/>
      <c r="V415" s="152"/>
      <c r="W415" s="157"/>
      <c r="AA415" s="156"/>
    </row>
    <row r="416" ht="15.75" customHeight="1">
      <c r="B416" s="199"/>
      <c r="N416" s="152"/>
      <c r="Q416" s="195"/>
      <c r="S416" s="200"/>
      <c r="T416" s="200"/>
      <c r="U416" s="152"/>
      <c r="V416" s="152"/>
      <c r="W416" s="157"/>
      <c r="AA416" s="156"/>
    </row>
    <row r="417" ht="15.75" customHeight="1">
      <c r="B417" s="199"/>
      <c r="N417" s="152"/>
      <c r="Q417" s="195"/>
      <c r="S417" s="200"/>
      <c r="T417" s="200"/>
      <c r="U417" s="152"/>
      <c r="V417" s="152"/>
      <c r="W417" s="157"/>
      <c r="AA417" s="156"/>
    </row>
    <row r="418" ht="15.75" customHeight="1">
      <c r="B418" s="199"/>
      <c r="N418" s="152"/>
      <c r="Q418" s="195"/>
      <c r="S418" s="200"/>
      <c r="T418" s="200"/>
      <c r="U418" s="152"/>
      <c r="V418" s="152"/>
      <c r="W418" s="157"/>
      <c r="AA418" s="156"/>
    </row>
    <row r="419" ht="15.75" customHeight="1">
      <c r="B419" s="199"/>
      <c r="N419" s="152"/>
      <c r="Q419" s="195"/>
      <c r="S419" s="200"/>
      <c r="T419" s="200"/>
      <c r="U419" s="152"/>
      <c r="V419" s="152"/>
      <c r="W419" s="157"/>
      <c r="AA419" s="156"/>
    </row>
    <row r="420" ht="15.75" customHeight="1">
      <c r="B420" s="199"/>
      <c r="N420" s="152"/>
      <c r="Q420" s="195"/>
      <c r="S420" s="200"/>
      <c r="T420" s="200"/>
      <c r="U420" s="152"/>
      <c r="V420" s="152"/>
      <c r="W420" s="157"/>
      <c r="AA420" s="156"/>
    </row>
    <row r="421" ht="15.75" customHeight="1">
      <c r="B421" s="199"/>
      <c r="N421" s="152"/>
      <c r="Q421" s="195"/>
      <c r="S421" s="200"/>
      <c r="T421" s="200"/>
      <c r="U421" s="152"/>
      <c r="V421" s="152"/>
      <c r="W421" s="157"/>
      <c r="AA421" s="156"/>
    </row>
    <row r="422" ht="15.75" customHeight="1">
      <c r="B422" s="199"/>
      <c r="N422" s="152"/>
      <c r="Q422" s="195"/>
      <c r="S422" s="200"/>
      <c r="T422" s="200"/>
      <c r="U422" s="152"/>
      <c r="V422" s="152"/>
      <c r="W422" s="157"/>
      <c r="AA422" s="156"/>
    </row>
    <row r="423" ht="15.75" customHeight="1">
      <c r="B423" s="199"/>
      <c r="N423" s="152"/>
      <c r="Q423" s="195"/>
      <c r="S423" s="200"/>
      <c r="T423" s="200"/>
      <c r="U423" s="152"/>
      <c r="V423" s="152"/>
      <c r="W423" s="157"/>
      <c r="AA423" s="156"/>
    </row>
    <row r="424" ht="15.75" customHeight="1">
      <c r="B424" s="199"/>
      <c r="N424" s="152"/>
      <c r="Q424" s="195"/>
      <c r="S424" s="200"/>
      <c r="T424" s="200"/>
      <c r="U424" s="152"/>
      <c r="V424" s="152"/>
      <c r="W424" s="157"/>
      <c r="AA424" s="156"/>
    </row>
    <row r="425" ht="15.75" customHeight="1">
      <c r="B425" s="199"/>
      <c r="N425" s="152"/>
      <c r="Q425" s="195"/>
      <c r="S425" s="200"/>
      <c r="T425" s="200"/>
      <c r="U425" s="152"/>
      <c r="V425" s="152"/>
      <c r="W425" s="157"/>
      <c r="AA425" s="156"/>
    </row>
    <row r="426" ht="15.75" customHeight="1">
      <c r="B426" s="199"/>
      <c r="N426" s="152"/>
      <c r="Q426" s="195"/>
      <c r="S426" s="200"/>
      <c r="T426" s="200"/>
      <c r="U426" s="152"/>
      <c r="V426" s="152"/>
      <c r="W426" s="157"/>
      <c r="AA426" s="156"/>
    </row>
    <row r="427" ht="15.75" customHeight="1">
      <c r="B427" s="199"/>
      <c r="N427" s="152"/>
      <c r="Q427" s="195"/>
      <c r="S427" s="200"/>
      <c r="T427" s="200"/>
      <c r="U427" s="152"/>
      <c r="V427" s="152"/>
      <c r="W427" s="157"/>
      <c r="AA427" s="156"/>
    </row>
    <row r="428" ht="15.75" customHeight="1">
      <c r="B428" s="199"/>
      <c r="N428" s="152"/>
      <c r="Q428" s="195"/>
      <c r="S428" s="200"/>
      <c r="T428" s="200"/>
      <c r="U428" s="152"/>
      <c r="V428" s="152"/>
      <c r="W428" s="157"/>
      <c r="AA428" s="156"/>
    </row>
    <row r="429" ht="15.75" customHeight="1">
      <c r="B429" s="199"/>
      <c r="N429" s="152"/>
      <c r="Q429" s="195"/>
      <c r="S429" s="200"/>
      <c r="T429" s="200"/>
      <c r="U429" s="152"/>
      <c r="V429" s="152"/>
      <c r="W429" s="157"/>
      <c r="AA429" s="156"/>
    </row>
    <row r="430" ht="15.75" customHeight="1">
      <c r="B430" s="199"/>
      <c r="N430" s="152"/>
      <c r="Q430" s="195"/>
      <c r="S430" s="200"/>
      <c r="T430" s="200"/>
      <c r="U430" s="152"/>
      <c r="V430" s="152"/>
      <c r="W430" s="157"/>
      <c r="AA430" s="156"/>
    </row>
    <row r="431" ht="15.75" customHeight="1">
      <c r="B431" s="199"/>
      <c r="N431" s="152"/>
      <c r="Q431" s="195"/>
      <c r="S431" s="200"/>
      <c r="T431" s="200"/>
      <c r="U431" s="152"/>
      <c r="V431" s="152"/>
      <c r="W431" s="157"/>
      <c r="AA431" s="156"/>
    </row>
    <row r="432" ht="15.75" customHeight="1">
      <c r="B432" s="199"/>
      <c r="N432" s="152"/>
      <c r="Q432" s="195"/>
      <c r="S432" s="200"/>
      <c r="T432" s="200"/>
      <c r="U432" s="152"/>
      <c r="V432" s="152"/>
      <c r="W432" s="157"/>
      <c r="AA432" s="156"/>
    </row>
    <row r="433" ht="15.75" customHeight="1">
      <c r="B433" s="199"/>
      <c r="N433" s="152"/>
      <c r="Q433" s="195"/>
      <c r="S433" s="200"/>
      <c r="T433" s="200"/>
      <c r="U433" s="152"/>
      <c r="V433" s="152"/>
      <c r="W433" s="157"/>
      <c r="AA433" s="156"/>
    </row>
    <row r="434" ht="15.75" customHeight="1">
      <c r="B434" s="199"/>
      <c r="N434" s="152"/>
      <c r="Q434" s="195"/>
      <c r="S434" s="200"/>
      <c r="T434" s="200"/>
      <c r="U434" s="152"/>
      <c r="V434" s="152"/>
      <c r="W434" s="157"/>
      <c r="AA434" s="156"/>
    </row>
    <row r="435" ht="15.75" customHeight="1">
      <c r="B435" s="199"/>
      <c r="N435" s="152"/>
      <c r="Q435" s="195"/>
      <c r="S435" s="200"/>
      <c r="T435" s="200"/>
      <c r="U435" s="152"/>
      <c r="V435" s="152"/>
      <c r="W435" s="157"/>
      <c r="AA435" s="156"/>
    </row>
    <row r="436" ht="15.75" customHeight="1">
      <c r="B436" s="199"/>
      <c r="N436" s="152"/>
      <c r="Q436" s="195"/>
      <c r="S436" s="200"/>
      <c r="T436" s="200"/>
      <c r="U436" s="152"/>
      <c r="V436" s="152"/>
      <c r="W436" s="157"/>
      <c r="AA436" s="156"/>
    </row>
    <row r="437" ht="15.75" customHeight="1">
      <c r="B437" s="199"/>
      <c r="N437" s="152"/>
      <c r="Q437" s="195"/>
      <c r="S437" s="200"/>
      <c r="T437" s="200"/>
      <c r="U437" s="152"/>
      <c r="V437" s="152"/>
      <c r="W437" s="157"/>
      <c r="AA437" s="156"/>
    </row>
    <row r="438" ht="15.75" customHeight="1">
      <c r="B438" s="199"/>
      <c r="N438" s="152"/>
      <c r="Q438" s="195"/>
      <c r="S438" s="200"/>
      <c r="T438" s="200"/>
      <c r="U438" s="152"/>
      <c r="V438" s="152"/>
      <c r="W438" s="157"/>
      <c r="AA438" s="156"/>
    </row>
    <row r="439" ht="15.75" customHeight="1">
      <c r="B439" s="199"/>
      <c r="N439" s="152"/>
      <c r="Q439" s="195"/>
      <c r="S439" s="200"/>
      <c r="T439" s="200"/>
      <c r="U439" s="152"/>
      <c r="V439" s="152"/>
      <c r="W439" s="157"/>
      <c r="AA439" s="156"/>
    </row>
    <row r="440" ht="15.75" customHeight="1">
      <c r="B440" s="199"/>
      <c r="N440" s="152"/>
      <c r="Q440" s="195"/>
      <c r="S440" s="200"/>
      <c r="T440" s="200"/>
      <c r="U440" s="152"/>
      <c r="V440" s="152"/>
      <c r="W440" s="157"/>
      <c r="AA440" s="156"/>
    </row>
    <row r="441" ht="15.75" customHeight="1">
      <c r="B441" s="199"/>
      <c r="N441" s="152"/>
      <c r="Q441" s="195"/>
      <c r="S441" s="200"/>
      <c r="T441" s="200"/>
      <c r="U441" s="152"/>
      <c r="V441" s="152"/>
      <c r="W441" s="157"/>
      <c r="AA441" s="156"/>
    </row>
    <row r="442" ht="15.75" customHeight="1">
      <c r="B442" s="199"/>
      <c r="N442" s="152"/>
      <c r="Q442" s="195"/>
      <c r="S442" s="200"/>
      <c r="T442" s="200"/>
      <c r="U442" s="152"/>
      <c r="V442" s="152"/>
      <c r="W442" s="157"/>
      <c r="AA442" s="156"/>
    </row>
    <row r="443" ht="15.75" customHeight="1">
      <c r="B443" s="199"/>
      <c r="N443" s="152"/>
      <c r="Q443" s="195"/>
      <c r="S443" s="200"/>
      <c r="T443" s="200"/>
      <c r="U443" s="152"/>
      <c r="V443" s="152"/>
      <c r="W443" s="157"/>
      <c r="AA443" s="156"/>
    </row>
    <row r="444" ht="15.75" customHeight="1">
      <c r="B444" s="199"/>
      <c r="N444" s="152"/>
      <c r="Q444" s="195"/>
      <c r="S444" s="200"/>
      <c r="T444" s="200"/>
      <c r="U444" s="152"/>
      <c r="V444" s="152"/>
      <c r="W444" s="157"/>
      <c r="AA444" s="156"/>
    </row>
    <row r="445" ht="15.75" customHeight="1">
      <c r="B445" s="199"/>
      <c r="N445" s="152"/>
      <c r="Q445" s="195"/>
      <c r="S445" s="200"/>
      <c r="T445" s="200"/>
      <c r="U445" s="152"/>
      <c r="V445" s="152"/>
      <c r="W445" s="157"/>
      <c r="AA445" s="156"/>
    </row>
    <row r="446" ht="15.75" customHeight="1">
      <c r="B446" s="199"/>
      <c r="N446" s="152"/>
      <c r="Q446" s="195"/>
      <c r="S446" s="200"/>
      <c r="T446" s="200"/>
      <c r="U446" s="152"/>
      <c r="V446" s="152"/>
      <c r="W446" s="157"/>
      <c r="AA446" s="156"/>
    </row>
    <row r="447" ht="15.75" customHeight="1">
      <c r="B447" s="199"/>
      <c r="N447" s="152"/>
      <c r="Q447" s="195"/>
      <c r="S447" s="200"/>
      <c r="T447" s="200"/>
      <c r="U447" s="152"/>
      <c r="V447" s="152"/>
      <c r="W447" s="157"/>
      <c r="AA447" s="156"/>
    </row>
    <row r="448" ht="15.75" customHeight="1">
      <c r="B448" s="199"/>
      <c r="N448" s="152"/>
      <c r="Q448" s="195"/>
      <c r="S448" s="200"/>
      <c r="T448" s="200"/>
      <c r="U448" s="152"/>
      <c r="V448" s="152"/>
      <c r="W448" s="157"/>
      <c r="AA448" s="156"/>
    </row>
    <row r="449" ht="15.75" customHeight="1">
      <c r="B449" s="199"/>
      <c r="N449" s="152"/>
      <c r="Q449" s="195"/>
      <c r="S449" s="200"/>
      <c r="T449" s="200"/>
      <c r="U449" s="152"/>
      <c r="V449" s="152"/>
      <c r="W449" s="157"/>
      <c r="AA449" s="156"/>
    </row>
    <row r="450" ht="15.75" customHeight="1">
      <c r="B450" s="199"/>
      <c r="N450" s="152"/>
      <c r="Q450" s="195"/>
      <c r="S450" s="200"/>
      <c r="T450" s="200"/>
      <c r="U450" s="152"/>
      <c r="V450" s="152"/>
      <c r="W450" s="157"/>
      <c r="AA450" s="156"/>
    </row>
    <row r="451" ht="15.75" customHeight="1">
      <c r="B451" s="199"/>
      <c r="N451" s="152"/>
      <c r="Q451" s="195"/>
      <c r="S451" s="200"/>
      <c r="T451" s="200"/>
      <c r="U451" s="152"/>
      <c r="V451" s="152"/>
      <c r="W451" s="157"/>
      <c r="AA451" s="156"/>
    </row>
    <row r="452" ht="15.75" customHeight="1">
      <c r="B452" s="199"/>
      <c r="N452" s="152"/>
      <c r="Q452" s="195"/>
      <c r="S452" s="200"/>
      <c r="T452" s="200"/>
      <c r="U452" s="152"/>
      <c r="V452" s="152"/>
      <c r="W452" s="157"/>
      <c r="AA452" s="156"/>
    </row>
    <row r="453" ht="15.75" customHeight="1">
      <c r="B453" s="199"/>
      <c r="N453" s="152"/>
      <c r="Q453" s="195"/>
      <c r="S453" s="200"/>
      <c r="T453" s="200"/>
      <c r="U453" s="152"/>
      <c r="V453" s="152"/>
      <c r="W453" s="157"/>
      <c r="AA453" s="156"/>
    </row>
    <row r="454" ht="15.75" customHeight="1">
      <c r="B454" s="199"/>
      <c r="N454" s="152"/>
      <c r="Q454" s="195"/>
      <c r="S454" s="200"/>
      <c r="T454" s="200"/>
      <c r="U454" s="152"/>
      <c r="V454" s="152"/>
      <c r="W454" s="157"/>
      <c r="AA454" s="156"/>
    </row>
    <row r="455" ht="15.75" customHeight="1">
      <c r="B455" s="199"/>
      <c r="N455" s="152"/>
      <c r="Q455" s="195"/>
      <c r="S455" s="200"/>
      <c r="T455" s="200"/>
      <c r="U455" s="152"/>
      <c r="V455" s="152"/>
      <c r="W455" s="157"/>
      <c r="AA455" s="156"/>
    </row>
    <row r="456" ht="15.75" customHeight="1">
      <c r="B456" s="199"/>
      <c r="N456" s="152"/>
      <c r="Q456" s="195"/>
      <c r="S456" s="200"/>
      <c r="T456" s="200"/>
      <c r="U456" s="152"/>
      <c r="V456" s="152"/>
      <c r="W456" s="157"/>
      <c r="AA456" s="156"/>
    </row>
    <row r="457" ht="15.75" customHeight="1">
      <c r="B457" s="199"/>
      <c r="N457" s="152"/>
      <c r="Q457" s="195"/>
      <c r="S457" s="200"/>
      <c r="T457" s="200"/>
      <c r="U457" s="152"/>
      <c r="V457" s="152"/>
      <c r="W457" s="157"/>
      <c r="AA457" s="156"/>
    </row>
    <row r="458" ht="15.75" customHeight="1">
      <c r="B458" s="199"/>
      <c r="N458" s="152"/>
      <c r="Q458" s="195"/>
      <c r="S458" s="200"/>
      <c r="T458" s="200"/>
      <c r="U458" s="152"/>
      <c r="V458" s="152"/>
      <c r="W458" s="157"/>
      <c r="AA458" s="156"/>
    </row>
    <row r="459" ht="15.75" customHeight="1">
      <c r="B459" s="199"/>
      <c r="N459" s="152"/>
      <c r="Q459" s="195"/>
      <c r="S459" s="200"/>
      <c r="T459" s="200"/>
      <c r="U459" s="152"/>
      <c r="V459" s="152"/>
      <c r="W459" s="157"/>
      <c r="AA459" s="156"/>
    </row>
    <row r="460" ht="15.75" customHeight="1">
      <c r="B460" s="199"/>
      <c r="N460" s="152"/>
      <c r="Q460" s="195"/>
      <c r="S460" s="200"/>
      <c r="T460" s="200"/>
      <c r="U460" s="152"/>
      <c r="V460" s="152"/>
      <c r="W460" s="157"/>
      <c r="AA460" s="156"/>
    </row>
    <row r="461" ht="15.75" customHeight="1">
      <c r="B461" s="199"/>
      <c r="N461" s="152"/>
      <c r="Q461" s="195"/>
      <c r="S461" s="200"/>
      <c r="T461" s="200"/>
      <c r="U461" s="152"/>
      <c r="V461" s="152"/>
      <c r="W461" s="157"/>
      <c r="AA461" s="156"/>
    </row>
    <row r="462" ht="15.75" customHeight="1">
      <c r="B462" s="199"/>
      <c r="N462" s="152"/>
      <c r="Q462" s="195"/>
      <c r="S462" s="200"/>
      <c r="T462" s="200"/>
      <c r="U462" s="152"/>
      <c r="V462" s="152"/>
      <c r="W462" s="157"/>
      <c r="AA462" s="156"/>
    </row>
    <row r="463" ht="15.75" customHeight="1">
      <c r="B463" s="199"/>
      <c r="N463" s="152"/>
      <c r="Q463" s="195"/>
      <c r="S463" s="200"/>
      <c r="T463" s="200"/>
      <c r="U463" s="152"/>
      <c r="V463" s="152"/>
      <c r="W463" s="157"/>
      <c r="AA463" s="156"/>
    </row>
    <row r="464" ht="15.75" customHeight="1">
      <c r="B464" s="199"/>
      <c r="N464" s="152"/>
      <c r="Q464" s="195"/>
      <c r="S464" s="200"/>
      <c r="T464" s="200"/>
      <c r="U464" s="152"/>
      <c r="V464" s="152"/>
      <c r="W464" s="157"/>
      <c r="AA464" s="156"/>
    </row>
    <row r="465" ht="15.75" customHeight="1">
      <c r="B465" s="199"/>
      <c r="N465" s="152"/>
      <c r="Q465" s="195"/>
      <c r="S465" s="200"/>
      <c r="T465" s="200"/>
      <c r="U465" s="152"/>
      <c r="V465" s="152"/>
      <c r="W465" s="157"/>
      <c r="AA465" s="156"/>
    </row>
    <row r="466" ht="15.75" customHeight="1">
      <c r="B466" s="199"/>
      <c r="N466" s="152"/>
      <c r="Q466" s="195"/>
      <c r="S466" s="200"/>
      <c r="T466" s="200"/>
      <c r="U466" s="152"/>
      <c r="V466" s="152"/>
      <c r="W466" s="157"/>
      <c r="AA466" s="156"/>
    </row>
    <row r="467" ht="15.75" customHeight="1">
      <c r="B467" s="199"/>
      <c r="N467" s="152"/>
      <c r="Q467" s="195"/>
      <c r="S467" s="200"/>
      <c r="T467" s="200"/>
      <c r="U467" s="152"/>
      <c r="V467" s="152"/>
      <c r="W467" s="157"/>
      <c r="AA467" s="156"/>
    </row>
    <row r="468" ht="15.75" customHeight="1">
      <c r="B468" s="199"/>
      <c r="N468" s="152"/>
      <c r="Q468" s="195"/>
      <c r="S468" s="200"/>
      <c r="T468" s="200"/>
      <c r="U468" s="152"/>
      <c r="V468" s="152"/>
      <c r="W468" s="157"/>
      <c r="AA468" s="156"/>
    </row>
    <row r="469" ht="15.75" customHeight="1">
      <c r="B469" s="199"/>
      <c r="N469" s="152"/>
      <c r="Q469" s="195"/>
      <c r="S469" s="200"/>
      <c r="T469" s="200"/>
      <c r="U469" s="152"/>
      <c r="V469" s="152"/>
      <c r="W469" s="157"/>
      <c r="AA469" s="156"/>
    </row>
    <row r="470" ht="15.75" customHeight="1">
      <c r="B470" s="199"/>
      <c r="N470" s="152"/>
      <c r="Q470" s="195"/>
      <c r="S470" s="200"/>
      <c r="T470" s="200"/>
      <c r="U470" s="152"/>
      <c r="V470" s="152"/>
      <c r="W470" s="157"/>
      <c r="AA470" s="156"/>
    </row>
    <row r="471" ht="15.75" customHeight="1">
      <c r="B471" s="199"/>
      <c r="N471" s="152"/>
      <c r="Q471" s="195"/>
      <c r="S471" s="200"/>
      <c r="T471" s="200"/>
      <c r="U471" s="152"/>
      <c r="V471" s="152"/>
      <c r="W471" s="157"/>
      <c r="AA471" s="156"/>
    </row>
    <row r="472" ht="15.75" customHeight="1">
      <c r="B472" s="199"/>
      <c r="N472" s="152"/>
      <c r="Q472" s="195"/>
      <c r="S472" s="200"/>
      <c r="T472" s="200"/>
      <c r="U472" s="152"/>
      <c r="V472" s="152"/>
      <c r="W472" s="157"/>
      <c r="AA472" s="156"/>
    </row>
    <row r="473" ht="15.75" customHeight="1">
      <c r="B473" s="199"/>
      <c r="N473" s="152"/>
      <c r="Q473" s="195"/>
      <c r="S473" s="200"/>
      <c r="T473" s="200"/>
      <c r="U473" s="152"/>
      <c r="V473" s="152"/>
      <c r="W473" s="157"/>
      <c r="AA473" s="156"/>
    </row>
    <row r="474" ht="15.75" customHeight="1">
      <c r="B474" s="199"/>
      <c r="N474" s="152"/>
      <c r="Q474" s="195"/>
      <c r="S474" s="200"/>
      <c r="T474" s="200"/>
      <c r="U474" s="152"/>
      <c r="V474" s="152"/>
      <c r="W474" s="157"/>
      <c r="AA474" s="156"/>
    </row>
    <row r="475" ht="15.75" customHeight="1">
      <c r="B475" s="199"/>
      <c r="N475" s="152"/>
      <c r="Q475" s="195"/>
      <c r="S475" s="200"/>
      <c r="T475" s="200"/>
      <c r="U475" s="152"/>
      <c r="V475" s="152"/>
      <c r="W475" s="157"/>
      <c r="AA475" s="156"/>
    </row>
    <row r="476" ht="15.75" customHeight="1">
      <c r="B476" s="199"/>
      <c r="N476" s="152"/>
      <c r="Q476" s="195"/>
      <c r="S476" s="200"/>
      <c r="T476" s="200"/>
      <c r="U476" s="152"/>
      <c r="V476" s="152"/>
      <c r="W476" s="157"/>
      <c r="AA476" s="156"/>
    </row>
    <row r="477" ht="15.75" customHeight="1">
      <c r="B477" s="199"/>
      <c r="N477" s="152"/>
      <c r="Q477" s="195"/>
      <c r="S477" s="200"/>
      <c r="T477" s="200"/>
      <c r="U477" s="152"/>
      <c r="V477" s="152"/>
      <c r="W477" s="157"/>
      <c r="AA477" s="156"/>
    </row>
    <row r="478" ht="15.75" customHeight="1">
      <c r="B478" s="199"/>
      <c r="N478" s="152"/>
      <c r="Q478" s="195"/>
      <c r="S478" s="200"/>
      <c r="T478" s="200"/>
      <c r="U478" s="152"/>
      <c r="V478" s="152"/>
      <c r="W478" s="157"/>
      <c r="AA478" s="156"/>
    </row>
    <row r="479" ht="15.75" customHeight="1">
      <c r="B479" s="199"/>
      <c r="N479" s="152"/>
      <c r="Q479" s="195"/>
      <c r="S479" s="200"/>
      <c r="T479" s="200"/>
      <c r="U479" s="152"/>
      <c r="V479" s="152"/>
      <c r="W479" s="157"/>
      <c r="AA479" s="156"/>
    </row>
    <row r="480" ht="15.75" customHeight="1">
      <c r="B480" s="199"/>
      <c r="N480" s="152"/>
      <c r="Q480" s="195"/>
      <c r="S480" s="200"/>
      <c r="T480" s="200"/>
      <c r="U480" s="152"/>
      <c r="V480" s="152"/>
      <c r="W480" s="157"/>
      <c r="AA480" s="156"/>
    </row>
    <row r="481" ht="15.75" customHeight="1">
      <c r="B481" s="199"/>
      <c r="N481" s="152"/>
      <c r="Q481" s="195"/>
      <c r="S481" s="200"/>
      <c r="T481" s="200"/>
      <c r="U481" s="152"/>
      <c r="V481" s="152"/>
      <c r="W481" s="157"/>
      <c r="AA481" s="156"/>
    </row>
    <row r="482" ht="15.75" customHeight="1">
      <c r="B482" s="199"/>
      <c r="N482" s="152"/>
      <c r="Q482" s="195"/>
      <c r="S482" s="200"/>
      <c r="T482" s="200"/>
      <c r="U482" s="152"/>
      <c r="V482" s="152"/>
      <c r="W482" s="157"/>
      <c r="AA482" s="156"/>
    </row>
    <row r="483" ht="15.75" customHeight="1">
      <c r="B483" s="199"/>
      <c r="N483" s="152"/>
      <c r="Q483" s="195"/>
      <c r="S483" s="200"/>
      <c r="T483" s="200"/>
      <c r="U483" s="152"/>
      <c r="V483" s="152"/>
      <c r="W483" s="157"/>
      <c r="AA483" s="156"/>
    </row>
    <row r="484" ht="15.75" customHeight="1">
      <c r="B484" s="199"/>
      <c r="N484" s="152"/>
      <c r="Q484" s="195"/>
      <c r="S484" s="200"/>
      <c r="T484" s="200"/>
      <c r="U484" s="152"/>
      <c r="V484" s="152"/>
      <c r="W484" s="157"/>
      <c r="AA484" s="156"/>
    </row>
    <row r="485" ht="15.75" customHeight="1">
      <c r="B485" s="199"/>
      <c r="N485" s="152"/>
      <c r="Q485" s="195"/>
      <c r="S485" s="200"/>
      <c r="T485" s="200"/>
      <c r="U485" s="152"/>
      <c r="V485" s="152"/>
      <c r="W485" s="157"/>
      <c r="AA485" s="156"/>
    </row>
    <row r="486" ht="15.75" customHeight="1">
      <c r="B486" s="199"/>
      <c r="N486" s="152"/>
      <c r="Q486" s="195"/>
      <c r="S486" s="200"/>
      <c r="T486" s="200"/>
      <c r="U486" s="152"/>
      <c r="V486" s="152"/>
      <c r="W486" s="157"/>
      <c r="AA486" s="156"/>
    </row>
    <row r="487" ht="15.75" customHeight="1">
      <c r="B487" s="199"/>
      <c r="N487" s="152"/>
      <c r="Q487" s="195"/>
      <c r="S487" s="200"/>
      <c r="T487" s="200"/>
      <c r="U487" s="152"/>
      <c r="V487" s="152"/>
      <c r="W487" s="157"/>
      <c r="AA487" s="156"/>
    </row>
    <row r="488" ht="15.75" customHeight="1">
      <c r="B488" s="199"/>
      <c r="N488" s="152"/>
      <c r="Q488" s="195"/>
      <c r="S488" s="200"/>
      <c r="T488" s="200"/>
      <c r="U488" s="152"/>
      <c r="V488" s="152"/>
      <c r="W488" s="157"/>
      <c r="AA488" s="156"/>
    </row>
    <row r="489" ht="15.75" customHeight="1">
      <c r="B489" s="199"/>
      <c r="N489" s="152"/>
      <c r="Q489" s="195"/>
      <c r="S489" s="200"/>
      <c r="T489" s="200"/>
      <c r="U489" s="152"/>
      <c r="V489" s="152"/>
      <c r="W489" s="157"/>
      <c r="AA489" s="156"/>
    </row>
    <row r="490" ht="15.75" customHeight="1">
      <c r="B490" s="199"/>
      <c r="N490" s="152"/>
      <c r="Q490" s="195"/>
      <c r="S490" s="200"/>
      <c r="T490" s="200"/>
      <c r="U490" s="152"/>
      <c r="V490" s="152"/>
      <c r="W490" s="157"/>
      <c r="AA490" s="156"/>
    </row>
    <row r="491" ht="15.75" customHeight="1">
      <c r="B491" s="199"/>
      <c r="N491" s="152"/>
      <c r="Q491" s="195"/>
      <c r="S491" s="200"/>
      <c r="T491" s="200"/>
      <c r="U491" s="152"/>
      <c r="V491" s="152"/>
      <c r="W491" s="157"/>
      <c r="AA491" s="156"/>
    </row>
    <row r="492" ht="15.75" customHeight="1">
      <c r="B492" s="199"/>
      <c r="N492" s="152"/>
      <c r="Q492" s="195"/>
      <c r="S492" s="200"/>
      <c r="T492" s="200"/>
      <c r="U492" s="152"/>
      <c r="V492" s="152"/>
      <c r="W492" s="157"/>
      <c r="AA492" s="156"/>
    </row>
    <row r="493" ht="15.75" customHeight="1">
      <c r="B493" s="199"/>
      <c r="N493" s="152"/>
      <c r="Q493" s="195"/>
      <c r="S493" s="200"/>
      <c r="T493" s="200"/>
      <c r="U493" s="152"/>
      <c r="V493" s="152"/>
      <c r="W493" s="157"/>
      <c r="AA493" s="156"/>
    </row>
    <row r="494" ht="15.75" customHeight="1">
      <c r="B494" s="199"/>
      <c r="N494" s="152"/>
      <c r="Q494" s="195"/>
      <c r="S494" s="200"/>
      <c r="T494" s="200"/>
      <c r="U494" s="152"/>
      <c r="V494" s="152"/>
      <c r="W494" s="157"/>
      <c r="AA494" s="156"/>
    </row>
    <row r="495" ht="15.75" customHeight="1">
      <c r="B495" s="199"/>
      <c r="N495" s="152"/>
      <c r="Q495" s="195"/>
      <c r="S495" s="200"/>
      <c r="T495" s="200"/>
      <c r="U495" s="152"/>
      <c r="V495" s="152"/>
      <c r="W495" s="157"/>
      <c r="AA495" s="156"/>
    </row>
    <row r="496" ht="15.75" customHeight="1">
      <c r="B496" s="199"/>
      <c r="N496" s="152"/>
      <c r="Q496" s="195"/>
      <c r="S496" s="200"/>
      <c r="T496" s="200"/>
      <c r="U496" s="152"/>
      <c r="V496" s="152"/>
      <c r="W496" s="157"/>
      <c r="AA496" s="156"/>
    </row>
    <row r="497" ht="15.75" customHeight="1">
      <c r="B497" s="199"/>
      <c r="N497" s="152"/>
      <c r="Q497" s="195"/>
      <c r="S497" s="200"/>
      <c r="T497" s="200"/>
      <c r="U497" s="152"/>
      <c r="V497" s="152"/>
      <c r="W497" s="157"/>
      <c r="AA497" s="156"/>
    </row>
    <row r="498" ht="15.75" customHeight="1">
      <c r="B498" s="199"/>
      <c r="N498" s="152"/>
      <c r="Q498" s="195"/>
      <c r="S498" s="200"/>
      <c r="T498" s="200"/>
      <c r="U498" s="152"/>
      <c r="V498" s="152"/>
      <c r="W498" s="157"/>
      <c r="AA498" s="156"/>
    </row>
    <row r="499" ht="15.75" customHeight="1">
      <c r="B499" s="199"/>
      <c r="N499" s="152"/>
      <c r="Q499" s="195"/>
      <c r="S499" s="200"/>
      <c r="T499" s="200"/>
      <c r="U499" s="152"/>
      <c r="V499" s="152"/>
      <c r="W499" s="157"/>
      <c r="AA499" s="156"/>
    </row>
    <row r="500" ht="15.75" customHeight="1">
      <c r="B500" s="199"/>
      <c r="N500" s="152"/>
      <c r="Q500" s="195"/>
      <c r="S500" s="200"/>
      <c r="T500" s="200"/>
      <c r="U500" s="152"/>
      <c r="V500" s="152"/>
      <c r="W500" s="157"/>
      <c r="AA500" s="156"/>
    </row>
    <row r="501" ht="15.75" customHeight="1">
      <c r="B501" s="199"/>
      <c r="N501" s="152"/>
      <c r="Q501" s="195"/>
      <c r="S501" s="200"/>
      <c r="T501" s="200"/>
      <c r="U501" s="152"/>
      <c r="V501" s="152"/>
      <c r="W501" s="157"/>
      <c r="AA501" s="156"/>
    </row>
    <row r="502" ht="15.75" customHeight="1">
      <c r="B502" s="199"/>
      <c r="N502" s="152"/>
      <c r="Q502" s="195"/>
      <c r="S502" s="200"/>
      <c r="T502" s="200"/>
      <c r="U502" s="152"/>
      <c r="V502" s="152"/>
      <c r="W502" s="157"/>
      <c r="AA502" s="156"/>
    </row>
    <row r="503" ht="15.75" customHeight="1">
      <c r="B503" s="199"/>
      <c r="N503" s="152"/>
      <c r="Q503" s="195"/>
      <c r="S503" s="200"/>
      <c r="T503" s="200"/>
      <c r="U503" s="152"/>
      <c r="V503" s="152"/>
      <c r="W503" s="157"/>
      <c r="AA503" s="156"/>
    </row>
    <row r="504" ht="15.75" customHeight="1">
      <c r="B504" s="199"/>
      <c r="N504" s="152"/>
      <c r="Q504" s="195"/>
      <c r="S504" s="200"/>
      <c r="T504" s="200"/>
      <c r="U504" s="152"/>
      <c r="V504" s="152"/>
      <c r="W504" s="157"/>
      <c r="AA504" s="156"/>
    </row>
    <row r="505" ht="15.75" customHeight="1">
      <c r="B505" s="199"/>
      <c r="N505" s="152"/>
      <c r="Q505" s="195"/>
      <c r="S505" s="200"/>
      <c r="T505" s="200"/>
      <c r="U505" s="152"/>
      <c r="V505" s="152"/>
      <c r="W505" s="157"/>
      <c r="AA505" s="156"/>
    </row>
    <row r="506" ht="15.75" customHeight="1">
      <c r="B506" s="199"/>
      <c r="N506" s="152"/>
      <c r="Q506" s="195"/>
      <c r="S506" s="200"/>
      <c r="T506" s="200"/>
      <c r="U506" s="152"/>
      <c r="V506" s="152"/>
      <c r="W506" s="157"/>
      <c r="AA506" s="156"/>
    </row>
    <row r="507" ht="15.75" customHeight="1">
      <c r="B507" s="199"/>
      <c r="N507" s="152"/>
      <c r="Q507" s="195"/>
      <c r="S507" s="200"/>
      <c r="T507" s="200"/>
      <c r="U507" s="152"/>
      <c r="V507" s="152"/>
      <c r="W507" s="157"/>
      <c r="AA507" s="156"/>
    </row>
    <row r="508" ht="15.75" customHeight="1">
      <c r="B508" s="199"/>
      <c r="N508" s="152"/>
      <c r="Q508" s="195"/>
      <c r="S508" s="200"/>
      <c r="T508" s="200"/>
      <c r="U508" s="152"/>
      <c r="V508" s="152"/>
      <c r="W508" s="157"/>
      <c r="AA508" s="156"/>
    </row>
    <row r="509" ht="15.75" customHeight="1">
      <c r="B509" s="199"/>
      <c r="N509" s="152"/>
      <c r="Q509" s="195"/>
      <c r="S509" s="200"/>
      <c r="T509" s="200"/>
      <c r="U509" s="152"/>
      <c r="V509" s="152"/>
      <c r="W509" s="157"/>
      <c r="AA509" s="156"/>
    </row>
    <row r="510" ht="15.75" customHeight="1">
      <c r="B510" s="199"/>
      <c r="N510" s="152"/>
      <c r="Q510" s="195"/>
      <c r="S510" s="200"/>
      <c r="T510" s="200"/>
      <c r="U510" s="152"/>
      <c r="V510" s="152"/>
      <c r="W510" s="157"/>
      <c r="AA510" s="156"/>
    </row>
    <row r="511" ht="15.75" customHeight="1">
      <c r="B511" s="199"/>
      <c r="N511" s="152"/>
      <c r="Q511" s="195"/>
      <c r="S511" s="200"/>
      <c r="T511" s="200"/>
      <c r="U511" s="152"/>
      <c r="V511" s="152"/>
      <c r="W511" s="157"/>
      <c r="AA511" s="156"/>
    </row>
    <row r="512" ht="15.75" customHeight="1">
      <c r="B512" s="199"/>
      <c r="N512" s="152"/>
      <c r="Q512" s="195"/>
      <c r="S512" s="200"/>
      <c r="T512" s="200"/>
      <c r="U512" s="152"/>
      <c r="V512" s="152"/>
      <c r="W512" s="157"/>
      <c r="AA512" s="156"/>
    </row>
    <row r="513" ht="15.75" customHeight="1">
      <c r="B513" s="199"/>
      <c r="N513" s="152"/>
      <c r="Q513" s="195"/>
      <c r="S513" s="200"/>
      <c r="T513" s="200"/>
      <c r="U513" s="152"/>
      <c r="V513" s="152"/>
      <c r="W513" s="157"/>
      <c r="AA513" s="156"/>
    </row>
    <row r="514" ht="15.75" customHeight="1">
      <c r="B514" s="199"/>
      <c r="N514" s="152"/>
      <c r="Q514" s="195"/>
      <c r="S514" s="200"/>
      <c r="T514" s="200"/>
      <c r="U514" s="152"/>
      <c r="V514" s="152"/>
      <c r="W514" s="157"/>
      <c r="AA514" s="156"/>
    </row>
    <row r="515" ht="15.75" customHeight="1">
      <c r="B515" s="199"/>
      <c r="N515" s="152"/>
      <c r="Q515" s="195"/>
      <c r="S515" s="200"/>
      <c r="T515" s="200"/>
      <c r="U515" s="152"/>
      <c r="V515" s="152"/>
      <c r="W515" s="157"/>
      <c r="AA515" s="156"/>
    </row>
    <row r="516" ht="15.75" customHeight="1">
      <c r="B516" s="199"/>
      <c r="N516" s="152"/>
      <c r="Q516" s="195"/>
      <c r="S516" s="200"/>
      <c r="T516" s="200"/>
      <c r="U516" s="152"/>
      <c r="V516" s="152"/>
      <c r="W516" s="157"/>
      <c r="AA516" s="156"/>
    </row>
    <row r="517" ht="15.75" customHeight="1">
      <c r="B517" s="199"/>
      <c r="N517" s="152"/>
      <c r="Q517" s="195"/>
      <c r="S517" s="200"/>
      <c r="T517" s="200"/>
      <c r="U517" s="152"/>
      <c r="V517" s="152"/>
      <c r="W517" s="157"/>
      <c r="AA517" s="156"/>
    </row>
    <row r="518" ht="15.75" customHeight="1">
      <c r="B518" s="199"/>
      <c r="N518" s="152"/>
      <c r="Q518" s="195"/>
      <c r="S518" s="200"/>
      <c r="T518" s="200"/>
      <c r="U518" s="152"/>
      <c r="V518" s="152"/>
      <c r="W518" s="157"/>
      <c r="AA518" s="156"/>
    </row>
    <row r="519" ht="15.75" customHeight="1">
      <c r="B519" s="199"/>
      <c r="N519" s="152"/>
      <c r="Q519" s="195"/>
      <c r="S519" s="200"/>
      <c r="T519" s="200"/>
      <c r="U519" s="152"/>
      <c r="V519" s="152"/>
      <c r="W519" s="157"/>
      <c r="AA519" s="156"/>
    </row>
    <row r="520" ht="15.75" customHeight="1">
      <c r="B520" s="199"/>
      <c r="N520" s="152"/>
      <c r="Q520" s="195"/>
      <c r="S520" s="200"/>
      <c r="T520" s="200"/>
      <c r="U520" s="152"/>
      <c r="V520" s="152"/>
      <c r="W520" s="157"/>
      <c r="AA520" s="156"/>
    </row>
    <row r="521" ht="15.75" customHeight="1">
      <c r="B521" s="199"/>
      <c r="N521" s="152"/>
      <c r="Q521" s="195"/>
      <c r="S521" s="200"/>
      <c r="T521" s="200"/>
      <c r="U521" s="152"/>
      <c r="V521" s="152"/>
      <c r="W521" s="157"/>
      <c r="AA521" s="156"/>
    </row>
    <row r="522" ht="15.75" customHeight="1">
      <c r="B522" s="199"/>
      <c r="N522" s="152"/>
      <c r="Q522" s="195"/>
      <c r="S522" s="200"/>
      <c r="T522" s="200"/>
      <c r="U522" s="152"/>
      <c r="V522" s="152"/>
      <c r="W522" s="157"/>
      <c r="AA522" s="156"/>
    </row>
    <row r="523" ht="15.75" customHeight="1">
      <c r="B523" s="199"/>
      <c r="N523" s="152"/>
      <c r="Q523" s="195"/>
      <c r="S523" s="200"/>
      <c r="T523" s="200"/>
      <c r="U523" s="152"/>
      <c r="V523" s="152"/>
      <c r="W523" s="157"/>
      <c r="AA523" s="156"/>
    </row>
    <row r="524" ht="15.75" customHeight="1">
      <c r="B524" s="199"/>
      <c r="N524" s="152"/>
      <c r="Q524" s="195"/>
      <c r="S524" s="200"/>
      <c r="T524" s="200"/>
      <c r="U524" s="152"/>
      <c r="V524" s="152"/>
      <c r="W524" s="157"/>
      <c r="AA524" s="156"/>
    </row>
    <row r="525" ht="15.75" customHeight="1">
      <c r="B525" s="199"/>
      <c r="N525" s="152"/>
      <c r="Q525" s="195"/>
      <c r="S525" s="200"/>
      <c r="T525" s="200"/>
      <c r="U525" s="152"/>
      <c r="V525" s="152"/>
      <c r="W525" s="157"/>
      <c r="AA525" s="156"/>
    </row>
    <row r="526" ht="15.75" customHeight="1">
      <c r="B526" s="199"/>
      <c r="N526" s="152"/>
      <c r="Q526" s="195"/>
      <c r="S526" s="200"/>
      <c r="T526" s="200"/>
      <c r="U526" s="152"/>
      <c r="V526" s="152"/>
      <c r="W526" s="157"/>
      <c r="AA526" s="156"/>
    </row>
    <row r="527" ht="15.75" customHeight="1">
      <c r="B527" s="199"/>
      <c r="N527" s="152"/>
      <c r="Q527" s="195"/>
      <c r="S527" s="200"/>
      <c r="T527" s="200"/>
      <c r="U527" s="152"/>
      <c r="V527" s="152"/>
      <c r="W527" s="157"/>
      <c r="AA527" s="156"/>
    </row>
    <row r="528" ht="15.75" customHeight="1">
      <c r="B528" s="199"/>
      <c r="N528" s="152"/>
      <c r="Q528" s="195"/>
      <c r="S528" s="200"/>
      <c r="T528" s="200"/>
      <c r="U528" s="152"/>
      <c r="V528" s="152"/>
      <c r="W528" s="157"/>
      <c r="AA528" s="156"/>
    </row>
    <row r="529" ht="15.75" customHeight="1">
      <c r="B529" s="199"/>
      <c r="N529" s="152"/>
      <c r="Q529" s="195"/>
      <c r="S529" s="200"/>
      <c r="T529" s="200"/>
      <c r="U529" s="152"/>
      <c r="V529" s="152"/>
      <c r="W529" s="157"/>
      <c r="AA529" s="156"/>
    </row>
    <row r="530" ht="15.75" customHeight="1">
      <c r="B530" s="199"/>
      <c r="N530" s="152"/>
      <c r="Q530" s="195"/>
      <c r="S530" s="200"/>
      <c r="T530" s="200"/>
      <c r="U530" s="152"/>
      <c r="V530" s="152"/>
      <c r="W530" s="157"/>
      <c r="AA530" s="156"/>
    </row>
    <row r="531" ht="15.75" customHeight="1">
      <c r="B531" s="199"/>
      <c r="N531" s="152"/>
      <c r="Q531" s="195"/>
      <c r="S531" s="200"/>
      <c r="T531" s="200"/>
      <c r="U531" s="152"/>
      <c r="V531" s="152"/>
      <c r="W531" s="157"/>
      <c r="AA531" s="156"/>
    </row>
    <row r="532" ht="15.75" customHeight="1">
      <c r="B532" s="199"/>
      <c r="N532" s="152"/>
      <c r="Q532" s="195"/>
      <c r="S532" s="200"/>
      <c r="T532" s="200"/>
      <c r="U532" s="152"/>
      <c r="V532" s="152"/>
      <c r="W532" s="157"/>
      <c r="AA532" s="156"/>
    </row>
    <row r="533" ht="15.75" customHeight="1">
      <c r="B533" s="199"/>
      <c r="N533" s="152"/>
      <c r="Q533" s="195"/>
      <c r="S533" s="200"/>
      <c r="T533" s="200"/>
      <c r="U533" s="152"/>
      <c r="V533" s="152"/>
      <c r="W533" s="157"/>
      <c r="AA533" s="156"/>
    </row>
    <row r="534" ht="15.75" customHeight="1">
      <c r="B534" s="199"/>
      <c r="N534" s="152"/>
      <c r="Q534" s="195"/>
      <c r="S534" s="200"/>
      <c r="T534" s="200"/>
      <c r="U534" s="152"/>
      <c r="V534" s="152"/>
      <c r="W534" s="157"/>
      <c r="AA534" s="156"/>
    </row>
    <row r="535" ht="15.75" customHeight="1">
      <c r="B535" s="199"/>
      <c r="N535" s="152"/>
      <c r="Q535" s="195"/>
      <c r="S535" s="200"/>
      <c r="T535" s="200"/>
      <c r="U535" s="152"/>
      <c r="V535" s="152"/>
      <c r="W535" s="157"/>
      <c r="AA535" s="156"/>
    </row>
    <row r="536" ht="15.75" customHeight="1">
      <c r="B536" s="199"/>
      <c r="N536" s="152"/>
      <c r="Q536" s="195"/>
      <c r="S536" s="200"/>
      <c r="T536" s="200"/>
      <c r="U536" s="152"/>
      <c r="V536" s="152"/>
      <c r="W536" s="157"/>
      <c r="AA536" s="156"/>
    </row>
    <row r="537" ht="15.75" customHeight="1">
      <c r="B537" s="199"/>
      <c r="N537" s="152"/>
      <c r="Q537" s="195"/>
      <c r="S537" s="200"/>
      <c r="T537" s="200"/>
      <c r="U537" s="152"/>
      <c r="V537" s="152"/>
      <c r="W537" s="157"/>
      <c r="AA537" s="156"/>
    </row>
    <row r="538" ht="15.75" customHeight="1">
      <c r="B538" s="199"/>
      <c r="N538" s="152"/>
      <c r="Q538" s="195"/>
      <c r="S538" s="200"/>
      <c r="T538" s="200"/>
      <c r="U538" s="152"/>
      <c r="V538" s="152"/>
      <c r="W538" s="157"/>
      <c r="AA538" s="156"/>
    </row>
    <row r="539" ht="15.75" customHeight="1">
      <c r="B539" s="199"/>
      <c r="N539" s="152"/>
      <c r="Q539" s="195"/>
      <c r="S539" s="200"/>
      <c r="T539" s="200"/>
      <c r="U539" s="152"/>
      <c r="V539" s="152"/>
      <c r="W539" s="157"/>
      <c r="AA539" s="156"/>
    </row>
    <row r="540" ht="15.75" customHeight="1">
      <c r="B540" s="199"/>
      <c r="N540" s="152"/>
      <c r="Q540" s="195"/>
      <c r="S540" s="200"/>
      <c r="T540" s="200"/>
      <c r="U540" s="152"/>
      <c r="V540" s="152"/>
      <c r="W540" s="157"/>
      <c r="AA540" s="156"/>
    </row>
    <row r="541" ht="15.75" customHeight="1">
      <c r="B541" s="199"/>
      <c r="N541" s="152"/>
      <c r="Q541" s="195"/>
      <c r="S541" s="200"/>
      <c r="T541" s="200"/>
      <c r="U541" s="152"/>
      <c r="V541" s="152"/>
      <c r="W541" s="157"/>
      <c r="AA541" s="156"/>
    </row>
    <row r="542" ht="15.75" customHeight="1">
      <c r="B542" s="199"/>
      <c r="N542" s="152"/>
      <c r="Q542" s="195"/>
      <c r="S542" s="200"/>
      <c r="T542" s="200"/>
      <c r="U542" s="152"/>
      <c r="V542" s="152"/>
      <c r="W542" s="157"/>
      <c r="AA542" s="156"/>
    </row>
    <row r="543" ht="15.75" customHeight="1">
      <c r="B543" s="199"/>
      <c r="N543" s="152"/>
      <c r="Q543" s="195"/>
      <c r="S543" s="200"/>
      <c r="T543" s="200"/>
      <c r="U543" s="152"/>
      <c r="V543" s="152"/>
      <c r="W543" s="157"/>
      <c r="AA543" s="156"/>
    </row>
    <row r="544" ht="15.75" customHeight="1">
      <c r="B544" s="199"/>
      <c r="N544" s="152"/>
      <c r="Q544" s="195"/>
      <c r="S544" s="200"/>
      <c r="T544" s="200"/>
      <c r="U544" s="152"/>
      <c r="V544" s="152"/>
      <c r="W544" s="157"/>
      <c r="AA544" s="156"/>
    </row>
    <row r="545" ht="15.75" customHeight="1">
      <c r="B545" s="199"/>
      <c r="N545" s="152"/>
      <c r="Q545" s="195"/>
      <c r="S545" s="200"/>
      <c r="T545" s="200"/>
      <c r="U545" s="152"/>
      <c r="V545" s="152"/>
      <c r="W545" s="157"/>
      <c r="AA545" s="156"/>
    </row>
    <row r="546" ht="15.75" customHeight="1">
      <c r="B546" s="199"/>
      <c r="N546" s="152"/>
      <c r="Q546" s="195"/>
      <c r="S546" s="200"/>
      <c r="T546" s="200"/>
      <c r="U546" s="152"/>
      <c r="V546" s="152"/>
      <c r="W546" s="157"/>
      <c r="AA546" s="156"/>
    </row>
    <row r="547" ht="15.75" customHeight="1">
      <c r="B547" s="199"/>
      <c r="N547" s="152"/>
      <c r="Q547" s="195"/>
      <c r="S547" s="200"/>
      <c r="T547" s="200"/>
      <c r="U547" s="152"/>
      <c r="V547" s="152"/>
      <c r="W547" s="157"/>
      <c r="AA547" s="156"/>
    </row>
    <row r="548" ht="15.75" customHeight="1">
      <c r="B548" s="199"/>
      <c r="N548" s="152"/>
      <c r="Q548" s="195"/>
      <c r="S548" s="200"/>
      <c r="T548" s="200"/>
      <c r="U548" s="152"/>
      <c r="V548" s="152"/>
      <c r="W548" s="157"/>
      <c r="AA548" s="156"/>
    </row>
    <row r="549" ht="15.75" customHeight="1">
      <c r="B549" s="199"/>
      <c r="N549" s="152"/>
      <c r="Q549" s="195"/>
      <c r="S549" s="200"/>
      <c r="T549" s="200"/>
      <c r="U549" s="152"/>
      <c r="V549" s="152"/>
      <c r="W549" s="157"/>
      <c r="AA549" s="156"/>
    </row>
    <row r="550" ht="15.75" customHeight="1">
      <c r="B550" s="199"/>
      <c r="N550" s="152"/>
      <c r="Q550" s="195"/>
      <c r="S550" s="200"/>
      <c r="T550" s="200"/>
      <c r="U550" s="152"/>
      <c r="V550" s="152"/>
      <c r="W550" s="157"/>
      <c r="AA550" s="156"/>
    </row>
    <row r="551" ht="15.75" customHeight="1">
      <c r="B551" s="199"/>
      <c r="N551" s="152"/>
      <c r="Q551" s="195"/>
      <c r="S551" s="200"/>
      <c r="T551" s="200"/>
      <c r="U551" s="152"/>
      <c r="V551" s="152"/>
      <c r="W551" s="157"/>
      <c r="AA551" s="156"/>
    </row>
    <row r="552" ht="15.75" customHeight="1">
      <c r="B552" s="199"/>
      <c r="N552" s="152"/>
      <c r="Q552" s="195"/>
      <c r="S552" s="200"/>
      <c r="T552" s="200"/>
      <c r="U552" s="152"/>
      <c r="V552" s="152"/>
      <c r="W552" s="157"/>
      <c r="AA552" s="156"/>
    </row>
    <row r="553" ht="15.75" customHeight="1">
      <c r="B553" s="199"/>
      <c r="N553" s="152"/>
      <c r="Q553" s="195"/>
      <c r="S553" s="200"/>
      <c r="T553" s="200"/>
      <c r="U553" s="152"/>
      <c r="V553" s="152"/>
      <c r="W553" s="157"/>
      <c r="AA553" s="156"/>
    </row>
    <row r="554" ht="15.75" customHeight="1">
      <c r="B554" s="199"/>
      <c r="N554" s="152"/>
      <c r="Q554" s="195"/>
      <c r="S554" s="200"/>
      <c r="T554" s="200"/>
      <c r="U554" s="152"/>
      <c r="V554" s="152"/>
      <c r="W554" s="157"/>
      <c r="AA554" s="156"/>
    </row>
    <row r="555" ht="15.75" customHeight="1">
      <c r="B555" s="199"/>
      <c r="N555" s="152"/>
      <c r="Q555" s="195"/>
      <c r="S555" s="200"/>
      <c r="T555" s="200"/>
      <c r="U555" s="152"/>
      <c r="V555" s="152"/>
      <c r="W555" s="157"/>
      <c r="AA555" s="156"/>
    </row>
    <row r="556" ht="15.75" customHeight="1">
      <c r="B556" s="199"/>
      <c r="N556" s="152"/>
      <c r="Q556" s="195"/>
      <c r="S556" s="200"/>
      <c r="T556" s="200"/>
      <c r="U556" s="152"/>
      <c r="V556" s="152"/>
      <c r="W556" s="157"/>
      <c r="AA556" s="156"/>
    </row>
    <row r="557" ht="15.75" customHeight="1">
      <c r="B557" s="199"/>
      <c r="N557" s="152"/>
      <c r="Q557" s="195"/>
      <c r="S557" s="200"/>
      <c r="T557" s="200"/>
      <c r="U557" s="152"/>
      <c r="V557" s="152"/>
      <c r="W557" s="157"/>
      <c r="AA557" s="156"/>
    </row>
    <row r="558" ht="15.75" customHeight="1">
      <c r="B558" s="199"/>
      <c r="N558" s="152"/>
      <c r="Q558" s="195"/>
      <c r="S558" s="200"/>
      <c r="T558" s="200"/>
      <c r="U558" s="152"/>
      <c r="V558" s="152"/>
      <c r="W558" s="157"/>
      <c r="AA558" s="156"/>
    </row>
    <row r="559" ht="15.75" customHeight="1">
      <c r="B559" s="199"/>
      <c r="N559" s="152"/>
      <c r="Q559" s="195"/>
      <c r="S559" s="200"/>
      <c r="T559" s="200"/>
      <c r="U559" s="152"/>
      <c r="V559" s="152"/>
      <c r="W559" s="157"/>
      <c r="AA559" s="156"/>
    </row>
    <row r="560" ht="15.75" customHeight="1">
      <c r="B560" s="199"/>
      <c r="N560" s="152"/>
      <c r="Q560" s="195"/>
      <c r="S560" s="200"/>
      <c r="T560" s="200"/>
      <c r="U560" s="152"/>
      <c r="V560" s="152"/>
      <c r="W560" s="157"/>
      <c r="AA560" s="156"/>
    </row>
    <row r="561" ht="15.75" customHeight="1">
      <c r="B561" s="199"/>
      <c r="N561" s="152"/>
      <c r="Q561" s="195"/>
      <c r="S561" s="200"/>
      <c r="T561" s="200"/>
      <c r="U561" s="152"/>
      <c r="V561" s="152"/>
      <c r="W561" s="157"/>
      <c r="AA561" s="156"/>
    </row>
    <row r="562" ht="15.75" customHeight="1">
      <c r="B562" s="199"/>
      <c r="N562" s="152"/>
      <c r="Q562" s="195"/>
      <c r="S562" s="200"/>
      <c r="T562" s="200"/>
      <c r="U562" s="152"/>
      <c r="V562" s="152"/>
      <c r="W562" s="157"/>
      <c r="AA562" s="156"/>
    </row>
    <row r="563" ht="15.75" customHeight="1">
      <c r="B563" s="199"/>
      <c r="N563" s="152"/>
      <c r="Q563" s="195"/>
      <c r="S563" s="200"/>
      <c r="T563" s="200"/>
      <c r="U563" s="152"/>
      <c r="V563" s="152"/>
      <c r="W563" s="157"/>
      <c r="AA563" s="156"/>
    </row>
    <row r="564" ht="15.75" customHeight="1">
      <c r="B564" s="199"/>
      <c r="N564" s="152"/>
      <c r="Q564" s="195"/>
      <c r="S564" s="200"/>
      <c r="T564" s="200"/>
      <c r="U564" s="152"/>
      <c r="V564" s="152"/>
      <c r="W564" s="157"/>
      <c r="AA564" s="156"/>
    </row>
    <row r="565" ht="15.75" customHeight="1">
      <c r="B565" s="199"/>
      <c r="N565" s="152"/>
      <c r="Q565" s="195"/>
      <c r="S565" s="200"/>
      <c r="T565" s="200"/>
      <c r="U565" s="152"/>
      <c r="V565" s="152"/>
      <c r="W565" s="157"/>
      <c r="AA565" s="156"/>
    </row>
    <row r="566" ht="15.75" customHeight="1">
      <c r="B566" s="199"/>
      <c r="N566" s="152"/>
      <c r="Q566" s="195"/>
      <c r="S566" s="200"/>
      <c r="T566" s="200"/>
      <c r="U566" s="152"/>
      <c r="V566" s="152"/>
      <c r="W566" s="157"/>
      <c r="AA566" s="156"/>
    </row>
    <row r="567" ht="15.75" customHeight="1">
      <c r="B567" s="199"/>
      <c r="N567" s="152"/>
      <c r="Q567" s="195"/>
      <c r="S567" s="200"/>
      <c r="T567" s="200"/>
      <c r="U567" s="152"/>
      <c r="V567" s="152"/>
      <c r="W567" s="157"/>
      <c r="AA567" s="156"/>
    </row>
    <row r="568" ht="15.75" customHeight="1">
      <c r="B568" s="199"/>
      <c r="N568" s="152"/>
      <c r="Q568" s="195"/>
      <c r="S568" s="200"/>
      <c r="T568" s="200"/>
      <c r="U568" s="152"/>
      <c r="V568" s="152"/>
      <c r="W568" s="157"/>
      <c r="AA568" s="156"/>
    </row>
    <row r="569" ht="15.75" customHeight="1">
      <c r="B569" s="199"/>
      <c r="N569" s="152"/>
      <c r="Q569" s="195"/>
      <c r="S569" s="200"/>
      <c r="T569" s="200"/>
      <c r="U569" s="152"/>
      <c r="V569" s="152"/>
      <c r="W569" s="157"/>
      <c r="AA569" s="156"/>
    </row>
    <row r="570" ht="15.75" customHeight="1">
      <c r="B570" s="199"/>
      <c r="N570" s="152"/>
      <c r="Q570" s="195"/>
      <c r="S570" s="200"/>
      <c r="T570" s="200"/>
      <c r="U570" s="152"/>
      <c r="V570" s="152"/>
      <c r="W570" s="157"/>
      <c r="AA570" s="156"/>
    </row>
    <row r="571" ht="15.75" customHeight="1">
      <c r="B571" s="199"/>
      <c r="N571" s="152"/>
      <c r="Q571" s="195"/>
      <c r="S571" s="200"/>
      <c r="T571" s="200"/>
      <c r="U571" s="152"/>
      <c r="V571" s="152"/>
      <c r="W571" s="157"/>
      <c r="AA571" s="156"/>
    </row>
    <row r="572" ht="15.75" customHeight="1">
      <c r="B572" s="199"/>
      <c r="N572" s="152"/>
      <c r="Q572" s="195"/>
      <c r="S572" s="200"/>
      <c r="T572" s="200"/>
      <c r="U572" s="152"/>
      <c r="V572" s="152"/>
      <c r="W572" s="157"/>
      <c r="AA572" s="156"/>
    </row>
    <row r="573" ht="15.75" customHeight="1">
      <c r="B573" s="199"/>
      <c r="N573" s="152"/>
      <c r="Q573" s="195"/>
      <c r="S573" s="200"/>
      <c r="T573" s="200"/>
      <c r="U573" s="152"/>
      <c r="V573" s="152"/>
      <c r="W573" s="157"/>
      <c r="AA573" s="156"/>
    </row>
    <row r="574" ht="15.75" customHeight="1">
      <c r="B574" s="199"/>
      <c r="N574" s="152"/>
      <c r="Q574" s="195"/>
      <c r="S574" s="200"/>
      <c r="T574" s="200"/>
      <c r="U574" s="152"/>
      <c r="V574" s="152"/>
      <c r="W574" s="157"/>
      <c r="AA574" s="156"/>
    </row>
    <row r="575" ht="15.75" customHeight="1">
      <c r="B575" s="199"/>
      <c r="N575" s="152"/>
      <c r="Q575" s="195"/>
      <c r="S575" s="200"/>
      <c r="T575" s="200"/>
      <c r="U575" s="152"/>
      <c r="V575" s="152"/>
      <c r="W575" s="157"/>
      <c r="AA575" s="156"/>
    </row>
    <row r="576" ht="15.75" customHeight="1">
      <c r="B576" s="199"/>
      <c r="N576" s="152"/>
      <c r="Q576" s="195"/>
      <c r="S576" s="200"/>
      <c r="T576" s="200"/>
      <c r="U576" s="152"/>
      <c r="V576" s="152"/>
      <c r="W576" s="157"/>
      <c r="AA576" s="156"/>
    </row>
    <row r="577" ht="15.75" customHeight="1">
      <c r="B577" s="199"/>
      <c r="N577" s="152"/>
      <c r="Q577" s="195"/>
      <c r="S577" s="200"/>
      <c r="T577" s="200"/>
      <c r="U577" s="152"/>
      <c r="V577" s="152"/>
      <c r="W577" s="157"/>
      <c r="AA577" s="156"/>
    </row>
    <row r="578" ht="15.75" customHeight="1">
      <c r="B578" s="199"/>
      <c r="N578" s="152"/>
      <c r="Q578" s="195"/>
      <c r="S578" s="200"/>
      <c r="T578" s="200"/>
      <c r="U578" s="152"/>
      <c r="V578" s="152"/>
      <c r="W578" s="157"/>
      <c r="AA578" s="156"/>
    </row>
    <row r="579" ht="15.75" customHeight="1">
      <c r="B579" s="199"/>
      <c r="N579" s="152"/>
      <c r="Q579" s="195"/>
      <c r="S579" s="200"/>
      <c r="T579" s="200"/>
      <c r="U579" s="152"/>
      <c r="V579" s="152"/>
      <c r="W579" s="157"/>
      <c r="AA579" s="156"/>
    </row>
    <row r="580" ht="15.75" customHeight="1">
      <c r="B580" s="199"/>
      <c r="N580" s="152"/>
      <c r="Q580" s="195"/>
      <c r="S580" s="200"/>
      <c r="T580" s="200"/>
      <c r="U580" s="152"/>
      <c r="V580" s="152"/>
      <c r="W580" s="157"/>
      <c r="AA580" s="156"/>
    </row>
    <row r="581" ht="15.75" customHeight="1">
      <c r="B581" s="199"/>
      <c r="N581" s="152"/>
      <c r="Q581" s="195"/>
      <c r="S581" s="200"/>
      <c r="T581" s="200"/>
      <c r="U581" s="152"/>
      <c r="V581" s="152"/>
      <c r="W581" s="157"/>
      <c r="AA581" s="156"/>
    </row>
    <row r="582" ht="15.75" customHeight="1">
      <c r="B582" s="199"/>
      <c r="N582" s="152"/>
      <c r="Q582" s="195"/>
      <c r="S582" s="200"/>
      <c r="T582" s="200"/>
      <c r="U582" s="152"/>
      <c r="V582" s="152"/>
      <c r="W582" s="157"/>
      <c r="AA582" s="156"/>
    </row>
    <row r="583" ht="15.75" customHeight="1">
      <c r="B583" s="199"/>
      <c r="N583" s="152"/>
      <c r="Q583" s="195"/>
      <c r="S583" s="200"/>
      <c r="T583" s="200"/>
      <c r="U583" s="152"/>
      <c r="V583" s="152"/>
      <c r="W583" s="157"/>
      <c r="AA583" s="156"/>
    </row>
    <row r="584" ht="15.75" customHeight="1">
      <c r="B584" s="199"/>
      <c r="N584" s="152"/>
      <c r="Q584" s="195"/>
      <c r="S584" s="200"/>
      <c r="T584" s="200"/>
      <c r="U584" s="152"/>
      <c r="V584" s="152"/>
      <c r="W584" s="157"/>
      <c r="AA584" s="156"/>
    </row>
    <row r="585" ht="15.75" customHeight="1">
      <c r="B585" s="199"/>
      <c r="N585" s="152"/>
      <c r="Q585" s="195"/>
      <c r="S585" s="200"/>
      <c r="T585" s="200"/>
      <c r="U585" s="152"/>
      <c r="V585" s="152"/>
      <c r="W585" s="157"/>
      <c r="AA585" s="156"/>
    </row>
    <row r="586" ht="15.75" customHeight="1">
      <c r="B586" s="199"/>
      <c r="N586" s="152"/>
      <c r="Q586" s="195"/>
      <c r="S586" s="200"/>
      <c r="T586" s="200"/>
      <c r="U586" s="152"/>
      <c r="V586" s="152"/>
      <c r="W586" s="157"/>
      <c r="AA586" s="156"/>
    </row>
    <row r="587" ht="15.75" customHeight="1">
      <c r="B587" s="199"/>
      <c r="N587" s="152"/>
      <c r="Q587" s="195"/>
      <c r="S587" s="200"/>
      <c r="T587" s="200"/>
      <c r="U587" s="152"/>
      <c r="V587" s="152"/>
      <c r="W587" s="157"/>
      <c r="AA587" s="156"/>
    </row>
    <row r="588" ht="15.75" customHeight="1">
      <c r="B588" s="199"/>
      <c r="N588" s="152"/>
      <c r="Q588" s="195"/>
      <c r="S588" s="200"/>
      <c r="T588" s="200"/>
      <c r="U588" s="152"/>
      <c r="V588" s="152"/>
      <c r="W588" s="157"/>
      <c r="AA588" s="156"/>
    </row>
    <row r="589" ht="15.75" customHeight="1">
      <c r="B589" s="199"/>
      <c r="N589" s="152"/>
      <c r="Q589" s="195"/>
      <c r="S589" s="200"/>
      <c r="T589" s="200"/>
      <c r="U589" s="152"/>
      <c r="V589" s="152"/>
      <c r="W589" s="157"/>
      <c r="AA589" s="156"/>
    </row>
    <row r="590" ht="15.75" customHeight="1">
      <c r="B590" s="199"/>
      <c r="N590" s="152"/>
      <c r="Q590" s="195"/>
      <c r="S590" s="200"/>
      <c r="T590" s="200"/>
      <c r="U590" s="152"/>
      <c r="V590" s="152"/>
      <c r="W590" s="157"/>
      <c r="AA590" s="156"/>
    </row>
    <row r="591" ht="15.75" customHeight="1">
      <c r="B591" s="199"/>
      <c r="N591" s="152"/>
      <c r="Q591" s="195"/>
      <c r="S591" s="200"/>
      <c r="T591" s="200"/>
      <c r="U591" s="152"/>
      <c r="V591" s="152"/>
      <c r="W591" s="157"/>
      <c r="AA591" s="156"/>
    </row>
    <row r="592" ht="15.75" customHeight="1">
      <c r="B592" s="199"/>
      <c r="N592" s="152"/>
      <c r="Q592" s="195"/>
      <c r="S592" s="200"/>
      <c r="T592" s="200"/>
      <c r="U592" s="152"/>
      <c r="V592" s="152"/>
      <c r="W592" s="157"/>
      <c r="AA592" s="156"/>
    </row>
    <row r="593" ht="15.75" customHeight="1">
      <c r="B593" s="199"/>
      <c r="N593" s="152"/>
      <c r="Q593" s="195"/>
      <c r="S593" s="200"/>
      <c r="T593" s="200"/>
      <c r="U593" s="152"/>
      <c r="V593" s="152"/>
      <c r="W593" s="157"/>
      <c r="AA593" s="156"/>
    </row>
    <row r="594" ht="15.75" customHeight="1">
      <c r="B594" s="199"/>
      <c r="N594" s="152"/>
      <c r="Q594" s="195"/>
      <c r="S594" s="200"/>
      <c r="T594" s="200"/>
      <c r="U594" s="152"/>
      <c r="V594" s="152"/>
      <c r="W594" s="157"/>
      <c r="AA594" s="156"/>
    </row>
    <row r="595" ht="15.75" customHeight="1">
      <c r="B595" s="199"/>
      <c r="N595" s="152"/>
      <c r="Q595" s="195"/>
      <c r="S595" s="200"/>
      <c r="T595" s="200"/>
      <c r="U595" s="152"/>
      <c r="V595" s="152"/>
      <c r="W595" s="157"/>
      <c r="AA595" s="156"/>
    </row>
    <row r="596" ht="15.75" customHeight="1">
      <c r="B596" s="199"/>
      <c r="N596" s="152"/>
      <c r="Q596" s="195"/>
      <c r="S596" s="200"/>
      <c r="T596" s="200"/>
      <c r="U596" s="152"/>
      <c r="V596" s="152"/>
      <c r="W596" s="157"/>
      <c r="AA596" s="156"/>
    </row>
    <row r="597" ht="15.75" customHeight="1">
      <c r="B597" s="199"/>
      <c r="N597" s="152"/>
      <c r="Q597" s="195"/>
      <c r="S597" s="200"/>
      <c r="T597" s="200"/>
      <c r="U597" s="152"/>
      <c r="V597" s="152"/>
      <c r="W597" s="157"/>
      <c r="AA597" s="156"/>
    </row>
    <row r="598" ht="15.75" customHeight="1">
      <c r="B598" s="199"/>
      <c r="N598" s="152"/>
      <c r="Q598" s="195"/>
      <c r="S598" s="200"/>
      <c r="T598" s="200"/>
      <c r="U598" s="152"/>
      <c r="V598" s="152"/>
      <c r="W598" s="157"/>
      <c r="AA598" s="156"/>
    </row>
    <row r="599" ht="15.75" customHeight="1">
      <c r="B599" s="199"/>
      <c r="N599" s="152"/>
      <c r="Q599" s="195"/>
      <c r="S599" s="200"/>
      <c r="T599" s="200"/>
      <c r="U599" s="152"/>
      <c r="V599" s="152"/>
      <c r="W599" s="157"/>
      <c r="AA599" s="156"/>
    </row>
    <row r="600" ht="15.75" customHeight="1">
      <c r="B600" s="199"/>
      <c r="N600" s="152"/>
      <c r="Q600" s="195"/>
      <c r="S600" s="200"/>
      <c r="T600" s="200"/>
      <c r="U600" s="152"/>
      <c r="V600" s="152"/>
      <c r="W600" s="157"/>
      <c r="AA600" s="156"/>
    </row>
    <row r="601" ht="15.75" customHeight="1">
      <c r="B601" s="199"/>
      <c r="N601" s="152"/>
      <c r="Q601" s="195"/>
      <c r="S601" s="200"/>
      <c r="T601" s="200"/>
      <c r="U601" s="152"/>
      <c r="V601" s="152"/>
      <c r="W601" s="157"/>
      <c r="AA601" s="156"/>
    </row>
    <row r="602" ht="15.75" customHeight="1">
      <c r="B602" s="199"/>
      <c r="N602" s="152"/>
      <c r="Q602" s="195"/>
      <c r="S602" s="200"/>
      <c r="T602" s="200"/>
      <c r="U602" s="152"/>
      <c r="V602" s="152"/>
      <c r="W602" s="157"/>
      <c r="AA602" s="156"/>
    </row>
    <row r="603" ht="15.75" customHeight="1">
      <c r="B603" s="199"/>
      <c r="N603" s="152"/>
      <c r="Q603" s="195"/>
      <c r="S603" s="200"/>
      <c r="T603" s="200"/>
      <c r="U603" s="152"/>
      <c r="V603" s="152"/>
      <c r="W603" s="157"/>
      <c r="AA603" s="156"/>
    </row>
    <row r="604" ht="15.75" customHeight="1">
      <c r="B604" s="199"/>
      <c r="N604" s="152"/>
      <c r="Q604" s="195"/>
      <c r="S604" s="200"/>
      <c r="T604" s="200"/>
      <c r="U604" s="152"/>
      <c r="V604" s="152"/>
      <c r="W604" s="157"/>
      <c r="AA604" s="156"/>
    </row>
    <row r="605" ht="15.75" customHeight="1">
      <c r="B605" s="199"/>
      <c r="N605" s="152"/>
      <c r="Q605" s="195"/>
      <c r="S605" s="200"/>
      <c r="T605" s="200"/>
      <c r="U605" s="152"/>
      <c r="V605" s="152"/>
      <c r="W605" s="157"/>
      <c r="AA605" s="156"/>
    </row>
    <row r="606" ht="15.75" customHeight="1">
      <c r="B606" s="199"/>
      <c r="N606" s="152"/>
      <c r="Q606" s="195"/>
      <c r="S606" s="200"/>
      <c r="T606" s="200"/>
      <c r="U606" s="152"/>
      <c r="V606" s="152"/>
      <c r="W606" s="157"/>
      <c r="AA606" s="156"/>
    </row>
    <row r="607" ht="15.75" customHeight="1">
      <c r="B607" s="199"/>
      <c r="N607" s="152"/>
      <c r="Q607" s="195"/>
      <c r="S607" s="200"/>
      <c r="T607" s="200"/>
      <c r="U607" s="152"/>
      <c r="V607" s="152"/>
      <c r="W607" s="157"/>
      <c r="AA607" s="156"/>
    </row>
    <row r="608" ht="15.75" customHeight="1">
      <c r="B608" s="199"/>
      <c r="N608" s="152"/>
      <c r="Q608" s="195"/>
      <c r="S608" s="200"/>
      <c r="T608" s="200"/>
      <c r="U608" s="152"/>
      <c r="V608" s="152"/>
      <c r="W608" s="157"/>
      <c r="AA608" s="156"/>
    </row>
    <row r="609" ht="15.75" customHeight="1">
      <c r="B609" s="199"/>
      <c r="N609" s="152"/>
      <c r="Q609" s="195"/>
      <c r="S609" s="200"/>
      <c r="T609" s="200"/>
      <c r="U609" s="152"/>
      <c r="V609" s="152"/>
      <c r="W609" s="157"/>
      <c r="AA609" s="156"/>
    </row>
    <row r="610" ht="15.75" customHeight="1">
      <c r="B610" s="199"/>
      <c r="N610" s="152"/>
      <c r="Q610" s="195"/>
      <c r="S610" s="200"/>
      <c r="T610" s="200"/>
      <c r="U610" s="152"/>
      <c r="V610" s="152"/>
      <c r="W610" s="157"/>
      <c r="AA610" s="156"/>
    </row>
    <row r="611" ht="15.75" customHeight="1">
      <c r="B611" s="199"/>
      <c r="N611" s="152"/>
      <c r="Q611" s="195"/>
      <c r="S611" s="200"/>
      <c r="T611" s="200"/>
      <c r="U611" s="152"/>
      <c r="V611" s="152"/>
      <c r="W611" s="157"/>
      <c r="AA611" s="156"/>
    </row>
    <row r="612" ht="15.75" customHeight="1">
      <c r="B612" s="199"/>
      <c r="N612" s="152"/>
      <c r="Q612" s="195"/>
      <c r="S612" s="200"/>
      <c r="T612" s="200"/>
      <c r="U612" s="152"/>
      <c r="V612" s="152"/>
      <c r="W612" s="157"/>
      <c r="AA612" s="156"/>
    </row>
    <row r="613" ht="15.75" customHeight="1">
      <c r="B613" s="199"/>
      <c r="N613" s="152"/>
      <c r="Q613" s="195"/>
      <c r="S613" s="200"/>
      <c r="T613" s="200"/>
      <c r="U613" s="152"/>
      <c r="V613" s="152"/>
      <c r="W613" s="157"/>
      <c r="AA613" s="156"/>
    </row>
    <row r="614" ht="15.75" customHeight="1">
      <c r="B614" s="199"/>
      <c r="N614" s="152"/>
      <c r="Q614" s="195"/>
      <c r="S614" s="200"/>
      <c r="T614" s="200"/>
      <c r="U614" s="152"/>
      <c r="V614" s="152"/>
      <c r="W614" s="157"/>
      <c r="AA614" s="156"/>
    </row>
    <row r="615" ht="15.75" customHeight="1">
      <c r="B615" s="199"/>
      <c r="N615" s="152"/>
      <c r="Q615" s="195"/>
      <c r="S615" s="200"/>
      <c r="T615" s="200"/>
      <c r="U615" s="152"/>
      <c r="V615" s="152"/>
      <c r="W615" s="157"/>
      <c r="AA615" s="156"/>
    </row>
    <row r="616" ht="15.75" customHeight="1">
      <c r="B616" s="199"/>
      <c r="N616" s="152"/>
      <c r="Q616" s="195"/>
      <c r="S616" s="200"/>
      <c r="T616" s="200"/>
      <c r="U616" s="152"/>
      <c r="V616" s="152"/>
      <c r="W616" s="157"/>
      <c r="AA616" s="156"/>
    </row>
    <row r="617" ht="15.75" customHeight="1">
      <c r="B617" s="199"/>
      <c r="N617" s="152"/>
      <c r="Q617" s="195"/>
      <c r="S617" s="200"/>
      <c r="T617" s="200"/>
      <c r="U617" s="152"/>
      <c r="V617" s="152"/>
      <c r="W617" s="157"/>
      <c r="AA617" s="156"/>
    </row>
    <row r="618" ht="15.75" customHeight="1">
      <c r="B618" s="199"/>
      <c r="N618" s="152"/>
      <c r="Q618" s="195"/>
      <c r="S618" s="200"/>
      <c r="T618" s="200"/>
      <c r="U618" s="152"/>
      <c r="V618" s="152"/>
      <c r="W618" s="157"/>
      <c r="AA618" s="156"/>
    </row>
    <row r="619" ht="15.75" customHeight="1">
      <c r="B619" s="199"/>
      <c r="N619" s="152"/>
      <c r="Q619" s="195"/>
      <c r="S619" s="200"/>
      <c r="T619" s="200"/>
      <c r="U619" s="152"/>
      <c r="V619" s="152"/>
      <c r="W619" s="157"/>
      <c r="AA619" s="156"/>
    </row>
    <row r="620" ht="15.75" customHeight="1">
      <c r="B620" s="199"/>
      <c r="N620" s="152"/>
      <c r="Q620" s="195"/>
      <c r="S620" s="200"/>
      <c r="T620" s="200"/>
      <c r="U620" s="152"/>
      <c r="V620" s="152"/>
      <c r="W620" s="157"/>
      <c r="AA620" s="156"/>
    </row>
    <row r="621" ht="15.75" customHeight="1">
      <c r="B621" s="199"/>
      <c r="N621" s="152"/>
      <c r="Q621" s="195"/>
      <c r="S621" s="200"/>
      <c r="T621" s="200"/>
      <c r="U621" s="152"/>
      <c r="V621" s="152"/>
      <c r="W621" s="157"/>
      <c r="AA621" s="156"/>
    </row>
    <row r="622" ht="15.75" customHeight="1">
      <c r="B622" s="199"/>
      <c r="N622" s="152"/>
      <c r="Q622" s="195"/>
      <c r="S622" s="200"/>
      <c r="T622" s="200"/>
      <c r="U622" s="152"/>
      <c r="V622" s="152"/>
      <c r="W622" s="157"/>
      <c r="AA622" s="156"/>
    </row>
    <row r="623" ht="15.75" customHeight="1">
      <c r="B623" s="199"/>
      <c r="N623" s="152"/>
      <c r="Q623" s="195"/>
      <c r="S623" s="200"/>
      <c r="T623" s="200"/>
      <c r="U623" s="152"/>
      <c r="V623" s="152"/>
      <c r="W623" s="157"/>
      <c r="AA623" s="156"/>
    </row>
    <row r="624" ht="15.75" customHeight="1">
      <c r="B624" s="199"/>
      <c r="N624" s="152"/>
      <c r="Q624" s="195"/>
      <c r="S624" s="200"/>
      <c r="T624" s="200"/>
      <c r="U624" s="152"/>
      <c r="V624" s="152"/>
      <c r="W624" s="157"/>
      <c r="AA624" s="156"/>
    </row>
    <row r="625" ht="15.75" customHeight="1">
      <c r="B625" s="199"/>
      <c r="N625" s="152"/>
      <c r="Q625" s="195"/>
      <c r="S625" s="200"/>
      <c r="T625" s="200"/>
      <c r="U625" s="152"/>
      <c r="V625" s="152"/>
      <c r="W625" s="157"/>
      <c r="AA625" s="156"/>
    </row>
    <row r="626" ht="15.75" customHeight="1">
      <c r="B626" s="199"/>
      <c r="N626" s="152"/>
      <c r="Q626" s="195"/>
      <c r="S626" s="200"/>
      <c r="T626" s="200"/>
      <c r="U626" s="152"/>
      <c r="V626" s="152"/>
      <c r="W626" s="157"/>
      <c r="AA626" s="156"/>
    </row>
    <row r="627" ht="15.75" customHeight="1">
      <c r="B627" s="199"/>
      <c r="N627" s="152"/>
      <c r="Q627" s="195"/>
      <c r="S627" s="200"/>
      <c r="T627" s="200"/>
      <c r="U627" s="152"/>
      <c r="V627" s="152"/>
      <c r="W627" s="157"/>
      <c r="AA627" s="156"/>
    </row>
    <row r="628" ht="15.75" customHeight="1">
      <c r="B628" s="199"/>
      <c r="N628" s="152"/>
      <c r="Q628" s="195"/>
      <c r="S628" s="200"/>
      <c r="T628" s="200"/>
      <c r="U628" s="152"/>
      <c r="V628" s="152"/>
      <c r="W628" s="157"/>
      <c r="AA628" s="156"/>
    </row>
    <row r="629" ht="15.75" customHeight="1">
      <c r="B629" s="199"/>
      <c r="N629" s="152"/>
      <c r="Q629" s="195"/>
      <c r="S629" s="200"/>
      <c r="T629" s="200"/>
      <c r="U629" s="152"/>
      <c r="V629" s="152"/>
      <c r="W629" s="157"/>
      <c r="AA629" s="156"/>
    </row>
    <row r="630" ht="15.75" customHeight="1">
      <c r="B630" s="199"/>
      <c r="N630" s="152"/>
      <c r="Q630" s="195"/>
      <c r="S630" s="200"/>
      <c r="T630" s="200"/>
      <c r="U630" s="152"/>
      <c r="V630" s="152"/>
      <c r="W630" s="157"/>
      <c r="AA630" s="156"/>
    </row>
    <row r="631" ht="15.75" customHeight="1">
      <c r="B631" s="199"/>
      <c r="N631" s="152"/>
      <c r="Q631" s="195"/>
      <c r="S631" s="200"/>
      <c r="T631" s="200"/>
      <c r="U631" s="152"/>
      <c r="V631" s="152"/>
      <c r="W631" s="157"/>
      <c r="AA631" s="156"/>
    </row>
    <row r="632" ht="15.75" customHeight="1">
      <c r="B632" s="199"/>
      <c r="N632" s="152"/>
      <c r="Q632" s="195"/>
      <c r="S632" s="200"/>
      <c r="T632" s="200"/>
      <c r="U632" s="152"/>
      <c r="V632" s="152"/>
      <c r="W632" s="157"/>
      <c r="AA632" s="156"/>
    </row>
    <row r="633" ht="15.75" customHeight="1">
      <c r="B633" s="199"/>
      <c r="N633" s="152"/>
      <c r="Q633" s="195"/>
      <c r="S633" s="200"/>
      <c r="T633" s="200"/>
      <c r="U633" s="152"/>
      <c r="V633" s="152"/>
      <c r="W633" s="157"/>
      <c r="AA633" s="156"/>
    </row>
    <row r="634" ht="15.75" customHeight="1">
      <c r="B634" s="199"/>
      <c r="N634" s="152"/>
      <c r="Q634" s="195"/>
      <c r="S634" s="200"/>
      <c r="T634" s="200"/>
      <c r="U634" s="152"/>
      <c r="V634" s="152"/>
      <c r="W634" s="157"/>
      <c r="AA634" s="156"/>
    </row>
    <row r="635" ht="15.75" customHeight="1">
      <c r="B635" s="199"/>
      <c r="N635" s="152"/>
      <c r="Q635" s="195"/>
      <c r="S635" s="200"/>
      <c r="T635" s="200"/>
      <c r="U635" s="152"/>
      <c r="V635" s="152"/>
      <c r="W635" s="157"/>
      <c r="AA635" s="156"/>
    </row>
    <row r="636" ht="15.75" customHeight="1">
      <c r="B636" s="199"/>
      <c r="N636" s="152"/>
      <c r="Q636" s="195"/>
      <c r="S636" s="200"/>
      <c r="T636" s="200"/>
      <c r="U636" s="152"/>
      <c r="V636" s="152"/>
      <c r="W636" s="157"/>
      <c r="AA636" s="156"/>
    </row>
    <row r="637" ht="15.75" customHeight="1">
      <c r="B637" s="199"/>
      <c r="N637" s="152"/>
      <c r="Q637" s="195"/>
      <c r="S637" s="200"/>
      <c r="T637" s="200"/>
      <c r="U637" s="152"/>
      <c r="V637" s="152"/>
      <c r="W637" s="157"/>
      <c r="AA637" s="156"/>
    </row>
    <row r="638" ht="15.75" customHeight="1">
      <c r="B638" s="199"/>
      <c r="N638" s="152"/>
      <c r="Q638" s="195"/>
      <c r="S638" s="200"/>
      <c r="T638" s="200"/>
      <c r="U638" s="152"/>
      <c r="V638" s="152"/>
      <c r="W638" s="157"/>
      <c r="AA638" s="156"/>
    </row>
    <row r="639" ht="15.75" customHeight="1">
      <c r="B639" s="199"/>
      <c r="N639" s="152"/>
      <c r="Q639" s="195"/>
      <c r="S639" s="200"/>
      <c r="T639" s="200"/>
      <c r="U639" s="152"/>
      <c r="V639" s="152"/>
      <c r="W639" s="157"/>
      <c r="AA639" s="156"/>
    </row>
    <row r="640" ht="15.75" customHeight="1">
      <c r="B640" s="199"/>
      <c r="N640" s="152"/>
      <c r="Q640" s="195"/>
      <c r="S640" s="200"/>
      <c r="T640" s="200"/>
      <c r="U640" s="152"/>
      <c r="V640" s="152"/>
      <c r="W640" s="157"/>
      <c r="AA640" s="156"/>
    </row>
    <row r="641" ht="15.75" customHeight="1">
      <c r="B641" s="199"/>
      <c r="N641" s="152"/>
      <c r="Q641" s="195"/>
      <c r="S641" s="200"/>
      <c r="T641" s="200"/>
      <c r="U641" s="152"/>
      <c r="V641" s="152"/>
      <c r="W641" s="157"/>
      <c r="AA641" s="156"/>
    </row>
    <row r="642" ht="15.75" customHeight="1">
      <c r="B642" s="199"/>
      <c r="N642" s="152"/>
      <c r="Q642" s="195"/>
      <c r="S642" s="200"/>
      <c r="T642" s="200"/>
      <c r="U642" s="152"/>
      <c r="V642" s="152"/>
      <c r="W642" s="157"/>
      <c r="AA642" s="156"/>
    </row>
    <row r="643" ht="15.75" customHeight="1">
      <c r="B643" s="199"/>
      <c r="N643" s="152"/>
      <c r="Q643" s="195"/>
      <c r="S643" s="200"/>
      <c r="T643" s="200"/>
      <c r="U643" s="152"/>
      <c r="V643" s="152"/>
      <c r="W643" s="157"/>
      <c r="AA643" s="156"/>
    </row>
    <row r="644" ht="15.75" customHeight="1">
      <c r="B644" s="199"/>
      <c r="N644" s="152"/>
      <c r="Q644" s="195"/>
      <c r="S644" s="200"/>
      <c r="T644" s="200"/>
      <c r="U644" s="152"/>
      <c r="V644" s="152"/>
      <c r="W644" s="157"/>
      <c r="AA644" s="156"/>
    </row>
    <row r="645" ht="15.75" customHeight="1">
      <c r="B645" s="199"/>
      <c r="N645" s="152"/>
      <c r="Q645" s="195"/>
      <c r="S645" s="200"/>
      <c r="T645" s="200"/>
      <c r="U645" s="152"/>
      <c r="V645" s="152"/>
      <c r="W645" s="157"/>
      <c r="AA645" s="156"/>
    </row>
    <row r="646" ht="15.75" customHeight="1">
      <c r="B646" s="199"/>
      <c r="N646" s="152"/>
      <c r="Q646" s="195"/>
      <c r="S646" s="200"/>
      <c r="T646" s="200"/>
      <c r="U646" s="152"/>
      <c r="V646" s="152"/>
      <c r="W646" s="157"/>
      <c r="AA646" s="156"/>
    </row>
    <row r="647" ht="15.75" customHeight="1">
      <c r="B647" s="199"/>
      <c r="N647" s="152"/>
      <c r="Q647" s="195"/>
      <c r="S647" s="200"/>
      <c r="T647" s="200"/>
      <c r="U647" s="152"/>
      <c r="V647" s="152"/>
      <c r="W647" s="157"/>
      <c r="AA647" s="156"/>
    </row>
    <row r="648" ht="15.75" customHeight="1">
      <c r="B648" s="199"/>
      <c r="N648" s="152"/>
      <c r="Q648" s="195"/>
      <c r="S648" s="200"/>
      <c r="T648" s="200"/>
      <c r="U648" s="152"/>
      <c r="V648" s="152"/>
      <c r="W648" s="157"/>
      <c r="AA648" s="156"/>
    </row>
    <row r="649" ht="15.75" customHeight="1">
      <c r="B649" s="199"/>
      <c r="N649" s="152"/>
      <c r="Q649" s="195"/>
      <c r="S649" s="200"/>
      <c r="T649" s="200"/>
      <c r="U649" s="152"/>
      <c r="V649" s="152"/>
      <c r="W649" s="157"/>
      <c r="AA649" s="156"/>
    </row>
    <row r="650" ht="15.75" customHeight="1">
      <c r="B650" s="199"/>
      <c r="N650" s="152"/>
      <c r="Q650" s="195"/>
      <c r="S650" s="200"/>
      <c r="T650" s="200"/>
      <c r="U650" s="152"/>
      <c r="V650" s="152"/>
      <c r="W650" s="157"/>
      <c r="AA650" s="156"/>
    </row>
    <row r="651" ht="15.75" customHeight="1">
      <c r="B651" s="199"/>
      <c r="N651" s="152"/>
      <c r="Q651" s="195"/>
      <c r="S651" s="200"/>
      <c r="T651" s="200"/>
      <c r="U651" s="152"/>
      <c r="V651" s="152"/>
      <c r="W651" s="157"/>
      <c r="AA651" s="156"/>
    </row>
    <row r="652" ht="15.75" customHeight="1">
      <c r="B652" s="199"/>
      <c r="N652" s="152"/>
      <c r="Q652" s="195"/>
      <c r="S652" s="200"/>
      <c r="T652" s="200"/>
      <c r="U652" s="152"/>
      <c r="V652" s="152"/>
      <c r="W652" s="157"/>
      <c r="AA652" s="156"/>
    </row>
    <row r="653" ht="15.75" customHeight="1">
      <c r="B653" s="199"/>
      <c r="N653" s="152"/>
      <c r="Q653" s="195"/>
      <c r="S653" s="200"/>
      <c r="T653" s="200"/>
      <c r="U653" s="152"/>
      <c r="V653" s="152"/>
      <c r="W653" s="157"/>
      <c r="AA653" s="156"/>
    </row>
    <row r="654" ht="15.75" customHeight="1">
      <c r="B654" s="199"/>
      <c r="N654" s="152"/>
      <c r="Q654" s="195"/>
      <c r="S654" s="200"/>
      <c r="T654" s="200"/>
      <c r="U654" s="152"/>
      <c r="V654" s="152"/>
      <c r="W654" s="157"/>
      <c r="AA654" s="156"/>
    </row>
    <row r="655" ht="15.75" customHeight="1">
      <c r="B655" s="199"/>
      <c r="N655" s="152"/>
      <c r="Q655" s="195"/>
      <c r="S655" s="200"/>
      <c r="T655" s="200"/>
      <c r="U655" s="152"/>
      <c r="V655" s="152"/>
      <c r="W655" s="157"/>
      <c r="AA655" s="156"/>
    </row>
    <row r="656" ht="15.75" customHeight="1">
      <c r="B656" s="199"/>
      <c r="N656" s="152"/>
      <c r="Q656" s="195"/>
      <c r="S656" s="200"/>
      <c r="T656" s="200"/>
      <c r="U656" s="152"/>
      <c r="V656" s="152"/>
      <c r="W656" s="157"/>
      <c r="AA656" s="156"/>
    </row>
    <row r="657" ht="15.75" customHeight="1">
      <c r="B657" s="199"/>
      <c r="N657" s="152"/>
      <c r="Q657" s="195"/>
      <c r="S657" s="200"/>
      <c r="T657" s="200"/>
      <c r="U657" s="152"/>
      <c r="V657" s="152"/>
      <c r="W657" s="157"/>
      <c r="AA657" s="156"/>
    </row>
    <row r="658" ht="15.75" customHeight="1">
      <c r="B658" s="199"/>
      <c r="N658" s="152"/>
      <c r="Q658" s="195"/>
      <c r="S658" s="200"/>
      <c r="T658" s="200"/>
      <c r="U658" s="152"/>
      <c r="V658" s="152"/>
      <c r="W658" s="157"/>
      <c r="AA658" s="156"/>
    </row>
    <row r="659" ht="15.75" customHeight="1">
      <c r="B659" s="199"/>
      <c r="N659" s="152"/>
      <c r="Q659" s="195"/>
      <c r="S659" s="200"/>
      <c r="T659" s="200"/>
      <c r="U659" s="152"/>
      <c r="V659" s="152"/>
      <c r="W659" s="157"/>
      <c r="AA659" s="156"/>
    </row>
    <row r="660" ht="15.75" customHeight="1">
      <c r="B660" s="199"/>
      <c r="N660" s="152"/>
      <c r="Q660" s="195"/>
      <c r="S660" s="200"/>
      <c r="T660" s="200"/>
      <c r="U660" s="152"/>
      <c r="V660" s="152"/>
      <c r="W660" s="157"/>
      <c r="AA660" s="156"/>
    </row>
    <row r="661" ht="15.75" customHeight="1">
      <c r="B661" s="199"/>
      <c r="N661" s="152"/>
      <c r="Q661" s="195"/>
      <c r="S661" s="200"/>
      <c r="T661" s="200"/>
      <c r="U661" s="152"/>
      <c r="V661" s="152"/>
      <c r="W661" s="157"/>
      <c r="AA661" s="156"/>
    </row>
    <row r="662" ht="15.75" customHeight="1">
      <c r="B662" s="199"/>
      <c r="N662" s="152"/>
      <c r="Q662" s="195"/>
      <c r="S662" s="200"/>
      <c r="T662" s="200"/>
      <c r="U662" s="152"/>
      <c r="V662" s="152"/>
      <c r="W662" s="157"/>
      <c r="AA662" s="156"/>
    </row>
    <row r="663" ht="15.75" customHeight="1">
      <c r="B663" s="199"/>
      <c r="N663" s="152"/>
      <c r="Q663" s="195"/>
      <c r="S663" s="200"/>
      <c r="T663" s="200"/>
      <c r="U663" s="152"/>
      <c r="V663" s="152"/>
      <c r="W663" s="157"/>
      <c r="AA663" s="156"/>
    </row>
    <row r="664" ht="15.75" customHeight="1">
      <c r="B664" s="199"/>
      <c r="N664" s="152"/>
      <c r="Q664" s="195"/>
      <c r="S664" s="200"/>
      <c r="T664" s="200"/>
      <c r="U664" s="152"/>
      <c r="V664" s="152"/>
      <c r="W664" s="157"/>
      <c r="AA664" s="156"/>
    </row>
    <row r="665" ht="15.75" customHeight="1">
      <c r="B665" s="199"/>
      <c r="N665" s="152"/>
      <c r="Q665" s="195"/>
      <c r="S665" s="200"/>
      <c r="T665" s="200"/>
      <c r="U665" s="152"/>
      <c r="V665" s="152"/>
      <c r="W665" s="157"/>
      <c r="AA665" s="156"/>
    </row>
    <row r="666" ht="15.75" customHeight="1">
      <c r="B666" s="199"/>
      <c r="N666" s="152"/>
      <c r="Q666" s="195"/>
      <c r="S666" s="200"/>
      <c r="T666" s="200"/>
      <c r="U666" s="152"/>
      <c r="V666" s="152"/>
      <c r="W666" s="157"/>
      <c r="AA666" s="156"/>
    </row>
    <row r="667" ht="15.75" customHeight="1">
      <c r="B667" s="199"/>
      <c r="N667" s="152"/>
      <c r="Q667" s="195"/>
      <c r="S667" s="200"/>
      <c r="T667" s="200"/>
      <c r="U667" s="152"/>
      <c r="V667" s="152"/>
      <c r="W667" s="157"/>
      <c r="AA667" s="156"/>
    </row>
    <row r="668" ht="15.75" customHeight="1">
      <c r="B668" s="199"/>
      <c r="N668" s="152"/>
      <c r="Q668" s="195"/>
      <c r="S668" s="200"/>
      <c r="T668" s="200"/>
      <c r="U668" s="152"/>
      <c r="V668" s="152"/>
      <c r="W668" s="157"/>
      <c r="AA668" s="156"/>
    </row>
    <row r="669" ht="15.75" customHeight="1">
      <c r="B669" s="199"/>
      <c r="N669" s="152"/>
      <c r="Q669" s="195"/>
      <c r="S669" s="200"/>
      <c r="T669" s="200"/>
      <c r="U669" s="152"/>
      <c r="V669" s="152"/>
      <c r="W669" s="157"/>
      <c r="AA669" s="156"/>
    </row>
    <row r="670" ht="15.75" customHeight="1">
      <c r="B670" s="199"/>
      <c r="N670" s="152"/>
      <c r="Q670" s="195"/>
      <c r="S670" s="200"/>
      <c r="T670" s="200"/>
      <c r="U670" s="152"/>
      <c r="V670" s="152"/>
      <c r="W670" s="157"/>
      <c r="AA670" s="156"/>
    </row>
    <row r="671" ht="15.75" customHeight="1">
      <c r="B671" s="199"/>
      <c r="N671" s="152"/>
      <c r="Q671" s="195"/>
      <c r="S671" s="200"/>
      <c r="T671" s="200"/>
      <c r="U671" s="152"/>
      <c r="V671" s="152"/>
      <c r="W671" s="157"/>
      <c r="AA671" s="156"/>
    </row>
    <row r="672" ht="15.75" customHeight="1">
      <c r="B672" s="199"/>
      <c r="N672" s="152"/>
      <c r="Q672" s="195"/>
      <c r="S672" s="200"/>
      <c r="T672" s="200"/>
      <c r="U672" s="152"/>
      <c r="V672" s="152"/>
      <c r="W672" s="157"/>
      <c r="AA672" s="156"/>
    </row>
    <row r="673" ht="15.75" customHeight="1">
      <c r="B673" s="199"/>
      <c r="N673" s="152"/>
      <c r="Q673" s="195"/>
      <c r="S673" s="200"/>
      <c r="T673" s="200"/>
      <c r="U673" s="152"/>
      <c r="V673" s="152"/>
      <c r="W673" s="157"/>
      <c r="AA673" s="156"/>
    </row>
    <row r="674" ht="15.75" customHeight="1">
      <c r="B674" s="199"/>
      <c r="N674" s="152"/>
      <c r="Q674" s="195"/>
      <c r="S674" s="200"/>
      <c r="T674" s="200"/>
      <c r="U674" s="152"/>
      <c r="V674" s="152"/>
      <c r="W674" s="157"/>
      <c r="AA674" s="156"/>
    </row>
    <row r="675" ht="15.75" customHeight="1">
      <c r="B675" s="199"/>
      <c r="N675" s="152"/>
      <c r="Q675" s="195"/>
      <c r="S675" s="200"/>
      <c r="T675" s="200"/>
      <c r="U675" s="152"/>
      <c r="V675" s="152"/>
      <c r="W675" s="157"/>
      <c r="AA675" s="156"/>
    </row>
    <row r="676" ht="15.75" customHeight="1">
      <c r="B676" s="199"/>
      <c r="N676" s="152"/>
      <c r="Q676" s="195"/>
      <c r="S676" s="200"/>
      <c r="T676" s="200"/>
      <c r="U676" s="152"/>
      <c r="V676" s="152"/>
      <c r="W676" s="157"/>
      <c r="AA676" s="156"/>
    </row>
    <row r="677" ht="15.75" customHeight="1">
      <c r="B677" s="199"/>
      <c r="N677" s="152"/>
      <c r="Q677" s="195"/>
      <c r="S677" s="200"/>
      <c r="T677" s="200"/>
      <c r="U677" s="152"/>
      <c r="V677" s="152"/>
      <c r="W677" s="157"/>
      <c r="AA677" s="156"/>
    </row>
    <row r="678" ht="15.75" customHeight="1">
      <c r="B678" s="199"/>
      <c r="N678" s="152"/>
      <c r="Q678" s="195"/>
      <c r="S678" s="200"/>
      <c r="T678" s="200"/>
      <c r="U678" s="152"/>
      <c r="V678" s="152"/>
      <c r="W678" s="157"/>
      <c r="AA678" s="156"/>
    </row>
    <row r="679" ht="15.75" customHeight="1">
      <c r="B679" s="199"/>
      <c r="N679" s="152"/>
      <c r="Q679" s="195"/>
      <c r="S679" s="200"/>
      <c r="T679" s="200"/>
      <c r="U679" s="152"/>
      <c r="V679" s="152"/>
      <c r="W679" s="157"/>
      <c r="AA679" s="156"/>
    </row>
    <row r="680" ht="15.75" customHeight="1">
      <c r="B680" s="199"/>
      <c r="N680" s="152"/>
      <c r="Q680" s="195"/>
      <c r="S680" s="200"/>
      <c r="T680" s="200"/>
      <c r="U680" s="152"/>
      <c r="V680" s="152"/>
      <c r="W680" s="157"/>
      <c r="AA680" s="156"/>
    </row>
    <row r="681" ht="15.75" customHeight="1">
      <c r="B681" s="199"/>
      <c r="N681" s="152"/>
      <c r="Q681" s="195"/>
      <c r="S681" s="200"/>
      <c r="T681" s="200"/>
      <c r="U681" s="152"/>
      <c r="V681" s="152"/>
      <c r="W681" s="157"/>
      <c r="AA681" s="156"/>
    </row>
    <row r="682" ht="15.75" customHeight="1">
      <c r="B682" s="199"/>
      <c r="N682" s="152"/>
      <c r="Q682" s="195"/>
      <c r="S682" s="200"/>
      <c r="T682" s="200"/>
      <c r="U682" s="152"/>
      <c r="V682" s="152"/>
      <c r="W682" s="157"/>
      <c r="AA682" s="156"/>
    </row>
    <row r="683" ht="15.75" customHeight="1">
      <c r="B683" s="199"/>
      <c r="N683" s="152"/>
      <c r="Q683" s="195"/>
      <c r="S683" s="200"/>
      <c r="T683" s="200"/>
      <c r="U683" s="152"/>
      <c r="V683" s="152"/>
      <c r="W683" s="157"/>
      <c r="AA683" s="156"/>
    </row>
    <row r="684" ht="15.75" customHeight="1">
      <c r="B684" s="199"/>
      <c r="N684" s="152"/>
      <c r="Q684" s="195"/>
      <c r="S684" s="200"/>
      <c r="T684" s="200"/>
      <c r="U684" s="152"/>
      <c r="V684" s="152"/>
      <c r="W684" s="157"/>
      <c r="AA684" s="156"/>
    </row>
    <row r="685" ht="15.75" customHeight="1">
      <c r="B685" s="199"/>
      <c r="N685" s="152"/>
      <c r="Q685" s="195"/>
      <c r="S685" s="200"/>
      <c r="T685" s="200"/>
      <c r="U685" s="152"/>
      <c r="V685" s="152"/>
      <c r="W685" s="157"/>
      <c r="AA685" s="156"/>
    </row>
    <row r="686" ht="15.75" customHeight="1">
      <c r="B686" s="199"/>
      <c r="N686" s="152"/>
      <c r="Q686" s="195"/>
      <c r="S686" s="200"/>
      <c r="T686" s="200"/>
      <c r="U686" s="152"/>
      <c r="V686" s="152"/>
      <c r="W686" s="157"/>
      <c r="AA686" s="156"/>
    </row>
    <row r="687" ht="15.75" customHeight="1">
      <c r="B687" s="199"/>
      <c r="N687" s="152"/>
      <c r="Q687" s="195"/>
      <c r="S687" s="200"/>
      <c r="T687" s="200"/>
      <c r="U687" s="152"/>
      <c r="V687" s="152"/>
      <c r="W687" s="157"/>
      <c r="AA687" s="156"/>
    </row>
    <row r="688" ht="15.75" customHeight="1">
      <c r="B688" s="199"/>
      <c r="N688" s="152"/>
      <c r="Q688" s="195"/>
      <c r="S688" s="200"/>
      <c r="T688" s="200"/>
      <c r="U688" s="152"/>
      <c r="V688" s="152"/>
      <c r="W688" s="157"/>
      <c r="AA688" s="156"/>
    </row>
    <row r="689" ht="15.75" customHeight="1">
      <c r="B689" s="199"/>
      <c r="N689" s="152"/>
      <c r="Q689" s="195"/>
      <c r="S689" s="200"/>
      <c r="T689" s="200"/>
      <c r="U689" s="152"/>
      <c r="V689" s="152"/>
      <c r="W689" s="157"/>
      <c r="AA689" s="156"/>
    </row>
    <row r="690" ht="15.75" customHeight="1">
      <c r="B690" s="199"/>
      <c r="N690" s="152"/>
      <c r="Q690" s="195"/>
      <c r="S690" s="200"/>
      <c r="T690" s="200"/>
      <c r="U690" s="152"/>
      <c r="V690" s="152"/>
      <c r="W690" s="157"/>
      <c r="AA690" s="156"/>
    </row>
    <row r="691" ht="15.75" customHeight="1">
      <c r="B691" s="199"/>
      <c r="N691" s="152"/>
      <c r="Q691" s="195"/>
      <c r="S691" s="200"/>
      <c r="T691" s="200"/>
      <c r="U691" s="152"/>
      <c r="V691" s="152"/>
      <c r="W691" s="157"/>
      <c r="AA691" s="156"/>
    </row>
    <row r="692" ht="15.75" customHeight="1">
      <c r="B692" s="199"/>
      <c r="N692" s="152"/>
      <c r="Q692" s="195"/>
      <c r="S692" s="200"/>
      <c r="T692" s="200"/>
      <c r="U692" s="152"/>
      <c r="V692" s="152"/>
      <c r="W692" s="157"/>
      <c r="AA692" s="156"/>
    </row>
    <row r="693" ht="15.75" customHeight="1">
      <c r="B693" s="199"/>
      <c r="N693" s="152"/>
      <c r="Q693" s="195"/>
      <c r="S693" s="200"/>
      <c r="T693" s="200"/>
      <c r="U693" s="152"/>
      <c r="V693" s="152"/>
      <c r="W693" s="157"/>
      <c r="AA693" s="156"/>
    </row>
    <row r="694" ht="15.75" customHeight="1">
      <c r="B694" s="199"/>
      <c r="N694" s="152"/>
      <c r="Q694" s="195"/>
      <c r="S694" s="200"/>
      <c r="T694" s="200"/>
      <c r="U694" s="152"/>
      <c r="V694" s="152"/>
      <c r="W694" s="157"/>
      <c r="AA694" s="156"/>
    </row>
    <row r="695" ht="15.75" customHeight="1">
      <c r="B695" s="199"/>
      <c r="N695" s="152"/>
      <c r="Q695" s="195"/>
      <c r="S695" s="200"/>
      <c r="T695" s="200"/>
      <c r="U695" s="152"/>
      <c r="V695" s="152"/>
      <c r="W695" s="157"/>
      <c r="AA695" s="156"/>
    </row>
    <row r="696" ht="15.75" customHeight="1">
      <c r="B696" s="199"/>
      <c r="N696" s="152"/>
      <c r="Q696" s="195"/>
      <c r="S696" s="200"/>
      <c r="T696" s="200"/>
      <c r="U696" s="152"/>
      <c r="V696" s="152"/>
      <c r="W696" s="157"/>
      <c r="AA696" s="156"/>
    </row>
    <row r="697" ht="15.75" customHeight="1">
      <c r="B697" s="199"/>
      <c r="N697" s="152"/>
      <c r="Q697" s="195"/>
      <c r="S697" s="200"/>
      <c r="T697" s="200"/>
      <c r="U697" s="152"/>
      <c r="V697" s="152"/>
      <c r="W697" s="157"/>
      <c r="AA697" s="156"/>
    </row>
    <row r="698" ht="15.75" customHeight="1">
      <c r="B698" s="199"/>
      <c r="N698" s="152"/>
      <c r="Q698" s="195"/>
      <c r="S698" s="200"/>
      <c r="T698" s="200"/>
      <c r="U698" s="152"/>
      <c r="V698" s="152"/>
      <c r="W698" s="157"/>
      <c r="AA698" s="156"/>
    </row>
    <row r="699" ht="15.75" customHeight="1">
      <c r="B699" s="199"/>
      <c r="N699" s="152"/>
      <c r="Q699" s="195"/>
      <c r="S699" s="200"/>
      <c r="T699" s="200"/>
      <c r="U699" s="152"/>
      <c r="V699" s="152"/>
      <c r="W699" s="157"/>
      <c r="AA699" s="156"/>
    </row>
    <row r="700" ht="15.75" customHeight="1">
      <c r="B700" s="199"/>
      <c r="N700" s="152"/>
      <c r="Q700" s="195"/>
      <c r="S700" s="200"/>
      <c r="T700" s="200"/>
      <c r="U700" s="152"/>
      <c r="V700" s="152"/>
      <c r="W700" s="157"/>
      <c r="AA700" s="156"/>
    </row>
    <row r="701" ht="15.75" customHeight="1">
      <c r="B701" s="199"/>
      <c r="N701" s="152"/>
      <c r="Q701" s="195"/>
      <c r="S701" s="200"/>
      <c r="T701" s="200"/>
      <c r="U701" s="152"/>
      <c r="V701" s="152"/>
      <c r="W701" s="157"/>
      <c r="AA701" s="156"/>
    </row>
    <row r="702" ht="15.75" customHeight="1">
      <c r="B702" s="199"/>
      <c r="N702" s="152"/>
      <c r="Q702" s="195"/>
      <c r="S702" s="200"/>
      <c r="T702" s="200"/>
      <c r="U702" s="152"/>
      <c r="V702" s="152"/>
      <c r="W702" s="157"/>
      <c r="AA702" s="156"/>
    </row>
    <row r="703" ht="15.75" customHeight="1">
      <c r="B703" s="199"/>
      <c r="N703" s="152"/>
      <c r="Q703" s="195"/>
      <c r="S703" s="200"/>
      <c r="T703" s="200"/>
      <c r="U703" s="152"/>
      <c r="V703" s="152"/>
      <c r="W703" s="157"/>
      <c r="AA703" s="156"/>
    </row>
    <row r="704" ht="15.75" customHeight="1">
      <c r="B704" s="199"/>
      <c r="N704" s="152"/>
      <c r="Q704" s="195"/>
      <c r="S704" s="200"/>
      <c r="T704" s="200"/>
      <c r="U704" s="152"/>
      <c r="V704" s="152"/>
      <c r="W704" s="157"/>
      <c r="AA704" s="156"/>
    </row>
    <row r="705" ht="15.75" customHeight="1">
      <c r="B705" s="199"/>
      <c r="N705" s="152"/>
      <c r="Q705" s="195"/>
      <c r="S705" s="200"/>
      <c r="T705" s="200"/>
      <c r="U705" s="152"/>
      <c r="V705" s="152"/>
      <c r="W705" s="157"/>
      <c r="AA705" s="156"/>
    </row>
    <row r="706" ht="15.75" customHeight="1">
      <c r="B706" s="199"/>
      <c r="N706" s="152"/>
      <c r="Q706" s="195"/>
      <c r="S706" s="200"/>
      <c r="T706" s="200"/>
      <c r="U706" s="152"/>
      <c r="V706" s="152"/>
      <c r="W706" s="157"/>
      <c r="AA706" s="156"/>
    </row>
    <row r="707" ht="15.75" customHeight="1">
      <c r="B707" s="199"/>
      <c r="N707" s="152"/>
      <c r="Q707" s="195"/>
      <c r="S707" s="200"/>
      <c r="T707" s="200"/>
      <c r="U707" s="152"/>
      <c r="V707" s="152"/>
      <c r="W707" s="157"/>
      <c r="AA707" s="156"/>
    </row>
    <row r="708" ht="15.75" customHeight="1">
      <c r="B708" s="199"/>
      <c r="N708" s="152"/>
      <c r="Q708" s="195"/>
      <c r="S708" s="200"/>
      <c r="T708" s="200"/>
      <c r="U708" s="152"/>
      <c r="V708" s="152"/>
      <c r="W708" s="157"/>
      <c r="AA708" s="156"/>
    </row>
    <row r="709" ht="15.75" customHeight="1">
      <c r="B709" s="199"/>
      <c r="N709" s="152"/>
      <c r="Q709" s="195"/>
      <c r="S709" s="200"/>
      <c r="T709" s="200"/>
      <c r="U709" s="152"/>
      <c r="V709" s="152"/>
      <c r="W709" s="157"/>
      <c r="AA709" s="156"/>
    </row>
    <row r="710" ht="15.75" customHeight="1">
      <c r="B710" s="199"/>
      <c r="N710" s="152"/>
      <c r="Q710" s="195"/>
      <c r="S710" s="200"/>
      <c r="T710" s="200"/>
      <c r="U710" s="152"/>
      <c r="V710" s="152"/>
      <c r="W710" s="157"/>
      <c r="AA710" s="156"/>
    </row>
    <row r="711" ht="15.75" customHeight="1">
      <c r="B711" s="199"/>
      <c r="N711" s="152"/>
      <c r="Q711" s="195"/>
      <c r="S711" s="200"/>
      <c r="T711" s="200"/>
      <c r="U711" s="152"/>
      <c r="V711" s="152"/>
      <c r="W711" s="157"/>
      <c r="AA711" s="156"/>
    </row>
    <row r="712" ht="15.75" customHeight="1">
      <c r="B712" s="199"/>
      <c r="N712" s="152"/>
      <c r="Q712" s="195"/>
      <c r="S712" s="200"/>
      <c r="T712" s="200"/>
      <c r="U712" s="152"/>
      <c r="V712" s="152"/>
      <c r="W712" s="157"/>
      <c r="AA712" s="156"/>
    </row>
    <row r="713" ht="15.75" customHeight="1">
      <c r="B713" s="199"/>
      <c r="N713" s="152"/>
      <c r="Q713" s="195"/>
      <c r="S713" s="200"/>
      <c r="T713" s="200"/>
      <c r="U713" s="152"/>
      <c r="V713" s="152"/>
      <c r="W713" s="157"/>
      <c r="AA713" s="156"/>
    </row>
    <row r="714" ht="15.75" customHeight="1">
      <c r="B714" s="199"/>
      <c r="N714" s="152"/>
      <c r="Q714" s="195"/>
      <c r="S714" s="200"/>
      <c r="T714" s="200"/>
      <c r="U714" s="152"/>
      <c r="V714" s="152"/>
      <c r="W714" s="157"/>
      <c r="AA714" s="156"/>
    </row>
    <row r="715" ht="15.75" customHeight="1">
      <c r="B715" s="199"/>
      <c r="N715" s="152"/>
      <c r="Q715" s="195"/>
      <c r="S715" s="200"/>
      <c r="T715" s="200"/>
      <c r="U715" s="152"/>
      <c r="V715" s="152"/>
      <c r="W715" s="157"/>
      <c r="AA715" s="156"/>
    </row>
    <row r="716" ht="15.75" customHeight="1">
      <c r="B716" s="199"/>
      <c r="N716" s="152"/>
      <c r="Q716" s="195"/>
      <c r="S716" s="200"/>
      <c r="T716" s="200"/>
      <c r="U716" s="152"/>
      <c r="V716" s="152"/>
      <c r="W716" s="157"/>
      <c r="AA716" s="156"/>
    </row>
    <row r="717" ht="15.75" customHeight="1">
      <c r="B717" s="199"/>
      <c r="N717" s="152"/>
      <c r="Q717" s="195"/>
      <c r="S717" s="200"/>
      <c r="T717" s="200"/>
      <c r="U717" s="152"/>
      <c r="V717" s="152"/>
      <c r="W717" s="157"/>
      <c r="AA717" s="156"/>
    </row>
    <row r="718" ht="15.75" customHeight="1">
      <c r="B718" s="199"/>
      <c r="N718" s="152"/>
      <c r="Q718" s="195"/>
      <c r="S718" s="200"/>
      <c r="T718" s="200"/>
      <c r="U718" s="152"/>
      <c r="V718" s="152"/>
      <c r="W718" s="157"/>
      <c r="AA718" s="156"/>
    </row>
    <row r="719" ht="15.75" customHeight="1">
      <c r="B719" s="199"/>
      <c r="N719" s="152"/>
      <c r="Q719" s="195"/>
      <c r="S719" s="200"/>
      <c r="T719" s="200"/>
      <c r="U719" s="152"/>
      <c r="V719" s="152"/>
      <c r="W719" s="157"/>
      <c r="AA719" s="156"/>
    </row>
    <row r="720" ht="15.75" customHeight="1">
      <c r="B720" s="199"/>
      <c r="N720" s="152"/>
      <c r="Q720" s="195"/>
      <c r="S720" s="200"/>
      <c r="T720" s="200"/>
      <c r="U720" s="152"/>
      <c r="V720" s="152"/>
      <c r="W720" s="157"/>
      <c r="AA720" s="156"/>
    </row>
    <row r="721" ht="15.75" customHeight="1">
      <c r="B721" s="199"/>
      <c r="N721" s="152"/>
      <c r="Q721" s="195"/>
      <c r="S721" s="200"/>
      <c r="T721" s="200"/>
      <c r="U721" s="152"/>
      <c r="V721" s="152"/>
      <c r="W721" s="157"/>
      <c r="AA721" s="156"/>
    </row>
    <row r="722" ht="15.75" customHeight="1">
      <c r="B722" s="199"/>
      <c r="N722" s="152"/>
      <c r="Q722" s="195"/>
      <c r="S722" s="200"/>
      <c r="T722" s="200"/>
      <c r="U722" s="152"/>
      <c r="V722" s="152"/>
      <c r="W722" s="157"/>
      <c r="AA722" s="156"/>
    </row>
    <row r="723" ht="15.75" customHeight="1">
      <c r="B723" s="199"/>
      <c r="N723" s="152"/>
      <c r="Q723" s="195"/>
      <c r="S723" s="200"/>
      <c r="T723" s="200"/>
      <c r="U723" s="152"/>
      <c r="V723" s="152"/>
      <c r="W723" s="157"/>
      <c r="AA723" s="156"/>
    </row>
    <row r="724" ht="15.75" customHeight="1">
      <c r="B724" s="199"/>
      <c r="N724" s="152"/>
      <c r="Q724" s="195"/>
      <c r="S724" s="200"/>
      <c r="T724" s="200"/>
      <c r="U724" s="152"/>
      <c r="V724" s="152"/>
      <c r="W724" s="157"/>
      <c r="AA724" s="156"/>
    </row>
    <row r="725" ht="15.75" customHeight="1">
      <c r="B725" s="199"/>
      <c r="N725" s="152"/>
      <c r="Q725" s="195"/>
      <c r="S725" s="200"/>
      <c r="T725" s="200"/>
      <c r="U725" s="152"/>
      <c r="V725" s="152"/>
      <c r="W725" s="157"/>
      <c r="AA725" s="156"/>
    </row>
    <row r="726" ht="15.75" customHeight="1">
      <c r="B726" s="199"/>
      <c r="N726" s="152"/>
      <c r="Q726" s="195"/>
      <c r="S726" s="200"/>
      <c r="T726" s="200"/>
      <c r="U726" s="152"/>
      <c r="V726" s="152"/>
      <c r="W726" s="157"/>
      <c r="AA726" s="156"/>
    </row>
    <row r="727" ht="15.75" customHeight="1">
      <c r="B727" s="199"/>
      <c r="N727" s="152"/>
      <c r="Q727" s="195"/>
      <c r="S727" s="200"/>
      <c r="T727" s="200"/>
      <c r="U727" s="152"/>
      <c r="V727" s="152"/>
      <c r="W727" s="157"/>
      <c r="AA727" s="156"/>
    </row>
    <row r="728" ht="15.75" customHeight="1">
      <c r="B728" s="199"/>
      <c r="N728" s="152"/>
      <c r="Q728" s="195"/>
      <c r="S728" s="200"/>
      <c r="T728" s="200"/>
      <c r="U728" s="152"/>
      <c r="V728" s="152"/>
      <c r="W728" s="157"/>
      <c r="AA728" s="156"/>
    </row>
    <row r="729" ht="15.75" customHeight="1">
      <c r="B729" s="199"/>
      <c r="N729" s="152"/>
      <c r="Q729" s="195"/>
      <c r="S729" s="200"/>
      <c r="T729" s="200"/>
      <c r="U729" s="152"/>
      <c r="V729" s="152"/>
      <c r="W729" s="157"/>
      <c r="AA729" s="156"/>
    </row>
    <row r="730" ht="15.75" customHeight="1">
      <c r="B730" s="199"/>
      <c r="N730" s="152"/>
      <c r="Q730" s="195"/>
      <c r="S730" s="200"/>
      <c r="T730" s="200"/>
      <c r="U730" s="152"/>
      <c r="V730" s="152"/>
      <c r="W730" s="157"/>
      <c r="AA730" s="156"/>
    </row>
    <row r="731" ht="15.75" customHeight="1">
      <c r="B731" s="199"/>
      <c r="N731" s="152"/>
      <c r="Q731" s="195"/>
      <c r="S731" s="200"/>
      <c r="T731" s="200"/>
      <c r="U731" s="152"/>
      <c r="V731" s="152"/>
      <c r="W731" s="157"/>
      <c r="AA731" s="156"/>
    </row>
    <row r="732" ht="15.75" customHeight="1">
      <c r="B732" s="199"/>
      <c r="N732" s="152"/>
      <c r="Q732" s="195"/>
      <c r="S732" s="200"/>
      <c r="T732" s="200"/>
      <c r="U732" s="152"/>
      <c r="V732" s="152"/>
      <c r="W732" s="157"/>
      <c r="AA732" s="156"/>
    </row>
    <row r="733" ht="15.75" customHeight="1">
      <c r="B733" s="199"/>
      <c r="N733" s="152"/>
      <c r="Q733" s="195"/>
      <c r="S733" s="200"/>
      <c r="T733" s="200"/>
      <c r="U733" s="152"/>
      <c r="V733" s="152"/>
      <c r="W733" s="157"/>
      <c r="AA733" s="156"/>
    </row>
    <row r="734" ht="15.75" customHeight="1">
      <c r="B734" s="199"/>
      <c r="N734" s="152"/>
      <c r="Q734" s="195"/>
      <c r="S734" s="200"/>
      <c r="T734" s="200"/>
      <c r="U734" s="152"/>
      <c r="V734" s="152"/>
      <c r="W734" s="157"/>
      <c r="AA734" s="156"/>
    </row>
    <row r="735" ht="15.75" customHeight="1">
      <c r="B735" s="199"/>
      <c r="N735" s="152"/>
      <c r="Q735" s="195"/>
      <c r="S735" s="200"/>
      <c r="T735" s="200"/>
      <c r="U735" s="152"/>
      <c r="V735" s="152"/>
      <c r="W735" s="157"/>
      <c r="AA735" s="156"/>
    </row>
    <row r="736" ht="15.75" customHeight="1">
      <c r="B736" s="199"/>
      <c r="N736" s="152"/>
      <c r="Q736" s="195"/>
      <c r="S736" s="200"/>
      <c r="T736" s="200"/>
      <c r="U736" s="152"/>
      <c r="V736" s="152"/>
      <c r="W736" s="157"/>
      <c r="AA736" s="156"/>
    </row>
    <row r="737" ht="15.75" customHeight="1">
      <c r="B737" s="199"/>
      <c r="N737" s="152"/>
      <c r="Q737" s="195"/>
      <c r="S737" s="200"/>
      <c r="T737" s="200"/>
      <c r="U737" s="152"/>
      <c r="V737" s="152"/>
      <c r="W737" s="157"/>
      <c r="AA737" s="156"/>
    </row>
    <row r="738" ht="15.75" customHeight="1">
      <c r="B738" s="199"/>
      <c r="N738" s="152"/>
      <c r="Q738" s="195"/>
      <c r="S738" s="200"/>
      <c r="T738" s="200"/>
      <c r="U738" s="152"/>
      <c r="V738" s="152"/>
      <c r="W738" s="157"/>
      <c r="AA738" s="156"/>
    </row>
    <row r="739" ht="15.75" customHeight="1">
      <c r="B739" s="199"/>
      <c r="N739" s="152"/>
      <c r="Q739" s="195"/>
      <c r="S739" s="200"/>
      <c r="T739" s="200"/>
      <c r="U739" s="152"/>
      <c r="V739" s="152"/>
      <c r="W739" s="157"/>
      <c r="AA739" s="156"/>
    </row>
    <row r="740" ht="15.75" customHeight="1">
      <c r="B740" s="199"/>
      <c r="N740" s="152"/>
      <c r="Q740" s="195"/>
      <c r="S740" s="200"/>
      <c r="T740" s="200"/>
      <c r="U740" s="152"/>
      <c r="V740" s="152"/>
      <c r="W740" s="157"/>
      <c r="AA740" s="156"/>
    </row>
    <row r="741" ht="15.75" customHeight="1">
      <c r="B741" s="199"/>
      <c r="N741" s="152"/>
      <c r="Q741" s="195"/>
      <c r="S741" s="200"/>
      <c r="T741" s="200"/>
      <c r="U741" s="152"/>
      <c r="V741" s="152"/>
      <c r="W741" s="157"/>
      <c r="AA741" s="156"/>
    </row>
    <row r="742" ht="15.75" customHeight="1">
      <c r="B742" s="199"/>
      <c r="N742" s="152"/>
      <c r="Q742" s="195"/>
      <c r="S742" s="200"/>
      <c r="T742" s="200"/>
      <c r="U742" s="152"/>
      <c r="V742" s="152"/>
      <c r="W742" s="157"/>
      <c r="AA742" s="156"/>
    </row>
    <row r="743" ht="15.75" customHeight="1">
      <c r="B743" s="199"/>
      <c r="N743" s="152"/>
      <c r="Q743" s="195"/>
      <c r="S743" s="200"/>
      <c r="T743" s="200"/>
      <c r="U743" s="152"/>
      <c r="V743" s="152"/>
      <c r="W743" s="157"/>
      <c r="AA743" s="156"/>
    </row>
    <row r="744" ht="15.75" customHeight="1">
      <c r="B744" s="199"/>
      <c r="N744" s="152"/>
      <c r="Q744" s="195"/>
      <c r="S744" s="200"/>
      <c r="T744" s="200"/>
      <c r="U744" s="152"/>
      <c r="V744" s="152"/>
      <c r="W744" s="157"/>
      <c r="AA744" s="156"/>
    </row>
    <row r="745" ht="15.75" customHeight="1">
      <c r="B745" s="199"/>
      <c r="N745" s="152"/>
      <c r="Q745" s="195"/>
      <c r="S745" s="200"/>
      <c r="T745" s="200"/>
      <c r="U745" s="152"/>
      <c r="V745" s="152"/>
      <c r="W745" s="157"/>
      <c r="AA745" s="156"/>
    </row>
    <row r="746" ht="15.75" customHeight="1">
      <c r="B746" s="199"/>
      <c r="N746" s="152"/>
      <c r="Q746" s="195"/>
      <c r="S746" s="200"/>
      <c r="T746" s="200"/>
      <c r="U746" s="152"/>
      <c r="V746" s="152"/>
      <c r="W746" s="157"/>
      <c r="AA746" s="156"/>
    </row>
    <row r="747" ht="15.75" customHeight="1">
      <c r="B747" s="199"/>
      <c r="N747" s="152"/>
      <c r="Q747" s="195"/>
      <c r="S747" s="200"/>
      <c r="T747" s="200"/>
      <c r="U747" s="152"/>
      <c r="V747" s="152"/>
      <c r="W747" s="157"/>
      <c r="AA747" s="156"/>
    </row>
    <row r="748" ht="15.75" customHeight="1">
      <c r="B748" s="199"/>
      <c r="N748" s="152"/>
      <c r="Q748" s="195"/>
      <c r="S748" s="200"/>
      <c r="T748" s="200"/>
      <c r="U748" s="152"/>
      <c r="V748" s="152"/>
      <c r="W748" s="157"/>
      <c r="AA748" s="156"/>
    </row>
    <row r="749" ht="15.75" customHeight="1">
      <c r="B749" s="199"/>
      <c r="N749" s="152"/>
      <c r="Q749" s="195"/>
      <c r="S749" s="200"/>
      <c r="T749" s="200"/>
      <c r="U749" s="152"/>
      <c r="V749" s="152"/>
      <c r="W749" s="157"/>
      <c r="AA749" s="156"/>
    </row>
    <row r="750" ht="15.75" customHeight="1">
      <c r="B750" s="199"/>
      <c r="N750" s="152"/>
      <c r="Q750" s="195"/>
      <c r="S750" s="200"/>
      <c r="T750" s="200"/>
      <c r="U750" s="152"/>
      <c r="V750" s="152"/>
      <c r="W750" s="157"/>
      <c r="AA750" s="156"/>
    </row>
    <row r="751" ht="15.75" customHeight="1">
      <c r="B751" s="199"/>
      <c r="N751" s="152"/>
      <c r="Q751" s="195"/>
      <c r="S751" s="200"/>
      <c r="T751" s="200"/>
      <c r="U751" s="152"/>
      <c r="V751" s="152"/>
      <c r="W751" s="157"/>
      <c r="AA751" s="156"/>
    </row>
    <row r="752" ht="15.75" customHeight="1">
      <c r="B752" s="199"/>
      <c r="N752" s="152"/>
      <c r="Q752" s="195"/>
      <c r="S752" s="200"/>
      <c r="T752" s="200"/>
      <c r="U752" s="152"/>
      <c r="V752" s="152"/>
      <c r="W752" s="157"/>
      <c r="AA752" s="156"/>
    </row>
    <row r="753" ht="15.75" customHeight="1">
      <c r="B753" s="199"/>
      <c r="N753" s="152"/>
      <c r="Q753" s="195"/>
      <c r="S753" s="200"/>
      <c r="T753" s="200"/>
      <c r="U753" s="152"/>
      <c r="V753" s="152"/>
      <c r="W753" s="157"/>
      <c r="AA753" s="156"/>
    </row>
    <row r="754" ht="15.75" customHeight="1">
      <c r="B754" s="199"/>
      <c r="N754" s="152"/>
      <c r="Q754" s="195"/>
      <c r="S754" s="200"/>
      <c r="T754" s="200"/>
      <c r="U754" s="152"/>
      <c r="V754" s="152"/>
      <c r="W754" s="157"/>
      <c r="AA754" s="156"/>
    </row>
    <row r="755" ht="15.75" customHeight="1">
      <c r="B755" s="199"/>
      <c r="N755" s="152"/>
      <c r="Q755" s="195"/>
      <c r="S755" s="200"/>
      <c r="T755" s="200"/>
      <c r="U755" s="152"/>
      <c r="V755" s="152"/>
      <c r="W755" s="157"/>
      <c r="AA755" s="156"/>
    </row>
    <row r="756" ht="15.75" customHeight="1">
      <c r="B756" s="199"/>
      <c r="N756" s="152"/>
      <c r="Q756" s="195"/>
      <c r="S756" s="200"/>
      <c r="T756" s="200"/>
      <c r="U756" s="152"/>
      <c r="V756" s="152"/>
      <c r="W756" s="157"/>
      <c r="AA756" s="156"/>
    </row>
    <row r="757" ht="15.75" customHeight="1">
      <c r="B757" s="199"/>
      <c r="N757" s="152"/>
      <c r="Q757" s="195"/>
      <c r="S757" s="200"/>
      <c r="T757" s="200"/>
      <c r="U757" s="152"/>
      <c r="V757" s="152"/>
      <c r="W757" s="157"/>
      <c r="AA757" s="156"/>
    </row>
    <row r="758" ht="15.75" customHeight="1">
      <c r="B758" s="199"/>
      <c r="N758" s="152"/>
      <c r="Q758" s="195"/>
      <c r="S758" s="200"/>
      <c r="T758" s="200"/>
      <c r="U758" s="152"/>
      <c r="V758" s="152"/>
      <c r="W758" s="157"/>
      <c r="AA758" s="156"/>
    </row>
    <row r="759" ht="15.75" customHeight="1">
      <c r="B759" s="199"/>
      <c r="N759" s="152"/>
      <c r="Q759" s="195"/>
      <c r="S759" s="200"/>
      <c r="T759" s="200"/>
      <c r="U759" s="152"/>
      <c r="V759" s="152"/>
      <c r="W759" s="157"/>
      <c r="AA759" s="156"/>
    </row>
    <row r="760" ht="15.75" customHeight="1">
      <c r="B760" s="199"/>
      <c r="N760" s="152"/>
      <c r="Q760" s="195"/>
      <c r="S760" s="200"/>
      <c r="T760" s="200"/>
      <c r="U760" s="152"/>
      <c r="V760" s="152"/>
      <c r="W760" s="157"/>
      <c r="AA760" s="156"/>
    </row>
    <row r="761" ht="15.75" customHeight="1">
      <c r="B761" s="199"/>
      <c r="N761" s="152"/>
      <c r="Q761" s="195"/>
      <c r="S761" s="200"/>
      <c r="T761" s="200"/>
      <c r="U761" s="152"/>
      <c r="V761" s="152"/>
      <c r="W761" s="157"/>
      <c r="AA761" s="156"/>
    </row>
    <row r="762" ht="15.75" customHeight="1">
      <c r="B762" s="199"/>
      <c r="N762" s="152"/>
      <c r="Q762" s="195"/>
      <c r="S762" s="200"/>
      <c r="T762" s="200"/>
      <c r="U762" s="152"/>
      <c r="V762" s="152"/>
      <c r="W762" s="157"/>
      <c r="AA762" s="156"/>
    </row>
    <row r="763" ht="15.75" customHeight="1">
      <c r="B763" s="199"/>
      <c r="N763" s="152"/>
      <c r="Q763" s="195"/>
      <c r="S763" s="200"/>
      <c r="T763" s="200"/>
      <c r="U763" s="152"/>
      <c r="V763" s="152"/>
      <c r="W763" s="157"/>
      <c r="AA763" s="156"/>
    </row>
    <row r="764" ht="15.75" customHeight="1">
      <c r="B764" s="199"/>
      <c r="N764" s="152"/>
      <c r="Q764" s="195"/>
      <c r="S764" s="200"/>
      <c r="T764" s="200"/>
      <c r="U764" s="152"/>
      <c r="V764" s="152"/>
      <c r="W764" s="157"/>
      <c r="AA764" s="156"/>
    </row>
    <row r="765" ht="15.75" customHeight="1">
      <c r="B765" s="199"/>
      <c r="N765" s="152"/>
      <c r="Q765" s="195"/>
      <c r="S765" s="200"/>
      <c r="T765" s="200"/>
      <c r="U765" s="152"/>
      <c r="V765" s="152"/>
      <c r="W765" s="157"/>
      <c r="AA765" s="156"/>
    </row>
    <row r="766" ht="15.75" customHeight="1">
      <c r="B766" s="199"/>
      <c r="N766" s="152"/>
      <c r="Q766" s="195"/>
      <c r="S766" s="200"/>
      <c r="T766" s="200"/>
      <c r="U766" s="152"/>
      <c r="V766" s="152"/>
      <c r="W766" s="157"/>
      <c r="AA766" s="156"/>
    </row>
    <row r="767" ht="15.75" customHeight="1">
      <c r="B767" s="199"/>
      <c r="N767" s="152"/>
      <c r="Q767" s="195"/>
      <c r="S767" s="200"/>
      <c r="T767" s="200"/>
      <c r="U767" s="152"/>
      <c r="V767" s="152"/>
      <c r="W767" s="157"/>
      <c r="AA767" s="156"/>
    </row>
    <row r="768" ht="15.75" customHeight="1">
      <c r="B768" s="199"/>
      <c r="N768" s="152"/>
      <c r="Q768" s="195"/>
      <c r="S768" s="200"/>
      <c r="T768" s="200"/>
      <c r="U768" s="152"/>
      <c r="V768" s="152"/>
      <c r="W768" s="157"/>
      <c r="AA768" s="156"/>
    </row>
    <row r="769" ht="15.75" customHeight="1">
      <c r="B769" s="199"/>
      <c r="N769" s="152"/>
      <c r="Q769" s="195"/>
      <c r="S769" s="200"/>
      <c r="T769" s="200"/>
      <c r="U769" s="152"/>
      <c r="V769" s="152"/>
      <c r="W769" s="157"/>
      <c r="AA769" s="156"/>
    </row>
    <row r="770" ht="15.75" customHeight="1">
      <c r="B770" s="199"/>
      <c r="N770" s="152"/>
      <c r="Q770" s="195"/>
      <c r="S770" s="200"/>
      <c r="T770" s="200"/>
      <c r="U770" s="152"/>
      <c r="V770" s="152"/>
      <c r="W770" s="157"/>
      <c r="AA770" s="156"/>
    </row>
    <row r="771" ht="15.75" customHeight="1">
      <c r="B771" s="199"/>
      <c r="N771" s="152"/>
      <c r="Q771" s="195"/>
      <c r="S771" s="200"/>
      <c r="T771" s="200"/>
      <c r="U771" s="152"/>
      <c r="V771" s="152"/>
      <c r="W771" s="157"/>
      <c r="AA771" s="156"/>
    </row>
    <row r="772" ht="15.75" customHeight="1">
      <c r="B772" s="199"/>
      <c r="N772" s="152"/>
      <c r="Q772" s="195"/>
      <c r="S772" s="200"/>
      <c r="T772" s="200"/>
      <c r="U772" s="152"/>
      <c r="V772" s="152"/>
      <c r="W772" s="157"/>
      <c r="AA772" s="156"/>
    </row>
    <row r="773" ht="15.75" customHeight="1">
      <c r="B773" s="199"/>
      <c r="N773" s="152"/>
      <c r="Q773" s="195"/>
      <c r="S773" s="200"/>
      <c r="T773" s="200"/>
      <c r="U773" s="152"/>
      <c r="V773" s="152"/>
      <c r="W773" s="157"/>
      <c r="AA773" s="156"/>
    </row>
    <row r="774" ht="15.75" customHeight="1">
      <c r="B774" s="199"/>
      <c r="N774" s="152"/>
      <c r="Q774" s="195"/>
      <c r="S774" s="200"/>
      <c r="T774" s="200"/>
      <c r="U774" s="152"/>
      <c r="V774" s="152"/>
      <c r="W774" s="157"/>
      <c r="AA774" s="156"/>
    </row>
    <row r="775" ht="15.75" customHeight="1">
      <c r="B775" s="199"/>
      <c r="N775" s="152"/>
      <c r="Q775" s="195"/>
      <c r="S775" s="200"/>
      <c r="T775" s="200"/>
      <c r="U775" s="152"/>
      <c r="V775" s="152"/>
      <c r="W775" s="157"/>
      <c r="AA775" s="156"/>
    </row>
    <row r="776" ht="15.75" customHeight="1">
      <c r="B776" s="199"/>
      <c r="N776" s="152"/>
      <c r="Q776" s="195"/>
      <c r="S776" s="200"/>
      <c r="T776" s="200"/>
      <c r="U776" s="152"/>
      <c r="V776" s="152"/>
      <c r="W776" s="157"/>
      <c r="AA776" s="156"/>
    </row>
    <row r="777" ht="15.75" customHeight="1">
      <c r="B777" s="199"/>
      <c r="N777" s="152"/>
      <c r="Q777" s="195"/>
      <c r="S777" s="200"/>
      <c r="T777" s="200"/>
      <c r="U777" s="152"/>
      <c r="V777" s="152"/>
      <c r="W777" s="157"/>
      <c r="AA777" s="156"/>
    </row>
    <row r="778" ht="15.75" customHeight="1">
      <c r="B778" s="199"/>
      <c r="N778" s="152"/>
      <c r="Q778" s="195"/>
      <c r="S778" s="200"/>
      <c r="T778" s="200"/>
      <c r="U778" s="152"/>
      <c r="V778" s="152"/>
      <c r="W778" s="157"/>
      <c r="AA778" s="156"/>
    </row>
    <row r="779" ht="15.75" customHeight="1">
      <c r="B779" s="199"/>
      <c r="N779" s="152"/>
      <c r="Q779" s="195"/>
      <c r="S779" s="200"/>
      <c r="T779" s="200"/>
      <c r="U779" s="152"/>
      <c r="V779" s="152"/>
      <c r="W779" s="157"/>
      <c r="AA779" s="156"/>
    </row>
    <row r="780" ht="15.75" customHeight="1">
      <c r="B780" s="199"/>
      <c r="N780" s="152"/>
      <c r="Q780" s="195"/>
      <c r="S780" s="200"/>
      <c r="T780" s="200"/>
      <c r="U780" s="152"/>
      <c r="V780" s="152"/>
      <c r="W780" s="157"/>
      <c r="AA780" s="156"/>
    </row>
    <row r="781" ht="15.75" customHeight="1">
      <c r="B781" s="199"/>
      <c r="N781" s="152"/>
      <c r="Q781" s="195"/>
      <c r="S781" s="200"/>
      <c r="T781" s="200"/>
      <c r="U781" s="152"/>
      <c r="V781" s="152"/>
      <c r="W781" s="157"/>
      <c r="AA781" s="156"/>
    </row>
    <row r="782" ht="15.75" customHeight="1">
      <c r="B782" s="199"/>
      <c r="N782" s="152"/>
      <c r="Q782" s="195"/>
      <c r="S782" s="200"/>
      <c r="T782" s="200"/>
      <c r="U782" s="152"/>
      <c r="V782" s="152"/>
      <c r="W782" s="157"/>
      <c r="AA782" s="156"/>
    </row>
    <row r="783" ht="15.75" customHeight="1">
      <c r="B783" s="199"/>
      <c r="N783" s="152"/>
      <c r="Q783" s="195"/>
      <c r="S783" s="200"/>
      <c r="T783" s="200"/>
      <c r="U783" s="152"/>
      <c r="V783" s="152"/>
      <c r="W783" s="157"/>
      <c r="AA783" s="156"/>
    </row>
    <row r="784" ht="15.75" customHeight="1">
      <c r="B784" s="199"/>
      <c r="N784" s="152"/>
      <c r="Q784" s="195"/>
      <c r="S784" s="200"/>
      <c r="T784" s="200"/>
      <c r="U784" s="152"/>
      <c r="V784" s="152"/>
      <c r="W784" s="157"/>
      <c r="AA784" s="156"/>
    </row>
    <row r="785" ht="15.75" customHeight="1">
      <c r="B785" s="199"/>
      <c r="N785" s="152"/>
      <c r="Q785" s="195"/>
      <c r="S785" s="200"/>
      <c r="T785" s="200"/>
      <c r="U785" s="152"/>
      <c r="V785" s="152"/>
      <c r="W785" s="157"/>
      <c r="AA785" s="156"/>
    </row>
    <row r="786" ht="15.75" customHeight="1">
      <c r="B786" s="199"/>
      <c r="N786" s="152"/>
      <c r="Q786" s="195"/>
      <c r="S786" s="200"/>
      <c r="T786" s="200"/>
      <c r="U786" s="152"/>
      <c r="V786" s="152"/>
      <c r="W786" s="157"/>
      <c r="AA786" s="156"/>
    </row>
    <row r="787" ht="15.75" customHeight="1">
      <c r="B787" s="199"/>
      <c r="N787" s="152"/>
      <c r="Q787" s="195"/>
      <c r="S787" s="200"/>
      <c r="T787" s="200"/>
      <c r="U787" s="152"/>
      <c r="V787" s="152"/>
      <c r="W787" s="157"/>
      <c r="AA787" s="156"/>
    </row>
    <row r="788" ht="15.75" customHeight="1">
      <c r="B788" s="199"/>
      <c r="N788" s="152"/>
      <c r="Q788" s="195"/>
      <c r="S788" s="200"/>
      <c r="T788" s="200"/>
      <c r="U788" s="152"/>
      <c r="V788" s="152"/>
      <c r="W788" s="157"/>
      <c r="AA788" s="156"/>
    </row>
    <row r="789" ht="15.75" customHeight="1">
      <c r="B789" s="199"/>
      <c r="N789" s="152"/>
      <c r="Q789" s="195"/>
      <c r="S789" s="200"/>
      <c r="T789" s="200"/>
      <c r="U789" s="152"/>
      <c r="V789" s="152"/>
      <c r="W789" s="157"/>
      <c r="AA789" s="156"/>
    </row>
    <row r="790" ht="15.75" customHeight="1">
      <c r="B790" s="199"/>
      <c r="N790" s="152"/>
      <c r="Q790" s="195"/>
      <c r="S790" s="200"/>
      <c r="T790" s="200"/>
      <c r="U790" s="152"/>
      <c r="V790" s="152"/>
      <c r="W790" s="157"/>
      <c r="AA790" s="156"/>
    </row>
    <row r="791" ht="15.75" customHeight="1">
      <c r="B791" s="199"/>
      <c r="N791" s="152"/>
      <c r="Q791" s="195"/>
      <c r="S791" s="200"/>
      <c r="T791" s="200"/>
      <c r="U791" s="152"/>
      <c r="V791" s="152"/>
      <c r="W791" s="157"/>
      <c r="AA791" s="156"/>
    </row>
    <row r="792" ht="15.75" customHeight="1">
      <c r="B792" s="199"/>
      <c r="N792" s="152"/>
      <c r="Q792" s="195"/>
      <c r="S792" s="200"/>
      <c r="T792" s="200"/>
      <c r="U792" s="152"/>
      <c r="V792" s="152"/>
      <c r="W792" s="157"/>
      <c r="AA792" s="156"/>
    </row>
    <row r="793" ht="15.75" customHeight="1">
      <c r="B793" s="199"/>
      <c r="N793" s="152"/>
      <c r="Q793" s="195"/>
      <c r="S793" s="200"/>
      <c r="T793" s="200"/>
      <c r="U793" s="152"/>
      <c r="V793" s="152"/>
      <c r="W793" s="157"/>
      <c r="AA793" s="156"/>
    </row>
    <row r="794" ht="15.75" customHeight="1">
      <c r="B794" s="199"/>
      <c r="N794" s="152"/>
      <c r="Q794" s="195"/>
      <c r="S794" s="200"/>
      <c r="T794" s="200"/>
      <c r="U794" s="152"/>
      <c r="V794" s="152"/>
      <c r="W794" s="157"/>
      <c r="AA794" s="156"/>
    </row>
    <row r="795" ht="15.75" customHeight="1">
      <c r="B795" s="199"/>
      <c r="N795" s="152"/>
      <c r="Q795" s="195"/>
      <c r="S795" s="200"/>
      <c r="T795" s="200"/>
      <c r="U795" s="152"/>
      <c r="V795" s="152"/>
      <c r="W795" s="157"/>
      <c r="AA795" s="156"/>
    </row>
    <row r="796" ht="15.75" customHeight="1">
      <c r="B796" s="199"/>
      <c r="N796" s="152"/>
      <c r="Q796" s="195"/>
      <c r="S796" s="200"/>
      <c r="T796" s="200"/>
      <c r="U796" s="152"/>
      <c r="V796" s="152"/>
      <c r="W796" s="157"/>
      <c r="AA796" s="156"/>
    </row>
    <row r="797" ht="15.75" customHeight="1">
      <c r="B797" s="199"/>
      <c r="N797" s="152"/>
      <c r="Q797" s="195"/>
      <c r="S797" s="200"/>
      <c r="T797" s="200"/>
      <c r="U797" s="152"/>
      <c r="V797" s="152"/>
      <c r="W797" s="157"/>
      <c r="AA797" s="156"/>
    </row>
    <row r="798" ht="15.75" customHeight="1">
      <c r="B798" s="199"/>
      <c r="N798" s="152"/>
      <c r="Q798" s="195"/>
      <c r="S798" s="200"/>
      <c r="T798" s="200"/>
      <c r="U798" s="152"/>
      <c r="V798" s="152"/>
      <c r="W798" s="157"/>
      <c r="AA798" s="156"/>
    </row>
    <row r="799" ht="15.75" customHeight="1">
      <c r="B799" s="199"/>
      <c r="N799" s="152"/>
      <c r="Q799" s="195"/>
      <c r="S799" s="200"/>
      <c r="T799" s="200"/>
      <c r="U799" s="152"/>
      <c r="V799" s="152"/>
      <c r="W799" s="157"/>
      <c r="AA799" s="156"/>
    </row>
    <row r="800" ht="15.75" customHeight="1">
      <c r="B800" s="199"/>
      <c r="N800" s="152"/>
      <c r="Q800" s="195"/>
      <c r="S800" s="200"/>
      <c r="T800" s="200"/>
      <c r="U800" s="152"/>
      <c r="V800" s="152"/>
      <c r="W800" s="157"/>
      <c r="AA800" s="156"/>
    </row>
    <row r="801" ht="15.75" customHeight="1">
      <c r="B801" s="199"/>
      <c r="N801" s="152"/>
      <c r="Q801" s="195"/>
      <c r="S801" s="200"/>
      <c r="T801" s="200"/>
      <c r="U801" s="152"/>
      <c r="V801" s="152"/>
      <c r="W801" s="157"/>
      <c r="AA801" s="156"/>
    </row>
    <row r="802" ht="15.75" customHeight="1">
      <c r="B802" s="199"/>
      <c r="N802" s="152"/>
      <c r="Q802" s="195"/>
      <c r="S802" s="200"/>
      <c r="T802" s="200"/>
      <c r="U802" s="152"/>
      <c r="V802" s="152"/>
      <c r="W802" s="157"/>
      <c r="AA802" s="156"/>
    </row>
    <row r="803" ht="15.75" customHeight="1">
      <c r="B803" s="199"/>
      <c r="N803" s="152"/>
      <c r="Q803" s="195"/>
      <c r="S803" s="200"/>
      <c r="T803" s="200"/>
      <c r="U803" s="152"/>
      <c r="V803" s="152"/>
      <c r="W803" s="157"/>
      <c r="AA803" s="156"/>
    </row>
    <row r="804" ht="15.75" customHeight="1">
      <c r="B804" s="199"/>
      <c r="N804" s="152"/>
      <c r="Q804" s="195"/>
      <c r="S804" s="200"/>
      <c r="T804" s="200"/>
      <c r="U804" s="152"/>
      <c r="V804" s="152"/>
      <c r="W804" s="157"/>
      <c r="AA804" s="156"/>
    </row>
    <row r="805" ht="15.75" customHeight="1">
      <c r="B805" s="199"/>
      <c r="N805" s="152"/>
      <c r="Q805" s="195"/>
      <c r="S805" s="200"/>
      <c r="T805" s="200"/>
      <c r="U805" s="152"/>
      <c r="V805" s="152"/>
      <c r="W805" s="157"/>
      <c r="AA805" s="156"/>
    </row>
    <row r="806" ht="15.75" customHeight="1">
      <c r="B806" s="199"/>
      <c r="N806" s="152"/>
      <c r="Q806" s="195"/>
      <c r="S806" s="200"/>
      <c r="T806" s="200"/>
      <c r="U806" s="152"/>
      <c r="V806" s="152"/>
      <c r="W806" s="157"/>
      <c r="AA806" s="156"/>
    </row>
    <row r="807" ht="15.75" customHeight="1">
      <c r="B807" s="199"/>
      <c r="N807" s="152"/>
      <c r="Q807" s="195"/>
      <c r="S807" s="200"/>
      <c r="T807" s="200"/>
      <c r="U807" s="152"/>
      <c r="V807" s="152"/>
      <c r="W807" s="157"/>
      <c r="AA807" s="156"/>
    </row>
    <row r="808" ht="15.75" customHeight="1">
      <c r="B808" s="199"/>
      <c r="N808" s="152"/>
      <c r="Q808" s="195"/>
      <c r="S808" s="200"/>
      <c r="T808" s="200"/>
      <c r="U808" s="152"/>
      <c r="V808" s="152"/>
      <c r="W808" s="157"/>
      <c r="AA808" s="156"/>
    </row>
    <row r="809" ht="15.75" customHeight="1">
      <c r="B809" s="199"/>
      <c r="N809" s="152"/>
      <c r="Q809" s="195"/>
      <c r="S809" s="200"/>
      <c r="T809" s="200"/>
      <c r="U809" s="152"/>
      <c r="V809" s="152"/>
      <c r="W809" s="157"/>
      <c r="AA809" s="156"/>
    </row>
    <row r="810" ht="15.75" customHeight="1">
      <c r="B810" s="199"/>
      <c r="N810" s="152"/>
      <c r="Q810" s="195"/>
      <c r="S810" s="200"/>
      <c r="T810" s="200"/>
      <c r="U810" s="152"/>
      <c r="V810" s="152"/>
      <c r="W810" s="157"/>
      <c r="AA810" s="156"/>
    </row>
    <row r="811" ht="15.75" customHeight="1">
      <c r="B811" s="199"/>
      <c r="N811" s="152"/>
      <c r="Q811" s="195"/>
      <c r="S811" s="200"/>
      <c r="T811" s="200"/>
      <c r="U811" s="152"/>
      <c r="V811" s="152"/>
      <c r="W811" s="157"/>
      <c r="AA811" s="156"/>
    </row>
    <row r="812" ht="15.75" customHeight="1">
      <c r="B812" s="199"/>
      <c r="N812" s="152"/>
      <c r="Q812" s="195"/>
      <c r="S812" s="200"/>
      <c r="T812" s="200"/>
      <c r="U812" s="152"/>
      <c r="V812" s="152"/>
      <c r="W812" s="157"/>
      <c r="AA812" s="156"/>
    </row>
    <row r="813" ht="15.75" customHeight="1">
      <c r="B813" s="199"/>
      <c r="N813" s="152"/>
      <c r="Q813" s="195"/>
      <c r="S813" s="200"/>
      <c r="T813" s="200"/>
      <c r="U813" s="152"/>
      <c r="V813" s="152"/>
      <c r="W813" s="157"/>
      <c r="AA813" s="156"/>
    </row>
    <row r="814" ht="15.75" customHeight="1">
      <c r="B814" s="199"/>
      <c r="N814" s="152"/>
      <c r="Q814" s="195"/>
      <c r="S814" s="200"/>
      <c r="T814" s="200"/>
      <c r="U814" s="152"/>
      <c r="V814" s="152"/>
      <c r="W814" s="157"/>
      <c r="AA814" s="156"/>
    </row>
    <row r="815" ht="15.75" customHeight="1">
      <c r="B815" s="199"/>
      <c r="N815" s="152"/>
      <c r="Q815" s="195"/>
      <c r="S815" s="200"/>
      <c r="T815" s="200"/>
      <c r="U815" s="152"/>
      <c r="V815" s="152"/>
      <c r="W815" s="157"/>
      <c r="AA815" s="156"/>
    </row>
    <row r="816" ht="15.75" customHeight="1">
      <c r="B816" s="199"/>
      <c r="N816" s="152"/>
      <c r="Q816" s="195"/>
      <c r="S816" s="200"/>
      <c r="T816" s="200"/>
      <c r="U816" s="152"/>
      <c r="V816" s="152"/>
      <c r="W816" s="157"/>
      <c r="AA816" s="156"/>
    </row>
    <row r="817" ht="15.75" customHeight="1">
      <c r="B817" s="199"/>
      <c r="N817" s="152"/>
      <c r="Q817" s="195"/>
      <c r="S817" s="200"/>
      <c r="T817" s="200"/>
      <c r="U817" s="152"/>
      <c r="V817" s="152"/>
      <c r="W817" s="157"/>
      <c r="AA817" s="156"/>
    </row>
    <row r="818" ht="15.75" customHeight="1">
      <c r="B818" s="199"/>
      <c r="N818" s="152"/>
      <c r="Q818" s="195"/>
      <c r="S818" s="200"/>
      <c r="T818" s="200"/>
      <c r="U818" s="152"/>
      <c r="V818" s="152"/>
      <c r="W818" s="157"/>
      <c r="AA818" s="156"/>
    </row>
    <row r="819" ht="15.75" customHeight="1">
      <c r="B819" s="199"/>
      <c r="N819" s="152"/>
      <c r="Q819" s="195"/>
      <c r="S819" s="200"/>
      <c r="T819" s="200"/>
      <c r="U819" s="152"/>
      <c r="V819" s="152"/>
      <c r="W819" s="157"/>
      <c r="AA819" s="156"/>
    </row>
    <row r="820" ht="15.75" customHeight="1">
      <c r="B820" s="199"/>
      <c r="N820" s="152"/>
      <c r="Q820" s="195"/>
      <c r="S820" s="200"/>
      <c r="T820" s="200"/>
      <c r="U820" s="152"/>
      <c r="V820" s="152"/>
      <c r="W820" s="157"/>
      <c r="AA820" s="156"/>
    </row>
    <row r="821" ht="15.75" customHeight="1">
      <c r="B821" s="199"/>
      <c r="N821" s="152"/>
      <c r="Q821" s="195"/>
      <c r="S821" s="200"/>
      <c r="T821" s="200"/>
      <c r="U821" s="152"/>
      <c r="V821" s="152"/>
      <c r="W821" s="157"/>
      <c r="AA821" s="156"/>
    </row>
    <row r="822" ht="15.75" customHeight="1">
      <c r="B822" s="199"/>
      <c r="N822" s="152"/>
      <c r="Q822" s="195"/>
      <c r="S822" s="200"/>
      <c r="T822" s="200"/>
      <c r="U822" s="152"/>
      <c r="V822" s="152"/>
      <c r="W822" s="157"/>
      <c r="AA822" s="156"/>
    </row>
    <row r="823" ht="15.75" customHeight="1">
      <c r="B823" s="199"/>
      <c r="N823" s="152"/>
      <c r="Q823" s="195"/>
      <c r="S823" s="200"/>
      <c r="T823" s="200"/>
      <c r="U823" s="152"/>
      <c r="V823" s="152"/>
      <c r="W823" s="157"/>
      <c r="AA823" s="156"/>
    </row>
    <row r="824" ht="15.75" customHeight="1">
      <c r="B824" s="199"/>
      <c r="N824" s="152"/>
      <c r="Q824" s="195"/>
      <c r="S824" s="200"/>
      <c r="T824" s="200"/>
      <c r="U824" s="152"/>
      <c r="V824" s="152"/>
      <c r="W824" s="157"/>
      <c r="AA824" s="156"/>
    </row>
    <row r="825" ht="15.75" customHeight="1">
      <c r="B825" s="199"/>
      <c r="N825" s="152"/>
      <c r="Q825" s="195"/>
      <c r="S825" s="200"/>
      <c r="T825" s="200"/>
      <c r="U825" s="152"/>
      <c r="V825" s="152"/>
      <c r="W825" s="157"/>
      <c r="AA825" s="156"/>
    </row>
    <row r="826" ht="15.75" customHeight="1">
      <c r="B826" s="199"/>
      <c r="N826" s="152"/>
      <c r="Q826" s="195"/>
      <c r="S826" s="200"/>
      <c r="T826" s="200"/>
      <c r="U826" s="152"/>
      <c r="V826" s="152"/>
      <c r="W826" s="157"/>
      <c r="AA826" s="156"/>
    </row>
    <row r="827" ht="15.75" customHeight="1">
      <c r="B827" s="199"/>
      <c r="N827" s="152"/>
      <c r="Q827" s="195"/>
      <c r="S827" s="200"/>
      <c r="T827" s="200"/>
      <c r="U827" s="152"/>
      <c r="V827" s="152"/>
      <c r="W827" s="157"/>
      <c r="AA827" s="156"/>
    </row>
    <row r="828" ht="15.75" customHeight="1">
      <c r="B828" s="199"/>
      <c r="N828" s="152"/>
      <c r="Q828" s="195"/>
      <c r="S828" s="200"/>
      <c r="T828" s="200"/>
      <c r="U828" s="152"/>
      <c r="V828" s="152"/>
      <c r="W828" s="157"/>
      <c r="AA828" s="156"/>
    </row>
    <row r="829" ht="15.75" customHeight="1">
      <c r="B829" s="199"/>
      <c r="N829" s="152"/>
      <c r="Q829" s="195"/>
      <c r="S829" s="200"/>
      <c r="T829" s="200"/>
      <c r="U829" s="152"/>
      <c r="V829" s="152"/>
      <c r="W829" s="157"/>
      <c r="AA829" s="156"/>
    </row>
    <row r="830" ht="15.75" customHeight="1">
      <c r="B830" s="199"/>
      <c r="N830" s="152"/>
      <c r="Q830" s="195"/>
      <c r="S830" s="200"/>
      <c r="T830" s="200"/>
      <c r="U830" s="152"/>
      <c r="V830" s="152"/>
      <c r="W830" s="157"/>
      <c r="AA830" s="156"/>
    </row>
    <row r="831" ht="15.75" customHeight="1">
      <c r="B831" s="199"/>
      <c r="N831" s="152"/>
      <c r="Q831" s="195"/>
      <c r="S831" s="200"/>
      <c r="T831" s="200"/>
      <c r="U831" s="152"/>
      <c r="V831" s="152"/>
      <c r="W831" s="157"/>
      <c r="AA831" s="156"/>
    </row>
    <row r="832" ht="15.75" customHeight="1">
      <c r="B832" s="199"/>
      <c r="N832" s="152"/>
      <c r="Q832" s="195"/>
      <c r="S832" s="200"/>
      <c r="T832" s="200"/>
      <c r="U832" s="152"/>
      <c r="V832" s="152"/>
      <c r="W832" s="157"/>
      <c r="AA832" s="156"/>
    </row>
    <row r="833" ht="15.75" customHeight="1">
      <c r="B833" s="199"/>
      <c r="N833" s="152"/>
      <c r="Q833" s="195"/>
      <c r="S833" s="200"/>
      <c r="T833" s="200"/>
      <c r="U833" s="152"/>
      <c r="V833" s="152"/>
      <c r="W833" s="157"/>
      <c r="AA833" s="156"/>
    </row>
    <row r="834" ht="15.75" customHeight="1">
      <c r="B834" s="199"/>
      <c r="N834" s="152"/>
      <c r="Q834" s="195"/>
      <c r="S834" s="200"/>
      <c r="T834" s="200"/>
      <c r="U834" s="152"/>
      <c r="V834" s="152"/>
      <c r="W834" s="157"/>
      <c r="AA834" s="156"/>
    </row>
    <row r="835" ht="15.75" customHeight="1">
      <c r="B835" s="199"/>
      <c r="N835" s="152"/>
      <c r="Q835" s="195"/>
      <c r="S835" s="200"/>
      <c r="T835" s="200"/>
      <c r="U835" s="152"/>
      <c r="V835" s="152"/>
      <c r="W835" s="157"/>
      <c r="AA835" s="156"/>
    </row>
    <row r="836" ht="15.75" customHeight="1">
      <c r="B836" s="199"/>
      <c r="N836" s="152"/>
      <c r="Q836" s="195"/>
      <c r="S836" s="200"/>
      <c r="T836" s="200"/>
      <c r="U836" s="152"/>
      <c r="V836" s="152"/>
      <c r="W836" s="157"/>
      <c r="AA836" s="156"/>
    </row>
    <row r="837" ht="15.75" customHeight="1">
      <c r="B837" s="199"/>
      <c r="N837" s="152"/>
      <c r="Q837" s="195"/>
      <c r="S837" s="200"/>
      <c r="T837" s="200"/>
      <c r="U837" s="152"/>
      <c r="V837" s="152"/>
      <c r="W837" s="157"/>
      <c r="AA837" s="156"/>
    </row>
    <row r="838" ht="15.75" customHeight="1">
      <c r="B838" s="199"/>
      <c r="N838" s="152"/>
      <c r="Q838" s="195"/>
      <c r="S838" s="200"/>
      <c r="T838" s="200"/>
      <c r="U838" s="152"/>
      <c r="V838" s="152"/>
      <c r="W838" s="157"/>
      <c r="AA838" s="156"/>
    </row>
    <row r="839" ht="15.75" customHeight="1">
      <c r="B839" s="199"/>
      <c r="N839" s="152"/>
      <c r="Q839" s="195"/>
      <c r="S839" s="200"/>
      <c r="T839" s="200"/>
      <c r="U839" s="152"/>
      <c r="V839" s="152"/>
      <c r="W839" s="157"/>
      <c r="AA839" s="156"/>
    </row>
    <row r="840" ht="15.75" customHeight="1">
      <c r="B840" s="199"/>
      <c r="N840" s="152"/>
      <c r="Q840" s="195"/>
      <c r="S840" s="200"/>
      <c r="T840" s="200"/>
      <c r="U840" s="152"/>
      <c r="V840" s="152"/>
      <c r="W840" s="157"/>
      <c r="AA840" s="156"/>
    </row>
    <row r="841" ht="15.75" customHeight="1">
      <c r="B841" s="199"/>
      <c r="N841" s="152"/>
      <c r="Q841" s="195"/>
      <c r="S841" s="200"/>
      <c r="T841" s="200"/>
      <c r="U841" s="152"/>
      <c r="V841" s="152"/>
      <c r="W841" s="157"/>
      <c r="AA841" s="156"/>
    </row>
    <row r="842" ht="15.75" customHeight="1">
      <c r="B842" s="199"/>
      <c r="N842" s="152"/>
      <c r="Q842" s="195"/>
      <c r="S842" s="200"/>
      <c r="T842" s="200"/>
      <c r="U842" s="152"/>
      <c r="V842" s="152"/>
      <c r="W842" s="157"/>
      <c r="AA842" s="156"/>
    </row>
    <row r="843" ht="15.75" customHeight="1">
      <c r="B843" s="199"/>
      <c r="N843" s="152"/>
      <c r="Q843" s="195"/>
      <c r="S843" s="200"/>
      <c r="T843" s="200"/>
      <c r="U843" s="152"/>
      <c r="V843" s="152"/>
      <c r="W843" s="157"/>
      <c r="AA843" s="156"/>
    </row>
    <row r="844" ht="15.75" customHeight="1">
      <c r="B844" s="199"/>
      <c r="N844" s="152"/>
      <c r="Q844" s="195"/>
      <c r="S844" s="200"/>
      <c r="T844" s="200"/>
      <c r="U844" s="152"/>
      <c r="V844" s="152"/>
      <c r="W844" s="157"/>
      <c r="AA844" s="156"/>
    </row>
    <row r="845" ht="15.75" customHeight="1">
      <c r="B845" s="199"/>
      <c r="N845" s="152"/>
      <c r="Q845" s="195"/>
      <c r="S845" s="200"/>
      <c r="T845" s="200"/>
      <c r="U845" s="152"/>
      <c r="V845" s="152"/>
      <c r="W845" s="157"/>
      <c r="AA845" s="156"/>
    </row>
    <row r="846" ht="15.75" customHeight="1">
      <c r="B846" s="199"/>
      <c r="N846" s="152"/>
      <c r="Q846" s="195"/>
      <c r="S846" s="200"/>
      <c r="T846" s="200"/>
      <c r="U846" s="152"/>
      <c r="V846" s="152"/>
      <c r="W846" s="157"/>
      <c r="AA846" s="156"/>
    </row>
    <row r="847" ht="15.75" customHeight="1">
      <c r="B847" s="199"/>
      <c r="N847" s="152"/>
      <c r="Q847" s="195"/>
      <c r="S847" s="200"/>
      <c r="T847" s="200"/>
      <c r="U847" s="152"/>
      <c r="V847" s="152"/>
      <c r="W847" s="157"/>
      <c r="AA847" s="156"/>
    </row>
    <row r="848" ht="15.75" customHeight="1">
      <c r="B848" s="199"/>
      <c r="N848" s="152"/>
      <c r="Q848" s="195"/>
      <c r="S848" s="200"/>
      <c r="T848" s="200"/>
      <c r="U848" s="152"/>
      <c r="V848" s="152"/>
      <c r="W848" s="157"/>
      <c r="AA848" s="156"/>
    </row>
    <row r="849" ht="15.75" customHeight="1">
      <c r="B849" s="199"/>
      <c r="N849" s="152"/>
      <c r="Q849" s="195"/>
      <c r="S849" s="200"/>
      <c r="T849" s="200"/>
      <c r="U849" s="152"/>
      <c r="V849" s="152"/>
      <c r="W849" s="157"/>
      <c r="AA849" s="156"/>
    </row>
    <row r="850" ht="15.75" customHeight="1">
      <c r="B850" s="199"/>
      <c r="N850" s="152"/>
      <c r="Q850" s="195"/>
      <c r="S850" s="200"/>
      <c r="T850" s="200"/>
      <c r="U850" s="152"/>
      <c r="V850" s="152"/>
      <c r="W850" s="157"/>
      <c r="AA850" s="156"/>
    </row>
    <row r="851" ht="15.75" customHeight="1">
      <c r="B851" s="199"/>
      <c r="N851" s="152"/>
      <c r="Q851" s="195"/>
      <c r="S851" s="200"/>
      <c r="T851" s="200"/>
      <c r="U851" s="152"/>
      <c r="V851" s="152"/>
      <c r="W851" s="157"/>
      <c r="AA851" s="156"/>
    </row>
    <row r="852" ht="15.75" customHeight="1">
      <c r="B852" s="199"/>
      <c r="N852" s="152"/>
      <c r="Q852" s="195"/>
      <c r="S852" s="200"/>
      <c r="T852" s="200"/>
      <c r="U852" s="152"/>
      <c r="V852" s="152"/>
      <c r="W852" s="157"/>
      <c r="AA852" s="156"/>
    </row>
    <row r="853" ht="15.75" customHeight="1">
      <c r="B853" s="199"/>
      <c r="N853" s="152"/>
      <c r="Q853" s="195"/>
      <c r="S853" s="200"/>
      <c r="T853" s="200"/>
      <c r="U853" s="152"/>
      <c r="V853" s="152"/>
      <c r="W853" s="157"/>
      <c r="AA853" s="156"/>
    </row>
    <row r="854" ht="15.75" customHeight="1">
      <c r="B854" s="199"/>
      <c r="N854" s="152"/>
      <c r="Q854" s="195"/>
      <c r="S854" s="200"/>
      <c r="T854" s="200"/>
      <c r="U854" s="152"/>
      <c r="V854" s="152"/>
      <c r="W854" s="157"/>
      <c r="AA854" s="156"/>
    </row>
    <row r="855" ht="15.75" customHeight="1">
      <c r="B855" s="199"/>
      <c r="N855" s="152"/>
      <c r="Q855" s="195"/>
      <c r="S855" s="200"/>
      <c r="T855" s="200"/>
      <c r="U855" s="152"/>
      <c r="V855" s="152"/>
      <c r="W855" s="157"/>
      <c r="AA855" s="156"/>
    </row>
    <row r="856" ht="15.75" customHeight="1">
      <c r="B856" s="199"/>
      <c r="N856" s="152"/>
      <c r="Q856" s="195"/>
      <c r="S856" s="200"/>
      <c r="T856" s="200"/>
      <c r="U856" s="152"/>
      <c r="V856" s="152"/>
      <c r="W856" s="157"/>
      <c r="AA856" s="156"/>
    </row>
    <row r="857" ht="15.75" customHeight="1">
      <c r="B857" s="199"/>
      <c r="N857" s="152"/>
      <c r="Q857" s="195"/>
      <c r="S857" s="200"/>
      <c r="T857" s="200"/>
      <c r="U857" s="152"/>
      <c r="V857" s="152"/>
      <c r="W857" s="157"/>
      <c r="AA857" s="156"/>
    </row>
    <row r="858" ht="15.75" customHeight="1">
      <c r="B858" s="199"/>
      <c r="N858" s="152"/>
      <c r="Q858" s="195"/>
      <c r="S858" s="200"/>
      <c r="T858" s="200"/>
      <c r="U858" s="152"/>
      <c r="V858" s="152"/>
      <c r="W858" s="157"/>
      <c r="AA858" s="156"/>
    </row>
    <row r="859" ht="15.75" customHeight="1">
      <c r="B859" s="199"/>
      <c r="N859" s="152"/>
      <c r="Q859" s="195"/>
      <c r="S859" s="200"/>
      <c r="T859" s="200"/>
      <c r="U859" s="152"/>
      <c r="V859" s="152"/>
      <c r="W859" s="157"/>
      <c r="AA859" s="156"/>
    </row>
    <row r="860" ht="15.75" customHeight="1">
      <c r="B860" s="199"/>
      <c r="N860" s="152"/>
      <c r="Q860" s="195"/>
      <c r="S860" s="200"/>
      <c r="T860" s="200"/>
      <c r="U860" s="152"/>
      <c r="V860" s="152"/>
      <c r="W860" s="157"/>
      <c r="AA860" s="156"/>
    </row>
    <row r="861" ht="15.75" customHeight="1">
      <c r="B861" s="199"/>
      <c r="N861" s="152"/>
      <c r="Q861" s="195"/>
      <c r="S861" s="200"/>
      <c r="T861" s="200"/>
      <c r="U861" s="152"/>
      <c r="V861" s="152"/>
      <c r="W861" s="157"/>
      <c r="AA861" s="156"/>
    </row>
    <row r="862" ht="15.75" customHeight="1">
      <c r="B862" s="199"/>
      <c r="N862" s="152"/>
      <c r="Q862" s="195"/>
      <c r="S862" s="200"/>
      <c r="T862" s="200"/>
      <c r="U862" s="152"/>
      <c r="V862" s="152"/>
      <c r="W862" s="157"/>
      <c r="AA862" s="156"/>
    </row>
    <row r="863" ht="15.75" customHeight="1">
      <c r="B863" s="199"/>
      <c r="N863" s="152"/>
      <c r="Q863" s="195"/>
      <c r="S863" s="200"/>
      <c r="T863" s="200"/>
      <c r="U863" s="152"/>
      <c r="V863" s="152"/>
      <c r="W863" s="157"/>
      <c r="AA863" s="156"/>
    </row>
    <row r="864" ht="15.75" customHeight="1">
      <c r="B864" s="199"/>
      <c r="N864" s="152"/>
      <c r="Q864" s="195"/>
      <c r="S864" s="200"/>
      <c r="T864" s="200"/>
      <c r="U864" s="152"/>
      <c r="V864" s="152"/>
      <c r="W864" s="157"/>
      <c r="AA864" s="156"/>
    </row>
    <row r="865" ht="15.75" customHeight="1">
      <c r="B865" s="199"/>
      <c r="N865" s="152"/>
      <c r="Q865" s="195"/>
      <c r="S865" s="200"/>
      <c r="T865" s="200"/>
      <c r="U865" s="152"/>
      <c r="V865" s="152"/>
      <c r="W865" s="157"/>
      <c r="AA865" s="156"/>
    </row>
    <row r="866" ht="15.75" customHeight="1">
      <c r="B866" s="199"/>
      <c r="N866" s="152"/>
      <c r="Q866" s="195"/>
      <c r="S866" s="200"/>
      <c r="T866" s="200"/>
      <c r="U866" s="152"/>
      <c r="V866" s="152"/>
      <c r="W866" s="157"/>
      <c r="AA866" s="156"/>
    </row>
    <row r="867" ht="15.75" customHeight="1">
      <c r="B867" s="199"/>
      <c r="N867" s="152"/>
      <c r="Q867" s="195"/>
      <c r="S867" s="200"/>
      <c r="T867" s="200"/>
      <c r="U867" s="152"/>
      <c r="V867" s="152"/>
      <c r="W867" s="157"/>
      <c r="AA867" s="156"/>
    </row>
    <row r="868" ht="15.75" customHeight="1">
      <c r="B868" s="199"/>
      <c r="N868" s="152"/>
      <c r="Q868" s="195"/>
      <c r="S868" s="200"/>
      <c r="T868" s="200"/>
      <c r="U868" s="152"/>
      <c r="V868" s="152"/>
      <c r="W868" s="157"/>
      <c r="AA868" s="156"/>
    </row>
    <row r="869" ht="15.75" customHeight="1">
      <c r="B869" s="199"/>
      <c r="N869" s="152"/>
      <c r="Q869" s="195"/>
      <c r="S869" s="200"/>
      <c r="T869" s="200"/>
      <c r="U869" s="152"/>
      <c r="V869" s="152"/>
      <c r="W869" s="157"/>
      <c r="AA869" s="156"/>
    </row>
    <row r="870" ht="15.75" customHeight="1">
      <c r="B870" s="199"/>
      <c r="N870" s="152"/>
      <c r="Q870" s="195"/>
      <c r="S870" s="200"/>
      <c r="T870" s="200"/>
      <c r="U870" s="152"/>
      <c r="V870" s="152"/>
      <c r="W870" s="157"/>
      <c r="AA870" s="156"/>
    </row>
    <row r="871" ht="15.75" customHeight="1">
      <c r="B871" s="199"/>
      <c r="N871" s="152"/>
      <c r="Q871" s="195"/>
      <c r="S871" s="200"/>
      <c r="T871" s="200"/>
      <c r="U871" s="152"/>
      <c r="V871" s="152"/>
      <c r="W871" s="157"/>
      <c r="AA871" s="156"/>
    </row>
    <row r="872" ht="15.75" customHeight="1">
      <c r="B872" s="199"/>
      <c r="N872" s="152"/>
      <c r="Q872" s="195"/>
      <c r="S872" s="200"/>
      <c r="T872" s="200"/>
      <c r="U872" s="152"/>
      <c r="V872" s="152"/>
      <c r="W872" s="157"/>
      <c r="AA872" s="156"/>
    </row>
    <row r="873" ht="15.75" customHeight="1">
      <c r="B873" s="199"/>
      <c r="N873" s="152"/>
      <c r="Q873" s="195"/>
      <c r="S873" s="200"/>
      <c r="T873" s="200"/>
      <c r="U873" s="152"/>
      <c r="V873" s="152"/>
      <c r="W873" s="157"/>
      <c r="AA873" s="156"/>
    </row>
    <row r="874" ht="15.75" customHeight="1">
      <c r="B874" s="199"/>
      <c r="N874" s="152"/>
      <c r="Q874" s="195"/>
      <c r="S874" s="200"/>
      <c r="T874" s="200"/>
      <c r="U874" s="152"/>
      <c r="V874" s="152"/>
      <c r="W874" s="157"/>
      <c r="AA874" s="156"/>
    </row>
    <row r="875" ht="15.75" customHeight="1">
      <c r="B875" s="199"/>
      <c r="N875" s="152"/>
      <c r="Q875" s="195"/>
      <c r="S875" s="200"/>
      <c r="T875" s="200"/>
      <c r="U875" s="152"/>
      <c r="V875" s="152"/>
      <c r="W875" s="157"/>
      <c r="AA875" s="156"/>
    </row>
    <row r="876" ht="15.75" customHeight="1">
      <c r="B876" s="199"/>
      <c r="N876" s="152"/>
      <c r="Q876" s="195"/>
      <c r="S876" s="200"/>
      <c r="T876" s="200"/>
      <c r="U876" s="152"/>
      <c r="V876" s="152"/>
      <c r="W876" s="157"/>
      <c r="AA876" s="156"/>
    </row>
    <row r="877" ht="15.75" customHeight="1">
      <c r="B877" s="199"/>
      <c r="N877" s="152"/>
      <c r="Q877" s="195"/>
      <c r="S877" s="200"/>
      <c r="T877" s="200"/>
      <c r="U877" s="152"/>
      <c r="V877" s="152"/>
      <c r="W877" s="157"/>
      <c r="AA877" s="156"/>
    </row>
    <row r="878" ht="15.75" customHeight="1">
      <c r="B878" s="199"/>
      <c r="N878" s="152"/>
      <c r="Q878" s="195"/>
      <c r="S878" s="200"/>
      <c r="T878" s="200"/>
      <c r="U878" s="152"/>
      <c r="V878" s="152"/>
      <c r="W878" s="157"/>
      <c r="AA878" s="156"/>
    </row>
    <row r="879" ht="15.75" customHeight="1">
      <c r="B879" s="199"/>
      <c r="N879" s="152"/>
      <c r="Q879" s="195"/>
      <c r="S879" s="200"/>
      <c r="T879" s="200"/>
      <c r="U879" s="152"/>
      <c r="V879" s="152"/>
      <c r="W879" s="157"/>
      <c r="AA879" s="156"/>
    </row>
    <row r="880" ht="15.75" customHeight="1">
      <c r="B880" s="199"/>
      <c r="N880" s="152"/>
      <c r="Q880" s="195"/>
      <c r="S880" s="200"/>
      <c r="T880" s="200"/>
      <c r="U880" s="152"/>
      <c r="V880" s="152"/>
      <c r="W880" s="157"/>
      <c r="AA880" s="156"/>
    </row>
    <row r="881" ht="15.75" customHeight="1">
      <c r="B881" s="199"/>
      <c r="N881" s="152"/>
      <c r="Q881" s="195"/>
      <c r="S881" s="200"/>
      <c r="T881" s="200"/>
      <c r="U881" s="152"/>
      <c r="V881" s="152"/>
      <c r="W881" s="157"/>
      <c r="AA881" s="156"/>
    </row>
    <row r="882" ht="15.75" customHeight="1">
      <c r="B882" s="199"/>
      <c r="N882" s="152"/>
      <c r="Q882" s="195"/>
      <c r="S882" s="200"/>
      <c r="T882" s="200"/>
      <c r="U882" s="152"/>
      <c r="V882" s="152"/>
      <c r="W882" s="157"/>
      <c r="AA882" s="156"/>
    </row>
    <row r="883" ht="15.75" customHeight="1">
      <c r="B883" s="199"/>
      <c r="N883" s="152"/>
      <c r="Q883" s="195"/>
      <c r="S883" s="200"/>
      <c r="T883" s="200"/>
      <c r="U883" s="152"/>
      <c r="V883" s="152"/>
      <c r="W883" s="157"/>
      <c r="AA883" s="156"/>
    </row>
    <row r="884" ht="15.75" customHeight="1">
      <c r="B884" s="199"/>
      <c r="N884" s="152"/>
      <c r="Q884" s="195"/>
      <c r="S884" s="200"/>
      <c r="T884" s="200"/>
      <c r="U884" s="152"/>
      <c r="V884" s="152"/>
      <c r="W884" s="157"/>
      <c r="AA884" s="156"/>
    </row>
    <row r="885" ht="15.75" customHeight="1">
      <c r="B885" s="199"/>
      <c r="N885" s="152"/>
      <c r="Q885" s="195"/>
      <c r="S885" s="200"/>
      <c r="T885" s="200"/>
      <c r="U885" s="152"/>
      <c r="V885" s="152"/>
      <c r="W885" s="157"/>
      <c r="AA885" s="156"/>
    </row>
    <row r="886" ht="15.75" customHeight="1">
      <c r="B886" s="199"/>
      <c r="N886" s="152"/>
      <c r="Q886" s="195"/>
      <c r="S886" s="200"/>
      <c r="T886" s="200"/>
      <c r="U886" s="152"/>
      <c r="V886" s="152"/>
      <c r="W886" s="157"/>
      <c r="AA886" s="156"/>
    </row>
    <row r="887" ht="15.75" customHeight="1">
      <c r="B887" s="199"/>
      <c r="N887" s="152"/>
      <c r="Q887" s="195"/>
      <c r="S887" s="200"/>
      <c r="T887" s="200"/>
      <c r="U887" s="152"/>
      <c r="V887" s="152"/>
      <c r="W887" s="157"/>
      <c r="AA887" s="156"/>
    </row>
    <row r="888" ht="15.75" customHeight="1">
      <c r="B888" s="199"/>
      <c r="N888" s="152"/>
      <c r="Q888" s="195"/>
      <c r="S888" s="200"/>
      <c r="T888" s="200"/>
      <c r="U888" s="152"/>
      <c r="V888" s="152"/>
      <c r="W888" s="157"/>
      <c r="AA888" s="156"/>
    </row>
    <row r="889" ht="15.75" customHeight="1">
      <c r="B889" s="199"/>
      <c r="N889" s="152"/>
      <c r="Q889" s="195"/>
      <c r="S889" s="200"/>
      <c r="T889" s="200"/>
      <c r="U889" s="152"/>
      <c r="V889" s="152"/>
      <c r="W889" s="157"/>
      <c r="AA889" s="156"/>
    </row>
    <row r="890" ht="15.75" customHeight="1">
      <c r="B890" s="199"/>
      <c r="N890" s="152"/>
      <c r="Q890" s="195"/>
      <c r="S890" s="200"/>
      <c r="T890" s="200"/>
      <c r="U890" s="152"/>
      <c r="V890" s="152"/>
      <c r="W890" s="157"/>
      <c r="AA890" s="156"/>
    </row>
    <row r="891" ht="15.75" customHeight="1">
      <c r="B891" s="199"/>
      <c r="N891" s="152"/>
      <c r="Q891" s="195"/>
      <c r="S891" s="200"/>
      <c r="T891" s="200"/>
      <c r="U891" s="152"/>
      <c r="V891" s="152"/>
      <c r="W891" s="157"/>
      <c r="AA891" s="156"/>
    </row>
    <row r="892" ht="15.75" customHeight="1">
      <c r="B892" s="199"/>
      <c r="N892" s="152"/>
      <c r="Q892" s="195"/>
      <c r="S892" s="200"/>
      <c r="T892" s="200"/>
      <c r="U892" s="152"/>
      <c r="V892" s="152"/>
      <c r="W892" s="157"/>
      <c r="AA892" s="156"/>
    </row>
    <row r="893" ht="15.75" customHeight="1">
      <c r="B893" s="199"/>
      <c r="N893" s="152"/>
      <c r="Q893" s="195"/>
      <c r="S893" s="200"/>
      <c r="T893" s="200"/>
      <c r="U893" s="152"/>
      <c r="V893" s="152"/>
      <c r="W893" s="157"/>
      <c r="AA893" s="156"/>
    </row>
    <row r="894" ht="15.75" customHeight="1">
      <c r="B894" s="199"/>
      <c r="N894" s="152"/>
      <c r="Q894" s="195"/>
      <c r="S894" s="200"/>
      <c r="T894" s="200"/>
      <c r="U894" s="152"/>
      <c r="V894" s="152"/>
      <c r="W894" s="157"/>
      <c r="AA894" s="156"/>
    </row>
    <row r="895" ht="15.75" customHeight="1">
      <c r="B895" s="199"/>
      <c r="N895" s="152"/>
      <c r="Q895" s="195"/>
      <c r="S895" s="200"/>
      <c r="T895" s="200"/>
      <c r="U895" s="152"/>
      <c r="V895" s="152"/>
      <c r="W895" s="157"/>
      <c r="AA895" s="156"/>
    </row>
    <row r="896" ht="15.75" customHeight="1">
      <c r="B896" s="199"/>
      <c r="N896" s="152"/>
      <c r="Q896" s="195"/>
      <c r="S896" s="200"/>
      <c r="T896" s="200"/>
      <c r="U896" s="152"/>
      <c r="V896" s="152"/>
      <c r="W896" s="157"/>
      <c r="AA896" s="156"/>
    </row>
    <row r="897" ht="15.75" customHeight="1">
      <c r="B897" s="199"/>
      <c r="N897" s="152"/>
      <c r="Q897" s="195"/>
      <c r="S897" s="200"/>
      <c r="T897" s="200"/>
      <c r="U897" s="152"/>
      <c r="V897" s="152"/>
      <c r="W897" s="157"/>
      <c r="AA897" s="156"/>
    </row>
    <row r="898" ht="15.75" customHeight="1">
      <c r="B898" s="199"/>
      <c r="N898" s="152"/>
      <c r="Q898" s="195"/>
      <c r="S898" s="200"/>
      <c r="T898" s="200"/>
      <c r="U898" s="152"/>
      <c r="V898" s="152"/>
      <c r="W898" s="157"/>
      <c r="AA898" s="156"/>
    </row>
    <row r="899" ht="15.75" customHeight="1">
      <c r="B899" s="199"/>
      <c r="N899" s="152"/>
      <c r="Q899" s="195"/>
      <c r="S899" s="200"/>
      <c r="T899" s="200"/>
      <c r="U899" s="152"/>
      <c r="V899" s="152"/>
      <c r="W899" s="157"/>
      <c r="AA899" s="156"/>
    </row>
    <row r="900" ht="15.75" customHeight="1">
      <c r="B900" s="199"/>
      <c r="N900" s="152"/>
      <c r="Q900" s="195"/>
      <c r="S900" s="200"/>
      <c r="T900" s="200"/>
      <c r="U900" s="152"/>
      <c r="V900" s="152"/>
      <c r="W900" s="157"/>
      <c r="AA900" s="156"/>
    </row>
    <row r="901" ht="15.75" customHeight="1">
      <c r="B901" s="199"/>
      <c r="N901" s="152"/>
      <c r="Q901" s="195"/>
      <c r="S901" s="200"/>
      <c r="T901" s="200"/>
      <c r="U901" s="152"/>
      <c r="V901" s="152"/>
      <c r="W901" s="157"/>
      <c r="AA901" s="156"/>
    </row>
    <row r="902" ht="15.75" customHeight="1">
      <c r="B902" s="199"/>
      <c r="N902" s="152"/>
      <c r="Q902" s="195"/>
      <c r="S902" s="200"/>
      <c r="T902" s="200"/>
      <c r="U902" s="152"/>
      <c r="V902" s="152"/>
      <c r="W902" s="157"/>
      <c r="AA902" s="156"/>
    </row>
    <row r="903" ht="15.75" customHeight="1">
      <c r="B903" s="199"/>
      <c r="N903" s="152"/>
      <c r="Q903" s="195"/>
      <c r="S903" s="200"/>
      <c r="T903" s="200"/>
      <c r="U903" s="152"/>
      <c r="V903" s="152"/>
      <c r="W903" s="157"/>
      <c r="AA903" s="156"/>
    </row>
    <row r="904" ht="15.75" customHeight="1">
      <c r="B904" s="199"/>
      <c r="N904" s="152"/>
      <c r="Q904" s="195"/>
      <c r="S904" s="200"/>
      <c r="T904" s="200"/>
      <c r="U904" s="152"/>
      <c r="V904" s="152"/>
      <c r="W904" s="157"/>
      <c r="AA904" s="156"/>
    </row>
    <row r="905" ht="15.75" customHeight="1">
      <c r="B905" s="199"/>
      <c r="N905" s="152"/>
      <c r="Q905" s="195"/>
      <c r="S905" s="200"/>
      <c r="T905" s="200"/>
      <c r="U905" s="152"/>
      <c r="V905" s="152"/>
      <c r="W905" s="157"/>
      <c r="AA905" s="156"/>
    </row>
    <row r="906" ht="15.75" customHeight="1">
      <c r="B906" s="199"/>
      <c r="N906" s="152"/>
      <c r="Q906" s="195"/>
      <c r="S906" s="200"/>
      <c r="T906" s="200"/>
      <c r="U906" s="152"/>
      <c r="V906" s="152"/>
      <c r="W906" s="157"/>
      <c r="AA906" s="156"/>
    </row>
    <row r="907" ht="15.75" customHeight="1">
      <c r="B907" s="199"/>
      <c r="N907" s="152"/>
      <c r="Q907" s="195"/>
      <c r="S907" s="200"/>
      <c r="T907" s="200"/>
      <c r="U907" s="152"/>
      <c r="V907" s="152"/>
      <c r="W907" s="157"/>
      <c r="AA907" s="156"/>
    </row>
    <row r="908" ht="15.75" customHeight="1">
      <c r="B908" s="199"/>
      <c r="N908" s="152"/>
      <c r="Q908" s="195"/>
      <c r="S908" s="200"/>
      <c r="T908" s="200"/>
      <c r="U908" s="152"/>
      <c r="V908" s="152"/>
      <c r="W908" s="157"/>
      <c r="AA908" s="156"/>
    </row>
    <row r="909" ht="15.75" customHeight="1">
      <c r="B909" s="199"/>
      <c r="N909" s="152"/>
      <c r="Q909" s="195"/>
      <c r="S909" s="200"/>
      <c r="T909" s="200"/>
      <c r="U909" s="152"/>
      <c r="V909" s="152"/>
      <c r="W909" s="157"/>
      <c r="AA909" s="156"/>
    </row>
    <row r="910" ht="15.75" customHeight="1">
      <c r="B910" s="199"/>
      <c r="N910" s="152"/>
      <c r="Q910" s="195"/>
      <c r="S910" s="200"/>
      <c r="T910" s="200"/>
      <c r="U910" s="152"/>
      <c r="V910" s="152"/>
      <c r="W910" s="157"/>
      <c r="AA910" s="156"/>
    </row>
    <row r="911" ht="15.75" customHeight="1">
      <c r="B911" s="199"/>
      <c r="N911" s="152"/>
      <c r="Q911" s="195"/>
      <c r="S911" s="200"/>
      <c r="T911" s="200"/>
      <c r="U911" s="152"/>
      <c r="V911" s="152"/>
      <c r="W911" s="157"/>
      <c r="AA911" s="156"/>
    </row>
    <row r="912" ht="15.75" customHeight="1">
      <c r="B912" s="199"/>
      <c r="N912" s="152"/>
      <c r="Q912" s="195"/>
      <c r="S912" s="200"/>
      <c r="T912" s="200"/>
      <c r="U912" s="152"/>
      <c r="V912" s="152"/>
      <c r="W912" s="157"/>
      <c r="AA912" s="156"/>
    </row>
    <row r="913" ht="15.75" customHeight="1">
      <c r="B913" s="199"/>
      <c r="N913" s="152"/>
      <c r="Q913" s="195"/>
      <c r="S913" s="200"/>
      <c r="T913" s="200"/>
      <c r="U913" s="152"/>
      <c r="V913" s="152"/>
      <c r="W913" s="157"/>
      <c r="AA913" s="156"/>
    </row>
    <row r="914" ht="15.75" customHeight="1">
      <c r="B914" s="199"/>
      <c r="N914" s="152"/>
      <c r="Q914" s="195"/>
      <c r="S914" s="200"/>
      <c r="T914" s="200"/>
      <c r="U914" s="152"/>
      <c r="V914" s="152"/>
      <c r="W914" s="157"/>
      <c r="AA914" s="156"/>
    </row>
    <row r="915" ht="15.75" customHeight="1">
      <c r="B915" s="199"/>
      <c r="N915" s="152"/>
      <c r="Q915" s="195"/>
      <c r="S915" s="200"/>
      <c r="T915" s="200"/>
      <c r="U915" s="152"/>
      <c r="V915" s="152"/>
      <c r="W915" s="157"/>
      <c r="AA915" s="156"/>
    </row>
    <row r="916" ht="15.75" customHeight="1">
      <c r="B916" s="199"/>
      <c r="N916" s="152"/>
      <c r="Q916" s="195"/>
      <c r="S916" s="200"/>
      <c r="T916" s="200"/>
      <c r="U916" s="152"/>
      <c r="V916" s="152"/>
      <c r="W916" s="157"/>
      <c r="AA916" s="156"/>
    </row>
    <row r="917" ht="15.75" customHeight="1">
      <c r="B917" s="199"/>
      <c r="N917" s="152"/>
      <c r="Q917" s="195"/>
      <c r="S917" s="200"/>
      <c r="T917" s="200"/>
      <c r="U917" s="152"/>
      <c r="V917" s="152"/>
      <c r="W917" s="157"/>
      <c r="AA917" s="156"/>
    </row>
    <row r="918" ht="15.75" customHeight="1">
      <c r="B918" s="199"/>
      <c r="N918" s="152"/>
      <c r="Q918" s="195"/>
      <c r="S918" s="200"/>
      <c r="T918" s="200"/>
      <c r="U918" s="152"/>
      <c r="V918" s="152"/>
      <c r="W918" s="157"/>
      <c r="AA918" s="156"/>
    </row>
    <row r="919" ht="15.75" customHeight="1">
      <c r="B919" s="199"/>
      <c r="N919" s="152"/>
      <c r="Q919" s="195"/>
      <c r="S919" s="200"/>
      <c r="T919" s="200"/>
      <c r="U919" s="152"/>
      <c r="V919" s="152"/>
      <c r="W919" s="157"/>
      <c r="AA919" s="156"/>
    </row>
    <row r="920" ht="15.75" customHeight="1">
      <c r="B920" s="199"/>
      <c r="N920" s="152"/>
      <c r="Q920" s="195"/>
      <c r="S920" s="200"/>
      <c r="T920" s="200"/>
      <c r="U920" s="152"/>
      <c r="V920" s="152"/>
      <c r="W920" s="157"/>
      <c r="AA920" s="156"/>
    </row>
    <row r="921" ht="15.75" customHeight="1">
      <c r="B921" s="199"/>
      <c r="N921" s="152"/>
      <c r="Q921" s="195"/>
      <c r="S921" s="200"/>
      <c r="T921" s="200"/>
      <c r="U921" s="152"/>
      <c r="V921" s="152"/>
      <c r="W921" s="157"/>
      <c r="AA921" s="156"/>
    </row>
    <row r="922" ht="15.75" customHeight="1">
      <c r="B922" s="199"/>
      <c r="N922" s="152"/>
      <c r="Q922" s="195"/>
      <c r="S922" s="200"/>
      <c r="T922" s="200"/>
      <c r="U922" s="152"/>
      <c r="V922" s="152"/>
      <c r="W922" s="157"/>
      <c r="AA922" s="156"/>
    </row>
    <row r="923" ht="15.75" customHeight="1">
      <c r="B923" s="199"/>
      <c r="N923" s="152"/>
      <c r="Q923" s="195"/>
      <c r="S923" s="200"/>
      <c r="T923" s="200"/>
      <c r="U923" s="152"/>
      <c r="V923" s="152"/>
      <c r="W923" s="157"/>
      <c r="AA923" s="156"/>
    </row>
    <row r="924" ht="15.75" customHeight="1">
      <c r="B924" s="199"/>
      <c r="N924" s="152"/>
      <c r="Q924" s="195"/>
      <c r="S924" s="200"/>
      <c r="T924" s="200"/>
      <c r="U924" s="152"/>
      <c r="V924" s="152"/>
      <c r="W924" s="157"/>
      <c r="AA924" s="156"/>
    </row>
    <row r="925" ht="15.75" customHeight="1">
      <c r="B925" s="199"/>
      <c r="N925" s="152"/>
      <c r="Q925" s="195"/>
      <c r="S925" s="200"/>
      <c r="T925" s="200"/>
      <c r="U925" s="152"/>
      <c r="V925" s="152"/>
      <c r="W925" s="157"/>
      <c r="AA925" s="156"/>
    </row>
    <row r="926" ht="15.75" customHeight="1">
      <c r="B926" s="199"/>
      <c r="N926" s="152"/>
      <c r="Q926" s="195"/>
      <c r="S926" s="200"/>
      <c r="T926" s="200"/>
      <c r="U926" s="152"/>
      <c r="V926" s="152"/>
      <c r="W926" s="157"/>
      <c r="AA926" s="156"/>
    </row>
    <row r="927" ht="15.75" customHeight="1">
      <c r="B927" s="199"/>
      <c r="N927" s="152"/>
      <c r="Q927" s="195"/>
      <c r="S927" s="200"/>
      <c r="T927" s="200"/>
      <c r="U927" s="152"/>
      <c r="V927" s="152"/>
      <c r="W927" s="157"/>
      <c r="AA927" s="156"/>
    </row>
    <row r="928" ht="15.75" customHeight="1">
      <c r="B928" s="199"/>
      <c r="N928" s="152"/>
      <c r="Q928" s="195"/>
      <c r="S928" s="200"/>
      <c r="T928" s="200"/>
      <c r="U928" s="152"/>
      <c r="V928" s="152"/>
      <c r="W928" s="157"/>
      <c r="AA928" s="156"/>
    </row>
    <row r="929" ht="15.75" customHeight="1">
      <c r="B929" s="199"/>
      <c r="N929" s="152"/>
      <c r="Q929" s="195"/>
      <c r="S929" s="200"/>
      <c r="T929" s="200"/>
      <c r="U929" s="152"/>
      <c r="V929" s="152"/>
      <c r="W929" s="157"/>
      <c r="AA929" s="156"/>
    </row>
    <row r="930" ht="15.75" customHeight="1">
      <c r="B930" s="199"/>
      <c r="N930" s="152"/>
      <c r="Q930" s="195"/>
      <c r="S930" s="200"/>
      <c r="T930" s="200"/>
      <c r="U930" s="152"/>
      <c r="V930" s="152"/>
      <c r="W930" s="157"/>
      <c r="AA930" s="156"/>
    </row>
    <row r="931" ht="15.75" customHeight="1">
      <c r="B931" s="199"/>
      <c r="N931" s="152"/>
      <c r="Q931" s="195"/>
      <c r="S931" s="200"/>
      <c r="T931" s="200"/>
      <c r="U931" s="152"/>
      <c r="V931" s="152"/>
      <c r="W931" s="157"/>
      <c r="AA931" s="156"/>
    </row>
    <row r="932" ht="15.75" customHeight="1">
      <c r="B932" s="199"/>
      <c r="N932" s="152"/>
      <c r="Q932" s="195"/>
      <c r="S932" s="200"/>
      <c r="T932" s="200"/>
      <c r="U932" s="152"/>
      <c r="V932" s="152"/>
      <c r="W932" s="157"/>
      <c r="AA932" s="156"/>
    </row>
    <row r="933" ht="15.75" customHeight="1">
      <c r="B933" s="199"/>
      <c r="N933" s="152"/>
      <c r="Q933" s="195"/>
      <c r="S933" s="200"/>
      <c r="T933" s="200"/>
      <c r="U933" s="152"/>
      <c r="V933" s="152"/>
      <c r="W933" s="157"/>
      <c r="AA933" s="156"/>
    </row>
    <row r="934" ht="15.75" customHeight="1">
      <c r="B934" s="199"/>
      <c r="N934" s="152"/>
      <c r="Q934" s="195"/>
      <c r="S934" s="200"/>
      <c r="T934" s="200"/>
      <c r="U934" s="152"/>
      <c r="V934" s="152"/>
      <c r="W934" s="157"/>
      <c r="AA934" s="156"/>
    </row>
    <row r="935" ht="15.75" customHeight="1">
      <c r="B935" s="199"/>
      <c r="N935" s="152"/>
      <c r="Q935" s="195"/>
      <c r="S935" s="200"/>
      <c r="T935" s="200"/>
      <c r="U935" s="152"/>
      <c r="V935" s="152"/>
      <c r="W935" s="157"/>
      <c r="AA935" s="156"/>
    </row>
    <row r="936" ht="15.75" customHeight="1">
      <c r="B936" s="199"/>
      <c r="N936" s="152"/>
      <c r="Q936" s="195"/>
      <c r="S936" s="200"/>
      <c r="T936" s="200"/>
      <c r="U936" s="152"/>
      <c r="V936" s="152"/>
      <c r="W936" s="157"/>
      <c r="AA936" s="156"/>
    </row>
    <row r="937" ht="15.75" customHeight="1">
      <c r="B937" s="199"/>
      <c r="N937" s="152"/>
      <c r="Q937" s="195"/>
      <c r="S937" s="200"/>
      <c r="T937" s="200"/>
      <c r="U937" s="152"/>
      <c r="V937" s="152"/>
      <c r="W937" s="157"/>
      <c r="AA937" s="156"/>
    </row>
    <row r="938" ht="15.75" customHeight="1">
      <c r="B938" s="199"/>
      <c r="N938" s="152"/>
      <c r="Q938" s="195"/>
      <c r="S938" s="200"/>
      <c r="T938" s="200"/>
      <c r="U938" s="152"/>
      <c r="V938" s="152"/>
      <c r="W938" s="157"/>
      <c r="AA938" s="156"/>
    </row>
    <row r="939" ht="15.75" customHeight="1">
      <c r="B939" s="199"/>
      <c r="N939" s="152"/>
      <c r="Q939" s="195"/>
      <c r="S939" s="200"/>
      <c r="T939" s="200"/>
      <c r="U939" s="152"/>
      <c r="V939" s="152"/>
      <c r="W939" s="157"/>
      <c r="AA939" s="156"/>
    </row>
    <row r="940" ht="15.75" customHeight="1">
      <c r="B940" s="199"/>
      <c r="N940" s="152"/>
      <c r="Q940" s="195"/>
      <c r="S940" s="200"/>
      <c r="T940" s="200"/>
      <c r="U940" s="152"/>
      <c r="V940" s="152"/>
      <c r="W940" s="157"/>
      <c r="AA940" s="156"/>
    </row>
    <row r="941" ht="15.75" customHeight="1">
      <c r="B941" s="199"/>
      <c r="N941" s="152"/>
      <c r="Q941" s="195"/>
      <c r="S941" s="200"/>
      <c r="T941" s="200"/>
      <c r="U941" s="152"/>
      <c r="V941" s="152"/>
      <c r="W941" s="157"/>
      <c r="AA941" s="156"/>
    </row>
    <row r="942" ht="15.75" customHeight="1">
      <c r="B942" s="199"/>
      <c r="N942" s="152"/>
      <c r="Q942" s="195"/>
      <c r="S942" s="200"/>
      <c r="T942" s="200"/>
      <c r="U942" s="152"/>
      <c r="V942" s="152"/>
      <c r="W942" s="157"/>
      <c r="AA942" s="156"/>
    </row>
    <row r="943" ht="15.75" customHeight="1">
      <c r="B943" s="199"/>
      <c r="N943" s="152"/>
      <c r="Q943" s="195"/>
      <c r="S943" s="200"/>
      <c r="T943" s="200"/>
      <c r="U943" s="152"/>
      <c r="V943" s="152"/>
      <c r="W943" s="157"/>
      <c r="AA943" s="156"/>
    </row>
    <row r="944" ht="15.75" customHeight="1">
      <c r="B944" s="199"/>
      <c r="N944" s="152"/>
      <c r="Q944" s="195"/>
      <c r="S944" s="200"/>
      <c r="T944" s="200"/>
      <c r="U944" s="152"/>
      <c r="V944" s="152"/>
      <c r="W944" s="157"/>
      <c r="AA944" s="156"/>
    </row>
    <row r="945" ht="15.75" customHeight="1">
      <c r="B945" s="199"/>
      <c r="N945" s="152"/>
      <c r="Q945" s="195"/>
      <c r="S945" s="200"/>
      <c r="T945" s="200"/>
      <c r="U945" s="152"/>
      <c r="V945" s="152"/>
      <c r="W945" s="157"/>
      <c r="AA945" s="156"/>
    </row>
    <row r="946" ht="15.75" customHeight="1">
      <c r="B946" s="199"/>
      <c r="N946" s="152"/>
      <c r="Q946" s="195"/>
      <c r="S946" s="200"/>
      <c r="T946" s="200"/>
      <c r="U946" s="152"/>
      <c r="V946" s="152"/>
      <c r="W946" s="157"/>
      <c r="AA946" s="156"/>
    </row>
    <row r="947" ht="15.75" customHeight="1">
      <c r="B947" s="199"/>
      <c r="N947" s="152"/>
      <c r="Q947" s="195"/>
      <c r="S947" s="200"/>
      <c r="T947" s="200"/>
      <c r="U947" s="152"/>
      <c r="V947" s="152"/>
      <c r="W947" s="157"/>
      <c r="AA947" s="156"/>
    </row>
    <row r="948" ht="15.75" customHeight="1">
      <c r="B948" s="199"/>
      <c r="N948" s="152"/>
      <c r="Q948" s="195"/>
      <c r="S948" s="200"/>
      <c r="T948" s="200"/>
      <c r="U948" s="152"/>
      <c r="V948" s="152"/>
      <c r="W948" s="157"/>
      <c r="AA948" s="156"/>
    </row>
    <row r="949" ht="15.75" customHeight="1">
      <c r="B949" s="199"/>
      <c r="N949" s="152"/>
      <c r="Q949" s="195"/>
      <c r="S949" s="200"/>
      <c r="T949" s="200"/>
      <c r="U949" s="152"/>
      <c r="V949" s="152"/>
      <c r="W949" s="157"/>
      <c r="AA949" s="156"/>
    </row>
    <row r="950" ht="15.75" customHeight="1">
      <c r="B950" s="199"/>
      <c r="N950" s="152"/>
      <c r="Q950" s="195"/>
      <c r="S950" s="200"/>
      <c r="T950" s="200"/>
      <c r="U950" s="152"/>
      <c r="V950" s="152"/>
      <c r="W950" s="157"/>
      <c r="AA950" s="156"/>
    </row>
    <row r="951" ht="15.75" customHeight="1">
      <c r="B951" s="199"/>
      <c r="N951" s="152"/>
      <c r="Q951" s="195"/>
      <c r="S951" s="200"/>
      <c r="T951" s="200"/>
      <c r="U951" s="152"/>
      <c r="V951" s="152"/>
      <c r="W951" s="157"/>
      <c r="AA951" s="156"/>
    </row>
    <row r="952" ht="15.75" customHeight="1">
      <c r="B952" s="199"/>
      <c r="N952" s="152"/>
      <c r="Q952" s="195"/>
      <c r="S952" s="200"/>
      <c r="T952" s="200"/>
      <c r="U952" s="152"/>
      <c r="V952" s="152"/>
      <c r="W952" s="157"/>
      <c r="AA952" s="156"/>
    </row>
    <row r="953" ht="15.75" customHeight="1">
      <c r="B953" s="199"/>
      <c r="N953" s="152"/>
      <c r="Q953" s="195"/>
      <c r="S953" s="200"/>
      <c r="T953" s="200"/>
      <c r="U953" s="152"/>
      <c r="V953" s="152"/>
      <c r="W953" s="157"/>
      <c r="AA953" s="156"/>
    </row>
    <row r="954" ht="15.75" customHeight="1">
      <c r="B954" s="199"/>
      <c r="N954" s="152"/>
      <c r="Q954" s="195"/>
      <c r="S954" s="200"/>
      <c r="T954" s="200"/>
      <c r="U954" s="152"/>
      <c r="V954" s="152"/>
      <c r="W954" s="157"/>
      <c r="AA954" s="156"/>
    </row>
    <row r="955" ht="15.75" customHeight="1">
      <c r="B955" s="199"/>
      <c r="N955" s="152"/>
      <c r="Q955" s="195"/>
      <c r="S955" s="200"/>
      <c r="T955" s="200"/>
      <c r="U955" s="152"/>
      <c r="V955" s="152"/>
      <c r="W955" s="157"/>
      <c r="AA955" s="156"/>
    </row>
    <row r="956" ht="15.75" customHeight="1">
      <c r="B956" s="199"/>
      <c r="N956" s="152"/>
      <c r="Q956" s="195"/>
      <c r="S956" s="200"/>
      <c r="T956" s="200"/>
      <c r="U956" s="152"/>
      <c r="V956" s="152"/>
      <c r="W956" s="157"/>
      <c r="AA956" s="156"/>
    </row>
    <row r="957" ht="15.75" customHeight="1">
      <c r="B957" s="199"/>
      <c r="N957" s="152"/>
      <c r="Q957" s="195"/>
      <c r="S957" s="200"/>
      <c r="T957" s="200"/>
      <c r="U957" s="152"/>
      <c r="V957" s="152"/>
      <c r="W957" s="157"/>
      <c r="AA957" s="156"/>
    </row>
    <row r="958" ht="15.75" customHeight="1">
      <c r="B958" s="199"/>
      <c r="N958" s="152"/>
      <c r="Q958" s="195"/>
      <c r="S958" s="200"/>
      <c r="T958" s="200"/>
      <c r="U958" s="152"/>
      <c r="V958" s="152"/>
      <c r="W958" s="157"/>
      <c r="AA958" s="156"/>
    </row>
    <row r="959" ht="15.75" customHeight="1">
      <c r="B959" s="199"/>
      <c r="N959" s="152"/>
      <c r="Q959" s="195"/>
      <c r="S959" s="200"/>
      <c r="T959" s="200"/>
      <c r="U959" s="152"/>
      <c r="V959" s="152"/>
      <c r="W959" s="157"/>
      <c r="AA959" s="156"/>
    </row>
    <row r="960" ht="15.75" customHeight="1">
      <c r="B960" s="199"/>
      <c r="N960" s="152"/>
      <c r="Q960" s="195"/>
      <c r="S960" s="200"/>
      <c r="T960" s="200"/>
      <c r="U960" s="152"/>
      <c r="V960" s="152"/>
      <c r="W960" s="157"/>
      <c r="AA960" s="156"/>
    </row>
    <row r="961" ht="15.75" customHeight="1">
      <c r="B961" s="199"/>
      <c r="N961" s="152"/>
      <c r="Q961" s="195"/>
      <c r="S961" s="200"/>
      <c r="T961" s="200"/>
      <c r="U961" s="152"/>
      <c r="V961" s="152"/>
      <c r="W961" s="157"/>
      <c r="AA961" s="156"/>
    </row>
    <row r="962" ht="15.75" customHeight="1">
      <c r="B962" s="199"/>
      <c r="N962" s="152"/>
      <c r="Q962" s="195"/>
      <c r="S962" s="200"/>
      <c r="T962" s="200"/>
      <c r="U962" s="152"/>
      <c r="V962" s="152"/>
      <c r="W962" s="157"/>
      <c r="AA962" s="156"/>
    </row>
    <row r="963" ht="15.75" customHeight="1">
      <c r="B963" s="199"/>
      <c r="N963" s="152"/>
      <c r="Q963" s="195"/>
      <c r="S963" s="200"/>
      <c r="T963" s="200"/>
      <c r="U963" s="152"/>
      <c r="V963" s="152"/>
      <c r="W963" s="157"/>
      <c r="AA963" s="156"/>
    </row>
    <row r="964" ht="15.75" customHeight="1">
      <c r="B964" s="199"/>
      <c r="N964" s="152"/>
      <c r="Q964" s="195"/>
      <c r="S964" s="200"/>
      <c r="T964" s="200"/>
      <c r="U964" s="152"/>
      <c r="V964" s="152"/>
      <c r="W964" s="157"/>
      <c r="AA964" s="156"/>
    </row>
    <row r="965" ht="15.75" customHeight="1">
      <c r="B965" s="199"/>
      <c r="N965" s="152"/>
      <c r="Q965" s="195"/>
      <c r="S965" s="200"/>
      <c r="T965" s="200"/>
      <c r="U965" s="152"/>
      <c r="V965" s="152"/>
      <c r="W965" s="157"/>
      <c r="AA965" s="156"/>
    </row>
    <row r="966" ht="15.75" customHeight="1">
      <c r="B966" s="199"/>
      <c r="N966" s="152"/>
      <c r="Q966" s="195"/>
      <c r="S966" s="200"/>
      <c r="T966" s="200"/>
      <c r="U966" s="152"/>
      <c r="V966" s="152"/>
      <c r="W966" s="157"/>
      <c r="AA966" s="156"/>
    </row>
    <row r="967" ht="15.75" customHeight="1">
      <c r="B967" s="199"/>
      <c r="N967" s="152"/>
      <c r="Q967" s="195"/>
      <c r="S967" s="200"/>
      <c r="T967" s="200"/>
      <c r="U967" s="152"/>
      <c r="V967" s="152"/>
      <c r="W967" s="157"/>
      <c r="AA967" s="156"/>
    </row>
    <row r="968" ht="15.75" customHeight="1">
      <c r="B968" s="199"/>
      <c r="N968" s="152"/>
      <c r="Q968" s="195"/>
      <c r="S968" s="200"/>
      <c r="T968" s="200"/>
      <c r="U968" s="152"/>
      <c r="V968" s="152"/>
      <c r="W968" s="157"/>
      <c r="AA968" s="156"/>
    </row>
    <row r="969" ht="15.75" customHeight="1">
      <c r="B969" s="199"/>
      <c r="N969" s="152"/>
      <c r="Q969" s="195"/>
      <c r="S969" s="200"/>
      <c r="T969" s="200"/>
      <c r="U969" s="152"/>
      <c r="V969" s="152"/>
      <c r="W969" s="157"/>
      <c r="AA969" s="156"/>
    </row>
    <row r="970" ht="15.75" customHeight="1">
      <c r="B970" s="199"/>
      <c r="N970" s="152"/>
      <c r="Q970" s="195"/>
      <c r="S970" s="200"/>
      <c r="T970" s="200"/>
      <c r="U970" s="152"/>
      <c r="V970" s="152"/>
      <c r="W970" s="157"/>
      <c r="AA970" s="156"/>
    </row>
    <row r="971" ht="15.75" customHeight="1">
      <c r="B971" s="199"/>
      <c r="N971" s="152"/>
      <c r="Q971" s="195"/>
      <c r="S971" s="200"/>
      <c r="T971" s="200"/>
      <c r="U971" s="152"/>
      <c r="V971" s="152"/>
      <c r="W971" s="157"/>
      <c r="AA971" s="156"/>
    </row>
    <row r="972" ht="15.75" customHeight="1">
      <c r="B972" s="199"/>
      <c r="N972" s="152"/>
      <c r="Q972" s="195"/>
      <c r="S972" s="200"/>
      <c r="T972" s="200"/>
      <c r="U972" s="152"/>
      <c r="V972" s="152"/>
      <c r="W972" s="157"/>
      <c r="AA972" s="156"/>
    </row>
    <row r="973" ht="15.75" customHeight="1">
      <c r="B973" s="199"/>
      <c r="N973" s="152"/>
      <c r="Q973" s="195"/>
      <c r="S973" s="200"/>
      <c r="T973" s="200"/>
      <c r="U973" s="152"/>
      <c r="V973" s="152"/>
      <c r="W973" s="157"/>
      <c r="AA973" s="156"/>
    </row>
    <row r="974" ht="15.75" customHeight="1">
      <c r="B974" s="199"/>
      <c r="N974" s="152"/>
      <c r="Q974" s="195"/>
      <c r="S974" s="200"/>
      <c r="T974" s="200"/>
      <c r="U974" s="152"/>
      <c r="V974" s="152"/>
      <c r="W974" s="157"/>
      <c r="AA974" s="156"/>
    </row>
    <row r="975" ht="15.75" customHeight="1">
      <c r="B975" s="199"/>
      <c r="N975" s="152"/>
      <c r="Q975" s="195"/>
      <c r="S975" s="200"/>
      <c r="T975" s="200"/>
      <c r="U975" s="152"/>
      <c r="V975" s="152"/>
      <c r="W975" s="157"/>
      <c r="AA975" s="156"/>
    </row>
    <row r="976" ht="15.75" customHeight="1">
      <c r="B976" s="199"/>
      <c r="N976" s="152"/>
      <c r="Q976" s="195"/>
      <c r="S976" s="200"/>
      <c r="T976" s="200"/>
      <c r="U976" s="152"/>
      <c r="V976" s="152"/>
      <c r="W976" s="157"/>
      <c r="AA976" s="156"/>
    </row>
    <row r="977" ht="15.75" customHeight="1">
      <c r="B977" s="199"/>
      <c r="N977" s="152"/>
      <c r="Q977" s="195"/>
      <c r="S977" s="200"/>
      <c r="T977" s="200"/>
      <c r="U977" s="152"/>
      <c r="V977" s="152"/>
      <c r="W977" s="157"/>
      <c r="AA977" s="156"/>
    </row>
    <row r="978" ht="15.75" customHeight="1">
      <c r="B978" s="199"/>
      <c r="N978" s="152"/>
      <c r="Q978" s="195"/>
      <c r="S978" s="200"/>
      <c r="T978" s="200"/>
      <c r="U978" s="152"/>
      <c r="V978" s="152"/>
      <c r="W978" s="157"/>
      <c r="AA978" s="156"/>
    </row>
    <row r="979" ht="15.75" customHeight="1">
      <c r="B979" s="199"/>
      <c r="N979" s="152"/>
      <c r="Q979" s="195"/>
      <c r="S979" s="200"/>
      <c r="T979" s="200"/>
      <c r="U979" s="152"/>
      <c r="V979" s="152"/>
      <c r="W979" s="157"/>
      <c r="AA979" s="156"/>
    </row>
    <row r="980" ht="15.75" customHeight="1">
      <c r="B980" s="199"/>
      <c r="N980" s="152"/>
      <c r="Q980" s="195"/>
      <c r="S980" s="200"/>
      <c r="T980" s="200"/>
      <c r="U980" s="152"/>
      <c r="V980" s="152"/>
      <c r="W980" s="157"/>
      <c r="AA980" s="156"/>
    </row>
    <row r="981" ht="15.75" customHeight="1">
      <c r="B981" s="199"/>
      <c r="N981" s="152"/>
      <c r="Q981" s="195"/>
      <c r="S981" s="200"/>
      <c r="T981" s="200"/>
      <c r="U981" s="152"/>
      <c r="V981" s="152"/>
      <c r="W981" s="157"/>
      <c r="AA981" s="156"/>
    </row>
    <row r="982" ht="15.75" customHeight="1">
      <c r="B982" s="199"/>
      <c r="N982" s="152"/>
      <c r="Q982" s="195"/>
      <c r="S982" s="200"/>
      <c r="T982" s="200"/>
      <c r="U982" s="152"/>
      <c r="V982" s="152"/>
      <c r="W982" s="157"/>
      <c r="AA982" s="156"/>
    </row>
    <row r="983" ht="15.75" customHeight="1">
      <c r="B983" s="199"/>
      <c r="N983" s="152"/>
      <c r="Q983" s="195"/>
      <c r="S983" s="200"/>
      <c r="T983" s="200"/>
      <c r="U983" s="152"/>
      <c r="V983" s="152"/>
      <c r="W983" s="157"/>
      <c r="AA983" s="156"/>
    </row>
    <row r="984" ht="15.75" customHeight="1">
      <c r="B984" s="199"/>
      <c r="N984" s="152"/>
      <c r="Q984" s="195"/>
      <c r="S984" s="200"/>
      <c r="T984" s="200"/>
      <c r="U984" s="152"/>
      <c r="V984" s="152"/>
      <c r="W984" s="157"/>
      <c r="AA984" s="156"/>
    </row>
    <row r="985" ht="15.75" customHeight="1">
      <c r="B985" s="199"/>
      <c r="N985" s="152"/>
      <c r="Q985" s="195"/>
      <c r="S985" s="200"/>
      <c r="T985" s="200"/>
      <c r="U985" s="152"/>
      <c r="V985" s="152"/>
      <c r="W985" s="157"/>
      <c r="AA985" s="156"/>
    </row>
    <row r="986" ht="15.75" customHeight="1">
      <c r="B986" s="199"/>
      <c r="N986" s="152"/>
      <c r="Q986" s="195"/>
      <c r="S986" s="200"/>
      <c r="T986" s="200"/>
      <c r="U986" s="152"/>
      <c r="V986" s="152"/>
      <c r="W986" s="157"/>
      <c r="AA986" s="156"/>
    </row>
    <row r="987" ht="15.75" customHeight="1">
      <c r="B987" s="199"/>
      <c r="N987" s="152"/>
      <c r="Q987" s="195"/>
      <c r="S987" s="200"/>
      <c r="T987" s="200"/>
      <c r="U987" s="152"/>
      <c r="V987" s="152"/>
      <c r="W987" s="157"/>
      <c r="AA987" s="156"/>
    </row>
    <row r="988" ht="15.75" customHeight="1">
      <c r="B988" s="199"/>
      <c r="N988" s="152"/>
      <c r="Q988" s="195"/>
      <c r="S988" s="200"/>
      <c r="T988" s="200"/>
      <c r="U988" s="152"/>
      <c r="V988" s="152"/>
      <c r="W988" s="157"/>
      <c r="AA988" s="156"/>
    </row>
    <row r="989" ht="15.75" customHeight="1">
      <c r="B989" s="199"/>
      <c r="N989" s="152"/>
      <c r="Q989" s="195"/>
      <c r="S989" s="200"/>
      <c r="T989" s="200"/>
      <c r="U989" s="152"/>
      <c r="V989" s="152"/>
      <c r="W989" s="157"/>
      <c r="AA989" s="156"/>
    </row>
    <row r="990" ht="15.75" customHeight="1">
      <c r="B990" s="199"/>
      <c r="N990" s="152"/>
      <c r="Q990" s="195"/>
      <c r="S990" s="200"/>
      <c r="T990" s="200"/>
      <c r="U990" s="152"/>
      <c r="V990" s="152"/>
      <c r="W990" s="157"/>
      <c r="AA990" s="156"/>
    </row>
    <row r="991" ht="15.75" customHeight="1">
      <c r="B991" s="199"/>
      <c r="N991" s="152"/>
      <c r="Q991" s="195"/>
      <c r="S991" s="200"/>
      <c r="T991" s="200"/>
      <c r="U991" s="152"/>
      <c r="V991" s="152"/>
      <c r="W991" s="157"/>
      <c r="AA991" s="156"/>
    </row>
    <row r="992" ht="15.75" customHeight="1">
      <c r="B992" s="199"/>
      <c r="N992" s="152"/>
      <c r="Q992" s="195"/>
      <c r="S992" s="200"/>
      <c r="T992" s="200"/>
      <c r="U992" s="152"/>
      <c r="V992" s="152"/>
      <c r="W992" s="157"/>
      <c r="AA992" s="156"/>
    </row>
    <row r="993" ht="15.75" customHeight="1">
      <c r="B993" s="199"/>
      <c r="N993" s="152"/>
      <c r="Q993" s="195"/>
      <c r="S993" s="200"/>
      <c r="T993" s="200"/>
      <c r="U993" s="152"/>
      <c r="V993" s="152"/>
      <c r="W993" s="157"/>
      <c r="AA993" s="156"/>
    </row>
    <row r="994" ht="15.75" customHeight="1">
      <c r="B994" s="199"/>
      <c r="N994" s="152"/>
      <c r="Q994" s="195"/>
      <c r="S994" s="200"/>
      <c r="T994" s="200"/>
      <c r="U994" s="152"/>
      <c r="V994" s="152"/>
      <c r="W994" s="157"/>
      <c r="AA994" s="156"/>
    </row>
    <row r="995" ht="15.75" customHeight="1">
      <c r="B995" s="199"/>
      <c r="N995" s="152"/>
      <c r="Q995" s="195"/>
      <c r="S995" s="200"/>
      <c r="T995" s="200"/>
      <c r="U995" s="152"/>
      <c r="V995" s="152"/>
      <c r="W995" s="157"/>
      <c r="AA995" s="156"/>
    </row>
    <row r="996" ht="15.75" customHeight="1">
      <c r="B996" s="199"/>
      <c r="N996" s="152"/>
      <c r="Q996" s="195"/>
      <c r="S996" s="200"/>
      <c r="T996" s="200"/>
      <c r="U996" s="152"/>
      <c r="V996" s="152"/>
      <c r="W996" s="157"/>
      <c r="AA996" s="156"/>
    </row>
    <row r="997" ht="15.75" customHeight="1">
      <c r="B997" s="199"/>
      <c r="N997" s="152"/>
      <c r="Q997" s="195"/>
      <c r="S997" s="200"/>
      <c r="T997" s="200"/>
      <c r="U997" s="152"/>
      <c r="V997" s="152"/>
      <c r="W997" s="157"/>
      <c r="AA997" s="156"/>
    </row>
    <row r="998" ht="15.75" customHeight="1">
      <c r="B998" s="199"/>
      <c r="N998" s="152"/>
      <c r="Q998" s="195"/>
      <c r="S998" s="200"/>
      <c r="T998" s="200"/>
      <c r="U998" s="152"/>
      <c r="V998" s="152"/>
      <c r="W998" s="157"/>
      <c r="AA998" s="156"/>
    </row>
    <row r="999" ht="15.75" customHeight="1">
      <c r="B999" s="199"/>
      <c r="N999" s="152"/>
      <c r="Q999" s="195"/>
      <c r="S999" s="200"/>
      <c r="T999" s="200"/>
      <c r="U999" s="152"/>
      <c r="V999" s="152"/>
      <c r="W999" s="157"/>
      <c r="AA999" s="156"/>
    </row>
    <row r="1000" ht="15.75" customHeight="1">
      <c r="B1000" s="199"/>
      <c r="N1000" s="152"/>
      <c r="Q1000" s="195"/>
      <c r="S1000" s="200"/>
      <c r="T1000" s="200"/>
      <c r="U1000" s="152"/>
      <c r="V1000" s="152"/>
      <c r="W1000" s="157"/>
      <c r="AA1000" s="156"/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83F04"/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3.75"/>
    <col customWidth="1" min="6" max="6" width="12.63"/>
    <col customWidth="1" min="8" max="8" width="17.88"/>
    <col customWidth="1" min="9" max="9" width="14.38"/>
    <col customWidth="1" min="12" max="12" width="20.88"/>
    <col customWidth="1" min="13" max="13" width="13.0"/>
    <col customWidth="1" min="14" max="14" width="18.13"/>
    <col customWidth="1" min="15" max="15" width="13.63"/>
    <col customWidth="1" min="16" max="16" width="19.13"/>
    <col customWidth="1" min="17" max="17" width="20.88"/>
    <col customWidth="1" min="20" max="20" width="19.13"/>
  </cols>
  <sheetData>
    <row r="1" ht="15.75" customHeight="1">
      <c r="A1" s="168" t="str">
        <f>Datos!A1</f>
        <v>   Fecha </v>
      </c>
      <c r="B1" s="168" t="str">
        <f>Datos!B1</f>
        <v>NIS</v>
      </c>
      <c r="C1" s="168" t="str">
        <f>Datos!C1</f>
        <v>Cliente</v>
      </c>
      <c r="D1" s="168" t="str">
        <f>Datos!D1</f>
        <v>IVA</v>
      </c>
      <c r="E1" s="168" t="str">
        <f>Datos!E1</f>
        <v>Consumo [kWh]</v>
      </c>
      <c r="F1" s="168" t="str">
        <f>Datos!F1</f>
        <v>Consumo hs punta [kWh]</v>
      </c>
      <c r="G1" s="168" t="str">
        <f>Datos!G1</f>
        <v>Consumo hs valle [kWh]</v>
      </c>
      <c r="H1" s="168" t="str">
        <f>Datos!H1</f>
        <v>Consumo hs resto[kWh]</v>
      </c>
      <c r="I1" s="168" t="str">
        <f>Datos!I1</f>
        <v>Catergoria</v>
      </c>
      <c r="J1" s="168" t="str">
        <f>Datos!J1</f>
        <v>Tarifa punta</v>
      </c>
      <c r="K1" s="168" t="str">
        <f>Datos!K1</f>
        <v>Tarifa valle</v>
      </c>
      <c r="L1" s="168" t="str">
        <f>Datos!L1</f>
        <v>Tarifa resto</v>
      </c>
      <c r="M1" s="168" t="str">
        <f>Datos!M1</f>
        <v>Generacion FV [kWh]</v>
      </c>
      <c r="N1" s="168" t="str">
        <f>Datos!N1</f>
        <v>CONSUMO TOTAL</v>
      </c>
      <c r="O1" s="168" t="str">
        <f>Datos!O1</f>
        <v>Total a pagar S / IVA</v>
      </c>
      <c r="P1" s="168" t="str">
        <f>Datos!P1</f>
        <v>Valor USD</v>
      </c>
      <c r="Q1" s="168" t="str">
        <f>Datos!Q1</f>
        <v>Ahorro (USD)</v>
      </c>
      <c r="R1" s="168" t="str">
        <f>Datos!R1</f>
        <v>Ahorro ($)</v>
      </c>
      <c r="S1" s="168" t="str">
        <f>Datos!S1</f>
        <v>Valor dolar Actual ($)</v>
      </c>
      <c r="T1" s="168" t="str">
        <f>Datos!T1</f>
        <v>Ahorro ($)-A precio actual</v>
      </c>
      <c r="U1" s="168" t="str">
        <f>Datos!U1</f>
        <v>kg CO2e evitados</v>
      </c>
      <c r="V1" s="168" t="str">
        <f>Datos!V1</f>
        <v>Equivalente en árboles</v>
      </c>
      <c r="W1" s="168" t="str">
        <f>Datos!W1</f>
        <v>% de ahorro sobre los consumos</v>
      </c>
      <c r="X1" s="168" t="str">
        <f>Datos!X1</f>
        <v>SIN PANELES S/IVA</v>
      </c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  <c r="AK1" s="180"/>
      <c r="AL1" s="180"/>
      <c r="AM1" s="180"/>
      <c r="AN1" s="180"/>
      <c r="AO1" s="180"/>
      <c r="AP1" s="180"/>
      <c r="AQ1" s="180"/>
      <c r="AR1" s="180"/>
      <c r="AS1" s="180"/>
      <c r="AT1" s="180"/>
    </row>
    <row r="2" ht="15.75" customHeight="1">
      <c r="A2" s="12" t="str">
        <f>LaMerceddelAlto!A2</f>
        <v>#REF!</v>
      </c>
      <c r="B2" s="77" t="str">
        <f>LaMerceddelAlto!B2</f>
        <v/>
      </c>
      <c r="C2" s="77" t="str">
        <f>LaMerceddelAlto!C2</f>
        <v/>
      </c>
      <c r="D2" s="29" t="str">
        <f>LaMerceddelAlto!D2</f>
        <v/>
      </c>
      <c r="E2" s="17" t="str">
        <f>LaMerceddelAlto!E2</f>
        <v/>
      </c>
      <c r="F2" s="17" t="str">
        <f>LaMerceddelAlto!F2</f>
        <v/>
      </c>
      <c r="G2" s="17" t="str">
        <f>LaMerceddelAlto!G2</f>
        <v/>
      </c>
      <c r="H2" s="17" t="str">
        <f>LaMerceddelAlto!H2</f>
        <v/>
      </c>
      <c r="I2" s="28" t="str">
        <f>LaMerceddelAlto!I2</f>
        <v/>
      </c>
      <c r="J2" s="30" t="str">
        <f>LaMerceddelAlto!J2</f>
        <v/>
      </c>
      <c r="K2" s="30" t="str">
        <f>LaMerceddelAlto!K2</f>
        <v/>
      </c>
      <c r="L2" s="30" t="str">
        <f>LaMerceddelAlto!L2</f>
        <v/>
      </c>
      <c r="M2" s="15" t="str">
        <f>LaMerceddelAlto!M2</f>
        <v/>
      </c>
      <c r="N2" s="17" t="str">
        <f>LaMerceddelAlto!N2</f>
        <v/>
      </c>
      <c r="O2" s="31" t="str">
        <f>LaMerceddelAlto!O2</f>
        <v/>
      </c>
      <c r="P2" s="20" t="str">
        <f>LaMerceddelAlto!P2</f>
        <v/>
      </c>
      <c r="Q2" s="181" t="str">
        <f>LaMerceddelAlto!Q2</f>
        <v/>
      </c>
      <c r="R2" s="32" t="str">
        <f>LaMerceddelAlto!R2</f>
        <v/>
      </c>
      <c r="S2" s="84" t="str">
        <f>LaMerceddelAlto!S2</f>
        <v/>
      </c>
      <c r="T2" s="34" t="str">
        <f>LaMerceddelAlto!T2</f>
        <v/>
      </c>
      <c r="U2" s="35" t="str">
        <f>LaMerceddelAlto!U2</f>
        <v/>
      </c>
      <c r="V2" s="36" t="str">
        <f>LaMerceddelAlto!V2</f>
        <v/>
      </c>
      <c r="W2" s="37" t="str">
        <f>LaMerceddelAlto!W2</f>
        <v/>
      </c>
      <c r="X2" s="31" t="str">
        <f>LaMerceddelAlto!X2</f>
        <v/>
      </c>
      <c r="Y2" s="165"/>
      <c r="Z2" s="187"/>
      <c r="AA2" s="188"/>
      <c r="AB2" s="188"/>
      <c r="AC2" s="202"/>
    </row>
    <row r="3" ht="15.75" customHeight="1">
      <c r="A3" s="12" t="str">
        <f>LaMerceddelAlto!A3</f>
        <v/>
      </c>
      <c r="B3" s="77" t="str">
        <f>LaMerceddelAlto!B3</f>
        <v/>
      </c>
      <c r="C3" s="77" t="str">
        <f>LaMerceddelAlto!C3</f>
        <v/>
      </c>
      <c r="D3" s="29" t="str">
        <f>LaMerceddelAlto!D3</f>
        <v/>
      </c>
      <c r="E3" s="17" t="str">
        <f>LaMerceddelAlto!E3</f>
        <v/>
      </c>
      <c r="F3" s="17" t="str">
        <f>LaMerceddelAlto!F3</f>
        <v/>
      </c>
      <c r="G3" s="17" t="str">
        <f>LaMerceddelAlto!G3</f>
        <v/>
      </c>
      <c r="H3" s="17" t="str">
        <f>LaMerceddelAlto!H3</f>
        <v/>
      </c>
      <c r="I3" s="28" t="str">
        <f>LaMerceddelAlto!I3</f>
        <v/>
      </c>
      <c r="J3" s="30" t="str">
        <f>LaMerceddelAlto!J3</f>
        <v/>
      </c>
      <c r="K3" s="30" t="str">
        <f>LaMerceddelAlto!K3</f>
        <v/>
      </c>
      <c r="L3" s="30" t="str">
        <f>LaMerceddelAlto!L3</f>
        <v/>
      </c>
      <c r="M3" s="15" t="str">
        <f>LaMerceddelAlto!M3</f>
        <v/>
      </c>
      <c r="N3" s="17" t="str">
        <f>LaMerceddelAlto!N3</f>
        <v/>
      </c>
      <c r="O3" s="31" t="str">
        <f>LaMerceddelAlto!O3</f>
        <v/>
      </c>
      <c r="P3" s="20" t="str">
        <f>LaMerceddelAlto!P3</f>
        <v/>
      </c>
      <c r="Q3" s="181" t="str">
        <f>LaMerceddelAlto!Q3</f>
        <v/>
      </c>
      <c r="R3" s="32" t="str">
        <f>LaMerceddelAlto!R3</f>
        <v/>
      </c>
      <c r="S3" s="84" t="str">
        <f>LaMerceddelAlto!S3</f>
        <v/>
      </c>
      <c r="T3" s="34" t="str">
        <f>LaMerceddelAlto!T3</f>
        <v/>
      </c>
      <c r="U3" s="35" t="str">
        <f>LaMerceddelAlto!U3</f>
        <v/>
      </c>
      <c r="V3" s="36" t="str">
        <f>LaMerceddelAlto!V3</f>
        <v/>
      </c>
      <c r="W3" s="37" t="str">
        <f>LaMerceddelAlto!W3</f>
        <v/>
      </c>
      <c r="X3" s="31" t="str">
        <f>LaMerceddelAlto!X3</f>
        <v/>
      </c>
      <c r="Y3" s="165"/>
      <c r="Z3" s="187"/>
      <c r="AA3" s="188"/>
      <c r="AB3" s="188"/>
      <c r="AC3" s="202"/>
    </row>
    <row r="4" ht="15.75" customHeight="1">
      <c r="A4" s="12" t="str">
        <f>LaMerceddelAlto!A4</f>
        <v/>
      </c>
      <c r="B4" s="77" t="str">
        <f>LaMerceddelAlto!B4</f>
        <v/>
      </c>
      <c r="C4" s="77" t="str">
        <f>LaMerceddelAlto!C4</f>
        <v/>
      </c>
      <c r="D4" s="29" t="str">
        <f>LaMerceddelAlto!D4</f>
        <v/>
      </c>
      <c r="E4" s="17" t="str">
        <f>LaMerceddelAlto!E4</f>
        <v/>
      </c>
      <c r="F4" s="17" t="str">
        <f>LaMerceddelAlto!F4</f>
        <v/>
      </c>
      <c r="G4" s="17" t="str">
        <f>LaMerceddelAlto!G4</f>
        <v/>
      </c>
      <c r="H4" s="17" t="str">
        <f>LaMerceddelAlto!H4</f>
        <v/>
      </c>
      <c r="I4" s="28" t="str">
        <f>LaMerceddelAlto!I4</f>
        <v/>
      </c>
      <c r="J4" s="30" t="str">
        <f>LaMerceddelAlto!J4</f>
        <v/>
      </c>
      <c r="K4" s="30" t="str">
        <f>LaMerceddelAlto!K4</f>
        <v/>
      </c>
      <c r="L4" s="30" t="str">
        <f>LaMerceddelAlto!L4</f>
        <v/>
      </c>
      <c r="M4" s="15" t="str">
        <f>LaMerceddelAlto!M4</f>
        <v/>
      </c>
      <c r="N4" s="17" t="str">
        <f>LaMerceddelAlto!N4</f>
        <v/>
      </c>
      <c r="O4" s="31" t="str">
        <f>LaMerceddelAlto!O4</f>
        <v/>
      </c>
      <c r="P4" s="20" t="str">
        <f>LaMerceddelAlto!P4</f>
        <v/>
      </c>
      <c r="Q4" s="181" t="str">
        <f>LaMerceddelAlto!Q4</f>
        <v/>
      </c>
      <c r="R4" s="32" t="str">
        <f>LaMerceddelAlto!R4</f>
        <v/>
      </c>
      <c r="S4" s="84" t="str">
        <f>LaMerceddelAlto!S4</f>
        <v/>
      </c>
      <c r="T4" s="34" t="str">
        <f>LaMerceddelAlto!T4</f>
        <v/>
      </c>
      <c r="U4" s="35" t="str">
        <f>LaMerceddelAlto!U4</f>
        <v/>
      </c>
      <c r="V4" s="36" t="str">
        <f>LaMerceddelAlto!V4</f>
        <v/>
      </c>
      <c r="W4" s="37" t="str">
        <f>LaMerceddelAlto!W4</f>
        <v/>
      </c>
      <c r="X4" s="31" t="str">
        <f>LaMerceddelAlto!X4</f>
        <v/>
      </c>
      <c r="Y4" s="165"/>
      <c r="Z4" s="187"/>
      <c r="AA4" s="188"/>
      <c r="AB4" s="188"/>
      <c r="AC4" s="202"/>
    </row>
    <row r="5" ht="15.75" customHeight="1">
      <c r="A5" s="12"/>
      <c r="B5" s="77"/>
      <c r="C5" s="77"/>
      <c r="D5" s="29"/>
      <c r="E5" s="17"/>
      <c r="F5" s="17"/>
      <c r="G5" s="17"/>
      <c r="H5" s="17"/>
      <c r="I5" s="28"/>
      <c r="J5" s="30"/>
      <c r="K5" s="30"/>
      <c r="L5" s="30"/>
      <c r="M5" s="15"/>
      <c r="N5" s="17"/>
      <c r="O5" s="31"/>
      <c r="P5" s="20"/>
      <c r="Q5" s="181"/>
      <c r="R5" s="32"/>
      <c r="S5" s="84"/>
      <c r="T5" s="34"/>
      <c r="U5" s="35"/>
      <c r="V5" s="36"/>
      <c r="W5" s="37"/>
      <c r="X5" s="31"/>
    </row>
    <row r="6" ht="15.75" customHeight="1">
      <c r="A6" s="189"/>
      <c r="B6" s="189"/>
      <c r="C6" s="194"/>
      <c r="T6" s="202"/>
    </row>
    <row r="7" ht="15.75" customHeight="1">
      <c r="A7" s="189"/>
      <c r="B7" s="189"/>
      <c r="C7" s="194"/>
      <c r="T7" s="202"/>
    </row>
    <row r="8" ht="15.75" customHeight="1">
      <c r="A8" s="189"/>
      <c r="B8" s="189"/>
      <c r="C8" s="194"/>
      <c r="T8" s="202"/>
    </row>
    <row r="9" ht="15.75" customHeight="1">
      <c r="A9" s="189"/>
      <c r="B9" s="189"/>
      <c r="C9" s="194"/>
      <c r="T9" s="202"/>
    </row>
    <row r="10" ht="15.75" customHeight="1">
      <c r="A10" s="189"/>
      <c r="B10" s="189"/>
      <c r="C10" s="194"/>
      <c r="T10" s="202"/>
    </row>
    <row r="11" ht="15.75" customHeight="1">
      <c r="A11" s="189"/>
      <c r="B11" s="189"/>
      <c r="C11" s="194"/>
      <c r="T11" s="202"/>
    </row>
    <row r="12" ht="15.75" customHeight="1">
      <c r="A12" s="189"/>
      <c r="B12" s="189"/>
      <c r="C12" s="194"/>
      <c r="T12" s="202"/>
    </row>
    <row r="13" ht="15.75" customHeight="1">
      <c r="A13" s="189"/>
      <c r="B13" s="189"/>
      <c r="C13" s="194"/>
      <c r="T13" s="202"/>
    </row>
    <row r="14" ht="15.75" customHeight="1">
      <c r="A14" s="189"/>
      <c r="B14" s="189"/>
      <c r="C14" s="194"/>
      <c r="T14" s="202"/>
    </row>
    <row r="15" ht="15.75" customHeight="1">
      <c r="A15" s="189"/>
      <c r="B15" s="189"/>
      <c r="C15" s="194"/>
      <c r="T15" s="202"/>
    </row>
    <row r="16" ht="15.75" customHeight="1">
      <c r="A16" s="189"/>
      <c r="B16" s="189"/>
      <c r="C16" s="194"/>
      <c r="T16" s="202"/>
    </row>
    <row r="17" ht="15.75" customHeight="1">
      <c r="A17" s="189"/>
      <c r="B17" s="189"/>
      <c r="C17" s="194"/>
      <c r="T17" s="202"/>
    </row>
    <row r="18" ht="15.75" customHeight="1">
      <c r="A18" s="189"/>
      <c r="B18" s="189"/>
      <c r="C18" s="194"/>
      <c r="T18" s="202"/>
    </row>
    <row r="19" ht="15.75" customHeight="1">
      <c r="A19" s="189"/>
      <c r="B19" s="189"/>
      <c r="C19" s="194"/>
      <c r="T19" s="202"/>
    </row>
    <row r="20" ht="15.75" customHeight="1">
      <c r="A20" s="189"/>
      <c r="B20" s="189"/>
      <c r="C20" s="194"/>
      <c r="T20" s="202"/>
    </row>
    <row r="21" ht="15.75" customHeight="1">
      <c r="A21" s="189"/>
      <c r="B21" s="189"/>
      <c r="C21" s="194"/>
      <c r="T21" s="202"/>
    </row>
    <row r="22" ht="15.75" customHeight="1">
      <c r="A22" s="189"/>
      <c r="B22" s="189"/>
      <c r="C22" s="194"/>
      <c r="T22" s="202"/>
    </row>
    <row r="23" ht="15.75" customHeight="1">
      <c r="A23" s="189"/>
      <c r="B23" s="189"/>
      <c r="C23" s="194"/>
      <c r="T23" s="202"/>
    </row>
    <row r="24" ht="15.75" customHeight="1">
      <c r="A24" s="189"/>
      <c r="B24" s="189"/>
      <c r="C24" s="194"/>
      <c r="T24" s="202"/>
    </row>
    <row r="25" ht="15.75" customHeight="1">
      <c r="A25" s="189"/>
      <c r="B25" s="189"/>
      <c r="C25" s="194"/>
      <c r="T25" s="202"/>
    </row>
    <row r="26" ht="15.75" customHeight="1">
      <c r="A26" s="189"/>
      <c r="B26" s="189"/>
      <c r="C26" s="194"/>
      <c r="T26" s="202"/>
    </row>
    <row r="27" ht="15.75" customHeight="1">
      <c r="A27" s="189"/>
      <c r="B27" s="189"/>
      <c r="C27" s="194"/>
      <c r="T27" s="202"/>
    </row>
    <row r="28" ht="15.75" customHeight="1">
      <c r="A28" s="189"/>
      <c r="B28" s="189"/>
      <c r="C28" s="194"/>
      <c r="T28" s="202"/>
    </row>
    <row r="29" ht="15.75" customHeight="1">
      <c r="A29" s="189"/>
      <c r="B29" s="189"/>
      <c r="C29" s="194"/>
      <c r="T29" s="202"/>
    </row>
    <row r="30" ht="15.75" customHeight="1">
      <c r="A30" s="189"/>
      <c r="B30" s="189"/>
      <c r="C30" s="194"/>
      <c r="T30" s="202"/>
    </row>
    <row r="31" ht="15.75" customHeight="1">
      <c r="A31" s="189"/>
      <c r="B31" s="189"/>
      <c r="C31" s="194"/>
      <c r="T31" s="202"/>
    </row>
    <row r="32" ht="15.75" customHeight="1">
      <c r="A32" s="189"/>
      <c r="B32" s="189"/>
      <c r="C32" s="194"/>
      <c r="T32" s="202"/>
    </row>
    <row r="33" ht="15.75" customHeight="1">
      <c r="A33" s="189"/>
      <c r="B33" s="189"/>
      <c r="C33" s="194"/>
      <c r="T33" s="202"/>
    </row>
    <row r="34" ht="15.75" customHeight="1">
      <c r="A34" s="189"/>
      <c r="B34" s="189"/>
      <c r="C34" s="194"/>
      <c r="T34" s="202"/>
    </row>
    <row r="35" ht="15.75" customHeight="1">
      <c r="A35" s="189"/>
      <c r="B35" s="189"/>
      <c r="C35" s="194"/>
      <c r="T35" s="202"/>
    </row>
    <row r="36" ht="15.75" customHeight="1">
      <c r="A36" s="189"/>
      <c r="B36" s="189"/>
      <c r="C36" s="194"/>
      <c r="T36" s="202"/>
    </row>
    <row r="37" ht="15.75" customHeight="1">
      <c r="A37" s="189"/>
      <c r="B37" s="189"/>
      <c r="C37" s="194"/>
      <c r="T37" s="202"/>
    </row>
    <row r="38" ht="15.75" customHeight="1">
      <c r="A38" s="189"/>
      <c r="B38" s="189"/>
      <c r="C38" s="194"/>
      <c r="T38" s="202"/>
    </row>
    <row r="39" ht="15.75" customHeight="1">
      <c r="A39" s="189"/>
      <c r="B39" s="189"/>
      <c r="C39" s="194"/>
      <c r="T39" s="202"/>
    </row>
    <row r="40" ht="15.75" customHeight="1">
      <c r="A40" s="189"/>
      <c r="B40" s="189"/>
      <c r="C40" s="194"/>
      <c r="T40" s="202"/>
    </row>
    <row r="41" ht="15.75" customHeight="1">
      <c r="A41" s="189"/>
      <c r="B41" s="189"/>
      <c r="C41" s="194"/>
      <c r="T41" s="202"/>
    </row>
    <row r="42" ht="15.75" customHeight="1">
      <c r="A42" s="189"/>
      <c r="B42" s="189"/>
      <c r="C42" s="194"/>
      <c r="T42" s="202"/>
    </row>
    <row r="43" ht="15.75" customHeight="1">
      <c r="A43" s="189"/>
      <c r="B43" s="189"/>
      <c r="C43" s="194"/>
      <c r="T43" s="202"/>
    </row>
    <row r="44" ht="15.75" customHeight="1">
      <c r="A44" s="189"/>
      <c r="B44" s="189"/>
      <c r="C44" s="194"/>
      <c r="T44" s="202"/>
    </row>
    <row r="45" ht="15.75" customHeight="1">
      <c r="A45" s="189"/>
      <c r="B45" s="189"/>
      <c r="C45" s="194"/>
      <c r="T45" s="202"/>
    </row>
    <row r="46" ht="15.75" customHeight="1">
      <c r="A46" s="189"/>
      <c r="B46" s="189"/>
      <c r="C46" s="194"/>
      <c r="T46" s="202"/>
    </row>
    <row r="47" ht="15.75" customHeight="1">
      <c r="A47" s="189"/>
      <c r="B47" s="189"/>
      <c r="C47" s="194"/>
      <c r="T47" s="202"/>
    </row>
    <row r="48" ht="15.75" customHeight="1">
      <c r="A48" s="189"/>
      <c r="B48" s="189"/>
      <c r="C48" s="194"/>
      <c r="T48" s="202"/>
    </row>
    <row r="49" ht="15.75" customHeight="1">
      <c r="A49" s="189"/>
      <c r="B49" s="189"/>
      <c r="C49" s="194"/>
      <c r="T49" s="202"/>
    </row>
    <row r="50" ht="15.75" customHeight="1">
      <c r="A50" s="189"/>
      <c r="B50" s="189"/>
      <c r="C50" s="194"/>
      <c r="T50" s="202"/>
    </row>
    <row r="51" ht="15.75" customHeight="1">
      <c r="A51" s="189"/>
      <c r="B51" s="189"/>
      <c r="C51" s="194"/>
      <c r="T51" s="202"/>
    </row>
    <row r="52" ht="15.75" customHeight="1">
      <c r="A52" s="189"/>
      <c r="B52" s="189"/>
      <c r="C52" s="194"/>
      <c r="T52" s="202"/>
    </row>
    <row r="53" ht="15.75" customHeight="1">
      <c r="A53" s="189"/>
      <c r="B53" s="189"/>
      <c r="C53" s="194"/>
      <c r="T53" s="202"/>
    </row>
    <row r="54" ht="15.75" customHeight="1">
      <c r="A54" s="189"/>
      <c r="B54" s="189"/>
      <c r="C54" s="194"/>
      <c r="T54" s="202"/>
    </row>
    <row r="55" ht="15.75" customHeight="1">
      <c r="A55" s="189"/>
      <c r="B55" s="189"/>
      <c r="C55" s="194"/>
      <c r="T55" s="202"/>
    </row>
    <row r="56" ht="15.75" customHeight="1">
      <c r="A56" s="189"/>
      <c r="B56" s="189"/>
      <c r="C56" s="194"/>
      <c r="T56" s="202"/>
    </row>
    <row r="57" ht="15.75" customHeight="1">
      <c r="A57" s="189"/>
      <c r="B57" s="189"/>
      <c r="C57" s="194"/>
      <c r="T57" s="202"/>
    </row>
    <row r="58" ht="15.75" customHeight="1">
      <c r="A58" s="189"/>
      <c r="B58" s="189"/>
      <c r="C58" s="194"/>
      <c r="T58" s="202"/>
    </row>
    <row r="59" ht="15.75" customHeight="1">
      <c r="A59" s="189"/>
      <c r="B59" s="189"/>
      <c r="C59" s="194"/>
      <c r="T59" s="202"/>
    </row>
    <row r="60" ht="15.75" customHeight="1">
      <c r="A60" s="189"/>
      <c r="B60" s="189"/>
      <c r="C60" s="194"/>
      <c r="T60" s="202"/>
    </row>
    <row r="61" ht="15.75" customHeight="1">
      <c r="A61" s="189"/>
      <c r="B61" s="189"/>
      <c r="C61" s="194"/>
      <c r="T61" s="202"/>
    </row>
    <row r="62" ht="15.75" customHeight="1">
      <c r="A62" s="189"/>
      <c r="B62" s="189"/>
      <c r="C62" s="194"/>
      <c r="T62" s="202"/>
    </row>
    <row r="63" ht="15.75" customHeight="1">
      <c r="A63" s="189"/>
      <c r="B63" s="189"/>
      <c r="C63" s="194"/>
      <c r="T63" s="202"/>
    </row>
    <row r="64" ht="15.75" customHeight="1">
      <c r="A64" s="189"/>
      <c r="B64" s="189"/>
      <c r="C64" s="194"/>
      <c r="T64" s="202"/>
    </row>
    <row r="65" ht="15.75" customHeight="1">
      <c r="A65" s="189"/>
      <c r="B65" s="189"/>
      <c r="C65" s="194"/>
      <c r="T65" s="202"/>
    </row>
    <row r="66" ht="15.75" customHeight="1">
      <c r="A66" s="189"/>
      <c r="B66" s="189"/>
      <c r="C66" s="194"/>
      <c r="T66" s="202"/>
    </row>
    <row r="67" ht="15.75" customHeight="1">
      <c r="A67" s="189"/>
      <c r="B67" s="189"/>
      <c r="C67" s="194"/>
      <c r="T67" s="202"/>
    </row>
    <row r="68" ht="15.75" customHeight="1">
      <c r="A68" s="189"/>
      <c r="B68" s="189"/>
      <c r="C68" s="194"/>
      <c r="T68" s="202"/>
    </row>
    <row r="69" ht="15.75" customHeight="1">
      <c r="A69" s="189"/>
      <c r="B69" s="189"/>
      <c r="C69" s="194"/>
      <c r="T69" s="202"/>
    </row>
    <row r="70" ht="15.75" customHeight="1">
      <c r="A70" s="189"/>
      <c r="B70" s="189"/>
      <c r="C70" s="194"/>
      <c r="T70" s="202"/>
    </row>
    <row r="71" ht="15.75" customHeight="1">
      <c r="A71" s="189"/>
      <c r="B71" s="189"/>
      <c r="C71" s="194"/>
      <c r="T71" s="202"/>
    </row>
    <row r="72" ht="15.75" customHeight="1">
      <c r="A72" s="189"/>
      <c r="B72" s="189"/>
      <c r="C72" s="194"/>
      <c r="T72" s="202"/>
    </row>
    <row r="73" ht="15.75" customHeight="1">
      <c r="A73" s="189"/>
      <c r="B73" s="189"/>
      <c r="C73" s="194"/>
      <c r="T73" s="202"/>
    </row>
    <row r="74" ht="15.75" customHeight="1">
      <c r="A74" s="189"/>
      <c r="B74" s="189"/>
      <c r="C74" s="194"/>
      <c r="T74" s="202"/>
    </row>
    <row r="75" ht="15.75" customHeight="1">
      <c r="A75" s="189"/>
      <c r="B75" s="189"/>
      <c r="C75" s="194"/>
      <c r="T75" s="202"/>
    </row>
    <row r="76" ht="15.75" customHeight="1">
      <c r="A76" s="189"/>
      <c r="B76" s="189"/>
      <c r="C76" s="194"/>
      <c r="T76" s="202"/>
    </row>
    <row r="77" ht="15.75" customHeight="1">
      <c r="A77" s="189"/>
      <c r="B77" s="189"/>
      <c r="C77" s="194"/>
      <c r="T77" s="202"/>
    </row>
    <row r="78" ht="15.75" customHeight="1">
      <c r="A78" s="189"/>
      <c r="B78" s="189"/>
      <c r="C78" s="194"/>
      <c r="T78" s="202"/>
    </row>
    <row r="79" ht="15.75" customHeight="1">
      <c r="A79" s="189"/>
      <c r="B79" s="189"/>
      <c r="C79" s="194"/>
      <c r="T79" s="202"/>
    </row>
    <row r="80" ht="15.75" customHeight="1">
      <c r="A80" s="189"/>
      <c r="B80" s="189"/>
      <c r="C80" s="194"/>
      <c r="T80" s="202"/>
    </row>
    <row r="81" ht="15.75" customHeight="1">
      <c r="A81" s="189"/>
      <c r="B81" s="189"/>
      <c r="C81" s="194"/>
      <c r="T81" s="202"/>
    </row>
    <row r="82" ht="15.75" customHeight="1">
      <c r="A82" s="189"/>
      <c r="B82" s="189"/>
      <c r="C82" s="194"/>
      <c r="T82" s="202"/>
    </row>
    <row r="83" ht="15.75" customHeight="1">
      <c r="A83" s="189"/>
      <c r="B83" s="189"/>
      <c r="C83" s="194"/>
      <c r="T83" s="202"/>
    </row>
    <row r="84" ht="15.75" customHeight="1">
      <c r="A84" s="189"/>
      <c r="B84" s="189"/>
      <c r="C84" s="194"/>
      <c r="T84" s="202"/>
    </row>
    <row r="85" ht="15.75" customHeight="1">
      <c r="A85" s="189"/>
      <c r="B85" s="189"/>
      <c r="C85" s="194"/>
      <c r="T85" s="202"/>
    </row>
    <row r="86" ht="15.75" customHeight="1">
      <c r="A86" s="189"/>
      <c r="B86" s="189"/>
      <c r="C86" s="194"/>
      <c r="T86" s="202"/>
    </row>
    <row r="87" ht="15.75" customHeight="1">
      <c r="A87" s="189"/>
      <c r="B87" s="189"/>
      <c r="C87" s="194"/>
      <c r="T87" s="202"/>
    </row>
    <row r="88" ht="15.75" customHeight="1">
      <c r="A88" s="189"/>
      <c r="B88" s="189"/>
      <c r="C88" s="194"/>
      <c r="T88" s="202"/>
    </row>
    <row r="89" ht="15.75" customHeight="1">
      <c r="A89" s="189"/>
      <c r="B89" s="189"/>
      <c r="C89" s="194"/>
      <c r="T89" s="202"/>
    </row>
    <row r="90" ht="15.75" customHeight="1">
      <c r="A90" s="189"/>
      <c r="B90" s="189"/>
      <c r="C90" s="194"/>
      <c r="T90" s="202"/>
    </row>
    <row r="91" ht="15.75" customHeight="1">
      <c r="A91" s="189"/>
      <c r="B91" s="189"/>
      <c r="C91" s="194"/>
      <c r="T91" s="202"/>
    </row>
    <row r="92" ht="15.75" customHeight="1">
      <c r="A92" s="189"/>
      <c r="B92" s="189"/>
      <c r="C92" s="194"/>
      <c r="T92" s="202"/>
    </row>
    <row r="93" ht="15.75" customHeight="1">
      <c r="A93" s="189"/>
      <c r="B93" s="189"/>
      <c r="C93" s="194"/>
      <c r="T93" s="202"/>
    </row>
    <row r="94" ht="15.75" customHeight="1">
      <c r="A94" s="189"/>
      <c r="B94" s="189"/>
      <c r="C94" s="194"/>
      <c r="T94" s="202"/>
    </row>
    <row r="95" ht="15.75" customHeight="1">
      <c r="A95" s="189"/>
      <c r="B95" s="189"/>
      <c r="C95" s="194"/>
      <c r="T95" s="202"/>
    </row>
    <row r="96" ht="15.75" customHeight="1">
      <c r="A96" s="189"/>
      <c r="B96" s="189"/>
      <c r="C96" s="194"/>
      <c r="T96" s="202"/>
    </row>
    <row r="97" ht="15.75" customHeight="1">
      <c r="A97" s="189"/>
      <c r="B97" s="189"/>
      <c r="C97" s="194"/>
      <c r="T97" s="202"/>
    </row>
    <row r="98" ht="15.75" customHeight="1">
      <c r="A98" s="189"/>
      <c r="B98" s="189"/>
      <c r="C98" s="194"/>
      <c r="T98" s="202"/>
    </row>
    <row r="99" ht="15.75" customHeight="1">
      <c r="A99" s="189"/>
      <c r="B99" s="189"/>
      <c r="C99" s="194"/>
      <c r="T99" s="202"/>
    </row>
    <row r="100" ht="15.75" customHeight="1">
      <c r="A100" s="189"/>
      <c r="B100" s="189"/>
      <c r="C100" s="194"/>
      <c r="T100" s="202"/>
    </row>
    <row r="101" ht="15.75" customHeight="1">
      <c r="A101" s="189"/>
      <c r="B101" s="189"/>
      <c r="C101" s="194"/>
      <c r="T101" s="202"/>
    </row>
    <row r="102" ht="15.75" customHeight="1">
      <c r="A102" s="189"/>
      <c r="B102" s="189"/>
      <c r="C102" s="194"/>
      <c r="T102" s="202"/>
    </row>
    <row r="103" ht="15.75" customHeight="1">
      <c r="A103" s="189"/>
      <c r="B103" s="189"/>
      <c r="C103" s="194"/>
      <c r="T103" s="202"/>
    </row>
    <row r="104" ht="15.75" customHeight="1">
      <c r="A104" s="189"/>
      <c r="B104" s="189"/>
      <c r="C104" s="194"/>
      <c r="T104" s="202"/>
    </row>
    <row r="105" ht="15.75" customHeight="1">
      <c r="A105" s="189"/>
      <c r="B105" s="189"/>
      <c r="C105" s="194"/>
      <c r="T105" s="202"/>
    </row>
    <row r="106" ht="15.75" customHeight="1">
      <c r="A106" s="189"/>
      <c r="B106" s="189"/>
      <c r="C106" s="194"/>
      <c r="T106" s="202"/>
    </row>
    <row r="107" ht="15.75" customHeight="1">
      <c r="A107" s="189"/>
      <c r="B107" s="189"/>
      <c r="C107" s="194"/>
      <c r="T107" s="202"/>
    </row>
    <row r="108" ht="15.75" customHeight="1">
      <c r="A108" s="189"/>
      <c r="B108" s="189"/>
      <c r="C108" s="194"/>
      <c r="T108" s="202"/>
    </row>
    <row r="109" ht="15.75" customHeight="1">
      <c r="A109" s="189"/>
      <c r="B109" s="189"/>
      <c r="C109" s="194"/>
      <c r="T109" s="202"/>
    </row>
    <row r="110" ht="15.75" customHeight="1">
      <c r="A110" s="189"/>
      <c r="B110" s="189"/>
      <c r="C110" s="194"/>
      <c r="T110" s="202"/>
    </row>
    <row r="111" ht="15.75" customHeight="1">
      <c r="A111" s="189"/>
      <c r="B111" s="189"/>
      <c r="C111" s="194"/>
      <c r="T111" s="202"/>
    </row>
    <row r="112" ht="15.75" customHeight="1">
      <c r="A112" s="189"/>
      <c r="B112" s="189"/>
      <c r="C112" s="194"/>
      <c r="T112" s="202"/>
    </row>
    <row r="113" ht="15.75" customHeight="1">
      <c r="A113" s="189"/>
      <c r="B113" s="189"/>
      <c r="C113" s="194"/>
      <c r="T113" s="202"/>
    </row>
    <row r="114" ht="15.75" customHeight="1">
      <c r="A114" s="189"/>
      <c r="B114" s="189"/>
      <c r="C114" s="194"/>
      <c r="T114" s="202"/>
    </row>
    <row r="115" ht="15.75" customHeight="1">
      <c r="A115" s="189"/>
      <c r="B115" s="189"/>
      <c r="C115" s="194"/>
      <c r="T115" s="202"/>
    </row>
    <row r="116" ht="15.75" customHeight="1">
      <c r="A116" s="189"/>
      <c r="B116" s="189"/>
      <c r="C116" s="194"/>
      <c r="T116" s="202"/>
    </row>
    <row r="117" ht="15.75" customHeight="1">
      <c r="A117" s="189"/>
      <c r="B117" s="189"/>
      <c r="C117" s="194"/>
      <c r="T117" s="202"/>
    </row>
    <row r="118" ht="15.75" customHeight="1">
      <c r="A118" s="189"/>
      <c r="B118" s="189"/>
      <c r="C118" s="194"/>
      <c r="T118" s="202"/>
    </row>
    <row r="119" ht="15.75" customHeight="1">
      <c r="A119" s="189"/>
      <c r="B119" s="189"/>
      <c r="C119" s="194"/>
      <c r="T119" s="202"/>
    </row>
    <row r="120" ht="15.75" customHeight="1">
      <c r="A120" s="189"/>
      <c r="B120" s="189"/>
      <c r="C120" s="194"/>
      <c r="T120" s="202"/>
    </row>
    <row r="121" ht="15.75" customHeight="1">
      <c r="A121" s="189"/>
      <c r="B121" s="189"/>
      <c r="C121" s="194"/>
      <c r="T121" s="202"/>
    </row>
    <row r="122" ht="15.75" customHeight="1">
      <c r="A122" s="189"/>
      <c r="B122" s="189"/>
      <c r="C122" s="194"/>
      <c r="T122" s="202"/>
    </row>
    <row r="123" ht="15.75" customHeight="1">
      <c r="A123" s="189"/>
      <c r="B123" s="189"/>
      <c r="C123" s="194"/>
      <c r="T123" s="202"/>
    </row>
    <row r="124" ht="15.75" customHeight="1">
      <c r="A124" s="189"/>
      <c r="B124" s="189"/>
      <c r="C124" s="194"/>
      <c r="T124" s="202"/>
    </row>
    <row r="125" ht="15.75" customHeight="1">
      <c r="A125" s="189"/>
      <c r="B125" s="189"/>
      <c r="C125" s="194"/>
      <c r="T125" s="202"/>
    </row>
    <row r="126" ht="15.75" customHeight="1">
      <c r="A126" s="189"/>
      <c r="B126" s="189"/>
      <c r="C126" s="194"/>
      <c r="T126" s="202"/>
    </row>
    <row r="127" ht="15.75" customHeight="1">
      <c r="A127" s="189"/>
      <c r="B127" s="189"/>
      <c r="C127" s="194"/>
      <c r="T127" s="202"/>
    </row>
    <row r="128" ht="15.75" customHeight="1">
      <c r="A128" s="189"/>
      <c r="B128" s="189"/>
      <c r="C128" s="194"/>
      <c r="T128" s="202"/>
    </row>
    <row r="129" ht="15.75" customHeight="1">
      <c r="A129" s="189"/>
      <c r="B129" s="189"/>
      <c r="C129" s="194"/>
      <c r="T129" s="202"/>
    </row>
    <row r="130" ht="15.75" customHeight="1">
      <c r="A130" s="189"/>
      <c r="B130" s="189"/>
      <c r="C130" s="194"/>
      <c r="T130" s="202"/>
    </row>
    <row r="131" ht="15.75" customHeight="1">
      <c r="A131" s="189"/>
      <c r="B131" s="189"/>
      <c r="C131" s="194"/>
      <c r="T131" s="202"/>
    </row>
    <row r="132" ht="15.75" customHeight="1">
      <c r="A132" s="189"/>
      <c r="B132" s="189"/>
      <c r="C132" s="194"/>
      <c r="T132" s="202"/>
    </row>
    <row r="133" ht="15.75" customHeight="1">
      <c r="A133" s="189"/>
      <c r="B133" s="189"/>
      <c r="C133" s="194"/>
      <c r="T133" s="202"/>
    </row>
    <row r="134" ht="15.75" customHeight="1">
      <c r="A134" s="189"/>
      <c r="B134" s="189"/>
      <c r="C134" s="194"/>
      <c r="T134" s="202"/>
    </row>
    <row r="135" ht="15.75" customHeight="1">
      <c r="A135" s="189"/>
      <c r="B135" s="189"/>
      <c r="C135" s="194"/>
      <c r="T135" s="202"/>
    </row>
    <row r="136" ht="15.75" customHeight="1">
      <c r="A136" s="189"/>
      <c r="B136" s="189"/>
      <c r="C136" s="194"/>
      <c r="T136" s="202"/>
    </row>
    <row r="137" ht="15.75" customHeight="1">
      <c r="A137" s="189"/>
      <c r="B137" s="189"/>
      <c r="C137" s="194"/>
      <c r="T137" s="202"/>
    </row>
    <row r="138" ht="15.75" customHeight="1">
      <c r="A138" s="189"/>
      <c r="B138" s="189"/>
      <c r="C138" s="194"/>
      <c r="T138" s="202"/>
    </row>
    <row r="139" ht="15.75" customHeight="1">
      <c r="A139" s="189"/>
      <c r="B139" s="189"/>
      <c r="C139" s="194"/>
      <c r="T139" s="202"/>
    </row>
    <row r="140" ht="15.75" customHeight="1">
      <c r="A140" s="189"/>
      <c r="B140" s="189"/>
      <c r="C140" s="194"/>
      <c r="T140" s="202"/>
    </row>
    <row r="141" ht="15.75" customHeight="1">
      <c r="A141" s="189"/>
      <c r="B141" s="189"/>
      <c r="C141" s="194"/>
      <c r="T141" s="202"/>
    </row>
    <row r="142" ht="15.75" customHeight="1">
      <c r="A142" s="189"/>
      <c r="B142" s="189"/>
      <c r="C142" s="194"/>
      <c r="T142" s="202"/>
    </row>
    <row r="143" ht="15.75" customHeight="1">
      <c r="A143" s="189"/>
      <c r="B143" s="189"/>
      <c r="C143" s="194"/>
      <c r="T143" s="202"/>
    </row>
    <row r="144" ht="15.75" customHeight="1">
      <c r="A144" s="189"/>
      <c r="B144" s="189"/>
      <c r="C144" s="194"/>
      <c r="T144" s="202"/>
    </row>
    <row r="145" ht="15.75" customHeight="1">
      <c r="A145" s="189"/>
      <c r="B145" s="189"/>
      <c r="C145" s="194"/>
      <c r="T145" s="202"/>
    </row>
    <row r="146" ht="15.75" customHeight="1">
      <c r="A146" s="189"/>
      <c r="B146" s="189"/>
      <c r="C146" s="194"/>
      <c r="T146" s="202"/>
    </row>
    <row r="147" ht="15.75" customHeight="1">
      <c r="A147" s="189"/>
      <c r="B147" s="189"/>
      <c r="C147" s="194"/>
      <c r="T147" s="202"/>
    </row>
    <row r="148" ht="15.75" customHeight="1">
      <c r="A148" s="189"/>
      <c r="B148" s="189"/>
      <c r="C148" s="194"/>
      <c r="T148" s="202"/>
    </row>
    <row r="149" ht="15.75" customHeight="1">
      <c r="A149" s="189"/>
      <c r="B149" s="189"/>
      <c r="C149" s="194"/>
      <c r="T149" s="202"/>
    </row>
    <row r="150" ht="15.75" customHeight="1">
      <c r="A150" s="189"/>
      <c r="B150" s="189"/>
      <c r="C150" s="194"/>
      <c r="T150" s="202"/>
    </row>
    <row r="151" ht="15.75" customHeight="1">
      <c r="A151" s="189"/>
      <c r="B151" s="189"/>
      <c r="C151" s="194"/>
      <c r="T151" s="202"/>
    </row>
    <row r="152" ht="15.75" customHeight="1">
      <c r="A152" s="189"/>
      <c r="B152" s="189"/>
      <c r="C152" s="194"/>
      <c r="T152" s="202"/>
    </row>
    <row r="153" ht="15.75" customHeight="1">
      <c r="A153" s="189"/>
      <c r="B153" s="189"/>
      <c r="C153" s="194"/>
      <c r="T153" s="202"/>
    </row>
    <row r="154" ht="15.75" customHeight="1">
      <c r="A154" s="189"/>
      <c r="B154" s="189"/>
      <c r="C154" s="194"/>
      <c r="T154" s="202"/>
    </row>
    <row r="155" ht="15.75" customHeight="1">
      <c r="A155" s="189"/>
      <c r="B155" s="189"/>
      <c r="C155" s="194"/>
      <c r="T155" s="202"/>
    </row>
    <row r="156" ht="15.75" customHeight="1">
      <c r="A156" s="189"/>
      <c r="B156" s="189"/>
      <c r="C156" s="194"/>
      <c r="T156" s="202"/>
    </row>
    <row r="157" ht="15.75" customHeight="1">
      <c r="A157" s="189"/>
      <c r="B157" s="189"/>
      <c r="C157" s="194"/>
      <c r="T157" s="202"/>
    </row>
    <row r="158" ht="15.75" customHeight="1">
      <c r="A158" s="189"/>
      <c r="B158" s="189"/>
      <c r="C158" s="194"/>
      <c r="T158" s="202"/>
    </row>
    <row r="159" ht="15.75" customHeight="1">
      <c r="A159" s="189"/>
      <c r="B159" s="189"/>
      <c r="C159" s="194"/>
      <c r="T159" s="202"/>
    </row>
    <row r="160" ht="15.75" customHeight="1">
      <c r="A160" s="189"/>
      <c r="B160" s="189"/>
      <c r="C160" s="194"/>
      <c r="T160" s="202"/>
    </row>
    <row r="161" ht="15.75" customHeight="1">
      <c r="A161" s="189"/>
      <c r="B161" s="189"/>
      <c r="C161" s="194"/>
      <c r="T161" s="202"/>
    </row>
    <row r="162" ht="15.75" customHeight="1">
      <c r="A162" s="189"/>
      <c r="B162" s="189"/>
      <c r="C162" s="194"/>
      <c r="T162" s="202"/>
    </row>
    <row r="163" ht="15.75" customHeight="1">
      <c r="A163" s="189"/>
      <c r="B163" s="189"/>
      <c r="C163" s="194"/>
      <c r="T163" s="202"/>
    </row>
    <row r="164" ht="15.75" customHeight="1">
      <c r="A164" s="189"/>
      <c r="B164" s="189"/>
      <c r="C164" s="194"/>
      <c r="T164" s="202"/>
    </row>
    <row r="165" ht="15.75" customHeight="1">
      <c r="A165" s="189"/>
      <c r="B165" s="189"/>
      <c r="C165" s="194"/>
      <c r="T165" s="202"/>
    </row>
    <row r="166" ht="15.75" customHeight="1">
      <c r="A166" s="189"/>
      <c r="B166" s="189"/>
      <c r="C166" s="194"/>
      <c r="T166" s="202"/>
    </row>
    <row r="167" ht="15.75" customHeight="1">
      <c r="A167" s="189"/>
      <c r="B167" s="189"/>
      <c r="C167" s="194"/>
      <c r="T167" s="202"/>
    </row>
    <row r="168" ht="15.75" customHeight="1">
      <c r="A168" s="189"/>
      <c r="B168" s="189"/>
      <c r="C168" s="194"/>
      <c r="T168" s="202"/>
    </row>
    <row r="169" ht="15.75" customHeight="1">
      <c r="A169" s="189"/>
      <c r="B169" s="189"/>
      <c r="C169" s="194"/>
      <c r="T169" s="202"/>
    </row>
    <row r="170" ht="15.75" customHeight="1">
      <c r="A170" s="189"/>
      <c r="B170" s="189"/>
      <c r="C170" s="194"/>
      <c r="T170" s="202"/>
    </row>
    <row r="171" ht="15.75" customHeight="1">
      <c r="A171" s="189"/>
      <c r="B171" s="189"/>
      <c r="C171" s="194"/>
      <c r="T171" s="202"/>
    </row>
    <row r="172" ht="15.75" customHeight="1">
      <c r="A172" s="189"/>
      <c r="B172" s="189"/>
      <c r="C172" s="194"/>
      <c r="T172" s="202"/>
    </row>
    <row r="173" ht="15.75" customHeight="1">
      <c r="A173" s="189"/>
      <c r="B173" s="189"/>
      <c r="C173" s="194"/>
      <c r="T173" s="202"/>
    </row>
    <row r="174" ht="15.75" customHeight="1">
      <c r="A174" s="189"/>
      <c r="B174" s="189"/>
      <c r="C174" s="194"/>
      <c r="T174" s="202"/>
    </row>
    <row r="175" ht="15.75" customHeight="1">
      <c r="A175" s="189"/>
      <c r="B175" s="189"/>
      <c r="C175" s="194"/>
      <c r="T175" s="202"/>
    </row>
    <row r="176" ht="15.75" customHeight="1">
      <c r="A176" s="189"/>
      <c r="B176" s="189"/>
      <c r="C176" s="194"/>
      <c r="T176" s="202"/>
    </row>
    <row r="177" ht="15.75" customHeight="1">
      <c r="A177" s="189"/>
      <c r="B177" s="189"/>
      <c r="C177" s="194"/>
      <c r="T177" s="202"/>
    </row>
    <row r="178" ht="15.75" customHeight="1">
      <c r="A178" s="189"/>
      <c r="B178" s="189"/>
      <c r="C178" s="194"/>
      <c r="T178" s="202"/>
    </row>
    <row r="179" ht="15.75" customHeight="1">
      <c r="A179" s="189"/>
      <c r="B179" s="189"/>
      <c r="C179" s="194"/>
      <c r="T179" s="202"/>
    </row>
    <row r="180" ht="15.75" customHeight="1">
      <c r="A180" s="189"/>
      <c r="B180" s="189"/>
      <c r="C180" s="194"/>
      <c r="T180" s="202"/>
    </row>
    <row r="181" ht="15.75" customHeight="1">
      <c r="A181" s="189"/>
      <c r="B181" s="189"/>
      <c r="C181" s="194"/>
      <c r="T181" s="202"/>
    </row>
    <row r="182" ht="15.75" customHeight="1">
      <c r="A182" s="189"/>
      <c r="B182" s="189"/>
      <c r="C182" s="194"/>
      <c r="T182" s="202"/>
    </row>
    <row r="183" ht="15.75" customHeight="1">
      <c r="A183" s="189"/>
      <c r="B183" s="189"/>
      <c r="C183" s="194"/>
      <c r="T183" s="202"/>
    </row>
    <row r="184" ht="15.75" customHeight="1">
      <c r="A184" s="189"/>
      <c r="B184" s="189"/>
      <c r="C184" s="194"/>
      <c r="T184" s="202"/>
    </row>
    <row r="185" ht="15.75" customHeight="1">
      <c r="A185" s="189"/>
      <c r="B185" s="189"/>
      <c r="C185" s="194"/>
      <c r="T185" s="202"/>
    </row>
    <row r="186" ht="15.75" customHeight="1">
      <c r="A186" s="189"/>
      <c r="B186" s="189"/>
      <c r="C186" s="194"/>
      <c r="T186" s="202"/>
    </row>
    <row r="187" ht="15.75" customHeight="1">
      <c r="A187" s="189"/>
      <c r="B187" s="189"/>
      <c r="C187" s="194"/>
      <c r="T187" s="202"/>
    </row>
    <row r="188" ht="15.75" customHeight="1">
      <c r="A188" s="189"/>
      <c r="B188" s="189"/>
      <c r="C188" s="194"/>
      <c r="T188" s="202"/>
    </row>
    <row r="189" ht="15.75" customHeight="1">
      <c r="A189" s="189"/>
      <c r="B189" s="189"/>
      <c r="C189" s="194"/>
      <c r="T189" s="202"/>
    </row>
    <row r="190" ht="15.75" customHeight="1">
      <c r="A190" s="189"/>
      <c r="B190" s="189"/>
      <c r="C190" s="194"/>
      <c r="T190" s="202"/>
    </row>
    <row r="191" ht="15.75" customHeight="1">
      <c r="A191" s="189"/>
      <c r="B191" s="189"/>
      <c r="C191" s="194"/>
      <c r="T191" s="202"/>
    </row>
    <row r="192" ht="15.75" customHeight="1">
      <c r="A192" s="189"/>
      <c r="B192" s="189"/>
      <c r="C192" s="194"/>
      <c r="T192" s="202"/>
    </row>
    <row r="193" ht="15.75" customHeight="1">
      <c r="A193" s="189"/>
      <c r="B193" s="189"/>
      <c r="C193" s="194"/>
      <c r="T193" s="202"/>
    </row>
    <row r="194" ht="15.75" customHeight="1">
      <c r="A194" s="189"/>
      <c r="B194" s="189"/>
      <c r="C194" s="194"/>
      <c r="T194" s="202"/>
    </row>
    <row r="195" ht="15.75" customHeight="1">
      <c r="A195" s="189"/>
      <c r="B195" s="189"/>
      <c r="C195" s="194"/>
      <c r="T195" s="202"/>
    </row>
    <row r="196" ht="15.75" customHeight="1">
      <c r="A196" s="189"/>
      <c r="B196" s="189"/>
      <c r="C196" s="194"/>
      <c r="T196" s="202"/>
    </row>
    <row r="197" ht="15.75" customHeight="1">
      <c r="A197" s="189"/>
      <c r="B197" s="189"/>
      <c r="C197" s="194"/>
      <c r="T197" s="202"/>
    </row>
    <row r="198" ht="15.75" customHeight="1">
      <c r="A198" s="189"/>
      <c r="B198" s="189"/>
      <c r="C198" s="194"/>
      <c r="T198" s="202"/>
    </row>
    <row r="199" ht="15.75" customHeight="1">
      <c r="A199" s="189"/>
      <c r="B199" s="189"/>
      <c r="C199" s="194"/>
      <c r="T199" s="202"/>
    </row>
    <row r="200" ht="15.75" customHeight="1">
      <c r="A200" s="189"/>
      <c r="B200" s="189"/>
      <c r="C200" s="194"/>
      <c r="T200" s="202"/>
    </row>
    <row r="201" ht="15.75" customHeight="1">
      <c r="A201" s="189"/>
      <c r="B201" s="189"/>
      <c r="C201" s="194"/>
      <c r="T201" s="202"/>
    </row>
    <row r="202" ht="15.75" customHeight="1">
      <c r="A202" s="189"/>
      <c r="B202" s="189"/>
      <c r="C202" s="194"/>
      <c r="T202" s="202"/>
    </row>
    <row r="203" ht="15.75" customHeight="1">
      <c r="A203" s="189"/>
      <c r="B203" s="189"/>
      <c r="C203" s="194"/>
      <c r="T203" s="202"/>
    </row>
    <row r="204" ht="15.75" customHeight="1">
      <c r="A204" s="189"/>
      <c r="B204" s="189"/>
      <c r="C204" s="194"/>
      <c r="T204" s="202"/>
    </row>
    <row r="205" ht="15.75" customHeight="1">
      <c r="A205" s="189"/>
      <c r="B205" s="189"/>
      <c r="C205" s="194"/>
      <c r="T205" s="202"/>
    </row>
    <row r="206" ht="15.75" customHeight="1">
      <c r="A206" s="189"/>
      <c r="B206" s="189"/>
      <c r="C206" s="194"/>
      <c r="T206" s="202"/>
    </row>
    <row r="207" ht="15.75" customHeight="1">
      <c r="A207" s="189"/>
      <c r="B207" s="189"/>
      <c r="C207" s="194"/>
      <c r="T207" s="202"/>
    </row>
    <row r="208" ht="15.75" customHeight="1">
      <c r="A208" s="189"/>
      <c r="B208" s="189"/>
      <c r="C208" s="194"/>
      <c r="T208" s="202"/>
    </row>
    <row r="209" ht="15.75" customHeight="1">
      <c r="A209" s="189"/>
      <c r="B209" s="189"/>
      <c r="C209" s="194"/>
      <c r="T209" s="202"/>
    </row>
    <row r="210" ht="15.75" customHeight="1">
      <c r="A210" s="189"/>
      <c r="B210" s="189"/>
      <c r="C210" s="194"/>
      <c r="T210" s="202"/>
    </row>
    <row r="211" ht="15.75" customHeight="1">
      <c r="A211" s="189"/>
      <c r="B211" s="189"/>
      <c r="C211" s="194"/>
      <c r="T211" s="202"/>
    </row>
    <row r="212" ht="15.75" customHeight="1">
      <c r="A212" s="189"/>
      <c r="B212" s="189"/>
      <c r="C212" s="194"/>
      <c r="T212" s="202"/>
    </row>
    <row r="213" ht="15.75" customHeight="1">
      <c r="A213" s="189"/>
      <c r="B213" s="189"/>
      <c r="C213" s="194"/>
      <c r="T213" s="202"/>
    </row>
    <row r="214" ht="15.75" customHeight="1">
      <c r="A214" s="189"/>
      <c r="B214" s="189"/>
      <c r="C214" s="194"/>
      <c r="T214" s="202"/>
    </row>
    <row r="215" ht="15.75" customHeight="1">
      <c r="A215" s="189"/>
      <c r="B215" s="189"/>
      <c r="C215" s="194"/>
      <c r="T215" s="202"/>
    </row>
    <row r="216" ht="15.75" customHeight="1">
      <c r="A216" s="189"/>
      <c r="B216" s="189"/>
      <c r="C216" s="194"/>
      <c r="T216" s="202"/>
    </row>
    <row r="217" ht="15.75" customHeight="1">
      <c r="A217" s="189"/>
      <c r="B217" s="189"/>
      <c r="C217" s="194"/>
      <c r="T217" s="202"/>
    </row>
    <row r="218" ht="15.75" customHeight="1">
      <c r="A218" s="189"/>
      <c r="B218" s="189"/>
      <c r="C218" s="194"/>
      <c r="T218" s="202"/>
    </row>
    <row r="219" ht="15.75" customHeight="1">
      <c r="A219" s="189"/>
      <c r="B219" s="189"/>
      <c r="C219" s="194"/>
      <c r="T219" s="202"/>
    </row>
    <row r="220" ht="15.75" customHeight="1">
      <c r="A220" s="189"/>
      <c r="B220" s="189"/>
      <c r="C220" s="194"/>
      <c r="T220" s="20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6" width="12.63"/>
    <col customWidth="1" min="8" max="8" width="17.88"/>
    <col customWidth="1" min="9" max="9" width="14.38"/>
    <col customWidth="1" min="10" max="10" width="9.75"/>
    <col customWidth="1" min="20" max="20" width="19.13"/>
    <col customWidth="1" min="23" max="23" width="19.13"/>
  </cols>
  <sheetData>
    <row r="1" ht="15.75" customHeight="1">
      <c r="A1" s="207" t="str">
        <f>Datos!A1</f>
        <v>   Fecha </v>
      </c>
      <c r="B1" s="207" t="str">
        <f>Datos!B1</f>
        <v>NIS</v>
      </c>
      <c r="C1" s="207" t="str">
        <f>Datos!C1</f>
        <v>Cliente</v>
      </c>
      <c r="D1" s="207" t="str">
        <f>Datos!D1</f>
        <v>IVA</v>
      </c>
      <c r="E1" s="207" t="str">
        <f>Datos!E1</f>
        <v>Consumo [kWh]</v>
      </c>
      <c r="F1" s="207" t="str">
        <f>Datos!F1</f>
        <v>Consumo hs punta [kWh]</v>
      </c>
      <c r="G1" s="207" t="str">
        <f>Datos!G1</f>
        <v>Consumo hs valle [kWh]</v>
      </c>
      <c r="H1" s="207" t="str">
        <f>Datos!H1</f>
        <v>Consumo hs resto[kWh]</v>
      </c>
      <c r="I1" s="207" t="str">
        <f>Datos!I1</f>
        <v>Catergoria</v>
      </c>
      <c r="J1" s="207" t="str">
        <f>Datos!J1</f>
        <v>Tarifa punta</v>
      </c>
      <c r="K1" s="207" t="str">
        <f>Datos!K1</f>
        <v>Tarifa valle</v>
      </c>
      <c r="L1" s="207" t="str">
        <f>Datos!L1</f>
        <v>Tarifa resto</v>
      </c>
      <c r="M1" s="207" t="str">
        <f>Datos!M1</f>
        <v>Generacion FV [kWh]</v>
      </c>
      <c r="N1" s="207" t="str">
        <f>Datos!N1</f>
        <v>CONSUMO TOTAL</v>
      </c>
      <c r="O1" s="207" t="str">
        <f>Datos!O1</f>
        <v>Total a pagar S / IVA</v>
      </c>
      <c r="P1" s="207" t="str">
        <f>Datos!P1</f>
        <v>Valor USD</v>
      </c>
      <c r="Q1" s="207" t="str">
        <f>Datos!Q1</f>
        <v>Ahorro (USD)</v>
      </c>
      <c r="R1" s="207" t="str">
        <f>Datos!R1</f>
        <v>Ahorro ($)</v>
      </c>
      <c r="S1" s="207" t="str">
        <f>Datos!S1</f>
        <v>Valor dolar Actual ($)</v>
      </c>
      <c r="T1" s="207" t="str">
        <f>Datos!T1</f>
        <v>Ahorro ($)-A precio actual</v>
      </c>
      <c r="U1" s="207" t="str">
        <f>Datos!U1</f>
        <v>kg CO2e evitados</v>
      </c>
      <c r="V1" s="207" t="str">
        <f>Datos!V1</f>
        <v>Equivalente en árboles</v>
      </c>
      <c r="W1" s="207" t="str">
        <f>Datos!W1</f>
        <v>% de ahorro sobre los consumos</v>
      </c>
      <c r="X1" s="207" t="str">
        <f>Datos!X1</f>
        <v>SIN PANELES S/IVA</v>
      </c>
      <c r="Y1" s="175"/>
      <c r="Z1" s="175"/>
      <c r="AA1" s="176"/>
      <c r="AB1" s="177"/>
      <c r="AC1" s="178"/>
    </row>
    <row r="2" ht="15.75" customHeight="1">
      <c r="A2" s="26">
        <f>IFERROR(__xludf.DUMMYFUNCTION("FILTER(Datos!1:1247,Datos!B:B=3092029)"),45992.0)</f>
        <v>45992</v>
      </c>
      <c r="B2" s="77">
        <f>IFERROR(__xludf.DUMMYFUNCTION("""COMPUTED_VALUE"""),3092029.0)</f>
        <v>3092029</v>
      </c>
      <c r="C2" s="77" t="str">
        <f>IFERROR(__xludf.DUMMYFUNCTION("""COMPUTED_VALUE"""),"Farmacia San Francisco")</f>
        <v>Farmacia San Francisco</v>
      </c>
      <c r="D2" s="29">
        <f>IFERROR(__xludf.DUMMYFUNCTION("""COMPUTED_VALUE"""),0.27)</f>
        <v>0.27</v>
      </c>
      <c r="E2" s="17">
        <f>IFERROR(__xludf.DUMMYFUNCTION("""COMPUTED_VALUE"""),14100.0)</f>
        <v>14100</v>
      </c>
      <c r="F2" s="17">
        <f>IFERROR(__xludf.DUMMYFUNCTION("""COMPUTED_VALUE"""),4050.0)</f>
        <v>4050</v>
      </c>
      <c r="G2" s="17">
        <f>IFERROR(__xludf.DUMMYFUNCTION("""COMPUTED_VALUE"""),2100.0)</f>
        <v>2100</v>
      </c>
      <c r="H2" s="17">
        <f>IFERROR(__xludf.DUMMYFUNCTION("""COMPUTED_VALUE"""),7950.0)</f>
        <v>7950</v>
      </c>
      <c r="I2" s="17" t="str">
        <f>IFERROR(__xludf.DUMMYFUNCTION("""COMPUTED_VALUE"""),"T4-Ba")</f>
        <v>T4-Ba</v>
      </c>
      <c r="J2" s="30">
        <f>IFERROR(__xludf.DUMMYFUNCTION("""COMPUTED_VALUE"""),156.5485)</f>
        <v>156.5485</v>
      </c>
      <c r="K2" s="30">
        <f>IFERROR(__xludf.DUMMYFUNCTION("""COMPUTED_VALUE"""),153.7589)</f>
        <v>153.7589</v>
      </c>
      <c r="L2" s="30">
        <f>IFERROR(__xludf.DUMMYFUNCTION("""COMPUTED_VALUE"""),154.5615)</f>
        <v>154.5615</v>
      </c>
      <c r="M2" s="15">
        <f>IFERROR(__xludf.DUMMYFUNCTION("""COMPUTED_VALUE"""),3220.0)</f>
        <v>3220</v>
      </c>
      <c r="N2" s="17">
        <f>IFERROR(__xludf.DUMMYFUNCTION("""COMPUTED_VALUE"""),17320.0)</f>
        <v>17320</v>
      </c>
      <c r="O2" s="31">
        <f>IFERROR(__xludf.DUMMYFUNCTION("""COMPUTED_VALUE"""),2185679.04)</f>
        <v>2185679.04</v>
      </c>
      <c r="P2" s="20">
        <f>IFERROR(__xludf.DUMMYFUNCTION("""COMPUTED_VALUE"""),1470.0)</f>
        <v>1470</v>
      </c>
      <c r="Q2" s="181">
        <f>IFERROR(__xludf.DUMMYFUNCTION("""COMPUTED_VALUE"""),338.5632857142857)</f>
        <v>338.5632857</v>
      </c>
      <c r="R2" s="32">
        <f>IFERROR(__xludf.DUMMYFUNCTION("""COMPUTED_VALUE"""),497688.02999999997)</f>
        <v>497688.03</v>
      </c>
      <c r="S2" s="32">
        <f>IFERROR(__xludf.DUMMYFUNCTION("""COMPUTED_VALUE"""),1465.0)</f>
        <v>1465</v>
      </c>
      <c r="T2" s="34">
        <f>IFERROR(__xludf.DUMMYFUNCTION("""COMPUTED_VALUE"""),629913.9212357142)</f>
        <v>629913.9212</v>
      </c>
      <c r="U2" s="35">
        <f>IFERROR(__xludf.DUMMYFUNCTION("""COMPUTED_VALUE"""),644.0)</f>
        <v>644</v>
      </c>
      <c r="V2" s="36">
        <f>IFERROR(__xludf.DUMMYFUNCTION("""COMPUTED_VALUE"""),29.272727272727273)</f>
        <v>29.27272727</v>
      </c>
      <c r="W2" s="37">
        <f>IFERROR(__xludf.DUMMYFUNCTION("""COMPUTED_VALUE"""),0.18547146812828705)</f>
        <v>0.1854714681</v>
      </c>
      <c r="X2" s="31">
        <f>IFERROR(__xludf.DUMMYFUNCTION("""COMPUTED_VALUE"""),2683367.07)</f>
        <v>2683367.07</v>
      </c>
      <c r="Y2" s="208"/>
      <c r="Z2" s="187"/>
      <c r="AA2" s="188"/>
      <c r="AB2" s="188"/>
      <c r="AC2" s="202"/>
    </row>
    <row r="3" ht="15.75" customHeight="1">
      <c r="A3" s="26">
        <f>IFERROR(__xludf.DUMMYFUNCTION("""COMPUTED_VALUE"""),45979.0)</f>
        <v>45979</v>
      </c>
      <c r="B3" s="77">
        <f>IFERROR(__xludf.DUMMYFUNCTION("""COMPUTED_VALUE"""),3092029.0)</f>
        <v>3092029</v>
      </c>
      <c r="C3" s="77" t="str">
        <f>IFERROR(__xludf.DUMMYFUNCTION("""COMPUTED_VALUE"""),"Farmacia San Francisco")</f>
        <v>Farmacia San Francisco</v>
      </c>
      <c r="D3" s="29">
        <f>IFERROR(__xludf.DUMMYFUNCTION("""COMPUTED_VALUE"""),0.27)</f>
        <v>0.27</v>
      </c>
      <c r="E3" s="17">
        <f>IFERROR(__xludf.DUMMYFUNCTION("""COMPUTED_VALUE"""),11790.0)</f>
        <v>11790</v>
      </c>
      <c r="F3" s="17">
        <f>IFERROR(__xludf.DUMMYFUNCTION("""COMPUTED_VALUE"""),6270.0)</f>
        <v>6270</v>
      </c>
      <c r="G3" s="17">
        <f>IFERROR(__xludf.DUMMYFUNCTION("""COMPUTED_VALUE"""),1770.0)</f>
        <v>1770</v>
      </c>
      <c r="H3" s="17">
        <f>IFERROR(__xludf.DUMMYFUNCTION("""COMPUTED_VALUE"""),3750.0)</f>
        <v>3750</v>
      </c>
      <c r="I3" s="17" t="str">
        <f>IFERROR(__xludf.DUMMYFUNCTION("""COMPUTED_VALUE"""),"T4-Ba")</f>
        <v>T4-Ba</v>
      </c>
      <c r="J3" s="30">
        <f>IFERROR(__xludf.DUMMYFUNCTION("""COMPUTED_VALUE"""),152.0913)</f>
        <v>152.0913</v>
      </c>
      <c r="K3" s="30">
        <f>IFERROR(__xludf.DUMMYFUNCTION("""COMPUTED_VALUE"""),149.3017)</f>
        <v>149.3017</v>
      </c>
      <c r="L3" s="30">
        <f>IFERROR(__xludf.DUMMYFUNCTION("""COMPUTED_VALUE"""),150.1043)</f>
        <v>150.1043</v>
      </c>
      <c r="M3" s="15">
        <f>IFERROR(__xludf.DUMMYFUNCTION("""COMPUTED_VALUE"""),3225.5)</f>
        <v>3225.5</v>
      </c>
      <c r="N3" s="17">
        <f>IFERROR(__xludf.DUMMYFUNCTION("""COMPUTED_VALUE"""),15015.5)</f>
        <v>15015.5</v>
      </c>
      <c r="O3" s="31">
        <f>IFERROR(__xludf.DUMMYFUNCTION("""COMPUTED_VALUE"""),1780767.585)</f>
        <v>1780767.585</v>
      </c>
      <c r="P3" s="20">
        <f>IFERROR(__xludf.DUMMYFUNCTION("""COMPUTED_VALUE"""),1470.0)</f>
        <v>1470</v>
      </c>
      <c r="Q3" s="181">
        <f>IFERROR(__xludf.DUMMYFUNCTION("""COMPUTED_VALUE"""),329.3615099659864)</f>
        <v>329.36151</v>
      </c>
      <c r="R3" s="32">
        <f>IFERROR(__xludf.DUMMYFUNCTION("""COMPUTED_VALUE"""),484161.41965)</f>
        <v>484161.4197</v>
      </c>
      <c r="S3" s="32">
        <f>IFERROR(__xludf.DUMMYFUNCTION("""COMPUTED_VALUE"""),1465.0)</f>
        <v>1465</v>
      </c>
      <c r="T3" s="34">
        <f>IFERROR(__xludf.DUMMYFUNCTION("""COMPUTED_VALUE"""),612793.557367216)</f>
        <v>612793.5574</v>
      </c>
      <c r="U3" s="35">
        <f>IFERROR(__xludf.DUMMYFUNCTION("""COMPUTED_VALUE"""),645.1)</f>
        <v>645.1</v>
      </c>
      <c r="V3" s="36">
        <f>IFERROR(__xludf.DUMMYFUNCTION("""COMPUTED_VALUE"""),29.322727272727274)</f>
        <v>29.32272727</v>
      </c>
      <c r="W3" s="37">
        <f>IFERROR(__xludf.DUMMYFUNCTION("""COMPUTED_VALUE"""),0.2137645015168224)</f>
        <v>0.2137645015</v>
      </c>
      <c r="X3" s="31">
        <f>IFERROR(__xludf.DUMMYFUNCTION("""COMPUTED_VALUE"""),2264929.00465)</f>
        <v>2264929.005</v>
      </c>
      <c r="Y3" s="209"/>
      <c r="Z3" s="187"/>
      <c r="AA3" s="188"/>
      <c r="AB3" s="188"/>
      <c r="AC3" s="202"/>
      <c r="AD3" s="189"/>
      <c r="AE3" s="189"/>
      <c r="AF3" s="189"/>
      <c r="AG3" s="189"/>
      <c r="AH3" s="189"/>
      <c r="AI3" s="189"/>
      <c r="AJ3" s="189"/>
      <c r="AK3" s="189"/>
      <c r="AL3" s="189"/>
      <c r="AM3" s="189"/>
      <c r="AN3" s="189"/>
      <c r="AO3" s="189"/>
      <c r="AP3" s="189"/>
      <c r="AQ3" s="189"/>
      <c r="AR3" s="189"/>
      <c r="AS3" s="189"/>
      <c r="AT3" s="189"/>
      <c r="AU3" s="189"/>
      <c r="AV3" s="189"/>
    </row>
    <row r="4" ht="15.75" customHeight="1">
      <c r="A4" s="26">
        <f>IFERROR(__xludf.DUMMYFUNCTION("""COMPUTED_VALUE"""),45931.0)</f>
        <v>45931</v>
      </c>
      <c r="B4" s="77">
        <f>IFERROR(__xludf.DUMMYFUNCTION("""COMPUTED_VALUE"""),3092029.0)</f>
        <v>3092029</v>
      </c>
      <c r="C4" s="77" t="str">
        <f>IFERROR(__xludf.DUMMYFUNCTION("""COMPUTED_VALUE"""),"Farmacia San Francisco")</f>
        <v>Farmacia San Francisco</v>
      </c>
      <c r="D4" s="29">
        <f>IFERROR(__xludf.DUMMYFUNCTION("""COMPUTED_VALUE"""),0.27)</f>
        <v>0.27</v>
      </c>
      <c r="E4" s="17">
        <f>IFERROR(__xludf.DUMMYFUNCTION("""COMPUTED_VALUE"""),10500.0)</f>
        <v>10500</v>
      </c>
      <c r="F4" s="17">
        <f>IFERROR(__xludf.DUMMYFUNCTION("""COMPUTED_VALUE"""),3270.0)</f>
        <v>3270</v>
      </c>
      <c r="G4" s="17">
        <f>IFERROR(__xludf.DUMMYFUNCTION("""COMPUTED_VALUE"""),1800.0)</f>
        <v>1800</v>
      </c>
      <c r="H4" s="17">
        <f>IFERROR(__xludf.DUMMYFUNCTION("""COMPUTED_VALUE"""),5430.0)</f>
        <v>5430</v>
      </c>
      <c r="I4" s="28" t="str">
        <f>IFERROR(__xludf.DUMMYFUNCTION("""COMPUTED_VALUE"""),"T4-Ba")</f>
        <v>T4-Ba</v>
      </c>
      <c r="J4" s="30">
        <f>IFERROR(__xludf.DUMMYFUNCTION("""COMPUTED_VALUE"""),159.8077)</f>
        <v>159.8077</v>
      </c>
      <c r="K4" s="30">
        <f>IFERROR(__xludf.DUMMYFUNCTION("""COMPUTED_VALUE"""),156.9735)</f>
        <v>156.9735</v>
      </c>
      <c r="L4" s="30">
        <f>IFERROR(__xludf.DUMMYFUNCTION("""COMPUTED_VALUE"""),158.2241)</f>
        <v>158.2241</v>
      </c>
      <c r="M4" s="15">
        <f>IFERROR(__xludf.DUMMYFUNCTION("""COMPUTED_VALUE"""),3293.2)</f>
        <v>3293.2</v>
      </c>
      <c r="N4" s="17">
        <f>IFERROR(__xludf.DUMMYFUNCTION("""COMPUTED_VALUE"""),13793.2)</f>
        <v>13793.2</v>
      </c>
      <c r="O4" s="31">
        <f>IFERROR(__xludf.DUMMYFUNCTION("""COMPUTED_VALUE"""),1664280.3420000002)</f>
        <v>1664280.342</v>
      </c>
      <c r="P4" s="20">
        <f>IFERROR(__xludf.DUMMYFUNCTION("""COMPUTED_VALUE"""),1450.0)</f>
        <v>1450</v>
      </c>
      <c r="Q4" s="181">
        <f>IFERROR(__xludf.DUMMYFUNCTION("""COMPUTED_VALUE"""),359.35421111724133)</f>
        <v>359.3542111</v>
      </c>
      <c r="R4" s="32">
        <f>IFERROR(__xludf.DUMMYFUNCTION("""COMPUTED_VALUE"""),521063.60611999995)</f>
        <v>521063.6061</v>
      </c>
      <c r="S4" s="32">
        <f>IFERROR(__xludf.DUMMYFUNCTION("""COMPUTED_VALUE"""),1465.0)</f>
        <v>1465</v>
      </c>
      <c r="T4" s="34">
        <f>IFERROR(__xludf.DUMMYFUNCTION("""COMPUTED_VALUE"""),668596.4774941833)</f>
        <v>668596.4775</v>
      </c>
      <c r="U4" s="35">
        <f>IFERROR(__xludf.DUMMYFUNCTION("""COMPUTED_VALUE"""),658.64)</f>
        <v>658.64</v>
      </c>
      <c r="V4" s="36">
        <f>IFERROR(__xludf.DUMMYFUNCTION("""COMPUTED_VALUE"""),29.938181818181818)</f>
        <v>29.93818182</v>
      </c>
      <c r="W4" s="37">
        <f>IFERROR(__xludf.DUMMYFUNCTION("""COMPUTED_VALUE"""),0.2384355133516894)</f>
        <v>0.2384355134</v>
      </c>
      <c r="X4" s="31">
        <f>IFERROR(__xludf.DUMMYFUNCTION("""COMPUTED_VALUE"""),2185343.9481200003)</f>
        <v>2185343.948</v>
      </c>
      <c r="Y4" s="208"/>
      <c r="Z4" s="187"/>
      <c r="AA4" s="188"/>
      <c r="AB4" s="188"/>
      <c r="AC4" s="202"/>
    </row>
    <row r="5" ht="15.75" customHeight="1">
      <c r="A5" s="26">
        <f>IFERROR(__xludf.DUMMYFUNCTION("""COMPUTED_VALUE"""),45918.0)</f>
        <v>45918</v>
      </c>
      <c r="B5" s="77">
        <f>IFERROR(__xludf.DUMMYFUNCTION("""COMPUTED_VALUE"""),3092029.0)</f>
        <v>3092029</v>
      </c>
      <c r="C5" s="77" t="str">
        <f>IFERROR(__xludf.DUMMYFUNCTION("""COMPUTED_VALUE"""),"Farmacia San Francisco")</f>
        <v>Farmacia San Francisco</v>
      </c>
      <c r="D5" s="29">
        <f>IFERROR(__xludf.DUMMYFUNCTION("""COMPUTED_VALUE"""),0.27)</f>
        <v>0.27</v>
      </c>
      <c r="E5" s="17">
        <f>IFERROR(__xludf.DUMMYFUNCTION("""COMPUTED_VALUE"""),9600.0)</f>
        <v>9600</v>
      </c>
      <c r="F5" s="17">
        <f>IFERROR(__xludf.DUMMYFUNCTION("""COMPUTED_VALUE"""),3210.0)</f>
        <v>3210</v>
      </c>
      <c r="G5" s="17">
        <f>IFERROR(__xludf.DUMMYFUNCTION("""COMPUTED_VALUE"""),1650.0)</f>
        <v>1650</v>
      </c>
      <c r="H5" s="17">
        <f>IFERROR(__xludf.DUMMYFUNCTION("""COMPUTED_VALUE"""),4740.0)</f>
        <v>4740</v>
      </c>
      <c r="I5" s="28" t="str">
        <f>IFERROR(__xludf.DUMMYFUNCTION("""COMPUTED_VALUE"""),"T4-Ba")</f>
        <v>T4-Ba</v>
      </c>
      <c r="J5" s="30">
        <f>IFERROR(__xludf.DUMMYFUNCTION("""COMPUTED_VALUE"""),159.1156)</f>
        <v>159.1156</v>
      </c>
      <c r="K5" s="30">
        <f>IFERROR(__xludf.DUMMYFUNCTION("""COMPUTED_VALUE"""),156.2753)</f>
        <v>156.2753</v>
      </c>
      <c r="L5" s="30">
        <f>IFERROR(__xludf.DUMMYFUNCTION("""COMPUTED_VALUE"""),157.5295)</f>
        <v>157.5295</v>
      </c>
      <c r="M5" s="15">
        <f>IFERROR(__xludf.DUMMYFUNCTION("""COMPUTED_VALUE"""),3351.9)</f>
        <v>3351.9</v>
      </c>
      <c r="N5" s="17">
        <f>IFERROR(__xludf.DUMMYFUNCTION("""COMPUTED_VALUE"""),12951.9)</f>
        <v>12951.9</v>
      </c>
      <c r="O5" s="31">
        <f>IFERROR(__xludf.DUMMYFUNCTION("""COMPUTED_VALUE"""),1515305.151)</f>
        <v>1515305.151</v>
      </c>
      <c r="P5" s="20">
        <f>IFERROR(__xludf.DUMMYFUNCTION("""COMPUTED_VALUE"""),1425.0)</f>
        <v>1425</v>
      </c>
      <c r="Q5" s="181">
        <f>IFERROR(__xludf.DUMMYFUNCTION("""COMPUTED_VALUE"""),370.5425481052632)</f>
        <v>370.5425481</v>
      </c>
      <c r="R5" s="32">
        <f>IFERROR(__xludf.DUMMYFUNCTION("""COMPUTED_VALUE"""),528023.1310500001)</f>
        <v>528023.1311</v>
      </c>
      <c r="S5" s="32">
        <f>IFERROR(__xludf.DUMMYFUNCTION("""COMPUTED_VALUE"""),1465.0)</f>
        <v>1465</v>
      </c>
      <c r="T5" s="34">
        <f>IFERROR(__xludf.DUMMYFUNCTION("""COMPUTED_VALUE"""),689412.9378772475)</f>
        <v>689412.9379</v>
      </c>
      <c r="U5" s="35">
        <f>IFERROR(__xludf.DUMMYFUNCTION("""COMPUTED_VALUE"""),670.3800000000001)</f>
        <v>670.38</v>
      </c>
      <c r="V5" s="36">
        <f>IFERROR(__xludf.DUMMYFUNCTION("""COMPUTED_VALUE"""),30.471818181818186)</f>
        <v>30.47181818</v>
      </c>
      <c r="W5" s="37">
        <f>IFERROR(__xludf.DUMMYFUNCTION("""COMPUTED_VALUE"""),0.2584132641281962)</f>
        <v>0.2584132641</v>
      </c>
      <c r="X5" s="31">
        <f>IFERROR(__xludf.DUMMYFUNCTION("""COMPUTED_VALUE"""),2043328.28205)</f>
        <v>2043328.282</v>
      </c>
      <c r="Y5" s="208"/>
      <c r="Z5" s="187"/>
      <c r="AA5" s="188"/>
      <c r="AB5" s="188"/>
      <c r="AC5" s="202"/>
    </row>
    <row r="6" ht="15.75" customHeight="1">
      <c r="A6" s="26">
        <f>IFERROR(__xludf.DUMMYFUNCTION("""COMPUTED_VALUE"""),45886.0)</f>
        <v>45886</v>
      </c>
      <c r="B6" s="77">
        <f>IFERROR(__xludf.DUMMYFUNCTION("""COMPUTED_VALUE"""),3092029.0)</f>
        <v>3092029</v>
      </c>
      <c r="C6" s="77" t="str">
        <f>IFERROR(__xludf.DUMMYFUNCTION("""COMPUTED_VALUE"""),"Farmacia San Francisco")</f>
        <v>Farmacia San Francisco</v>
      </c>
      <c r="D6" s="29">
        <f>IFERROR(__xludf.DUMMYFUNCTION("""COMPUTED_VALUE"""),0.27)</f>
        <v>0.27</v>
      </c>
      <c r="E6" s="17">
        <f>IFERROR(__xludf.DUMMYFUNCTION("""COMPUTED_VALUE"""),7290.0)</f>
        <v>7290</v>
      </c>
      <c r="F6" s="17">
        <f>IFERROR(__xludf.DUMMYFUNCTION("""COMPUTED_VALUE"""),2520.0)</f>
        <v>2520</v>
      </c>
      <c r="G6" s="17">
        <f>IFERROR(__xludf.DUMMYFUNCTION("""COMPUTED_VALUE"""),1560.0)</f>
        <v>1560</v>
      </c>
      <c r="H6" s="17">
        <f>IFERROR(__xludf.DUMMYFUNCTION("""COMPUTED_VALUE"""),3210.0)</f>
        <v>3210</v>
      </c>
      <c r="I6" s="28" t="str">
        <f>IFERROR(__xludf.DUMMYFUNCTION("""COMPUTED_VALUE"""),"T4-Ba")</f>
        <v>T4-Ba</v>
      </c>
      <c r="J6" s="30">
        <f>IFERROR(__xludf.DUMMYFUNCTION("""COMPUTED_VALUE"""),157.6231)</f>
        <v>157.6231</v>
      </c>
      <c r="K6" s="30">
        <f>IFERROR(__xludf.DUMMYFUNCTION("""COMPUTED_VALUE"""),154.7731)</f>
        <v>154.7731</v>
      </c>
      <c r="L6" s="30">
        <f>IFERROR(__xludf.DUMMYFUNCTION("""COMPUTED_VALUE"""),156.0309)</f>
        <v>156.0309</v>
      </c>
      <c r="M6" s="15">
        <f>IFERROR(__xludf.DUMMYFUNCTION("""COMPUTED_VALUE"""),2957.8)</f>
        <v>2957.8</v>
      </c>
      <c r="N6" s="17">
        <f>IFERROR(__xludf.DUMMYFUNCTION("""COMPUTED_VALUE"""),10247.8)</f>
        <v>10247.8</v>
      </c>
      <c r="O6" s="31">
        <f>IFERROR(__xludf.DUMMYFUNCTION("""COMPUTED_VALUE"""),1139515.437)</f>
        <v>1139515.437</v>
      </c>
      <c r="P6" s="20">
        <f>IFERROR(__xludf.DUMMYFUNCTION("""COMPUTED_VALUE"""),1340.0)</f>
        <v>1340</v>
      </c>
      <c r="Q6" s="181">
        <f>IFERROR(__xludf.DUMMYFUNCTION("""COMPUTED_VALUE"""),344.4091015074627)</f>
        <v>344.4091015</v>
      </c>
      <c r="R6" s="32">
        <f>IFERROR(__xludf.DUMMYFUNCTION("""COMPUTED_VALUE"""),461508.19602000003)</f>
        <v>461508.196</v>
      </c>
      <c r="S6" s="32">
        <f>IFERROR(__xludf.DUMMYFUNCTION("""COMPUTED_VALUE"""),1465.0)</f>
        <v>1465</v>
      </c>
      <c r="T6" s="34">
        <f>IFERROR(__xludf.DUMMYFUNCTION("""COMPUTED_VALUE"""),640790.3538097098)</f>
        <v>640790.3538</v>
      </c>
      <c r="U6" s="35">
        <f>IFERROR(__xludf.DUMMYFUNCTION("""COMPUTED_VALUE"""),591.5600000000001)</f>
        <v>591.56</v>
      </c>
      <c r="V6" s="36">
        <f>IFERROR(__xludf.DUMMYFUNCTION("""COMPUTED_VALUE"""),26.88909090909091)</f>
        <v>26.88909091</v>
      </c>
      <c r="W6" s="37">
        <f>IFERROR(__xludf.DUMMYFUNCTION("""COMPUTED_VALUE"""),0.28825820337796026)</f>
        <v>0.2882582034</v>
      </c>
      <c r="X6" s="31">
        <f>IFERROR(__xludf.DUMMYFUNCTION("""COMPUTED_VALUE"""),1601023.63302)</f>
        <v>1601023.633</v>
      </c>
      <c r="Y6" s="208"/>
      <c r="Z6" s="187"/>
      <c r="AA6" s="188"/>
      <c r="AB6" s="188"/>
      <c r="AC6" s="202"/>
    </row>
    <row r="7" ht="15.75" customHeight="1">
      <c r="A7" s="26">
        <f>IFERROR(__xludf.DUMMYFUNCTION("""COMPUTED_VALUE"""),45839.0)</f>
        <v>45839</v>
      </c>
      <c r="B7" s="77">
        <f>IFERROR(__xludf.DUMMYFUNCTION("""COMPUTED_VALUE"""),3092029.0)</f>
        <v>3092029</v>
      </c>
      <c r="C7" s="77" t="str">
        <f>IFERROR(__xludf.DUMMYFUNCTION("""COMPUTED_VALUE"""),"Farmacia San Francisco")</f>
        <v>Farmacia San Francisco</v>
      </c>
      <c r="D7" s="29">
        <f>IFERROR(__xludf.DUMMYFUNCTION("""COMPUTED_VALUE"""),0.27)</f>
        <v>0.27</v>
      </c>
      <c r="E7" s="17">
        <f>IFERROR(__xludf.DUMMYFUNCTION("""COMPUTED_VALUE"""),7920.0)</f>
        <v>7920</v>
      </c>
      <c r="F7" s="17">
        <f>IFERROR(__xludf.DUMMYFUNCTION("""COMPUTED_VALUE"""),2490.0)</f>
        <v>2490</v>
      </c>
      <c r="G7" s="17">
        <f>IFERROR(__xludf.DUMMYFUNCTION("""COMPUTED_VALUE"""),1440.0)</f>
        <v>1440</v>
      </c>
      <c r="H7" s="17">
        <f>IFERROR(__xludf.DUMMYFUNCTION("""COMPUTED_VALUE"""),3990.0)</f>
        <v>3990</v>
      </c>
      <c r="I7" s="28" t="str">
        <f>IFERROR(__xludf.DUMMYFUNCTION("""COMPUTED_VALUE"""),"T4-Ba")</f>
        <v>T4-Ba</v>
      </c>
      <c r="J7" s="30">
        <f>IFERROR(__xludf.DUMMYFUNCTION("""COMPUTED_VALUE"""),149.9317)</f>
        <v>149.9317</v>
      </c>
      <c r="K7" s="30">
        <f>IFERROR(__xludf.DUMMYFUNCTION("""COMPUTED_VALUE"""),147.0841)</f>
        <v>147.0841</v>
      </c>
      <c r="L7" s="30">
        <f>IFERROR(__xludf.DUMMYFUNCTION("""COMPUTED_VALUE"""),148.3408)</f>
        <v>148.3408</v>
      </c>
      <c r="M7" s="15">
        <f>IFERROR(__xludf.DUMMYFUNCTION("""COMPUTED_VALUE"""),2348.8)</f>
        <v>2348.8</v>
      </c>
      <c r="N7" s="17">
        <f>IFERROR(__xludf.DUMMYFUNCTION("""COMPUTED_VALUE"""),10268.8)</f>
        <v>10268.8</v>
      </c>
      <c r="O7" s="31">
        <f>IFERROR(__xludf.DUMMYFUNCTION("""COMPUTED_VALUE"""),1177010.829)</f>
        <v>1177010.829</v>
      </c>
      <c r="P7" s="20">
        <f>IFERROR(__xludf.DUMMYFUNCTION("""COMPUTED_VALUE"""),1280.0)</f>
        <v>1280</v>
      </c>
      <c r="Q7" s="181">
        <f>IFERROR(__xludf.DUMMYFUNCTION("""COMPUTED_VALUE"""),272.205368)</f>
        <v>272.205368</v>
      </c>
      <c r="R7" s="32">
        <f>IFERROR(__xludf.DUMMYFUNCTION("""COMPUTED_VALUE"""),348422.87104)</f>
        <v>348422.871</v>
      </c>
      <c r="S7" s="32">
        <f>IFERROR(__xludf.DUMMYFUNCTION("""COMPUTED_VALUE"""),1465.0)</f>
        <v>1465</v>
      </c>
      <c r="T7" s="34">
        <f>IFERROR(__xludf.DUMMYFUNCTION("""COMPUTED_VALUE"""),506451.6974324001)</f>
        <v>506451.6974</v>
      </c>
      <c r="U7" s="35">
        <f>IFERROR(__xludf.DUMMYFUNCTION("""COMPUTED_VALUE"""),469.76000000000005)</f>
        <v>469.76</v>
      </c>
      <c r="V7" s="36">
        <f>IFERROR(__xludf.DUMMYFUNCTION("""COMPUTED_VALUE"""),21.352727272727275)</f>
        <v>21.35272727</v>
      </c>
      <c r="W7" s="37">
        <f>IFERROR(__xludf.DUMMYFUNCTION("""COMPUTED_VALUE"""),0.22840905575303844)</f>
        <v>0.2284090558</v>
      </c>
      <c r="X7" s="31">
        <f>IFERROR(__xludf.DUMMYFUNCTION("""COMPUTED_VALUE"""),1525433.70004)</f>
        <v>1525433.7</v>
      </c>
      <c r="Y7" s="208"/>
      <c r="Z7" s="187"/>
      <c r="AA7" s="188"/>
      <c r="AB7" s="188"/>
      <c r="AC7" s="202"/>
    </row>
    <row r="8" ht="15.75" customHeight="1">
      <c r="A8" s="26">
        <f>IFERROR(__xludf.DUMMYFUNCTION("""COMPUTED_VALUE"""),45809.0)</f>
        <v>45809</v>
      </c>
      <c r="B8" s="77">
        <f>IFERROR(__xludf.DUMMYFUNCTION("""COMPUTED_VALUE"""),3092029.0)</f>
        <v>3092029</v>
      </c>
      <c r="C8" s="77" t="str">
        <f>IFERROR(__xludf.DUMMYFUNCTION("""COMPUTED_VALUE"""),"Farmacia San Francisco")</f>
        <v>Farmacia San Francisco</v>
      </c>
      <c r="D8" s="29">
        <f>IFERROR(__xludf.DUMMYFUNCTION("""COMPUTED_VALUE"""),0.27)</f>
        <v>0.27</v>
      </c>
      <c r="E8" s="17">
        <f>IFERROR(__xludf.DUMMYFUNCTION("""COMPUTED_VALUE"""),7500.0)</f>
        <v>7500</v>
      </c>
      <c r="F8" s="17">
        <f>IFERROR(__xludf.DUMMYFUNCTION("""COMPUTED_VALUE"""),2250.0)</f>
        <v>2250</v>
      </c>
      <c r="G8" s="17">
        <f>IFERROR(__xludf.DUMMYFUNCTION("""COMPUTED_VALUE"""),1410.0)</f>
        <v>1410</v>
      </c>
      <c r="H8" s="17">
        <f>IFERROR(__xludf.DUMMYFUNCTION("""COMPUTED_VALUE"""),3840.0)</f>
        <v>3840</v>
      </c>
      <c r="I8" s="28" t="str">
        <f>IFERROR(__xludf.DUMMYFUNCTION("""COMPUTED_VALUE"""),"T4-Ba")</f>
        <v>T4-Ba</v>
      </c>
      <c r="J8" s="30">
        <f>IFERROR(__xludf.DUMMYFUNCTION("""COMPUTED_VALUE"""),147.7231)</f>
        <v>147.7231</v>
      </c>
      <c r="K8" s="30">
        <f>IFERROR(__xludf.DUMMYFUNCTION("""COMPUTED_VALUE"""),144.9122)</f>
        <v>144.9122</v>
      </c>
      <c r="L8" s="30">
        <f>IFERROR(__xludf.DUMMYFUNCTION("""COMPUTED_VALUE"""),146.1531)</f>
        <v>146.1531</v>
      </c>
      <c r="M8" s="15">
        <f>IFERROR(__xludf.DUMMYFUNCTION("""COMPUTED_VALUE"""),2120.5)</f>
        <v>2120.5</v>
      </c>
      <c r="N8" s="17">
        <f>IFERROR(__xludf.DUMMYFUNCTION("""COMPUTED_VALUE"""),9620.5)</f>
        <v>9620.5</v>
      </c>
      <c r="O8" s="31">
        <f>IFERROR(__xludf.DUMMYFUNCTION("""COMPUTED_VALUE"""),1097931.081)</f>
        <v>1097931.081</v>
      </c>
      <c r="P8" s="20">
        <f>IFERROR(__xludf.DUMMYFUNCTION("""COMPUTED_VALUE"""),1280.0)</f>
        <v>1280</v>
      </c>
      <c r="Q8" s="181">
        <f>IFERROR(__xludf.DUMMYFUNCTION("""COMPUTED_VALUE"""),242.12316292968748)</f>
        <v>242.1231629</v>
      </c>
      <c r="R8" s="32">
        <f>IFERROR(__xludf.DUMMYFUNCTION("""COMPUTED_VALUE"""),309917.64855)</f>
        <v>309917.6486</v>
      </c>
      <c r="S8" s="32">
        <f>IFERROR(__xludf.DUMMYFUNCTION("""COMPUTED_VALUE"""),1465.0)</f>
        <v>1465</v>
      </c>
      <c r="T8" s="34">
        <f>IFERROR(__xludf.DUMMYFUNCTION("""COMPUTED_VALUE"""),450482.25078883)</f>
        <v>450482.2508</v>
      </c>
      <c r="U8" s="35">
        <f>IFERROR(__xludf.DUMMYFUNCTION("""COMPUTED_VALUE"""),424.1)</f>
        <v>424.1</v>
      </c>
      <c r="V8" s="36">
        <f>IFERROR(__xludf.DUMMYFUNCTION("""COMPUTED_VALUE"""),19.277272727272727)</f>
        <v>19.27727273</v>
      </c>
      <c r="W8" s="37">
        <f>IFERROR(__xludf.DUMMYFUNCTION("""COMPUTED_VALUE"""),0.22013561687771743)</f>
        <v>0.2201356169</v>
      </c>
      <c r="X8" s="31">
        <f>IFERROR(__xludf.DUMMYFUNCTION("""COMPUTED_VALUE"""),1407848.72955)</f>
        <v>1407848.73</v>
      </c>
      <c r="Y8" s="208"/>
      <c r="Z8" s="187"/>
      <c r="AA8" s="188"/>
      <c r="AB8" s="188"/>
      <c r="AC8" s="202"/>
    </row>
    <row r="9" ht="15.75" customHeight="1">
      <c r="A9" s="26">
        <f>IFERROR(__xludf.DUMMYFUNCTION("""COMPUTED_VALUE"""),45778.0)</f>
        <v>45778</v>
      </c>
      <c r="B9" s="77">
        <f>IFERROR(__xludf.DUMMYFUNCTION("""COMPUTED_VALUE"""),3092029.0)</f>
        <v>3092029</v>
      </c>
      <c r="C9" s="77" t="str">
        <f>IFERROR(__xludf.DUMMYFUNCTION("""COMPUTED_VALUE"""),"Farmacia San Francisco")</f>
        <v>Farmacia San Francisco</v>
      </c>
      <c r="D9" s="29">
        <f>IFERROR(__xludf.DUMMYFUNCTION("""COMPUTED_VALUE"""),0.27)</f>
        <v>0.27</v>
      </c>
      <c r="E9" s="17">
        <f>IFERROR(__xludf.DUMMYFUNCTION("""COMPUTED_VALUE"""),5550.0)</f>
        <v>5550</v>
      </c>
      <c r="F9" s="17">
        <f>IFERROR(__xludf.DUMMYFUNCTION("""COMPUTED_VALUE"""),1950.0)</f>
        <v>1950</v>
      </c>
      <c r="G9" s="17">
        <f>IFERROR(__xludf.DUMMYFUNCTION("""COMPUTED_VALUE"""),1290.0)</f>
        <v>1290</v>
      </c>
      <c r="H9" s="17">
        <f>IFERROR(__xludf.DUMMYFUNCTION("""COMPUTED_VALUE"""),2310.0)</f>
        <v>2310</v>
      </c>
      <c r="I9" s="28" t="str">
        <f>IFERROR(__xludf.DUMMYFUNCTION("""COMPUTED_VALUE"""),"T4-Ba")</f>
        <v>T4-Ba</v>
      </c>
      <c r="J9" s="30">
        <f>IFERROR(__xludf.DUMMYFUNCTION("""COMPUTED_VALUE"""),145.3784)</f>
        <v>145.3784</v>
      </c>
      <c r="K9" s="30">
        <f>IFERROR(__xludf.DUMMYFUNCTION("""COMPUTED_VALUE"""),142.6091)</f>
        <v>142.6091</v>
      </c>
      <c r="L9" s="30">
        <f>IFERROR(__xludf.DUMMYFUNCTION("""COMPUTED_VALUE"""),143.8316)</f>
        <v>143.8316</v>
      </c>
      <c r="M9" s="15">
        <f>IFERROR(__xludf.DUMMYFUNCTION("""COMPUTED_VALUE"""),2636.4)</f>
        <v>2636.4</v>
      </c>
      <c r="N9" s="17">
        <f>IFERROR(__xludf.DUMMYFUNCTION("""COMPUTED_VALUE"""),8186.4)</f>
        <v>8186.4</v>
      </c>
      <c r="O9" s="31">
        <f>IFERROR(__xludf.DUMMYFUNCTION("""COMPUTED_VALUE"""),799704.615)</f>
        <v>799704.615</v>
      </c>
      <c r="P9" s="20">
        <f>IFERROR(__xludf.DUMMYFUNCTION("""COMPUTED_VALUE"""),1200.0)</f>
        <v>1200</v>
      </c>
      <c r="Q9" s="181">
        <f>IFERROR(__xludf.DUMMYFUNCTION("""COMPUTED_VALUE"""),315.99802520000003)</f>
        <v>315.9980252</v>
      </c>
      <c r="R9" s="32">
        <f>IFERROR(__xludf.DUMMYFUNCTION("""COMPUTED_VALUE"""),379197.63024)</f>
        <v>379197.6302</v>
      </c>
      <c r="S9" s="32">
        <f>IFERROR(__xludf.DUMMYFUNCTION("""COMPUTED_VALUE"""),1465.0)</f>
        <v>1465</v>
      </c>
      <c r="T9" s="34">
        <f>IFERROR(__xludf.DUMMYFUNCTION("""COMPUTED_VALUE"""),587930.12578586)</f>
        <v>587930.1258</v>
      </c>
      <c r="U9" s="35">
        <f>IFERROR(__xludf.DUMMYFUNCTION("""COMPUTED_VALUE"""),527.2800000000001)</f>
        <v>527.28</v>
      </c>
      <c r="V9" s="36">
        <f>IFERROR(__xludf.DUMMYFUNCTION("""COMPUTED_VALUE"""),23.967272727272732)</f>
        <v>23.96727273</v>
      </c>
      <c r="W9" s="37">
        <f>IFERROR(__xludf.DUMMYFUNCTION("""COMPUTED_VALUE"""),0.32165315807232453)</f>
        <v>0.3216531581</v>
      </c>
      <c r="X9" s="31">
        <f>IFERROR(__xludf.DUMMYFUNCTION("""COMPUTED_VALUE"""),1178902.24524)</f>
        <v>1178902.245</v>
      </c>
      <c r="Y9" s="208"/>
      <c r="Z9" s="187"/>
      <c r="AA9" s="188"/>
      <c r="AB9" s="188"/>
      <c r="AC9" s="202"/>
    </row>
    <row r="10" ht="15.75" customHeight="1">
      <c r="A10" s="26">
        <f>IFERROR(__xludf.DUMMYFUNCTION("""COMPUTED_VALUE"""),45748.0)</f>
        <v>45748</v>
      </c>
      <c r="B10" s="77">
        <f>IFERROR(__xludf.DUMMYFUNCTION("""COMPUTED_VALUE"""),3092029.0)</f>
        <v>3092029</v>
      </c>
      <c r="C10" s="77" t="str">
        <f>IFERROR(__xludf.DUMMYFUNCTION("""COMPUTED_VALUE"""),"Farmacia San Francisco")</f>
        <v>Farmacia San Francisco</v>
      </c>
      <c r="D10" s="29">
        <f>IFERROR(__xludf.DUMMYFUNCTION("""COMPUTED_VALUE"""),0.27)</f>
        <v>0.27</v>
      </c>
      <c r="E10" s="17">
        <f>IFERROR(__xludf.DUMMYFUNCTION("""COMPUTED_VALUE"""),11340.0)</f>
        <v>11340</v>
      </c>
      <c r="F10" s="17">
        <f>IFERROR(__xludf.DUMMYFUNCTION("""COMPUTED_VALUE"""),3360.0)</f>
        <v>3360</v>
      </c>
      <c r="G10" s="17">
        <f>IFERROR(__xludf.DUMMYFUNCTION("""COMPUTED_VALUE"""),1800.0)</f>
        <v>1800</v>
      </c>
      <c r="H10" s="17">
        <f>IFERROR(__xludf.DUMMYFUNCTION("""COMPUTED_VALUE"""),6180.0)</f>
        <v>6180</v>
      </c>
      <c r="I10" s="28" t="str">
        <f>IFERROR(__xludf.DUMMYFUNCTION("""COMPUTED_VALUE"""),"T4-Ba")</f>
        <v>T4-Ba</v>
      </c>
      <c r="J10" s="30">
        <f>IFERROR(__xludf.DUMMYFUNCTION("""COMPUTED_VALUE"""),140.7177)</f>
        <v>140.7177</v>
      </c>
      <c r="K10" s="30">
        <f>IFERROR(__xludf.DUMMYFUNCTION("""COMPUTED_VALUE"""),138.0092)</f>
        <v>138.0092</v>
      </c>
      <c r="L10" s="30">
        <f>IFERROR(__xludf.DUMMYFUNCTION("""COMPUTED_VALUE"""),139.205)</f>
        <v>139.205</v>
      </c>
      <c r="M10" s="15">
        <f>IFERROR(__xludf.DUMMYFUNCTION("""COMPUTED_VALUE"""),2270.5)</f>
        <v>2270.5</v>
      </c>
      <c r="N10" s="17">
        <f>IFERROR(__xludf.DUMMYFUNCTION("""COMPUTED_VALUE"""),13610.5)</f>
        <v>13610.5</v>
      </c>
      <c r="O10" s="31">
        <f>IFERROR(__xludf.DUMMYFUNCTION("""COMPUTED_VALUE"""),1581514.932)</f>
        <v>1581514.932</v>
      </c>
      <c r="P10" s="20">
        <f>IFERROR(__xludf.DUMMYFUNCTION("""COMPUTED_VALUE"""),1140.0)</f>
        <v>1140</v>
      </c>
      <c r="Q10" s="181">
        <f>IFERROR(__xludf.DUMMYFUNCTION("""COMPUTED_VALUE"""),277.2499583333333)</f>
        <v>277.2499583</v>
      </c>
      <c r="R10" s="32">
        <f>IFERROR(__xludf.DUMMYFUNCTION("""COMPUTED_VALUE"""),316064.9525)</f>
        <v>316064.9525</v>
      </c>
      <c r="S10" s="32">
        <f>IFERROR(__xludf.DUMMYFUNCTION("""COMPUTED_VALUE"""),1465.0)</f>
        <v>1465</v>
      </c>
      <c r="T10" s="34">
        <f>IFERROR(__xludf.DUMMYFUNCTION("""COMPUTED_VALUE"""),515837.4099770833)</f>
        <v>515837.41</v>
      </c>
      <c r="U10" s="35">
        <f>IFERROR(__xludf.DUMMYFUNCTION("""COMPUTED_VALUE"""),454.1)</f>
        <v>454.1</v>
      </c>
      <c r="V10" s="36">
        <f>IFERROR(__xludf.DUMMYFUNCTION("""COMPUTED_VALUE"""),20.64090909090909)</f>
        <v>20.64090909</v>
      </c>
      <c r="W10" s="37">
        <f>IFERROR(__xludf.DUMMYFUNCTION("""COMPUTED_VALUE"""),0.16656213268369519)</f>
        <v>0.1665621327</v>
      </c>
      <c r="X10" s="31">
        <f>IFERROR(__xludf.DUMMYFUNCTION("""COMPUTED_VALUE"""),1897579.8845000002)</f>
        <v>1897579.885</v>
      </c>
      <c r="Y10" s="208"/>
      <c r="Z10" s="187"/>
      <c r="AA10" s="188"/>
      <c r="AB10" s="188"/>
      <c r="AC10" s="202"/>
    </row>
    <row r="11" ht="15.75" customHeight="1">
      <c r="A11" s="26">
        <f>IFERROR(__xludf.DUMMYFUNCTION("""COMPUTED_VALUE"""),45717.0)</f>
        <v>45717</v>
      </c>
      <c r="B11" s="77">
        <f>IFERROR(__xludf.DUMMYFUNCTION("""COMPUTED_VALUE"""),3092029.0)</f>
        <v>3092029</v>
      </c>
      <c r="C11" s="77" t="str">
        <f>IFERROR(__xludf.DUMMYFUNCTION("""COMPUTED_VALUE"""),"Farmacia San Francisco")</f>
        <v>Farmacia San Francisco</v>
      </c>
      <c r="D11" s="29">
        <f>IFERROR(__xludf.DUMMYFUNCTION("""COMPUTED_VALUE"""),0.27)</f>
        <v>0.27</v>
      </c>
      <c r="E11" s="17">
        <f>IFERROR(__xludf.DUMMYFUNCTION("""COMPUTED_VALUE"""),11760.0)</f>
        <v>11760</v>
      </c>
      <c r="F11" s="17">
        <f>IFERROR(__xludf.DUMMYFUNCTION("""COMPUTED_VALUE"""),3480.0)</f>
        <v>3480</v>
      </c>
      <c r="G11" s="17">
        <f>IFERROR(__xludf.DUMMYFUNCTION("""COMPUTED_VALUE"""),1890.0)</f>
        <v>1890</v>
      </c>
      <c r="H11" s="17">
        <f>IFERROR(__xludf.DUMMYFUNCTION("""COMPUTED_VALUE"""),6390.0)</f>
        <v>6390</v>
      </c>
      <c r="I11" s="28" t="str">
        <f>IFERROR(__xludf.DUMMYFUNCTION("""COMPUTED_VALUE"""),"T4-Ba")</f>
        <v>T4-Ba</v>
      </c>
      <c r="J11" s="30">
        <f>IFERROR(__xludf.DUMMYFUNCTION("""COMPUTED_VALUE"""),139.7195)</f>
        <v>139.7195</v>
      </c>
      <c r="K11" s="30">
        <f>IFERROR(__xludf.DUMMYFUNCTION("""COMPUTED_VALUE"""),137.011)</f>
        <v>137.011</v>
      </c>
      <c r="L11" s="30">
        <f>IFERROR(__xludf.DUMMYFUNCTION("""COMPUTED_VALUE"""),138.2068)</f>
        <v>138.2068</v>
      </c>
      <c r="M11" s="15">
        <f>IFERROR(__xludf.DUMMYFUNCTION("""COMPUTED_VALUE"""),2924.4)</f>
        <v>2924.4</v>
      </c>
      <c r="N11" s="17">
        <f>IFERROR(__xludf.DUMMYFUNCTION("""COMPUTED_VALUE"""),14684.4)</f>
        <v>14684.4</v>
      </c>
      <c r="O11" s="31">
        <f>IFERROR(__xludf.DUMMYFUNCTION("""COMPUTED_VALUE"""),1628316.102)</f>
        <v>1628316.102</v>
      </c>
      <c r="P11" s="20">
        <f>IFERROR(__xludf.DUMMYFUNCTION("""COMPUTED_VALUE"""),1095.75)</f>
        <v>1095.75</v>
      </c>
      <c r="Q11" s="181">
        <f>IFERROR(__xludf.DUMMYFUNCTION("""COMPUTED_VALUE"""),368.85417834360027)</f>
        <v>368.8541783</v>
      </c>
      <c r="R11" s="32">
        <f>IFERROR(__xludf.DUMMYFUNCTION("""COMPUTED_VALUE"""),404171.96592)</f>
        <v>404171.9659</v>
      </c>
      <c r="S11" s="32">
        <f>IFERROR(__xludf.DUMMYFUNCTION("""COMPUTED_VALUE"""),1465.0)</f>
        <v>1465</v>
      </c>
      <c r="T11" s="34">
        <f>IFERROR(__xludf.DUMMYFUNCTION("""COMPUTED_VALUE"""),686271.6415171855)</f>
        <v>686271.6415</v>
      </c>
      <c r="U11" s="35">
        <f>IFERROR(__xludf.DUMMYFUNCTION("""COMPUTED_VALUE"""),584.88)</f>
        <v>584.88</v>
      </c>
      <c r="V11" s="36">
        <f>IFERROR(__xludf.DUMMYFUNCTION("""COMPUTED_VALUE"""),26.585454545454546)</f>
        <v>26.58545455</v>
      </c>
      <c r="W11" s="37">
        <f>IFERROR(__xludf.DUMMYFUNCTION("""COMPUTED_VALUE"""),0.1988557631896063)</f>
        <v>0.1988557632</v>
      </c>
      <c r="X11" s="31">
        <f>IFERROR(__xludf.DUMMYFUNCTION("""COMPUTED_VALUE"""),2032488.0679199998)</f>
        <v>2032488.068</v>
      </c>
      <c r="Y11" s="208"/>
      <c r="Z11" s="187"/>
      <c r="AA11" s="188"/>
      <c r="AB11" s="188"/>
      <c r="AC11" s="202"/>
    </row>
    <row r="12" ht="15.75" customHeight="1">
      <c r="A12" s="26">
        <f>IFERROR(__xludf.DUMMYFUNCTION("""COMPUTED_VALUE"""),45713.0)</f>
        <v>45713</v>
      </c>
      <c r="B12" s="77">
        <f>IFERROR(__xludf.DUMMYFUNCTION("""COMPUTED_VALUE"""),3092029.0)</f>
        <v>3092029</v>
      </c>
      <c r="C12" s="77" t="str">
        <f>IFERROR(__xludf.DUMMYFUNCTION("""COMPUTED_VALUE"""),"Farmacia San Francisco")</f>
        <v>Farmacia San Francisco</v>
      </c>
      <c r="D12" s="29">
        <f>IFERROR(__xludf.DUMMYFUNCTION("""COMPUTED_VALUE"""),0.27)</f>
        <v>0.27</v>
      </c>
      <c r="E12" s="17">
        <f>IFERROR(__xludf.DUMMYFUNCTION("""COMPUTED_VALUE"""),14460.0)</f>
        <v>14460</v>
      </c>
      <c r="F12" s="17">
        <f>IFERROR(__xludf.DUMMYFUNCTION("""COMPUTED_VALUE"""),4560.0)</f>
        <v>4560</v>
      </c>
      <c r="G12" s="17">
        <f>IFERROR(__xludf.DUMMYFUNCTION("""COMPUTED_VALUE"""),2280.0)</f>
        <v>2280</v>
      </c>
      <c r="H12" s="17">
        <f>IFERROR(__xludf.DUMMYFUNCTION("""COMPUTED_VALUE"""),7620.0)</f>
        <v>7620</v>
      </c>
      <c r="I12" s="28" t="str">
        <f>IFERROR(__xludf.DUMMYFUNCTION("""COMPUTED_VALUE"""),"T4-Ba")</f>
        <v>T4-Ba</v>
      </c>
      <c r="J12" s="30">
        <f>IFERROR(__xludf.DUMMYFUNCTION("""COMPUTED_VALUE"""),136.7573)</f>
        <v>136.7573</v>
      </c>
      <c r="K12" s="30">
        <f>IFERROR(__xludf.DUMMYFUNCTION("""COMPUTED_VALUE"""),134.1149)</f>
        <v>134.1149</v>
      </c>
      <c r="L12" s="30">
        <f>IFERROR(__xludf.DUMMYFUNCTION("""COMPUTED_VALUE"""),135.2813)</f>
        <v>135.2813</v>
      </c>
      <c r="M12" s="15">
        <f>IFERROR(__xludf.DUMMYFUNCTION("""COMPUTED_VALUE"""),3742.6)</f>
        <v>3742.6</v>
      </c>
      <c r="N12" s="17">
        <f>IFERROR(__xludf.DUMMYFUNCTION("""COMPUTED_VALUE"""),18202.6)</f>
        <v>18202.6</v>
      </c>
      <c r="O12" s="31">
        <f>IFERROR(__xludf.DUMMYFUNCTION("""COMPUTED_VALUE"""),1960238.7659999998)</f>
        <v>1960238.766</v>
      </c>
      <c r="P12" s="20">
        <f>IFERROR(__xludf.DUMMYFUNCTION("""COMPUTED_VALUE"""),1086.0)</f>
        <v>1086</v>
      </c>
      <c r="Q12" s="181">
        <f>IFERROR(__xludf.DUMMYFUNCTION("""COMPUTED_VALUE"""),466.20975449355427)</f>
        <v>466.2097545</v>
      </c>
      <c r="R12" s="32">
        <f>IFERROR(__xludf.DUMMYFUNCTION("""COMPUTED_VALUE"""),506303.79337999993)</f>
        <v>506303.7934</v>
      </c>
      <c r="S12" s="32">
        <f>IFERROR(__xludf.DUMMYFUNCTION("""COMPUTED_VALUE"""),1465.0)</f>
        <v>1465</v>
      </c>
      <c r="T12" s="34">
        <f>IFERROR(__xludf.DUMMYFUNCTION("""COMPUTED_VALUE"""),867406.5587229824)</f>
        <v>867406.5587</v>
      </c>
      <c r="U12" s="35">
        <f>IFERROR(__xludf.DUMMYFUNCTION("""COMPUTED_VALUE"""),748.52)</f>
        <v>748.52</v>
      </c>
      <c r="V12" s="36">
        <f>IFERROR(__xludf.DUMMYFUNCTION("""COMPUTED_VALUE"""),34.02363636363636)</f>
        <v>34.02363636</v>
      </c>
      <c r="W12" s="37">
        <f>IFERROR(__xludf.DUMMYFUNCTION("""COMPUTED_VALUE"""),0.20526862245071764)</f>
        <v>0.2052686225</v>
      </c>
      <c r="X12" s="31">
        <f>IFERROR(__xludf.DUMMYFUNCTION("""COMPUTED_VALUE"""),2466542.5593799995)</f>
        <v>2466542.559</v>
      </c>
      <c r="Y12" s="208"/>
      <c r="Z12" s="187"/>
      <c r="AA12" s="188"/>
      <c r="AB12" s="188"/>
      <c r="AC12" s="202"/>
    </row>
    <row r="13" ht="15.75" customHeight="1">
      <c r="A13" s="26">
        <f>IFERROR(__xludf.DUMMYFUNCTION("""COMPUTED_VALUE"""),45682.0)</f>
        <v>45682</v>
      </c>
      <c r="B13" s="77">
        <f>IFERROR(__xludf.DUMMYFUNCTION("""COMPUTED_VALUE"""),3092029.0)</f>
        <v>3092029</v>
      </c>
      <c r="C13" s="77" t="str">
        <f>IFERROR(__xludf.DUMMYFUNCTION("""COMPUTED_VALUE"""),"Farmacia San Francisco")</f>
        <v>Farmacia San Francisco</v>
      </c>
      <c r="D13" s="29">
        <f>IFERROR(__xludf.DUMMYFUNCTION("""COMPUTED_VALUE"""),0.27)</f>
        <v>0.27</v>
      </c>
      <c r="E13" s="17">
        <f>IFERROR(__xludf.DUMMYFUNCTION("""COMPUTED_VALUE"""),14430.0)</f>
        <v>14430</v>
      </c>
      <c r="F13" s="17">
        <f>IFERROR(__xludf.DUMMYFUNCTION("""COMPUTED_VALUE"""),4260.0)</f>
        <v>4260</v>
      </c>
      <c r="G13" s="17">
        <f>IFERROR(__xludf.DUMMYFUNCTION("""COMPUTED_VALUE"""),2250.0)</f>
        <v>2250</v>
      </c>
      <c r="H13" s="17">
        <f>IFERROR(__xludf.DUMMYFUNCTION("""COMPUTED_VALUE"""),7920.0)</f>
        <v>7920</v>
      </c>
      <c r="I13" s="28" t="str">
        <f>IFERROR(__xludf.DUMMYFUNCTION("""COMPUTED_VALUE"""),"T4-Ba")</f>
        <v>T4-Ba</v>
      </c>
      <c r="J13" s="30">
        <f>IFERROR(__xludf.DUMMYFUNCTION("""COMPUTED_VALUE"""),143.7049)</f>
        <v>143.7049</v>
      </c>
      <c r="K13" s="30">
        <f>IFERROR(__xludf.DUMMYFUNCTION("""COMPUTED_VALUE"""),139.1776)</f>
        <v>139.1776</v>
      </c>
      <c r="L13" s="30">
        <f>IFERROR(__xludf.DUMMYFUNCTION("""COMPUTED_VALUE"""),140.8279)</f>
        <v>140.8279</v>
      </c>
      <c r="M13" s="15">
        <f>IFERROR(__xludf.DUMMYFUNCTION("""COMPUTED_VALUE"""),3429.1)</f>
        <v>3429.1</v>
      </c>
      <c r="N13" s="17">
        <f>IFERROR(__xludf.DUMMYFUNCTION("""COMPUTED_VALUE"""),17859.1)</f>
        <v>17859.1</v>
      </c>
      <c r="O13" s="31">
        <f>IFERROR(__xludf.DUMMYFUNCTION("""COMPUTED_VALUE"""),2040689.4420000003)</f>
        <v>2040689.442</v>
      </c>
      <c r="P13" s="20">
        <f>IFERROR(__xludf.DUMMYFUNCTION("""COMPUTED_VALUE"""),1075.5)</f>
        <v>1075.5</v>
      </c>
      <c r="Q13" s="181">
        <f>IFERROR(__xludf.DUMMYFUNCTION("""COMPUTED_VALUE"""),449.01250756857274)</f>
        <v>449.0125076</v>
      </c>
      <c r="R13" s="32">
        <f>IFERROR(__xludf.DUMMYFUNCTION("""COMPUTED_VALUE"""),482912.95188999997)</f>
        <v>482912.9519</v>
      </c>
      <c r="S13" s="32">
        <f>IFERROR(__xludf.DUMMYFUNCTION("""COMPUTED_VALUE"""),1465.0)</f>
        <v>1465</v>
      </c>
      <c r="T13" s="34">
        <f>IFERROR(__xludf.DUMMYFUNCTION("""COMPUTED_VALUE"""),835410.220956708)</f>
        <v>835410.221</v>
      </c>
      <c r="U13" s="35">
        <f>IFERROR(__xludf.DUMMYFUNCTION("""COMPUTED_VALUE"""),685.82)</f>
        <v>685.82</v>
      </c>
      <c r="V13" s="36">
        <f>IFERROR(__xludf.DUMMYFUNCTION("""COMPUTED_VALUE"""),31.173636363636366)</f>
        <v>31.17363636</v>
      </c>
      <c r="W13" s="37">
        <f>IFERROR(__xludf.DUMMYFUNCTION("""COMPUTED_VALUE"""),0.19135857259416175)</f>
        <v>0.1913585726</v>
      </c>
      <c r="X13" s="31">
        <f>IFERROR(__xludf.DUMMYFUNCTION("""COMPUTED_VALUE"""),2523602.3938900004)</f>
        <v>2523602.394</v>
      </c>
      <c r="Y13" s="208"/>
      <c r="Z13" s="187"/>
      <c r="AA13" s="188"/>
      <c r="AB13" s="188"/>
      <c r="AC13" s="202"/>
    </row>
    <row r="14" ht="15.75" customHeight="1">
      <c r="A14" s="26">
        <f>IFERROR(__xludf.DUMMYFUNCTION("""COMPUTED_VALUE"""),45627.0)</f>
        <v>45627</v>
      </c>
      <c r="B14" s="77">
        <f>IFERROR(__xludf.DUMMYFUNCTION("""COMPUTED_VALUE"""),3092029.0)</f>
        <v>3092029</v>
      </c>
      <c r="C14" s="77" t="str">
        <f>IFERROR(__xludf.DUMMYFUNCTION("""COMPUTED_VALUE"""),"Farmacia San Francisco")</f>
        <v>Farmacia San Francisco</v>
      </c>
      <c r="D14" s="29">
        <f>IFERROR(__xludf.DUMMYFUNCTION("""COMPUTED_VALUE"""),0.27)</f>
        <v>0.27</v>
      </c>
      <c r="E14" s="17">
        <f>IFERROR(__xludf.DUMMYFUNCTION("""COMPUTED_VALUE"""),12930.0)</f>
        <v>12930</v>
      </c>
      <c r="F14" s="17">
        <f>IFERROR(__xludf.DUMMYFUNCTION("""COMPUTED_VALUE"""),3870.0)</f>
        <v>3870</v>
      </c>
      <c r="G14" s="17">
        <f>IFERROR(__xludf.DUMMYFUNCTION("""COMPUTED_VALUE"""),1950.0)</f>
        <v>1950</v>
      </c>
      <c r="H14" s="17">
        <f>IFERROR(__xludf.DUMMYFUNCTION("""COMPUTED_VALUE"""),7110.0)</f>
        <v>7110</v>
      </c>
      <c r="I14" s="28" t="str">
        <f>IFERROR(__xludf.DUMMYFUNCTION("""COMPUTED_VALUE"""),"T4-Ba")</f>
        <v>T4-Ba</v>
      </c>
      <c r="J14" s="30">
        <f>IFERROR(__xludf.DUMMYFUNCTION("""COMPUTED_VALUE"""),142.1224)</f>
        <v>142.1224</v>
      </c>
      <c r="K14" s="30">
        <f>IFERROR(__xludf.DUMMYFUNCTION("""COMPUTED_VALUE"""),137.5951)</f>
        <v>137.5951</v>
      </c>
      <c r="L14" s="30">
        <f>IFERROR(__xludf.DUMMYFUNCTION("""COMPUTED_VALUE"""),139.2454)</f>
        <v>139.2454</v>
      </c>
      <c r="M14" s="15">
        <f>IFERROR(__xludf.DUMMYFUNCTION("""COMPUTED_VALUE"""),3375.7)</f>
        <v>3375.7</v>
      </c>
      <c r="N14" s="17">
        <f>IFERROR(__xludf.DUMMYFUNCTION("""COMPUTED_VALUE"""),16305.7)</f>
        <v>16305.7</v>
      </c>
      <c r="O14" s="31">
        <f>IFERROR(__xludf.DUMMYFUNCTION("""COMPUTED_VALUE"""),1808358.9269999997)</f>
        <v>1808358.927</v>
      </c>
      <c r="P14" s="20">
        <f>IFERROR(__xludf.DUMMYFUNCTION("""COMPUTED_VALUE"""),1055.0)</f>
        <v>1055</v>
      </c>
      <c r="Q14" s="181">
        <f>IFERROR(__xludf.DUMMYFUNCTION("""COMPUTED_VALUE"""),445.5456841516587)</f>
        <v>445.5456842</v>
      </c>
      <c r="R14" s="32">
        <f>IFERROR(__xludf.DUMMYFUNCTION("""COMPUTED_VALUE"""),470050.69677999994)</f>
        <v>470050.6968</v>
      </c>
      <c r="S14" s="32">
        <f>IFERROR(__xludf.DUMMYFUNCTION("""COMPUTED_VALUE"""),1465.0)</f>
        <v>1465</v>
      </c>
      <c r="T14" s="34">
        <f>IFERROR(__xludf.DUMMYFUNCTION("""COMPUTED_VALUE"""),828960.0226483685)</f>
        <v>828960.0226</v>
      </c>
      <c r="U14" s="35">
        <f>IFERROR(__xludf.DUMMYFUNCTION("""COMPUTED_VALUE"""),675.14)</f>
        <v>675.14</v>
      </c>
      <c r="V14" s="36">
        <f>IFERROR(__xludf.DUMMYFUNCTION("""COMPUTED_VALUE"""),30.688181818181818)</f>
        <v>30.68818182</v>
      </c>
      <c r="W14" s="37">
        <f>IFERROR(__xludf.DUMMYFUNCTION("""COMPUTED_VALUE"""),0.20630649198196477)</f>
        <v>0.206306492</v>
      </c>
      <c r="X14" s="31">
        <f>IFERROR(__xludf.DUMMYFUNCTION("""COMPUTED_VALUE"""),2278409.6237799996)</f>
        <v>2278409.624</v>
      </c>
      <c r="Y14" s="208"/>
      <c r="Z14" s="187"/>
      <c r="AA14" s="188"/>
      <c r="AB14" s="188"/>
      <c r="AC14" s="202"/>
    </row>
    <row r="15" ht="15.75" customHeight="1">
      <c r="A15" s="26">
        <f>IFERROR(__xludf.DUMMYFUNCTION("""COMPUTED_VALUE"""),45597.0)</f>
        <v>45597</v>
      </c>
      <c r="B15" s="77">
        <f>IFERROR(__xludf.DUMMYFUNCTION("""COMPUTED_VALUE"""),3092029.0)</f>
        <v>3092029</v>
      </c>
      <c r="C15" s="77" t="str">
        <f>IFERROR(__xludf.DUMMYFUNCTION("""COMPUTED_VALUE"""),"Farmacia San Francisco")</f>
        <v>Farmacia San Francisco</v>
      </c>
      <c r="D15" s="29">
        <f>IFERROR(__xludf.DUMMYFUNCTION("""COMPUTED_VALUE"""),0.27)</f>
        <v>0.27</v>
      </c>
      <c r="E15" s="17">
        <f>IFERROR(__xludf.DUMMYFUNCTION("""COMPUTED_VALUE"""),13170.0)</f>
        <v>13170</v>
      </c>
      <c r="F15" s="17">
        <f>IFERROR(__xludf.DUMMYFUNCTION("""COMPUTED_VALUE"""),3870.0)</f>
        <v>3870</v>
      </c>
      <c r="G15" s="17">
        <f>IFERROR(__xludf.DUMMYFUNCTION("""COMPUTED_VALUE"""),2130.0)</f>
        <v>2130</v>
      </c>
      <c r="H15" s="17">
        <f>IFERROR(__xludf.DUMMYFUNCTION("""COMPUTED_VALUE"""),7170.0)</f>
        <v>7170</v>
      </c>
      <c r="I15" s="28" t="str">
        <f>IFERROR(__xludf.DUMMYFUNCTION("""COMPUTED_VALUE"""),"T4-Ba")</f>
        <v>T4-Ba</v>
      </c>
      <c r="J15" s="30">
        <f>IFERROR(__xludf.DUMMYFUNCTION("""COMPUTED_VALUE"""),140.6689)</f>
        <v>140.6689</v>
      </c>
      <c r="K15" s="30">
        <f>IFERROR(__xludf.DUMMYFUNCTION("""COMPUTED_VALUE"""),136.1415)</f>
        <v>136.1415</v>
      </c>
      <c r="L15" s="30">
        <f>IFERROR(__xludf.DUMMYFUNCTION("""COMPUTED_VALUE"""),137.7918)</f>
        <v>137.7918</v>
      </c>
      <c r="M15" s="15">
        <f>IFERROR(__xludf.DUMMYFUNCTION("""COMPUTED_VALUE"""),3236.9)</f>
        <v>3236.9</v>
      </c>
      <c r="N15" s="17">
        <f>IFERROR(__xludf.DUMMYFUNCTION("""COMPUTED_VALUE"""),16406.9)</f>
        <v>16406.9</v>
      </c>
      <c r="O15" s="31">
        <f>IFERROR(__xludf.DUMMYFUNCTION("""COMPUTED_VALUE"""),1822337.244)</f>
        <v>1822337.244</v>
      </c>
      <c r="P15" s="20">
        <f>IFERROR(__xludf.DUMMYFUNCTION("""COMPUTED_VALUE"""),1036.0)</f>
        <v>1036</v>
      </c>
      <c r="Q15" s="181">
        <f>IFERROR(__xludf.DUMMYFUNCTION("""COMPUTED_VALUE"""),430.5195727992278)</f>
        <v>430.5195728</v>
      </c>
      <c r="R15" s="32">
        <f>IFERROR(__xludf.DUMMYFUNCTION("""COMPUTED_VALUE"""),446018.27742)</f>
        <v>446018.2774</v>
      </c>
      <c r="S15" s="32">
        <f>IFERROR(__xludf.DUMMYFUNCTION("""COMPUTED_VALUE"""),1465.0)</f>
        <v>1465</v>
      </c>
      <c r="T15" s="34">
        <f>IFERROR(__xludf.DUMMYFUNCTION("""COMPUTED_VALUE"""),801003.1911716033)</f>
        <v>801003.1912</v>
      </c>
      <c r="U15" s="35">
        <f>IFERROR(__xludf.DUMMYFUNCTION("""COMPUTED_VALUE"""),647.3800000000001)</f>
        <v>647.38</v>
      </c>
      <c r="V15" s="36">
        <f>IFERROR(__xludf.DUMMYFUNCTION("""COMPUTED_VALUE"""),29.426363636363643)</f>
        <v>29.42636364</v>
      </c>
      <c r="W15" s="37">
        <f>IFERROR(__xludf.DUMMYFUNCTION("""COMPUTED_VALUE"""),0.19662626656547677)</f>
        <v>0.1966262666</v>
      </c>
      <c r="X15" s="31">
        <f>IFERROR(__xludf.DUMMYFUNCTION("""COMPUTED_VALUE"""),2268355.52142)</f>
        <v>2268355.521</v>
      </c>
      <c r="Y15" s="210"/>
    </row>
    <row r="16" ht="15.75" customHeight="1">
      <c r="A16" s="26"/>
      <c r="B16" s="77"/>
      <c r="C16" s="77"/>
      <c r="D16" s="29"/>
      <c r="E16" s="17"/>
      <c r="F16" s="17"/>
      <c r="G16" s="17"/>
      <c r="H16" s="17"/>
      <c r="I16" s="28"/>
      <c r="J16" s="30"/>
      <c r="K16" s="30"/>
      <c r="L16" s="30"/>
      <c r="M16" s="15"/>
      <c r="N16" s="17"/>
      <c r="O16" s="31"/>
      <c r="P16" s="20"/>
      <c r="Q16" s="181"/>
      <c r="R16" s="32"/>
      <c r="S16" s="32"/>
      <c r="T16" s="34"/>
      <c r="U16" s="35"/>
      <c r="V16" s="36"/>
      <c r="W16" s="37"/>
      <c r="X16" s="31"/>
      <c r="Y16" s="208"/>
      <c r="Z16" s="187"/>
      <c r="AA16" s="188"/>
      <c r="AB16" s="188"/>
      <c r="AC16" s="202"/>
    </row>
    <row r="17" ht="15.75" customHeight="1">
      <c r="Y17" s="139"/>
    </row>
    <row r="18" ht="15.75" customHeight="1">
      <c r="Y18" s="139"/>
    </row>
    <row r="19" ht="15.75" customHeight="1">
      <c r="Y19" s="139"/>
    </row>
    <row r="20" ht="15.75" customHeight="1">
      <c r="Y20" s="139"/>
    </row>
    <row r="21" ht="15.75" customHeight="1">
      <c r="Y21" s="139"/>
    </row>
    <row r="22" ht="15.75" customHeight="1">
      <c r="Y22" s="139"/>
    </row>
    <row r="23" ht="15.75" customHeight="1">
      <c r="Y23" s="139"/>
    </row>
    <row r="24" ht="15.75" customHeight="1">
      <c r="Y24" s="139"/>
    </row>
    <row r="25" ht="15.75" customHeight="1">
      <c r="Y25" s="139"/>
    </row>
    <row r="26" ht="15.75" customHeight="1">
      <c r="Y26" s="139"/>
    </row>
    <row r="27" ht="15.75" customHeight="1">
      <c r="Y27" s="139"/>
    </row>
    <row r="28" ht="15.75" customHeight="1">
      <c r="Y28" s="139"/>
    </row>
    <row r="29" ht="15.75" customHeight="1">
      <c r="Y29" s="139"/>
    </row>
    <row r="30" ht="15.75" customHeight="1">
      <c r="Y30" s="139"/>
    </row>
    <row r="31" ht="15.75" customHeight="1">
      <c r="Y31" s="139"/>
    </row>
    <row r="32" ht="15.75" customHeight="1">
      <c r="Y32" s="139"/>
    </row>
    <row r="33" ht="15.75" customHeight="1">
      <c r="Y33" s="139"/>
    </row>
    <row r="34" ht="15.75" customHeight="1">
      <c r="Y34" s="139"/>
    </row>
    <row r="35" ht="15.75" customHeight="1">
      <c r="Y35" s="139"/>
    </row>
    <row r="36" ht="15.75" customHeight="1">
      <c r="Y36" s="139"/>
    </row>
    <row r="37" ht="15.75" customHeight="1">
      <c r="Y37" s="139"/>
    </row>
    <row r="38" ht="15.75" customHeight="1">
      <c r="Y38" s="139"/>
    </row>
    <row r="39" ht="15.75" customHeight="1">
      <c r="Y39" s="139"/>
    </row>
    <row r="40" ht="15.75" customHeight="1">
      <c r="Y40" s="139"/>
    </row>
    <row r="41" ht="15.75" customHeight="1">
      <c r="Y41" s="139"/>
    </row>
    <row r="42" ht="15.75" customHeight="1">
      <c r="Y42" s="139"/>
    </row>
    <row r="43" ht="15.75" customHeight="1">
      <c r="Y43" s="139"/>
    </row>
    <row r="44" ht="15.75" customHeight="1">
      <c r="Y44" s="139"/>
    </row>
    <row r="45" ht="15.75" customHeight="1">
      <c r="Y45" s="139"/>
    </row>
    <row r="46" ht="15.75" customHeight="1">
      <c r="Y46" s="139"/>
    </row>
    <row r="47" ht="15.75" customHeight="1">
      <c r="Y47" s="139"/>
    </row>
    <row r="48" ht="15.75" customHeight="1">
      <c r="Y48" s="139"/>
    </row>
    <row r="49" ht="15.75" customHeight="1">
      <c r="Y49" s="139"/>
    </row>
    <row r="50" ht="15.75" customHeight="1">
      <c r="Y50" s="139"/>
    </row>
    <row r="51" ht="15.75" customHeight="1">
      <c r="Y51" s="139"/>
    </row>
    <row r="52" ht="15.75" customHeight="1">
      <c r="Y52" s="139"/>
    </row>
    <row r="53" ht="15.75" customHeight="1">
      <c r="Y53" s="139"/>
    </row>
    <row r="54" ht="15.75" customHeight="1">
      <c r="Y54" s="139"/>
    </row>
    <row r="55" ht="15.75" customHeight="1">
      <c r="Y55" s="139"/>
    </row>
    <row r="56" ht="15.75" customHeight="1">
      <c r="Y56" s="139"/>
    </row>
    <row r="57" ht="15.75" customHeight="1">
      <c r="Y57" s="139"/>
    </row>
    <row r="58" ht="15.75" customHeight="1">
      <c r="Y58" s="139"/>
    </row>
    <row r="59" ht="15.75" customHeight="1">
      <c r="Y59" s="139"/>
    </row>
    <row r="60" ht="15.75" customHeight="1">
      <c r="Y60" s="139"/>
    </row>
    <row r="61" ht="15.75" customHeight="1">
      <c r="Y61" s="139"/>
    </row>
    <row r="62" ht="15.75" customHeight="1">
      <c r="Y62" s="139"/>
    </row>
    <row r="63" ht="15.75" customHeight="1">
      <c r="Y63" s="139"/>
    </row>
    <row r="64" ht="15.75" customHeight="1">
      <c r="Y64" s="139"/>
    </row>
    <row r="65" ht="15.75" customHeight="1">
      <c r="Y65" s="139"/>
    </row>
    <row r="66" ht="15.75" customHeight="1">
      <c r="Y66" s="139"/>
    </row>
    <row r="67" ht="15.75" customHeight="1">
      <c r="Y67" s="139"/>
    </row>
    <row r="68" ht="15.75" customHeight="1">
      <c r="Y68" s="139"/>
    </row>
    <row r="69" ht="15.75" customHeight="1">
      <c r="Y69" s="139"/>
    </row>
    <row r="70" ht="15.75" customHeight="1">
      <c r="Y70" s="139"/>
    </row>
    <row r="71" ht="15.75" customHeight="1">
      <c r="Y71" s="139"/>
    </row>
    <row r="72" ht="15.75" customHeight="1">
      <c r="Y72" s="139"/>
    </row>
    <row r="73" ht="15.75" customHeight="1">
      <c r="Y73" s="139"/>
    </row>
    <row r="74" ht="15.75" customHeight="1">
      <c r="Y74" s="139"/>
    </row>
    <row r="75" ht="15.75" customHeight="1">
      <c r="Y75" s="139"/>
    </row>
    <row r="76" ht="15.75" customHeight="1">
      <c r="Y76" s="139"/>
    </row>
    <row r="77" ht="15.75" customHeight="1">
      <c r="Y77" s="139"/>
    </row>
    <row r="78" ht="15.75" customHeight="1">
      <c r="Y78" s="139"/>
    </row>
    <row r="79" ht="15.75" customHeight="1">
      <c r="Y79" s="139"/>
    </row>
    <row r="80" ht="15.75" customHeight="1">
      <c r="Y80" s="139"/>
    </row>
    <row r="81" ht="15.75" customHeight="1">
      <c r="Y81" s="139"/>
    </row>
    <row r="82" ht="15.75" customHeight="1">
      <c r="Y82" s="139"/>
    </row>
    <row r="83" ht="15.75" customHeight="1">
      <c r="Y83" s="139"/>
    </row>
    <row r="84" ht="15.75" customHeight="1">
      <c r="Y84" s="139"/>
    </row>
    <row r="85" ht="15.75" customHeight="1">
      <c r="Y85" s="139"/>
    </row>
    <row r="86" ht="15.75" customHeight="1">
      <c r="Y86" s="139"/>
    </row>
    <row r="87" ht="15.75" customHeight="1">
      <c r="Y87" s="139"/>
    </row>
    <row r="88" ht="15.75" customHeight="1">
      <c r="Y88" s="139"/>
    </row>
    <row r="89" ht="15.75" customHeight="1">
      <c r="Y89" s="139"/>
    </row>
    <row r="90" ht="15.75" customHeight="1">
      <c r="Y90" s="139"/>
    </row>
    <row r="91" ht="15.75" customHeight="1">
      <c r="Y91" s="139"/>
    </row>
    <row r="92" ht="15.75" customHeight="1">
      <c r="Y92" s="139"/>
    </row>
    <row r="93" ht="15.75" customHeight="1">
      <c r="Y93" s="139"/>
    </row>
    <row r="94" ht="15.75" customHeight="1">
      <c r="Y94" s="139"/>
    </row>
    <row r="95" ht="15.75" customHeight="1">
      <c r="Y95" s="139"/>
    </row>
    <row r="96" ht="15.75" customHeight="1">
      <c r="Y96" s="139"/>
    </row>
    <row r="97" ht="15.75" customHeight="1">
      <c r="Y97" s="139"/>
    </row>
    <row r="98" ht="15.75" customHeight="1">
      <c r="Y98" s="139"/>
    </row>
    <row r="99" ht="15.75" customHeight="1">
      <c r="Y99" s="139"/>
    </row>
    <row r="100" ht="15.75" customHeight="1">
      <c r="Y100" s="139"/>
    </row>
    <row r="101" ht="15.75" customHeight="1">
      <c r="Y101" s="139"/>
    </row>
    <row r="102" ht="15.75" customHeight="1">
      <c r="Y102" s="139"/>
    </row>
    <row r="103" ht="15.75" customHeight="1">
      <c r="Y103" s="139"/>
    </row>
    <row r="104" ht="15.75" customHeight="1">
      <c r="Y104" s="139"/>
    </row>
    <row r="105" ht="15.75" customHeight="1">
      <c r="Y105" s="139"/>
    </row>
    <row r="106" ht="15.75" customHeight="1">
      <c r="Y106" s="139"/>
    </row>
    <row r="107" ht="15.75" customHeight="1">
      <c r="Y107" s="139"/>
    </row>
    <row r="108" ht="15.75" customHeight="1">
      <c r="Y108" s="139"/>
    </row>
    <row r="109" ht="15.75" customHeight="1">
      <c r="Y109" s="139"/>
    </row>
    <row r="110" ht="15.75" customHeight="1">
      <c r="Y110" s="139"/>
    </row>
    <row r="111" ht="15.75" customHeight="1">
      <c r="Y111" s="139"/>
    </row>
    <row r="112" ht="15.75" customHeight="1">
      <c r="Y112" s="139"/>
    </row>
    <row r="113" ht="15.75" customHeight="1">
      <c r="Y113" s="139"/>
    </row>
    <row r="114" ht="15.75" customHeight="1">
      <c r="Y114" s="139"/>
    </row>
    <row r="115" ht="15.75" customHeight="1">
      <c r="Y115" s="139"/>
    </row>
    <row r="116" ht="15.75" customHeight="1">
      <c r="Y116" s="139"/>
    </row>
    <row r="117" ht="15.75" customHeight="1">
      <c r="Y117" s="139"/>
    </row>
    <row r="118" ht="15.75" customHeight="1">
      <c r="Y118" s="139"/>
    </row>
    <row r="119" ht="15.75" customHeight="1">
      <c r="Y119" s="139"/>
    </row>
    <row r="120" ht="15.75" customHeight="1">
      <c r="Y120" s="139"/>
    </row>
    <row r="121" ht="15.75" customHeight="1">
      <c r="Y121" s="139"/>
    </row>
    <row r="122" ht="15.75" customHeight="1">
      <c r="Y122" s="139"/>
    </row>
    <row r="123" ht="15.75" customHeight="1">
      <c r="Y123" s="139"/>
    </row>
    <row r="124" ht="15.75" customHeight="1">
      <c r="Y124" s="139"/>
    </row>
    <row r="125" ht="15.75" customHeight="1">
      <c r="Y125" s="139"/>
    </row>
    <row r="126" ht="15.75" customHeight="1">
      <c r="Y126" s="139"/>
    </row>
    <row r="127" ht="15.75" customHeight="1">
      <c r="Y127" s="139"/>
    </row>
    <row r="128" ht="15.75" customHeight="1">
      <c r="Y128" s="139"/>
    </row>
    <row r="129" ht="15.75" customHeight="1">
      <c r="Y129" s="139"/>
    </row>
    <row r="130" ht="15.75" customHeight="1">
      <c r="Y130" s="139"/>
    </row>
    <row r="131" ht="15.75" customHeight="1">
      <c r="Y131" s="139"/>
    </row>
    <row r="132" ht="15.75" customHeight="1">
      <c r="Y132" s="139"/>
    </row>
    <row r="133" ht="15.75" customHeight="1">
      <c r="Y133" s="139"/>
    </row>
    <row r="134" ht="15.75" customHeight="1">
      <c r="Y134" s="139"/>
    </row>
    <row r="135" ht="15.75" customHeight="1">
      <c r="Y135" s="139"/>
    </row>
    <row r="136" ht="15.75" customHeight="1">
      <c r="Y136" s="139"/>
    </row>
    <row r="137" ht="15.75" customHeight="1">
      <c r="Y137" s="139"/>
    </row>
    <row r="138" ht="15.75" customHeight="1">
      <c r="Y138" s="139"/>
    </row>
    <row r="139" ht="15.75" customHeight="1">
      <c r="Y139" s="139"/>
    </row>
    <row r="140" ht="15.75" customHeight="1">
      <c r="Y140" s="139"/>
    </row>
    <row r="141" ht="15.75" customHeight="1">
      <c r="Y141" s="139"/>
    </row>
    <row r="142" ht="15.75" customHeight="1">
      <c r="Y142" s="139"/>
    </row>
    <row r="143" ht="15.75" customHeight="1">
      <c r="Y143" s="139"/>
    </row>
    <row r="144" ht="15.75" customHeight="1">
      <c r="Y144" s="139"/>
    </row>
    <row r="145" ht="15.75" customHeight="1">
      <c r="Y145" s="139"/>
    </row>
    <row r="146" ht="15.75" customHeight="1">
      <c r="Y146" s="139"/>
    </row>
    <row r="147" ht="15.75" customHeight="1">
      <c r="Y147" s="139"/>
    </row>
    <row r="148" ht="15.75" customHeight="1">
      <c r="Y148" s="139"/>
    </row>
    <row r="149" ht="15.75" customHeight="1">
      <c r="Y149" s="139"/>
    </row>
    <row r="150" ht="15.75" customHeight="1">
      <c r="Y150" s="139"/>
    </row>
    <row r="151" ht="15.75" customHeight="1">
      <c r="Y151" s="139"/>
    </row>
    <row r="152" ht="15.75" customHeight="1">
      <c r="Y152" s="139"/>
    </row>
    <row r="153" ht="15.75" customHeight="1">
      <c r="Y153" s="139"/>
    </row>
    <row r="154" ht="15.75" customHeight="1">
      <c r="Y154" s="139"/>
    </row>
    <row r="155" ht="15.75" customHeight="1">
      <c r="Y155" s="139"/>
    </row>
    <row r="156" ht="15.75" customHeight="1">
      <c r="Y156" s="139"/>
    </row>
    <row r="157" ht="15.75" customHeight="1">
      <c r="Y157" s="139"/>
    </row>
    <row r="158" ht="15.75" customHeight="1">
      <c r="Y158" s="139"/>
    </row>
    <row r="159" ht="15.75" customHeight="1">
      <c r="Y159" s="139"/>
    </row>
    <row r="160" ht="15.75" customHeight="1">
      <c r="Y160" s="139"/>
    </row>
    <row r="161" ht="15.75" customHeight="1">
      <c r="Y161" s="139"/>
    </row>
    <row r="162" ht="15.75" customHeight="1">
      <c r="Y162" s="139"/>
    </row>
    <row r="163" ht="15.75" customHeight="1">
      <c r="Y163" s="139"/>
    </row>
    <row r="164" ht="15.75" customHeight="1">
      <c r="Y164" s="139"/>
    </row>
    <row r="165" ht="15.75" customHeight="1">
      <c r="Y165" s="139"/>
    </row>
    <row r="166" ht="15.75" customHeight="1">
      <c r="Y166" s="139"/>
    </row>
    <row r="167" ht="15.75" customHeight="1">
      <c r="Y167" s="139"/>
    </row>
    <row r="168" ht="15.75" customHeight="1">
      <c r="Y168" s="139"/>
    </row>
    <row r="169" ht="15.75" customHeight="1">
      <c r="Y169" s="139"/>
    </row>
    <row r="170" ht="15.75" customHeight="1">
      <c r="Y170" s="139"/>
    </row>
    <row r="171" ht="15.75" customHeight="1">
      <c r="Y171" s="139"/>
    </row>
    <row r="172" ht="15.75" customHeight="1">
      <c r="Y172" s="139"/>
    </row>
    <row r="173" ht="15.75" customHeight="1">
      <c r="Y173" s="139"/>
    </row>
    <row r="174" ht="15.75" customHeight="1">
      <c r="Y174" s="139"/>
    </row>
    <row r="175" ht="15.75" customHeight="1">
      <c r="Y175" s="139"/>
    </row>
    <row r="176" ht="15.75" customHeight="1">
      <c r="Y176" s="139"/>
    </row>
    <row r="177" ht="15.75" customHeight="1">
      <c r="Y177" s="139"/>
    </row>
    <row r="178" ht="15.75" customHeight="1">
      <c r="Y178" s="139"/>
    </row>
    <row r="179" ht="15.75" customHeight="1">
      <c r="Y179" s="139"/>
    </row>
    <row r="180" ht="15.75" customHeight="1">
      <c r="Y180" s="139"/>
    </row>
    <row r="181" ht="15.75" customHeight="1">
      <c r="Y181" s="139"/>
    </row>
    <row r="182" ht="15.75" customHeight="1">
      <c r="Y182" s="139"/>
    </row>
    <row r="183" ht="15.75" customHeight="1">
      <c r="Y183" s="139"/>
    </row>
    <row r="184" ht="15.75" customHeight="1">
      <c r="Y184" s="139"/>
    </row>
    <row r="185" ht="15.75" customHeight="1">
      <c r="Y185" s="139"/>
    </row>
    <row r="186" ht="15.75" customHeight="1">
      <c r="Y186" s="139"/>
    </row>
    <row r="187" ht="15.75" customHeight="1">
      <c r="Y187" s="139"/>
    </row>
    <row r="188" ht="15.75" customHeight="1">
      <c r="Y188" s="139"/>
    </row>
    <row r="189" ht="15.75" customHeight="1">
      <c r="Y189" s="139"/>
    </row>
    <row r="190" ht="15.75" customHeight="1">
      <c r="Y190" s="139"/>
    </row>
    <row r="191" ht="15.75" customHeight="1">
      <c r="Y191" s="139"/>
    </row>
    <row r="192" ht="15.75" customHeight="1">
      <c r="Y192" s="139"/>
    </row>
    <row r="193" ht="15.75" customHeight="1">
      <c r="Y193" s="139"/>
    </row>
    <row r="194" ht="15.75" customHeight="1">
      <c r="Y194" s="139"/>
    </row>
    <row r="195" ht="15.75" customHeight="1">
      <c r="Y195" s="139"/>
    </row>
    <row r="196" ht="15.75" customHeight="1">
      <c r="Y196" s="139"/>
    </row>
    <row r="197" ht="15.75" customHeight="1">
      <c r="Y197" s="139"/>
    </row>
    <row r="198" ht="15.75" customHeight="1">
      <c r="Y198" s="139"/>
    </row>
    <row r="199" ht="15.75" customHeight="1">
      <c r="Y199" s="139"/>
    </row>
    <row r="200" ht="15.75" customHeight="1">
      <c r="Y200" s="139"/>
    </row>
    <row r="201" ht="15.75" customHeight="1">
      <c r="Y201" s="139"/>
    </row>
    <row r="202" ht="15.75" customHeight="1">
      <c r="Y202" s="139"/>
    </row>
    <row r="203" ht="15.75" customHeight="1">
      <c r="Y203" s="139"/>
    </row>
    <row r="204" ht="15.75" customHeight="1">
      <c r="Y204" s="139"/>
    </row>
    <row r="205" ht="15.75" customHeight="1">
      <c r="Y205" s="139"/>
    </row>
    <row r="206" ht="15.75" customHeight="1">
      <c r="Y206" s="139"/>
    </row>
    <row r="207" ht="15.75" customHeight="1">
      <c r="Y207" s="139"/>
    </row>
    <row r="208" ht="15.75" customHeight="1">
      <c r="Y208" s="139"/>
    </row>
    <row r="209" ht="15.75" customHeight="1">
      <c r="Y209" s="139"/>
    </row>
    <row r="210" ht="15.75" customHeight="1">
      <c r="Y210" s="139"/>
    </row>
    <row r="211" ht="15.75" customHeight="1">
      <c r="Y211" s="139"/>
    </row>
    <row r="212" ht="15.75" customHeight="1">
      <c r="Y212" s="139"/>
    </row>
    <row r="213" ht="15.75" customHeight="1">
      <c r="Y213" s="139"/>
    </row>
    <row r="214" ht="15.75" customHeight="1">
      <c r="Y214" s="139"/>
    </row>
    <row r="215" ht="15.75" customHeight="1">
      <c r="Y215" s="139"/>
    </row>
    <row r="216" ht="15.75" customHeight="1">
      <c r="Y216" s="139"/>
    </row>
    <row r="217" ht="15.75" customHeight="1">
      <c r="Y217" s="139"/>
    </row>
    <row r="218" ht="15.75" customHeight="1">
      <c r="Y218" s="139"/>
    </row>
    <row r="219" ht="15.75" customHeight="1">
      <c r="Y219" s="139"/>
    </row>
    <row r="220" ht="15.75" customHeight="1">
      <c r="Y220" s="139"/>
    </row>
    <row r="221" ht="15.75" customHeight="1">
      <c r="Y221" s="139"/>
    </row>
    <row r="222" ht="15.75" customHeight="1">
      <c r="Y222" s="139"/>
    </row>
    <row r="223" ht="15.75" customHeight="1">
      <c r="Y223" s="139"/>
    </row>
    <row r="224" ht="15.75" customHeight="1">
      <c r="Y224" s="139"/>
    </row>
    <row r="225" ht="15.75" customHeight="1">
      <c r="Y225" s="139"/>
    </row>
    <row r="226" ht="15.75" customHeight="1">
      <c r="Y226" s="139"/>
    </row>
    <row r="227" ht="15.75" customHeight="1">
      <c r="Y227" s="139"/>
    </row>
    <row r="228" ht="15.75" customHeight="1">
      <c r="Y228" s="139"/>
    </row>
    <row r="229" ht="15.75" customHeight="1">
      <c r="Y229" s="139"/>
    </row>
    <row r="230" ht="15.75" customHeight="1">
      <c r="Y230" s="139"/>
    </row>
    <row r="231" ht="15.75" customHeight="1">
      <c r="Y231" s="139"/>
    </row>
    <row r="232" ht="15.75" customHeight="1">
      <c r="Y232" s="139"/>
    </row>
    <row r="233" ht="15.75" customHeight="1">
      <c r="Y233" s="139"/>
    </row>
    <row r="234" ht="15.75" customHeight="1">
      <c r="Y234" s="139"/>
    </row>
    <row r="235" ht="15.75" customHeight="1">
      <c r="Y235" s="139"/>
    </row>
    <row r="236" ht="15.75" customHeight="1">
      <c r="Y236" s="139"/>
    </row>
    <row r="237" ht="15.75" customHeight="1">
      <c r="Y237" s="139"/>
    </row>
    <row r="238" ht="15.75" customHeight="1">
      <c r="Y238" s="139"/>
    </row>
    <row r="239" ht="15.75" customHeight="1">
      <c r="Y239" s="139"/>
    </row>
    <row r="240" ht="15.75" customHeight="1">
      <c r="Y240" s="139"/>
    </row>
    <row r="241" ht="15.75" customHeight="1">
      <c r="Y241" s="139"/>
    </row>
    <row r="242" ht="15.75" customHeight="1">
      <c r="Y242" s="139"/>
    </row>
    <row r="243" ht="15.75" customHeight="1">
      <c r="Y243" s="139"/>
    </row>
    <row r="244" ht="15.75" customHeight="1">
      <c r="Y244" s="139"/>
    </row>
    <row r="245" ht="15.75" customHeight="1">
      <c r="Y245" s="139"/>
    </row>
    <row r="246" ht="15.75" customHeight="1">
      <c r="Y246" s="139"/>
    </row>
    <row r="247" ht="15.75" customHeight="1">
      <c r="Y247" s="139"/>
    </row>
    <row r="248" ht="15.75" customHeight="1">
      <c r="Y248" s="139"/>
    </row>
    <row r="249" ht="15.75" customHeight="1">
      <c r="Y249" s="139"/>
    </row>
    <row r="250" ht="15.75" customHeight="1">
      <c r="Y250" s="139"/>
    </row>
    <row r="251" ht="15.75" customHeight="1">
      <c r="Y251" s="139"/>
    </row>
    <row r="252" ht="15.75" customHeight="1">
      <c r="Y252" s="139"/>
    </row>
    <row r="253" ht="15.75" customHeight="1">
      <c r="Y253" s="139"/>
    </row>
    <row r="254" ht="15.75" customHeight="1">
      <c r="Y254" s="139"/>
    </row>
    <row r="255" ht="15.75" customHeight="1">
      <c r="Y255" s="139"/>
    </row>
    <row r="256" ht="15.75" customHeight="1">
      <c r="Y256" s="139"/>
    </row>
    <row r="257" ht="15.75" customHeight="1">
      <c r="Y257" s="139"/>
    </row>
    <row r="258" ht="15.75" customHeight="1">
      <c r="Y258" s="139"/>
    </row>
    <row r="259" ht="15.75" customHeight="1">
      <c r="Y259" s="139"/>
    </row>
    <row r="260" ht="15.75" customHeight="1">
      <c r="Y260" s="139"/>
    </row>
    <row r="261" ht="15.75" customHeight="1">
      <c r="Y261" s="139"/>
    </row>
    <row r="262" ht="15.75" customHeight="1">
      <c r="Y262" s="139"/>
    </row>
    <row r="263" ht="15.75" customHeight="1">
      <c r="Y263" s="139"/>
    </row>
    <row r="264" ht="15.75" customHeight="1">
      <c r="Y264" s="139"/>
    </row>
    <row r="265" ht="15.75" customHeight="1">
      <c r="Y265" s="139"/>
    </row>
    <row r="266" ht="15.75" customHeight="1">
      <c r="Y266" s="139"/>
    </row>
    <row r="267" ht="15.75" customHeight="1">
      <c r="Y267" s="139"/>
    </row>
    <row r="268" ht="15.75" customHeight="1">
      <c r="Y268" s="139"/>
    </row>
    <row r="269" ht="15.75" customHeight="1">
      <c r="Y269" s="139"/>
    </row>
    <row r="270" ht="15.75" customHeight="1">
      <c r="Y270" s="139"/>
    </row>
    <row r="271" ht="15.75" customHeight="1">
      <c r="Y271" s="139"/>
    </row>
    <row r="272" ht="15.75" customHeight="1">
      <c r="Y272" s="139"/>
    </row>
    <row r="273" ht="15.75" customHeight="1">
      <c r="Y273" s="139"/>
    </row>
    <row r="274" ht="15.75" customHeight="1">
      <c r="Y274" s="139"/>
    </row>
    <row r="275" ht="15.75" customHeight="1">
      <c r="Y275" s="139"/>
    </row>
    <row r="276" ht="15.75" customHeight="1">
      <c r="Y276" s="139"/>
    </row>
    <row r="277" ht="15.75" customHeight="1">
      <c r="Y277" s="139"/>
    </row>
    <row r="278" ht="15.75" customHeight="1">
      <c r="Y278" s="139"/>
    </row>
    <row r="279" ht="15.75" customHeight="1">
      <c r="Y279" s="139"/>
    </row>
    <row r="280" ht="15.75" customHeight="1">
      <c r="Y280" s="139"/>
    </row>
    <row r="281" ht="15.75" customHeight="1">
      <c r="Y281" s="139"/>
    </row>
    <row r="282" ht="15.75" customHeight="1">
      <c r="Y282" s="139"/>
    </row>
    <row r="283" ht="15.75" customHeight="1">
      <c r="Y283" s="139"/>
    </row>
    <row r="284" ht="15.75" customHeight="1">
      <c r="Y284" s="139"/>
    </row>
    <row r="285" ht="15.75" customHeight="1">
      <c r="Y285" s="139"/>
    </row>
    <row r="286" ht="15.75" customHeight="1">
      <c r="Y286" s="139"/>
    </row>
    <row r="287" ht="15.75" customHeight="1">
      <c r="Y287" s="139"/>
    </row>
    <row r="288" ht="15.75" customHeight="1">
      <c r="Y288" s="139"/>
    </row>
    <row r="289" ht="15.75" customHeight="1">
      <c r="Y289" s="139"/>
    </row>
    <row r="290" ht="15.75" customHeight="1">
      <c r="Y290" s="139"/>
    </row>
    <row r="291" ht="15.75" customHeight="1">
      <c r="Y291" s="139"/>
    </row>
    <row r="292" ht="15.75" customHeight="1">
      <c r="Y292" s="139"/>
    </row>
    <row r="293" ht="15.75" customHeight="1">
      <c r="Y293" s="139"/>
    </row>
    <row r="294" ht="15.75" customHeight="1">
      <c r="Y294" s="139"/>
    </row>
    <row r="295" ht="15.75" customHeight="1">
      <c r="Y295" s="139"/>
    </row>
    <row r="296" ht="15.75" customHeight="1">
      <c r="Y296" s="139"/>
    </row>
    <row r="297" ht="15.75" customHeight="1">
      <c r="Y297" s="139"/>
    </row>
    <row r="298" ht="15.75" customHeight="1">
      <c r="Y298" s="139"/>
    </row>
    <row r="299" ht="15.75" customHeight="1">
      <c r="Y299" s="139"/>
    </row>
    <row r="300" ht="15.75" customHeight="1">
      <c r="Y300" s="139"/>
    </row>
    <row r="301" ht="15.75" customHeight="1">
      <c r="Y301" s="139"/>
    </row>
    <row r="302" ht="15.75" customHeight="1">
      <c r="Y302" s="139"/>
    </row>
    <row r="303" ht="15.75" customHeight="1">
      <c r="Y303" s="139"/>
    </row>
    <row r="304" ht="15.75" customHeight="1">
      <c r="Y304" s="139"/>
    </row>
    <row r="305" ht="15.75" customHeight="1">
      <c r="Y305" s="139"/>
    </row>
    <row r="306" ht="15.75" customHeight="1">
      <c r="Y306" s="139"/>
    </row>
    <row r="307" ht="15.75" customHeight="1">
      <c r="Y307" s="139"/>
    </row>
    <row r="308" ht="15.75" customHeight="1">
      <c r="Y308" s="139"/>
    </row>
    <row r="309" ht="15.75" customHeight="1">
      <c r="Y309" s="139"/>
    </row>
    <row r="310" ht="15.75" customHeight="1">
      <c r="Y310" s="139"/>
    </row>
    <row r="311" ht="15.75" customHeight="1">
      <c r="Y311" s="139"/>
    </row>
    <row r="312" ht="15.75" customHeight="1">
      <c r="Y312" s="139"/>
    </row>
    <row r="313" ht="15.75" customHeight="1">
      <c r="Y313" s="139"/>
    </row>
    <row r="314" ht="15.75" customHeight="1">
      <c r="Y314" s="139"/>
    </row>
    <row r="315" ht="15.75" customHeight="1">
      <c r="Y315" s="139"/>
    </row>
    <row r="316" ht="15.75" customHeight="1">
      <c r="Y316" s="139"/>
    </row>
    <row r="317" ht="15.75" customHeight="1">
      <c r="Y317" s="139"/>
    </row>
    <row r="318" ht="15.75" customHeight="1">
      <c r="Y318" s="139"/>
    </row>
    <row r="319" ht="15.75" customHeight="1">
      <c r="Y319" s="139"/>
    </row>
    <row r="320" ht="15.75" customHeight="1">
      <c r="Y320" s="139"/>
    </row>
    <row r="321" ht="15.75" customHeight="1">
      <c r="Y321" s="139"/>
    </row>
    <row r="322" ht="15.75" customHeight="1">
      <c r="Y322" s="139"/>
    </row>
    <row r="323" ht="15.75" customHeight="1">
      <c r="Y323" s="139"/>
    </row>
    <row r="324" ht="15.75" customHeight="1">
      <c r="Y324" s="139"/>
    </row>
    <row r="325" ht="15.75" customHeight="1">
      <c r="Y325" s="139"/>
    </row>
    <row r="326" ht="15.75" customHeight="1">
      <c r="Y326" s="139"/>
    </row>
    <row r="327" ht="15.75" customHeight="1">
      <c r="Y327" s="139"/>
    </row>
    <row r="328" ht="15.75" customHeight="1">
      <c r="Y328" s="139"/>
    </row>
    <row r="329" ht="15.75" customHeight="1">
      <c r="Y329" s="139"/>
    </row>
    <row r="330" ht="15.75" customHeight="1">
      <c r="Y330" s="139"/>
    </row>
    <row r="331" ht="15.75" customHeight="1">
      <c r="Y331" s="139"/>
    </row>
    <row r="332" ht="15.75" customHeight="1">
      <c r="Y332" s="139"/>
    </row>
    <row r="333" ht="15.75" customHeight="1">
      <c r="Y333" s="139"/>
    </row>
    <row r="334" ht="15.75" customHeight="1">
      <c r="Y334" s="139"/>
    </row>
    <row r="335" ht="15.75" customHeight="1">
      <c r="Y335" s="139"/>
    </row>
    <row r="336" ht="15.75" customHeight="1">
      <c r="Y336" s="139"/>
    </row>
    <row r="337" ht="15.75" customHeight="1">
      <c r="Y337" s="139"/>
    </row>
    <row r="338" ht="15.75" customHeight="1">
      <c r="Y338" s="139"/>
    </row>
    <row r="339" ht="15.75" customHeight="1">
      <c r="Y339" s="139"/>
    </row>
    <row r="340" ht="15.75" customHeight="1">
      <c r="Y340" s="139"/>
    </row>
    <row r="341" ht="15.75" customHeight="1">
      <c r="Y341" s="139"/>
    </row>
    <row r="342" ht="15.75" customHeight="1">
      <c r="Y342" s="139"/>
    </row>
    <row r="343" ht="15.75" customHeight="1">
      <c r="Y343" s="139"/>
    </row>
    <row r="344" ht="15.75" customHeight="1">
      <c r="Y344" s="139"/>
    </row>
    <row r="345" ht="15.75" customHeight="1">
      <c r="Y345" s="139"/>
    </row>
    <row r="346" ht="15.75" customHeight="1">
      <c r="Y346" s="139"/>
    </row>
    <row r="347" ht="15.75" customHeight="1">
      <c r="Y347" s="139"/>
    </row>
    <row r="348" ht="15.75" customHeight="1">
      <c r="Y348" s="139"/>
    </row>
    <row r="349" ht="15.75" customHeight="1">
      <c r="Y349" s="139"/>
    </row>
    <row r="350" ht="15.75" customHeight="1">
      <c r="Y350" s="139"/>
    </row>
    <row r="351" ht="15.75" customHeight="1">
      <c r="Y351" s="139"/>
    </row>
    <row r="352" ht="15.75" customHeight="1">
      <c r="Y352" s="139"/>
    </row>
    <row r="353" ht="15.75" customHeight="1">
      <c r="Y353" s="139"/>
    </row>
    <row r="354" ht="15.75" customHeight="1">
      <c r="Y354" s="139"/>
    </row>
    <row r="355" ht="15.75" customHeight="1">
      <c r="Y355" s="139"/>
    </row>
    <row r="356" ht="15.75" customHeight="1">
      <c r="Y356" s="139"/>
    </row>
    <row r="357" ht="15.75" customHeight="1">
      <c r="Y357" s="139"/>
    </row>
    <row r="358" ht="15.75" customHeight="1">
      <c r="Y358" s="139"/>
    </row>
    <row r="359" ht="15.75" customHeight="1">
      <c r="Y359" s="139"/>
    </row>
    <row r="360" ht="15.75" customHeight="1">
      <c r="Y360" s="139"/>
    </row>
    <row r="361" ht="15.75" customHeight="1">
      <c r="Y361" s="139"/>
    </row>
    <row r="362" ht="15.75" customHeight="1">
      <c r="Y362" s="139"/>
    </row>
    <row r="363" ht="15.75" customHeight="1">
      <c r="Y363" s="139"/>
    </row>
    <row r="364" ht="15.75" customHeight="1">
      <c r="Y364" s="139"/>
    </row>
    <row r="365" ht="15.75" customHeight="1">
      <c r="Y365" s="139"/>
    </row>
    <row r="366" ht="15.75" customHeight="1">
      <c r="Y366" s="139"/>
    </row>
    <row r="367" ht="15.75" customHeight="1">
      <c r="Y367" s="139"/>
    </row>
    <row r="368" ht="15.75" customHeight="1">
      <c r="Y368" s="139"/>
    </row>
    <row r="369" ht="15.75" customHeight="1">
      <c r="Y369" s="139"/>
    </row>
    <row r="370" ht="15.75" customHeight="1">
      <c r="Y370" s="139"/>
    </row>
    <row r="371" ht="15.75" customHeight="1">
      <c r="Y371" s="139"/>
    </row>
    <row r="372" ht="15.75" customHeight="1">
      <c r="Y372" s="139"/>
    </row>
    <row r="373" ht="15.75" customHeight="1">
      <c r="Y373" s="139"/>
    </row>
    <row r="374" ht="15.75" customHeight="1">
      <c r="Y374" s="139"/>
    </row>
    <row r="375" ht="15.75" customHeight="1">
      <c r="Y375" s="139"/>
    </row>
    <row r="376" ht="15.75" customHeight="1">
      <c r="Y376" s="139"/>
    </row>
    <row r="377" ht="15.75" customHeight="1">
      <c r="Y377" s="139"/>
    </row>
    <row r="378" ht="15.75" customHeight="1">
      <c r="Y378" s="139"/>
    </row>
    <row r="379" ht="15.75" customHeight="1">
      <c r="Y379" s="139"/>
    </row>
    <row r="380" ht="15.75" customHeight="1">
      <c r="Y380" s="139"/>
    </row>
    <row r="381" ht="15.75" customHeight="1">
      <c r="Y381" s="139"/>
    </row>
    <row r="382" ht="15.75" customHeight="1">
      <c r="Y382" s="139"/>
    </row>
    <row r="383" ht="15.75" customHeight="1">
      <c r="Y383" s="139"/>
    </row>
    <row r="384" ht="15.75" customHeight="1">
      <c r="Y384" s="139"/>
    </row>
    <row r="385" ht="15.75" customHeight="1">
      <c r="Y385" s="139"/>
    </row>
    <row r="386" ht="15.75" customHeight="1">
      <c r="Y386" s="139"/>
    </row>
    <row r="387" ht="15.75" customHeight="1">
      <c r="Y387" s="139"/>
    </row>
    <row r="388" ht="15.75" customHeight="1">
      <c r="Y388" s="139"/>
    </row>
    <row r="389" ht="15.75" customHeight="1">
      <c r="Y389" s="139"/>
    </row>
    <row r="390" ht="15.75" customHeight="1">
      <c r="Y390" s="139"/>
    </row>
    <row r="391" ht="15.75" customHeight="1">
      <c r="Y391" s="139"/>
    </row>
    <row r="392" ht="15.75" customHeight="1">
      <c r="Y392" s="139"/>
    </row>
    <row r="393" ht="15.75" customHeight="1">
      <c r="Y393" s="139"/>
    </row>
    <row r="394" ht="15.75" customHeight="1">
      <c r="Y394" s="139"/>
    </row>
    <row r="395" ht="15.75" customHeight="1">
      <c r="Y395" s="139"/>
    </row>
    <row r="396" ht="15.75" customHeight="1">
      <c r="Y396" s="139"/>
    </row>
    <row r="397" ht="15.75" customHeight="1">
      <c r="Y397" s="139"/>
    </row>
    <row r="398" ht="15.75" customHeight="1">
      <c r="Y398" s="139"/>
    </row>
    <row r="399" ht="15.75" customHeight="1">
      <c r="Y399" s="139"/>
    </row>
    <row r="400" ht="15.75" customHeight="1">
      <c r="Y400" s="139"/>
    </row>
    <row r="401" ht="15.75" customHeight="1">
      <c r="Y401" s="139"/>
    </row>
    <row r="402" ht="15.75" customHeight="1">
      <c r="Y402" s="139"/>
    </row>
    <row r="403" ht="15.75" customHeight="1">
      <c r="Y403" s="139"/>
    </row>
    <row r="404" ht="15.75" customHeight="1">
      <c r="Y404" s="139"/>
    </row>
    <row r="405" ht="15.75" customHeight="1">
      <c r="Y405" s="139"/>
    </row>
    <row r="406" ht="15.75" customHeight="1">
      <c r="Y406" s="139"/>
    </row>
    <row r="407" ht="15.75" customHeight="1">
      <c r="Y407" s="139"/>
    </row>
    <row r="408" ht="15.75" customHeight="1">
      <c r="Y408" s="139"/>
    </row>
    <row r="409" ht="15.75" customHeight="1">
      <c r="Y409" s="139"/>
    </row>
    <row r="410" ht="15.75" customHeight="1">
      <c r="Y410" s="139"/>
    </row>
    <row r="411" ht="15.75" customHeight="1">
      <c r="Y411" s="139"/>
    </row>
    <row r="412" ht="15.75" customHeight="1">
      <c r="Y412" s="139"/>
    </row>
    <row r="413" ht="15.75" customHeight="1">
      <c r="Y413" s="139"/>
    </row>
    <row r="414" ht="15.75" customHeight="1">
      <c r="Y414" s="139"/>
    </row>
    <row r="415" ht="15.75" customHeight="1">
      <c r="Y415" s="139"/>
    </row>
    <row r="416" ht="15.75" customHeight="1">
      <c r="Y416" s="139"/>
    </row>
    <row r="417" ht="15.75" customHeight="1">
      <c r="Y417" s="139"/>
    </row>
    <row r="418" ht="15.75" customHeight="1">
      <c r="Y418" s="139"/>
    </row>
    <row r="419" ht="15.75" customHeight="1">
      <c r="Y419" s="139"/>
    </row>
    <row r="420" ht="15.75" customHeight="1">
      <c r="Y420" s="139"/>
    </row>
    <row r="421" ht="15.75" customHeight="1">
      <c r="Y421" s="139"/>
    </row>
    <row r="422" ht="15.75" customHeight="1">
      <c r="Y422" s="139"/>
    </row>
    <row r="423" ht="15.75" customHeight="1">
      <c r="Y423" s="139"/>
    </row>
    <row r="424" ht="15.75" customHeight="1">
      <c r="Y424" s="139"/>
    </row>
    <row r="425" ht="15.75" customHeight="1">
      <c r="Y425" s="139"/>
    </row>
    <row r="426" ht="15.75" customHeight="1">
      <c r="Y426" s="139"/>
    </row>
    <row r="427" ht="15.75" customHeight="1">
      <c r="Y427" s="139"/>
    </row>
    <row r="428" ht="15.75" customHeight="1">
      <c r="Y428" s="139"/>
    </row>
    <row r="429" ht="15.75" customHeight="1">
      <c r="Y429" s="139"/>
    </row>
    <row r="430" ht="15.75" customHeight="1">
      <c r="Y430" s="139"/>
    </row>
    <row r="431" ht="15.75" customHeight="1">
      <c r="Y431" s="139"/>
    </row>
    <row r="432" ht="15.75" customHeight="1">
      <c r="Y432" s="139"/>
    </row>
    <row r="433" ht="15.75" customHeight="1">
      <c r="Y433" s="139"/>
    </row>
    <row r="434" ht="15.75" customHeight="1">
      <c r="Y434" s="139"/>
    </row>
    <row r="435" ht="15.75" customHeight="1">
      <c r="Y435" s="139"/>
    </row>
    <row r="436" ht="15.75" customHeight="1">
      <c r="Y436" s="139"/>
    </row>
    <row r="437" ht="15.75" customHeight="1">
      <c r="Y437" s="139"/>
    </row>
    <row r="438" ht="15.75" customHeight="1">
      <c r="Y438" s="139"/>
    </row>
    <row r="439" ht="15.75" customHeight="1">
      <c r="Y439" s="139"/>
    </row>
    <row r="440" ht="15.75" customHeight="1">
      <c r="Y440" s="139"/>
    </row>
    <row r="441" ht="15.75" customHeight="1">
      <c r="Y441" s="139"/>
    </row>
    <row r="442" ht="15.75" customHeight="1">
      <c r="Y442" s="139"/>
    </row>
    <row r="443" ht="15.75" customHeight="1">
      <c r="Y443" s="139"/>
    </row>
    <row r="444" ht="15.75" customHeight="1">
      <c r="Y444" s="139"/>
    </row>
    <row r="445" ht="15.75" customHeight="1">
      <c r="Y445" s="139"/>
    </row>
    <row r="446" ht="15.75" customHeight="1">
      <c r="Y446" s="139"/>
    </row>
    <row r="447" ht="15.75" customHeight="1">
      <c r="Y447" s="139"/>
    </row>
    <row r="448" ht="15.75" customHeight="1">
      <c r="Y448" s="139"/>
    </row>
    <row r="449" ht="15.75" customHeight="1">
      <c r="Y449" s="139"/>
    </row>
    <row r="450" ht="15.75" customHeight="1">
      <c r="Y450" s="139"/>
    </row>
    <row r="451" ht="15.75" customHeight="1">
      <c r="Y451" s="139"/>
    </row>
    <row r="452" ht="15.75" customHeight="1">
      <c r="Y452" s="139"/>
    </row>
    <row r="453" ht="15.75" customHeight="1">
      <c r="Y453" s="139"/>
    </row>
    <row r="454" ht="15.75" customHeight="1">
      <c r="Y454" s="139"/>
    </row>
    <row r="455" ht="15.75" customHeight="1">
      <c r="Y455" s="139"/>
    </row>
    <row r="456" ht="15.75" customHeight="1">
      <c r="Y456" s="139"/>
    </row>
    <row r="457" ht="15.75" customHeight="1">
      <c r="Y457" s="139"/>
    </row>
    <row r="458" ht="15.75" customHeight="1">
      <c r="Y458" s="139"/>
    </row>
    <row r="459" ht="15.75" customHeight="1">
      <c r="Y459" s="139"/>
    </row>
    <row r="460" ht="15.75" customHeight="1">
      <c r="Y460" s="139"/>
    </row>
    <row r="461" ht="15.75" customHeight="1">
      <c r="Y461" s="139"/>
    </row>
    <row r="462" ht="15.75" customHeight="1">
      <c r="Y462" s="139"/>
    </row>
    <row r="463" ht="15.75" customHeight="1">
      <c r="Y463" s="139"/>
    </row>
    <row r="464" ht="15.75" customHeight="1">
      <c r="Y464" s="139"/>
    </row>
    <row r="465" ht="15.75" customHeight="1">
      <c r="Y465" s="139"/>
    </row>
    <row r="466" ht="15.75" customHeight="1">
      <c r="Y466" s="139"/>
    </row>
    <row r="467" ht="15.75" customHeight="1">
      <c r="Y467" s="139"/>
    </row>
    <row r="468" ht="15.75" customHeight="1">
      <c r="Y468" s="139"/>
    </row>
    <row r="469" ht="15.75" customHeight="1">
      <c r="Y469" s="139"/>
    </row>
    <row r="470" ht="15.75" customHeight="1">
      <c r="Y470" s="139"/>
    </row>
    <row r="471" ht="15.75" customHeight="1">
      <c r="Y471" s="139"/>
    </row>
    <row r="472" ht="15.75" customHeight="1">
      <c r="Y472" s="139"/>
    </row>
    <row r="473" ht="15.75" customHeight="1">
      <c r="Y473" s="139"/>
    </row>
    <row r="474" ht="15.75" customHeight="1">
      <c r="Y474" s="139"/>
    </row>
    <row r="475" ht="15.75" customHeight="1">
      <c r="Y475" s="139"/>
    </row>
    <row r="476" ht="15.75" customHeight="1">
      <c r="Y476" s="139"/>
    </row>
    <row r="477" ht="15.75" customHeight="1">
      <c r="Y477" s="139"/>
    </row>
    <row r="478" ht="15.75" customHeight="1">
      <c r="Y478" s="139"/>
    </row>
    <row r="479" ht="15.75" customHeight="1">
      <c r="Y479" s="139"/>
    </row>
    <row r="480" ht="15.75" customHeight="1">
      <c r="Y480" s="139"/>
    </row>
    <row r="481" ht="15.75" customHeight="1">
      <c r="Y481" s="139"/>
    </row>
    <row r="482" ht="15.75" customHeight="1">
      <c r="Y482" s="139"/>
    </row>
    <row r="483" ht="15.75" customHeight="1">
      <c r="Y483" s="139"/>
    </row>
    <row r="484" ht="15.75" customHeight="1">
      <c r="Y484" s="139"/>
    </row>
    <row r="485" ht="15.75" customHeight="1">
      <c r="Y485" s="139"/>
    </row>
    <row r="486" ht="15.75" customHeight="1">
      <c r="Y486" s="139"/>
    </row>
    <row r="487" ht="15.75" customHeight="1">
      <c r="Y487" s="139"/>
    </row>
    <row r="488" ht="15.75" customHeight="1">
      <c r="Y488" s="139"/>
    </row>
    <row r="489" ht="15.75" customHeight="1">
      <c r="Y489" s="139"/>
    </row>
    <row r="490" ht="15.75" customHeight="1">
      <c r="Y490" s="139"/>
    </row>
    <row r="491" ht="15.75" customHeight="1">
      <c r="Y491" s="139"/>
    </row>
    <row r="492" ht="15.75" customHeight="1">
      <c r="Y492" s="139"/>
    </row>
    <row r="493" ht="15.75" customHeight="1">
      <c r="Y493" s="139"/>
    </row>
    <row r="494" ht="15.75" customHeight="1">
      <c r="Y494" s="139"/>
    </row>
    <row r="495" ht="15.75" customHeight="1">
      <c r="Y495" s="139"/>
    </row>
    <row r="496" ht="15.75" customHeight="1">
      <c r="Y496" s="139"/>
    </row>
    <row r="497" ht="15.75" customHeight="1">
      <c r="Y497" s="139"/>
    </row>
    <row r="498" ht="15.75" customHeight="1">
      <c r="Y498" s="139"/>
    </row>
    <row r="499" ht="15.75" customHeight="1">
      <c r="Y499" s="139"/>
    </row>
    <row r="500" ht="15.75" customHeight="1">
      <c r="Y500" s="139"/>
    </row>
    <row r="501" ht="15.75" customHeight="1">
      <c r="Y501" s="139"/>
    </row>
    <row r="502" ht="15.75" customHeight="1">
      <c r="Y502" s="139"/>
    </row>
    <row r="503" ht="15.75" customHeight="1">
      <c r="Y503" s="139"/>
    </row>
    <row r="504" ht="15.75" customHeight="1">
      <c r="Y504" s="139"/>
    </row>
    <row r="505" ht="15.75" customHeight="1">
      <c r="Y505" s="139"/>
    </row>
    <row r="506" ht="15.75" customHeight="1">
      <c r="Y506" s="139"/>
    </row>
    <row r="507" ht="15.75" customHeight="1">
      <c r="Y507" s="139"/>
    </row>
    <row r="508" ht="15.75" customHeight="1">
      <c r="Y508" s="139"/>
    </row>
    <row r="509" ht="15.75" customHeight="1">
      <c r="Y509" s="139"/>
    </row>
    <row r="510" ht="15.75" customHeight="1">
      <c r="Y510" s="139"/>
    </row>
    <row r="511" ht="15.75" customHeight="1">
      <c r="Y511" s="139"/>
    </row>
    <row r="512" ht="15.75" customHeight="1">
      <c r="Y512" s="139"/>
    </row>
    <row r="513" ht="15.75" customHeight="1">
      <c r="Y513" s="139"/>
    </row>
    <row r="514" ht="15.75" customHeight="1">
      <c r="Y514" s="139"/>
    </row>
    <row r="515" ht="15.75" customHeight="1">
      <c r="Y515" s="139"/>
    </row>
    <row r="516" ht="15.75" customHeight="1">
      <c r="Y516" s="139"/>
    </row>
    <row r="517" ht="15.75" customHeight="1">
      <c r="Y517" s="139"/>
    </row>
    <row r="518" ht="15.75" customHeight="1">
      <c r="Y518" s="139"/>
    </row>
    <row r="519" ht="15.75" customHeight="1">
      <c r="Y519" s="139"/>
    </row>
    <row r="520" ht="15.75" customHeight="1">
      <c r="Y520" s="139"/>
    </row>
    <row r="521" ht="15.75" customHeight="1">
      <c r="Y521" s="139"/>
    </row>
    <row r="522" ht="15.75" customHeight="1">
      <c r="Y522" s="139"/>
    </row>
    <row r="523" ht="15.75" customHeight="1">
      <c r="Y523" s="139"/>
    </row>
    <row r="524" ht="15.75" customHeight="1">
      <c r="Y524" s="139"/>
    </row>
    <row r="525" ht="15.75" customHeight="1">
      <c r="Y525" s="139"/>
    </row>
    <row r="526" ht="15.75" customHeight="1">
      <c r="Y526" s="139"/>
    </row>
    <row r="527" ht="15.75" customHeight="1">
      <c r="Y527" s="139"/>
    </row>
    <row r="528" ht="15.75" customHeight="1">
      <c r="Y528" s="139"/>
    </row>
    <row r="529" ht="15.75" customHeight="1">
      <c r="Y529" s="139"/>
    </row>
    <row r="530" ht="15.75" customHeight="1">
      <c r="Y530" s="139"/>
    </row>
    <row r="531" ht="15.75" customHeight="1">
      <c r="Y531" s="139"/>
    </row>
    <row r="532" ht="15.75" customHeight="1">
      <c r="Y532" s="139"/>
    </row>
    <row r="533" ht="15.75" customHeight="1">
      <c r="Y533" s="139"/>
    </row>
    <row r="534" ht="15.75" customHeight="1">
      <c r="Y534" s="139"/>
    </row>
    <row r="535" ht="15.75" customHeight="1">
      <c r="Y535" s="139"/>
    </row>
    <row r="536" ht="15.75" customHeight="1">
      <c r="Y536" s="139"/>
    </row>
    <row r="537" ht="15.75" customHeight="1">
      <c r="Y537" s="139"/>
    </row>
    <row r="538" ht="15.75" customHeight="1">
      <c r="Y538" s="139"/>
    </row>
    <row r="539" ht="15.75" customHeight="1">
      <c r="Y539" s="139"/>
    </row>
    <row r="540" ht="15.75" customHeight="1">
      <c r="Y540" s="139"/>
    </row>
    <row r="541" ht="15.75" customHeight="1">
      <c r="Y541" s="139"/>
    </row>
    <row r="542" ht="15.75" customHeight="1">
      <c r="Y542" s="139"/>
    </row>
    <row r="543" ht="15.75" customHeight="1">
      <c r="Y543" s="139"/>
    </row>
    <row r="544" ht="15.75" customHeight="1">
      <c r="Y544" s="139"/>
    </row>
    <row r="545" ht="15.75" customHeight="1">
      <c r="Y545" s="139"/>
    </row>
    <row r="546" ht="15.75" customHeight="1">
      <c r="Y546" s="139"/>
    </row>
    <row r="547" ht="15.75" customHeight="1">
      <c r="Y547" s="139"/>
    </row>
    <row r="548" ht="15.75" customHeight="1">
      <c r="Y548" s="139"/>
    </row>
    <row r="549" ht="15.75" customHeight="1">
      <c r="Y549" s="139"/>
    </row>
    <row r="550" ht="15.75" customHeight="1">
      <c r="Y550" s="139"/>
    </row>
    <row r="551" ht="15.75" customHeight="1">
      <c r="Y551" s="139"/>
    </row>
    <row r="552" ht="15.75" customHeight="1">
      <c r="Y552" s="139"/>
    </row>
    <row r="553" ht="15.75" customHeight="1">
      <c r="Y553" s="139"/>
    </row>
    <row r="554" ht="15.75" customHeight="1">
      <c r="Y554" s="139"/>
    </row>
    <row r="555" ht="15.75" customHeight="1">
      <c r="Y555" s="139"/>
    </row>
    <row r="556" ht="15.75" customHeight="1">
      <c r="Y556" s="139"/>
    </row>
    <row r="557" ht="15.75" customHeight="1">
      <c r="Y557" s="139"/>
    </row>
    <row r="558" ht="15.75" customHeight="1">
      <c r="Y558" s="139"/>
    </row>
    <row r="559" ht="15.75" customHeight="1">
      <c r="Y559" s="139"/>
    </row>
    <row r="560" ht="15.75" customHeight="1">
      <c r="Y560" s="139"/>
    </row>
    <row r="561" ht="15.75" customHeight="1">
      <c r="Y561" s="139"/>
    </row>
    <row r="562" ht="15.75" customHeight="1">
      <c r="Y562" s="139"/>
    </row>
    <row r="563" ht="15.75" customHeight="1">
      <c r="Y563" s="139"/>
    </row>
    <row r="564" ht="15.75" customHeight="1">
      <c r="Y564" s="139"/>
    </row>
    <row r="565" ht="15.75" customHeight="1">
      <c r="Y565" s="139"/>
    </row>
    <row r="566" ht="15.75" customHeight="1">
      <c r="Y566" s="139"/>
    </row>
    <row r="567" ht="15.75" customHeight="1">
      <c r="Y567" s="139"/>
    </row>
    <row r="568" ht="15.75" customHeight="1">
      <c r="Y568" s="139"/>
    </row>
    <row r="569" ht="15.75" customHeight="1">
      <c r="Y569" s="139"/>
    </row>
    <row r="570" ht="15.75" customHeight="1">
      <c r="Y570" s="139"/>
    </row>
    <row r="571" ht="15.75" customHeight="1">
      <c r="Y571" s="139"/>
    </row>
    <row r="572" ht="15.75" customHeight="1">
      <c r="Y572" s="139"/>
    </row>
    <row r="573" ht="15.75" customHeight="1">
      <c r="Y573" s="139"/>
    </row>
    <row r="574" ht="15.75" customHeight="1">
      <c r="Y574" s="139"/>
    </row>
    <row r="575" ht="15.75" customHeight="1">
      <c r="Y575" s="139"/>
    </row>
    <row r="576" ht="15.75" customHeight="1">
      <c r="Y576" s="139"/>
    </row>
    <row r="577" ht="15.75" customHeight="1">
      <c r="Y577" s="139"/>
    </row>
    <row r="578" ht="15.75" customHeight="1">
      <c r="Y578" s="139"/>
    </row>
    <row r="579" ht="15.75" customHeight="1">
      <c r="Y579" s="139"/>
    </row>
    <row r="580" ht="15.75" customHeight="1">
      <c r="Y580" s="139"/>
    </row>
    <row r="581" ht="15.75" customHeight="1">
      <c r="Y581" s="139"/>
    </row>
    <row r="582" ht="15.75" customHeight="1">
      <c r="Y582" s="139"/>
    </row>
    <row r="583" ht="15.75" customHeight="1">
      <c r="Y583" s="139"/>
    </row>
    <row r="584" ht="15.75" customHeight="1">
      <c r="Y584" s="139"/>
    </row>
    <row r="585" ht="15.75" customHeight="1">
      <c r="Y585" s="139"/>
    </row>
    <row r="586" ht="15.75" customHeight="1">
      <c r="Y586" s="139"/>
    </row>
    <row r="587" ht="15.75" customHeight="1">
      <c r="Y587" s="139"/>
    </row>
    <row r="588" ht="15.75" customHeight="1">
      <c r="Y588" s="139"/>
    </row>
    <row r="589" ht="15.75" customHeight="1">
      <c r="Y589" s="139"/>
    </row>
    <row r="590" ht="15.75" customHeight="1">
      <c r="Y590" s="139"/>
    </row>
    <row r="591" ht="15.75" customHeight="1">
      <c r="Y591" s="139"/>
    </row>
    <row r="592" ht="15.75" customHeight="1">
      <c r="Y592" s="139"/>
    </row>
    <row r="593" ht="15.75" customHeight="1">
      <c r="Y593" s="139"/>
    </row>
    <row r="594" ht="15.75" customHeight="1">
      <c r="Y594" s="139"/>
    </row>
    <row r="595" ht="15.75" customHeight="1">
      <c r="Y595" s="139"/>
    </row>
    <row r="596" ht="15.75" customHeight="1">
      <c r="Y596" s="139"/>
    </row>
    <row r="597" ht="15.75" customHeight="1">
      <c r="Y597" s="139"/>
    </row>
    <row r="598" ht="15.75" customHeight="1">
      <c r="Y598" s="139"/>
    </row>
    <row r="599" ht="15.75" customHeight="1">
      <c r="Y599" s="139"/>
    </row>
    <row r="600" ht="15.75" customHeight="1">
      <c r="Y600" s="139"/>
    </row>
    <row r="601" ht="15.75" customHeight="1">
      <c r="Y601" s="139"/>
    </row>
    <row r="602" ht="15.75" customHeight="1">
      <c r="Y602" s="139"/>
    </row>
    <row r="603" ht="15.75" customHeight="1">
      <c r="Y603" s="139"/>
    </row>
    <row r="604" ht="15.75" customHeight="1">
      <c r="Y604" s="139"/>
    </row>
    <row r="605" ht="15.75" customHeight="1">
      <c r="Y605" s="139"/>
    </row>
    <row r="606" ht="15.75" customHeight="1">
      <c r="Y606" s="139"/>
    </row>
    <row r="607" ht="15.75" customHeight="1">
      <c r="Y607" s="139"/>
    </row>
    <row r="608" ht="15.75" customHeight="1">
      <c r="Y608" s="139"/>
    </row>
    <row r="609" ht="15.75" customHeight="1">
      <c r="Y609" s="139"/>
    </row>
    <row r="610" ht="15.75" customHeight="1">
      <c r="Y610" s="139"/>
    </row>
    <row r="611" ht="15.75" customHeight="1">
      <c r="Y611" s="139"/>
    </row>
    <row r="612" ht="15.75" customHeight="1">
      <c r="Y612" s="139"/>
    </row>
    <row r="613" ht="15.75" customHeight="1">
      <c r="Y613" s="139"/>
    </row>
    <row r="614" ht="15.75" customHeight="1">
      <c r="Y614" s="139"/>
    </row>
    <row r="615" ht="15.75" customHeight="1">
      <c r="Y615" s="139"/>
    </row>
    <row r="616" ht="15.75" customHeight="1">
      <c r="Y616" s="139"/>
    </row>
    <row r="617" ht="15.75" customHeight="1">
      <c r="Y617" s="139"/>
    </row>
    <row r="618" ht="15.75" customHeight="1">
      <c r="Y618" s="139"/>
    </row>
    <row r="619" ht="15.75" customHeight="1">
      <c r="Y619" s="139"/>
    </row>
    <row r="620" ht="15.75" customHeight="1">
      <c r="Y620" s="139"/>
    </row>
    <row r="621" ht="15.75" customHeight="1">
      <c r="Y621" s="139"/>
    </row>
    <row r="622" ht="15.75" customHeight="1">
      <c r="Y622" s="139"/>
    </row>
    <row r="623" ht="15.75" customHeight="1">
      <c r="Y623" s="139"/>
    </row>
    <row r="624" ht="15.75" customHeight="1">
      <c r="Y624" s="139"/>
    </row>
    <row r="625" ht="15.75" customHeight="1">
      <c r="Y625" s="139"/>
    </row>
    <row r="626" ht="15.75" customHeight="1">
      <c r="Y626" s="139"/>
    </row>
    <row r="627" ht="15.75" customHeight="1">
      <c r="Y627" s="139"/>
    </row>
    <row r="628" ht="15.75" customHeight="1">
      <c r="Y628" s="139"/>
    </row>
    <row r="629" ht="15.75" customHeight="1">
      <c r="Y629" s="139"/>
    </row>
    <row r="630" ht="15.75" customHeight="1">
      <c r="Y630" s="139"/>
    </row>
    <row r="631" ht="15.75" customHeight="1">
      <c r="Y631" s="139"/>
    </row>
    <row r="632" ht="15.75" customHeight="1">
      <c r="Y632" s="139"/>
    </row>
    <row r="633" ht="15.75" customHeight="1">
      <c r="Y633" s="139"/>
    </row>
    <row r="634" ht="15.75" customHeight="1">
      <c r="Y634" s="139"/>
    </row>
    <row r="635" ht="15.75" customHeight="1">
      <c r="Y635" s="139"/>
    </row>
    <row r="636" ht="15.75" customHeight="1">
      <c r="Y636" s="139"/>
    </row>
    <row r="637" ht="15.75" customHeight="1">
      <c r="Y637" s="139"/>
    </row>
    <row r="638" ht="15.75" customHeight="1">
      <c r="Y638" s="139"/>
    </row>
    <row r="639" ht="15.75" customHeight="1">
      <c r="Y639" s="139"/>
    </row>
    <row r="640" ht="15.75" customHeight="1">
      <c r="Y640" s="139"/>
    </row>
    <row r="641" ht="15.75" customHeight="1">
      <c r="Y641" s="139"/>
    </row>
    <row r="642" ht="15.75" customHeight="1">
      <c r="Y642" s="139"/>
    </row>
    <row r="643" ht="15.75" customHeight="1">
      <c r="Y643" s="139"/>
    </row>
    <row r="644" ht="15.75" customHeight="1">
      <c r="Y644" s="139"/>
    </row>
    <row r="645" ht="15.75" customHeight="1">
      <c r="Y645" s="139"/>
    </row>
    <row r="646" ht="15.75" customHeight="1">
      <c r="Y646" s="139"/>
    </row>
    <row r="647" ht="15.75" customHeight="1">
      <c r="Y647" s="139"/>
    </row>
    <row r="648" ht="15.75" customHeight="1">
      <c r="Y648" s="139"/>
    </row>
    <row r="649" ht="15.75" customHeight="1">
      <c r="Y649" s="139"/>
    </row>
    <row r="650" ht="15.75" customHeight="1">
      <c r="Y650" s="139"/>
    </row>
    <row r="651" ht="15.75" customHeight="1">
      <c r="Y651" s="139"/>
    </row>
    <row r="652" ht="15.75" customHeight="1">
      <c r="Y652" s="139"/>
    </row>
    <row r="653" ht="15.75" customHeight="1">
      <c r="Y653" s="139"/>
    </row>
    <row r="654" ht="15.75" customHeight="1">
      <c r="Y654" s="139"/>
    </row>
    <row r="655" ht="15.75" customHeight="1">
      <c r="Y655" s="139"/>
    </row>
    <row r="656" ht="15.75" customHeight="1">
      <c r="Y656" s="139"/>
    </row>
    <row r="657" ht="15.75" customHeight="1">
      <c r="Y657" s="139"/>
    </row>
    <row r="658" ht="15.75" customHeight="1">
      <c r="Y658" s="139"/>
    </row>
    <row r="659" ht="15.75" customHeight="1">
      <c r="Y659" s="139"/>
    </row>
    <row r="660" ht="15.75" customHeight="1">
      <c r="Y660" s="139"/>
    </row>
    <row r="661" ht="15.75" customHeight="1">
      <c r="Y661" s="139"/>
    </row>
    <row r="662" ht="15.75" customHeight="1">
      <c r="Y662" s="139"/>
    </row>
    <row r="663" ht="15.75" customHeight="1">
      <c r="Y663" s="139"/>
    </row>
    <row r="664" ht="15.75" customHeight="1">
      <c r="Y664" s="139"/>
    </row>
    <row r="665" ht="15.75" customHeight="1">
      <c r="Y665" s="139"/>
    </row>
    <row r="666" ht="15.75" customHeight="1">
      <c r="Y666" s="139"/>
    </row>
    <row r="667" ht="15.75" customHeight="1">
      <c r="Y667" s="139"/>
    </row>
    <row r="668" ht="15.75" customHeight="1">
      <c r="Y668" s="139"/>
    </row>
    <row r="669" ht="15.75" customHeight="1">
      <c r="Y669" s="139"/>
    </row>
    <row r="670" ht="15.75" customHeight="1">
      <c r="Y670" s="139"/>
    </row>
    <row r="671" ht="15.75" customHeight="1">
      <c r="Y671" s="139"/>
    </row>
    <row r="672" ht="15.75" customHeight="1">
      <c r="Y672" s="139"/>
    </row>
    <row r="673" ht="15.75" customHeight="1">
      <c r="Y673" s="139"/>
    </row>
    <row r="674" ht="15.75" customHeight="1">
      <c r="Y674" s="139"/>
    </row>
    <row r="675" ht="15.75" customHeight="1">
      <c r="Y675" s="139"/>
    </row>
    <row r="676" ht="15.75" customHeight="1">
      <c r="Y676" s="139"/>
    </row>
    <row r="677" ht="15.75" customHeight="1">
      <c r="Y677" s="139"/>
    </row>
    <row r="678" ht="15.75" customHeight="1">
      <c r="Y678" s="139"/>
    </row>
    <row r="679" ht="15.75" customHeight="1">
      <c r="Y679" s="139"/>
    </row>
    <row r="680" ht="15.75" customHeight="1">
      <c r="Y680" s="139"/>
    </row>
    <row r="681" ht="15.75" customHeight="1">
      <c r="Y681" s="139"/>
    </row>
    <row r="682" ht="15.75" customHeight="1">
      <c r="Y682" s="139"/>
    </row>
    <row r="683" ht="15.75" customHeight="1">
      <c r="Y683" s="139"/>
    </row>
    <row r="684" ht="15.75" customHeight="1">
      <c r="Y684" s="139"/>
    </row>
    <row r="685" ht="15.75" customHeight="1">
      <c r="Y685" s="139"/>
    </row>
    <row r="686" ht="15.75" customHeight="1">
      <c r="Y686" s="139"/>
    </row>
    <row r="687" ht="15.75" customHeight="1">
      <c r="Y687" s="139"/>
    </row>
    <row r="688" ht="15.75" customHeight="1">
      <c r="Y688" s="139"/>
    </row>
    <row r="689" ht="15.75" customHeight="1">
      <c r="Y689" s="139"/>
    </row>
    <row r="690" ht="15.75" customHeight="1">
      <c r="Y690" s="139"/>
    </row>
    <row r="691" ht="15.75" customHeight="1">
      <c r="Y691" s="139"/>
    </row>
    <row r="692" ht="15.75" customHeight="1">
      <c r="Y692" s="139"/>
    </row>
    <row r="693" ht="15.75" customHeight="1">
      <c r="Y693" s="139"/>
    </row>
    <row r="694" ht="15.75" customHeight="1">
      <c r="Y694" s="139"/>
    </row>
    <row r="695" ht="15.75" customHeight="1">
      <c r="Y695" s="139"/>
    </row>
    <row r="696" ht="15.75" customHeight="1">
      <c r="Y696" s="139"/>
    </row>
    <row r="697" ht="15.75" customHeight="1">
      <c r="Y697" s="139"/>
    </row>
    <row r="698" ht="15.75" customHeight="1">
      <c r="Y698" s="139"/>
    </row>
    <row r="699" ht="15.75" customHeight="1">
      <c r="Y699" s="139"/>
    </row>
    <row r="700" ht="15.75" customHeight="1">
      <c r="Y700" s="139"/>
    </row>
    <row r="701" ht="15.75" customHeight="1">
      <c r="Y701" s="139"/>
    </row>
    <row r="702" ht="15.75" customHeight="1">
      <c r="Y702" s="139"/>
    </row>
    <row r="703" ht="15.75" customHeight="1">
      <c r="Y703" s="139"/>
    </row>
    <row r="704" ht="15.75" customHeight="1">
      <c r="Y704" s="139"/>
    </row>
    <row r="705" ht="15.75" customHeight="1">
      <c r="Y705" s="139"/>
    </row>
    <row r="706" ht="15.75" customHeight="1">
      <c r="Y706" s="139"/>
    </row>
    <row r="707" ht="15.75" customHeight="1">
      <c r="Y707" s="139"/>
    </row>
    <row r="708" ht="15.75" customHeight="1">
      <c r="Y708" s="139"/>
    </row>
    <row r="709" ht="15.75" customHeight="1">
      <c r="Y709" s="139"/>
    </row>
    <row r="710" ht="15.75" customHeight="1">
      <c r="Y710" s="139"/>
    </row>
    <row r="711" ht="15.75" customHeight="1">
      <c r="Y711" s="139"/>
    </row>
    <row r="712" ht="15.75" customHeight="1">
      <c r="Y712" s="139"/>
    </row>
    <row r="713" ht="15.75" customHeight="1">
      <c r="Y713" s="139"/>
    </row>
    <row r="714" ht="15.75" customHeight="1">
      <c r="Y714" s="139"/>
    </row>
    <row r="715" ht="15.75" customHeight="1">
      <c r="Y715" s="139"/>
    </row>
    <row r="716" ht="15.75" customHeight="1">
      <c r="Y716" s="139"/>
    </row>
    <row r="717" ht="15.75" customHeight="1">
      <c r="Y717" s="139"/>
    </row>
    <row r="718" ht="15.75" customHeight="1">
      <c r="Y718" s="139"/>
    </row>
    <row r="719" ht="15.75" customHeight="1">
      <c r="Y719" s="139"/>
    </row>
    <row r="720" ht="15.75" customHeight="1">
      <c r="Y720" s="139"/>
    </row>
    <row r="721" ht="15.75" customHeight="1">
      <c r="Y721" s="139"/>
    </row>
    <row r="722" ht="15.75" customHeight="1">
      <c r="Y722" s="139"/>
    </row>
    <row r="723" ht="15.75" customHeight="1">
      <c r="Y723" s="139"/>
    </row>
    <row r="724" ht="15.75" customHeight="1">
      <c r="Y724" s="139"/>
    </row>
    <row r="725" ht="15.75" customHeight="1">
      <c r="Y725" s="139"/>
    </row>
    <row r="726" ht="15.75" customHeight="1">
      <c r="Y726" s="139"/>
    </row>
    <row r="727" ht="15.75" customHeight="1">
      <c r="Y727" s="139"/>
    </row>
    <row r="728" ht="15.75" customHeight="1">
      <c r="Y728" s="139"/>
    </row>
    <row r="729" ht="15.75" customHeight="1">
      <c r="Y729" s="139"/>
    </row>
    <row r="730" ht="15.75" customHeight="1">
      <c r="Y730" s="139"/>
    </row>
    <row r="731" ht="15.75" customHeight="1">
      <c r="Y731" s="139"/>
    </row>
    <row r="732" ht="15.75" customHeight="1">
      <c r="Y732" s="139"/>
    </row>
    <row r="733" ht="15.75" customHeight="1">
      <c r="Y733" s="139"/>
    </row>
    <row r="734" ht="15.75" customHeight="1">
      <c r="Y734" s="139"/>
    </row>
    <row r="735" ht="15.75" customHeight="1">
      <c r="Y735" s="139"/>
    </row>
    <row r="736" ht="15.75" customHeight="1">
      <c r="Y736" s="139"/>
    </row>
    <row r="737" ht="15.75" customHeight="1">
      <c r="Y737" s="139"/>
    </row>
    <row r="738" ht="15.75" customHeight="1">
      <c r="Y738" s="139"/>
    </row>
    <row r="739" ht="15.75" customHeight="1">
      <c r="Y739" s="139"/>
    </row>
    <row r="740" ht="15.75" customHeight="1">
      <c r="Y740" s="139"/>
    </row>
    <row r="741" ht="15.75" customHeight="1">
      <c r="Y741" s="139"/>
    </row>
    <row r="742" ht="15.75" customHeight="1">
      <c r="Y742" s="139"/>
    </row>
    <row r="743" ht="15.75" customHeight="1">
      <c r="Y743" s="139"/>
    </row>
    <row r="744" ht="15.75" customHeight="1">
      <c r="Y744" s="139"/>
    </row>
    <row r="745" ht="15.75" customHeight="1">
      <c r="Y745" s="139"/>
    </row>
    <row r="746" ht="15.75" customHeight="1">
      <c r="Y746" s="139"/>
    </row>
    <row r="747" ht="15.75" customHeight="1">
      <c r="Y747" s="139"/>
    </row>
    <row r="748" ht="15.75" customHeight="1">
      <c r="Y748" s="139"/>
    </row>
    <row r="749" ht="15.75" customHeight="1">
      <c r="Y749" s="139"/>
    </row>
    <row r="750" ht="15.75" customHeight="1">
      <c r="Y750" s="139"/>
    </row>
    <row r="751" ht="15.75" customHeight="1">
      <c r="Y751" s="139"/>
    </row>
    <row r="752" ht="15.75" customHeight="1">
      <c r="Y752" s="139"/>
    </row>
    <row r="753" ht="15.75" customHeight="1">
      <c r="Y753" s="139"/>
    </row>
    <row r="754" ht="15.75" customHeight="1">
      <c r="Y754" s="139"/>
    </row>
    <row r="755" ht="15.75" customHeight="1">
      <c r="Y755" s="139"/>
    </row>
    <row r="756" ht="15.75" customHeight="1">
      <c r="Y756" s="139"/>
    </row>
    <row r="757" ht="15.75" customHeight="1">
      <c r="Y757" s="139"/>
    </row>
    <row r="758" ht="15.75" customHeight="1">
      <c r="Y758" s="139"/>
    </row>
    <row r="759" ht="15.75" customHeight="1">
      <c r="Y759" s="139"/>
    </row>
    <row r="760" ht="15.75" customHeight="1">
      <c r="Y760" s="139"/>
    </row>
    <row r="761" ht="15.75" customHeight="1">
      <c r="Y761" s="139"/>
    </row>
    <row r="762" ht="15.75" customHeight="1">
      <c r="Y762" s="139"/>
    </row>
    <row r="763" ht="15.75" customHeight="1">
      <c r="Y763" s="139"/>
    </row>
    <row r="764" ht="15.75" customHeight="1">
      <c r="Y764" s="139"/>
    </row>
    <row r="765" ht="15.75" customHeight="1">
      <c r="Y765" s="139"/>
    </row>
    <row r="766" ht="15.75" customHeight="1">
      <c r="Y766" s="139"/>
    </row>
    <row r="767" ht="15.75" customHeight="1">
      <c r="Y767" s="139"/>
    </row>
    <row r="768" ht="15.75" customHeight="1">
      <c r="Y768" s="139"/>
    </row>
    <row r="769" ht="15.75" customHeight="1">
      <c r="Y769" s="139"/>
    </row>
    <row r="770" ht="15.75" customHeight="1">
      <c r="Y770" s="139"/>
    </row>
    <row r="771" ht="15.75" customHeight="1">
      <c r="Y771" s="139"/>
    </row>
    <row r="772" ht="15.75" customHeight="1">
      <c r="Y772" s="139"/>
    </row>
    <row r="773" ht="15.75" customHeight="1">
      <c r="Y773" s="139"/>
    </row>
    <row r="774" ht="15.75" customHeight="1">
      <c r="Y774" s="139"/>
    </row>
    <row r="775" ht="15.75" customHeight="1">
      <c r="Y775" s="139"/>
    </row>
    <row r="776" ht="15.75" customHeight="1">
      <c r="Y776" s="139"/>
    </row>
    <row r="777" ht="15.75" customHeight="1">
      <c r="Y777" s="139"/>
    </row>
    <row r="778" ht="15.75" customHeight="1">
      <c r="Y778" s="139"/>
    </row>
    <row r="779" ht="15.75" customHeight="1">
      <c r="Y779" s="139"/>
    </row>
    <row r="780" ht="15.75" customHeight="1">
      <c r="Y780" s="139"/>
    </row>
    <row r="781" ht="15.75" customHeight="1">
      <c r="Y781" s="139"/>
    </row>
    <row r="782" ht="15.75" customHeight="1">
      <c r="Y782" s="139"/>
    </row>
    <row r="783" ht="15.75" customHeight="1">
      <c r="Y783" s="139"/>
    </row>
    <row r="784" ht="15.75" customHeight="1">
      <c r="Y784" s="139"/>
    </row>
    <row r="785" ht="15.75" customHeight="1">
      <c r="Y785" s="139"/>
    </row>
    <row r="786" ht="15.75" customHeight="1">
      <c r="Y786" s="139"/>
    </row>
    <row r="787" ht="15.75" customHeight="1">
      <c r="Y787" s="139"/>
    </row>
    <row r="788" ht="15.75" customHeight="1">
      <c r="Y788" s="139"/>
    </row>
    <row r="789" ht="15.75" customHeight="1">
      <c r="Y789" s="139"/>
    </row>
    <row r="790" ht="15.75" customHeight="1">
      <c r="Y790" s="139"/>
    </row>
    <row r="791" ht="15.75" customHeight="1">
      <c r="Y791" s="139"/>
    </row>
    <row r="792" ht="15.75" customHeight="1">
      <c r="Y792" s="139"/>
    </row>
    <row r="793" ht="15.75" customHeight="1">
      <c r="Y793" s="139"/>
    </row>
    <row r="794" ht="15.75" customHeight="1">
      <c r="Y794" s="139"/>
    </row>
    <row r="795" ht="15.75" customHeight="1">
      <c r="Y795" s="139"/>
    </row>
    <row r="796" ht="15.75" customHeight="1">
      <c r="Y796" s="139"/>
    </row>
    <row r="797" ht="15.75" customHeight="1">
      <c r="Y797" s="139"/>
    </row>
    <row r="798" ht="15.75" customHeight="1">
      <c r="Y798" s="139"/>
    </row>
    <row r="799" ht="15.75" customHeight="1">
      <c r="Y799" s="139"/>
    </row>
    <row r="800" ht="15.75" customHeight="1">
      <c r="Y800" s="139"/>
    </row>
    <row r="801" ht="15.75" customHeight="1">
      <c r="Y801" s="139"/>
    </row>
    <row r="802" ht="15.75" customHeight="1">
      <c r="Y802" s="139"/>
    </row>
    <row r="803" ht="15.75" customHeight="1">
      <c r="Y803" s="139"/>
    </row>
    <row r="804" ht="15.75" customHeight="1">
      <c r="Y804" s="139"/>
    </row>
    <row r="805" ht="15.75" customHeight="1">
      <c r="Y805" s="139"/>
    </row>
    <row r="806" ht="15.75" customHeight="1">
      <c r="Y806" s="139"/>
    </row>
    <row r="807" ht="15.75" customHeight="1">
      <c r="Y807" s="139"/>
    </row>
    <row r="808" ht="15.75" customHeight="1">
      <c r="Y808" s="139"/>
    </row>
    <row r="809" ht="15.75" customHeight="1">
      <c r="Y809" s="139"/>
    </row>
    <row r="810" ht="15.75" customHeight="1">
      <c r="Y810" s="139"/>
    </row>
    <row r="811" ht="15.75" customHeight="1">
      <c r="Y811" s="139"/>
    </row>
    <row r="812" ht="15.75" customHeight="1">
      <c r="Y812" s="139"/>
    </row>
    <row r="813" ht="15.75" customHeight="1">
      <c r="Y813" s="139"/>
    </row>
    <row r="814" ht="15.75" customHeight="1">
      <c r="Y814" s="139"/>
    </row>
    <row r="815" ht="15.75" customHeight="1">
      <c r="Y815" s="139"/>
    </row>
    <row r="816" ht="15.75" customHeight="1">
      <c r="Y816" s="139"/>
    </row>
    <row r="817" ht="15.75" customHeight="1">
      <c r="Y817" s="139"/>
    </row>
    <row r="818" ht="15.75" customHeight="1">
      <c r="Y818" s="139"/>
    </row>
    <row r="819" ht="15.75" customHeight="1">
      <c r="Y819" s="139"/>
    </row>
    <row r="820" ht="15.75" customHeight="1">
      <c r="Y820" s="139"/>
    </row>
    <row r="821" ht="15.75" customHeight="1">
      <c r="Y821" s="139"/>
    </row>
    <row r="822" ht="15.75" customHeight="1">
      <c r="Y822" s="139"/>
    </row>
    <row r="823" ht="15.75" customHeight="1">
      <c r="Y823" s="139"/>
    </row>
    <row r="824" ht="15.75" customHeight="1">
      <c r="Y824" s="139"/>
    </row>
    <row r="825" ht="15.75" customHeight="1">
      <c r="Y825" s="139"/>
    </row>
    <row r="826" ht="15.75" customHeight="1">
      <c r="Y826" s="139"/>
    </row>
    <row r="827" ht="15.75" customHeight="1">
      <c r="Y827" s="139"/>
    </row>
    <row r="828" ht="15.75" customHeight="1">
      <c r="Y828" s="139"/>
    </row>
    <row r="829" ht="15.75" customHeight="1">
      <c r="Y829" s="139"/>
    </row>
    <row r="830" ht="15.75" customHeight="1">
      <c r="Y830" s="139"/>
    </row>
    <row r="831" ht="15.75" customHeight="1">
      <c r="Y831" s="139"/>
    </row>
    <row r="832" ht="15.75" customHeight="1">
      <c r="Y832" s="139"/>
    </row>
    <row r="833" ht="15.75" customHeight="1">
      <c r="Y833" s="139"/>
    </row>
    <row r="834" ht="15.75" customHeight="1">
      <c r="Y834" s="139"/>
    </row>
    <row r="835" ht="15.75" customHeight="1">
      <c r="Y835" s="139"/>
    </row>
    <row r="836" ht="15.75" customHeight="1">
      <c r="Y836" s="139"/>
    </row>
    <row r="837" ht="15.75" customHeight="1">
      <c r="Y837" s="139"/>
    </row>
    <row r="838" ht="15.75" customHeight="1">
      <c r="Y838" s="139"/>
    </row>
    <row r="839" ht="15.75" customHeight="1">
      <c r="Y839" s="139"/>
    </row>
    <row r="840" ht="15.75" customHeight="1">
      <c r="Y840" s="139"/>
    </row>
    <row r="841" ht="15.75" customHeight="1">
      <c r="Y841" s="139"/>
    </row>
    <row r="842" ht="15.75" customHeight="1">
      <c r="Y842" s="139"/>
    </row>
    <row r="843" ht="15.75" customHeight="1">
      <c r="Y843" s="139"/>
    </row>
    <row r="844" ht="15.75" customHeight="1">
      <c r="Y844" s="139"/>
    </row>
    <row r="845" ht="15.75" customHeight="1">
      <c r="Y845" s="139"/>
    </row>
    <row r="846" ht="15.75" customHeight="1">
      <c r="Y846" s="139"/>
    </row>
    <row r="847" ht="15.75" customHeight="1">
      <c r="Y847" s="139"/>
    </row>
    <row r="848" ht="15.75" customHeight="1">
      <c r="Y848" s="139"/>
    </row>
    <row r="849" ht="15.75" customHeight="1">
      <c r="Y849" s="139"/>
    </row>
    <row r="850" ht="15.75" customHeight="1">
      <c r="Y850" s="139"/>
    </row>
    <row r="851" ht="15.75" customHeight="1">
      <c r="Y851" s="139"/>
    </row>
    <row r="852" ht="15.75" customHeight="1">
      <c r="Y852" s="139"/>
    </row>
    <row r="853" ht="15.75" customHeight="1">
      <c r="Y853" s="139"/>
    </row>
    <row r="854" ht="15.75" customHeight="1">
      <c r="Y854" s="139"/>
    </row>
    <row r="855" ht="15.75" customHeight="1">
      <c r="Y855" s="139"/>
    </row>
    <row r="856" ht="15.75" customHeight="1">
      <c r="Y856" s="139"/>
    </row>
    <row r="857" ht="15.75" customHeight="1">
      <c r="Y857" s="139"/>
    </row>
    <row r="858" ht="15.75" customHeight="1">
      <c r="Y858" s="139"/>
    </row>
    <row r="859" ht="15.75" customHeight="1">
      <c r="Y859" s="139"/>
    </row>
    <row r="860" ht="15.75" customHeight="1">
      <c r="Y860" s="139"/>
    </row>
    <row r="861" ht="15.75" customHeight="1">
      <c r="Y861" s="139"/>
    </row>
    <row r="862" ht="15.75" customHeight="1">
      <c r="Y862" s="139"/>
    </row>
    <row r="863" ht="15.75" customHeight="1">
      <c r="Y863" s="139"/>
    </row>
    <row r="864" ht="15.75" customHeight="1">
      <c r="Y864" s="139"/>
    </row>
    <row r="865" ht="15.75" customHeight="1">
      <c r="Y865" s="139"/>
    </row>
    <row r="866" ht="15.75" customHeight="1">
      <c r="Y866" s="139"/>
    </row>
    <row r="867" ht="15.75" customHeight="1">
      <c r="Y867" s="139"/>
    </row>
    <row r="868" ht="15.75" customHeight="1">
      <c r="Y868" s="139"/>
    </row>
    <row r="869" ht="15.75" customHeight="1">
      <c r="Y869" s="139"/>
    </row>
    <row r="870" ht="15.75" customHeight="1">
      <c r="Y870" s="139"/>
    </row>
    <row r="871" ht="15.75" customHeight="1">
      <c r="Y871" s="139"/>
    </row>
    <row r="872" ht="15.75" customHeight="1">
      <c r="Y872" s="139"/>
    </row>
    <row r="873" ht="15.75" customHeight="1">
      <c r="Y873" s="139"/>
    </row>
    <row r="874" ht="15.75" customHeight="1">
      <c r="Y874" s="139"/>
    </row>
    <row r="875" ht="15.75" customHeight="1">
      <c r="Y875" s="139"/>
    </row>
    <row r="876" ht="15.75" customHeight="1">
      <c r="Y876" s="139"/>
    </row>
    <row r="877" ht="15.75" customHeight="1">
      <c r="Y877" s="139"/>
    </row>
    <row r="878" ht="15.75" customHeight="1">
      <c r="Y878" s="139"/>
    </row>
    <row r="879" ht="15.75" customHeight="1">
      <c r="Y879" s="139"/>
    </row>
    <row r="880" ht="15.75" customHeight="1">
      <c r="Y880" s="139"/>
    </row>
    <row r="881" ht="15.75" customHeight="1">
      <c r="Y881" s="139"/>
    </row>
    <row r="882" ht="15.75" customHeight="1">
      <c r="Y882" s="139"/>
    </row>
    <row r="883" ht="15.75" customHeight="1">
      <c r="Y883" s="139"/>
    </row>
    <row r="884" ht="15.75" customHeight="1">
      <c r="Y884" s="139"/>
    </row>
    <row r="885" ht="15.75" customHeight="1">
      <c r="Y885" s="139"/>
    </row>
    <row r="886" ht="15.75" customHeight="1">
      <c r="Y886" s="139"/>
    </row>
    <row r="887" ht="15.75" customHeight="1">
      <c r="Y887" s="139"/>
    </row>
    <row r="888" ht="15.75" customHeight="1">
      <c r="Y888" s="139"/>
    </row>
    <row r="889" ht="15.75" customHeight="1">
      <c r="Y889" s="139"/>
    </row>
    <row r="890" ht="15.75" customHeight="1">
      <c r="Y890" s="139"/>
    </row>
    <row r="891" ht="15.75" customHeight="1">
      <c r="Y891" s="139"/>
    </row>
    <row r="892" ht="15.75" customHeight="1">
      <c r="Y892" s="139"/>
    </row>
    <row r="893" ht="15.75" customHeight="1">
      <c r="Y893" s="139"/>
    </row>
    <row r="894" ht="15.75" customHeight="1">
      <c r="Y894" s="139"/>
    </row>
    <row r="895" ht="15.75" customHeight="1">
      <c r="Y895" s="139"/>
    </row>
    <row r="896" ht="15.75" customHeight="1">
      <c r="Y896" s="139"/>
    </row>
    <row r="897" ht="15.75" customHeight="1">
      <c r="Y897" s="139"/>
    </row>
    <row r="898" ht="15.75" customHeight="1">
      <c r="Y898" s="139"/>
    </row>
    <row r="899" ht="15.75" customHeight="1">
      <c r="Y899" s="139"/>
    </row>
    <row r="900" ht="15.75" customHeight="1">
      <c r="Y900" s="139"/>
    </row>
    <row r="901" ht="15.75" customHeight="1">
      <c r="Y901" s="139"/>
    </row>
    <row r="902" ht="15.75" customHeight="1">
      <c r="Y902" s="139"/>
    </row>
    <row r="903" ht="15.75" customHeight="1">
      <c r="Y903" s="139"/>
    </row>
    <row r="904" ht="15.75" customHeight="1">
      <c r="Y904" s="139"/>
    </row>
    <row r="905" ht="15.75" customHeight="1">
      <c r="Y905" s="139"/>
    </row>
    <row r="906" ht="15.75" customHeight="1">
      <c r="Y906" s="139"/>
    </row>
    <row r="907" ht="15.75" customHeight="1">
      <c r="Y907" s="139"/>
    </row>
    <row r="908" ht="15.75" customHeight="1">
      <c r="Y908" s="139"/>
    </row>
    <row r="909" ht="15.75" customHeight="1">
      <c r="Y909" s="139"/>
    </row>
    <row r="910" ht="15.75" customHeight="1">
      <c r="Y910" s="139"/>
    </row>
    <row r="911" ht="15.75" customHeight="1">
      <c r="Y911" s="139"/>
    </row>
    <row r="912" ht="15.75" customHeight="1">
      <c r="Y912" s="139"/>
    </row>
    <row r="913" ht="15.75" customHeight="1">
      <c r="Y913" s="139"/>
    </row>
    <row r="914" ht="15.75" customHeight="1">
      <c r="Y914" s="139"/>
    </row>
    <row r="915" ht="15.75" customHeight="1">
      <c r="Y915" s="139"/>
    </row>
    <row r="916" ht="15.75" customHeight="1">
      <c r="Y916" s="139"/>
    </row>
    <row r="917" ht="15.75" customHeight="1">
      <c r="Y917" s="139"/>
    </row>
    <row r="918" ht="15.75" customHeight="1">
      <c r="Y918" s="139"/>
    </row>
    <row r="919" ht="15.75" customHeight="1">
      <c r="Y919" s="139"/>
    </row>
    <row r="920" ht="15.75" customHeight="1">
      <c r="Y920" s="139"/>
    </row>
    <row r="921" ht="15.75" customHeight="1">
      <c r="Y921" s="139"/>
    </row>
    <row r="922" ht="15.75" customHeight="1">
      <c r="Y922" s="139"/>
    </row>
    <row r="923" ht="15.75" customHeight="1">
      <c r="Y923" s="139"/>
    </row>
    <row r="924" ht="15.75" customHeight="1">
      <c r="Y924" s="139"/>
    </row>
    <row r="925" ht="15.75" customHeight="1">
      <c r="Y925" s="139"/>
    </row>
    <row r="926" ht="15.75" customHeight="1">
      <c r="Y926" s="139"/>
    </row>
    <row r="927" ht="15.75" customHeight="1">
      <c r="Y927" s="139"/>
    </row>
    <row r="928" ht="15.75" customHeight="1">
      <c r="Y928" s="139"/>
    </row>
    <row r="929" ht="15.75" customHeight="1">
      <c r="Y929" s="139"/>
    </row>
    <row r="930" ht="15.75" customHeight="1">
      <c r="Y930" s="139"/>
    </row>
    <row r="931" ht="15.75" customHeight="1">
      <c r="Y931" s="139"/>
    </row>
    <row r="932" ht="15.75" customHeight="1">
      <c r="Y932" s="139"/>
    </row>
    <row r="933" ht="15.75" customHeight="1">
      <c r="Y933" s="139"/>
    </row>
    <row r="934" ht="15.75" customHeight="1">
      <c r="Y934" s="139"/>
    </row>
    <row r="935" ht="15.75" customHeight="1">
      <c r="Y935" s="139"/>
    </row>
    <row r="936" ht="15.75" customHeight="1">
      <c r="Y936" s="139"/>
    </row>
    <row r="937" ht="15.75" customHeight="1">
      <c r="Y937" s="139"/>
    </row>
    <row r="938" ht="15.75" customHeight="1">
      <c r="Y938" s="139"/>
    </row>
    <row r="939" ht="15.75" customHeight="1">
      <c r="Y939" s="139"/>
    </row>
    <row r="940" ht="15.75" customHeight="1">
      <c r="Y940" s="139"/>
    </row>
    <row r="941" ht="15.75" customHeight="1">
      <c r="Y941" s="139"/>
    </row>
    <row r="942" ht="15.75" customHeight="1">
      <c r="Y942" s="139"/>
    </row>
    <row r="943" ht="15.75" customHeight="1">
      <c r="Y943" s="139"/>
    </row>
    <row r="944" ht="15.75" customHeight="1">
      <c r="Y944" s="139"/>
    </row>
    <row r="945" ht="15.75" customHeight="1">
      <c r="Y945" s="139"/>
    </row>
    <row r="946" ht="15.75" customHeight="1">
      <c r="Y946" s="139"/>
    </row>
    <row r="947" ht="15.75" customHeight="1">
      <c r="Y947" s="139"/>
    </row>
    <row r="948" ht="15.75" customHeight="1">
      <c r="Y948" s="139"/>
    </row>
    <row r="949" ht="15.75" customHeight="1">
      <c r="Y949" s="139"/>
    </row>
    <row r="950" ht="15.75" customHeight="1">
      <c r="Y950" s="139"/>
    </row>
    <row r="951" ht="15.75" customHeight="1">
      <c r="Y951" s="139"/>
    </row>
    <row r="952" ht="15.75" customHeight="1">
      <c r="Y952" s="139"/>
    </row>
    <row r="953" ht="15.75" customHeight="1">
      <c r="Y953" s="139"/>
    </row>
    <row r="954" ht="15.75" customHeight="1">
      <c r="Y954" s="139"/>
    </row>
    <row r="955" ht="15.75" customHeight="1">
      <c r="Y955" s="139"/>
    </row>
    <row r="956" ht="15.75" customHeight="1">
      <c r="Y956" s="139"/>
    </row>
    <row r="957" ht="15.75" customHeight="1">
      <c r="Y957" s="139"/>
    </row>
    <row r="958" ht="15.75" customHeight="1">
      <c r="Y958" s="139"/>
    </row>
    <row r="959" ht="15.75" customHeight="1">
      <c r="Y959" s="139"/>
    </row>
    <row r="960" ht="15.75" customHeight="1">
      <c r="Y960" s="139"/>
    </row>
    <row r="961" ht="15.75" customHeight="1">
      <c r="Y961" s="139"/>
    </row>
    <row r="962" ht="15.75" customHeight="1">
      <c r="Y962" s="139"/>
    </row>
    <row r="963" ht="15.75" customHeight="1">
      <c r="Y963" s="139"/>
    </row>
    <row r="964" ht="15.75" customHeight="1">
      <c r="Y964" s="139"/>
    </row>
    <row r="965" ht="15.75" customHeight="1">
      <c r="Y965" s="139"/>
    </row>
    <row r="966" ht="15.75" customHeight="1">
      <c r="Y966" s="139"/>
    </row>
    <row r="967" ht="15.75" customHeight="1">
      <c r="Y967" s="139"/>
    </row>
    <row r="968" ht="15.75" customHeight="1">
      <c r="Y968" s="139"/>
    </row>
    <row r="969" ht="15.75" customHeight="1">
      <c r="Y969" s="139"/>
    </row>
    <row r="970" ht="15.75" customHeight="1">
      <c r="Y970" s="139"/>
    </row>
    <row r="971" ht="15.75" customHeight="1">
      <c r="Y971" s="139"/>
    </row>
    <row r="972" ht="15.75" customHeight="1">
      <c r="Y972" s="139"/>
    </row>
    <row r="973" ht="15.75" customHeight="1">
      <c r="Y973" s="139"/>
    </row>
    <row r="974" ht="15.75" customHeight="1">
      <c r="Y974" s="139"/>
    </row>
    <row r="975" ht="15.75" customHeight="1">
      <c r="Y975" s="139"/>
    </row>
    <row r="976" ht="15.75" customHeight="1">
      <c r="Y976" s="139"/>
    </row>
    <row r="977" ht="15.75" customHeight="1">
      <c r="Y977" s="139"/>
    </row>
    <row r="978" ht="15.75" customHeight="1">
      <c r="Y978" s="139"/>
    </row>
    <row r="979" ht="15.75" customHeight="1">
      <c r="Y979" s="139"/>
    </row>
    <row r="980" ht="15.75" customHeight="1">
      <c r="Y980" s="139"/>
    </row>
    <row r="981" ht="15.75" customHeight="1">
      <c r="Y981" s="139"/>
    </row>
    <row r="982" ht="15.75" customHeight="1">
      <c r="Y982" s="139"/>
    </row>
    <row r="983" ht="15.75" customHeight="1">
      <c r="Y983" s="139"/>
    </row>
    <row r="984" ht="15.75" customHeight="1">
      <c r="Y984" s="139"/>
    </row>
    <row r="985" ht="15.75" customHeight="1">
      <c r="Y985" s="139"/>
    </row>
    <row r="986" ht="15.75" customHeight="1">
      <c r="Y986" s="139"/>
    </row>
    <row r="987" ht="15.75" customHeight="1">
      <c r="Y987" s="139"/>
    </row>
    <row r="988" ht="15.75" customHeight="1">
      <c r="Y988" s="139"/>
    </row>
    <row r="989" ht="15.75" customHeight="1">
      <c r="Y989" s="139"/>
    </row>
    <row r="990" ht="15.75" customHeight="1">
      <c r="Y990" s="139"/>
    </row>
    <row r="991" ht="15.75" customHeight="1">
      <c r="Y991" s="139"/>
    </row>
    <row r="992" ht="15.75" customHeight="1">
      <c r="Y992" s="139"/>
    </row>
    <row r="993" ht="15.75" customHeight="1">
      <c r="Y993" s="139"/>
    </row>
    <row r="994" ht="15.75" customHeight="1">
      <c r="Y994" s="139"/>
    </row>
    <row r="995" ht="15.75" customHeight="1">
      <c r="Y995" s="139"/>
    </row>
    <row r="996" ht="15.75" customHeight="1">
      <c r="Y996" s="139"/>
    </row>
    <row r="997" ht="15.75" customHeight="1">
      <c r="Y997" s="139"/>
    </row>
    <row r="998" ht="15.75" customHeight="1">
      <c r="Y998" s="139"/>
    </row>
    <row r="999" ht="15.75" customHeight="1">
      <c r="Y999" s="139"/>
    </row>
    <row r="1000" ht="15.75" customHeight="1">
      <c r="Y1000" s="139"/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3.75"/>
    <col customWidth="1" min="6" max="6" width="12.63"/>
    <col customWidth="1" min="8" max="8" width="17.88"/>
    <col customWidth="1" min="9" max="9" width="14.38"/>
    <col customWidth="1" min="12" max="12" width="20.88"/>
    <col customWidth="1" min="13" max="13" width="13.0"/>
    <col customWidth="1" min="14" max="14" width="18.13"/>
    <col customWidth="1" min="15" max="15" width="13.63"/>
    <col customWidth="1" min="16" max="16" width="19.13"/>
    <col customWidth="1" min="17" max="17" width="20.88"/>
    <col customWidth="1" min="20" max="21" width="19.13"/>
    <col customWidth="1" min="24" max="24" width="19.13"/>
  </cols>
  <sheetData>
    <row r="1" ht="15.75" customHeight="1">
      <c r="A1" s="168" t="str">
        <f>Datos!A1</f>
        <v>   Fecha </v>
      </c>
      <c r="B1" s="168" t="str">
        <f>Datos!B1</f>
        <v>NIS</v>
      </c>
      <c r="C1" s="168" t="str">
        <f>Datos!C1</f>
        <v>Cliente</v>
      </c>
      <c r="D1" s="168" t="str">
        <f>Datos!D1</f>
        <v>IVA</v>
      </c>
      <c r="E1" s="168" t="str">
        <f>Datos!E1</f>
        <v>Consumo [kWh]</v>
      </c>
      <c r="F1" s="168" t="str">
        <f>Datos!F1</f>
        <v>Consumo hs punta [kWh]</v>
      </c>
      <c r="G1" s="168" t="str">
        <f>Datos!G1</f>
        <v>Consumo hs valle [kWh]</v>
      </c>
      <c r="H1" s="168" t="str">
        <f>Datos!H1</f>
        <v>Consumo hs resto[kWh]</v>
      </c>
      <c r="I1" s="168" t="str">
        <f>Datos!I1</f>
        <v>Catergoria</v>
      </c>
      <c r="J1" s="168" t="str">
        <f>Datos!J1</f>
        <v>Tarifa punta</v>
      </c>
      <c r="K1" s="168" t="str">
        <f>Datos!K1</f>
        <v>Tarifa valle</v>
      </c>
      <c r="L1" s="168" t="str">
        <f>Datos!L1</f>
        <v>Tarifa resto</v>
      </c>
      <c r="M1" s="168" t="str">
        <f>Datos!M1</f>
        <v>Generacion FV [kWh]</v>
      </c>
      <c r="N1" s="168" t="str">
        <f>Datos!N1</f>
        <v>CONSUMO TOTAL</v>
      </c>
      <c r="O1" s="168" t="str">
        <f>Datos!O1</f>
        <v>Total a pagar S / IVA</v>
      </c>
      <c r="P1" s="168" t="str">
        <f>Datos!P1</f>
        <v>Valor USD</v>
      </c>
      <c r="Q1" s="168" t="str">
        <f>Datos!Q1</f>
        <v>Ahorro (USD)</v>
      </c>
      <c r="R1" s="168" t="str">
        <f>Datos!R1</f>
        <v>Ahorro ($)</v>
      </c>
      <c r="S1" s="168" t="str">
        <f>Datos!S1</f>
        <v>Valor dolar Actual ($)</v>
      </c>
      <c r="T1" s="168" t="str">
        <f>Datos!T1</f>
        <v>Ahorro ($)-A precio actual</v>
      </c>
      <c r="U1" s="168" t="str">
        <f>Datos!U1</f>
        <v>kg CO2e evitados</v>
      </c>
      <c r="V1" s="168" t="str">
        <f>Datos!V1</f>
        <v>Equivalente en árboles</v>
      </c>
      <c r="W1" s="168" t="str">
        <f>Datos!W1</f>
        <v>% de ahorro sobre los consumos</v>
      </c>
      <c r="X1" s="168" t="str">
        <f>Datos!X1</f>
        <v>SIN PANELES S/IVA</v>
      </c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  <c r="AK1" s="180"/>
      <c r="AL1" s="180"/>
      <c r="AM1" s="180"/>
      <c r="AN1" s="180"/>
      <c r="AO1" s="180"/>
      <c r="AP1" s="180"/>
      <c r="AQ1" s="180"/>
      <c r="AR1" s="180"/>
      <c r="AS1" s="180"/>
      <c r="AT1" s="180"/>
      <c r="AU1" s="180"/>
      <c r="AV1" s="180"/>
    </row>
    <row r="2" ht="15.75" customHeight="1">
      <c r="A2" s="26">
        <f>'Farmacia San Francisco'!A2</f>
        <v>45992</v>
      </c>
      <c r="B2" s="77">
        <f>'Farmacia San Francisco'!B2</f>
        <v>3092029</v>
      </c>
      <c r="C2" s="77" t="str">
        <f>'Farmacia San Francisco'!C2</f>
        <v>Farmacia San Francisco</v>
      </c>
      <c r="D2" s="29">
        <f>'Farmacia San Francisco'!D2</f>
        <v>0.27</v>
      </c>
      <c r="E2" s="17">
        <f>'Farmacia San Francisco'!E2</f>
        <v>14100</v>
      </c>
      <c r="F2" s="17">
        <f>'Farmacia San Francisco'!F2</f>
        <v>4050</v>
      </c>
      <c r="G2" s="17">
        <f>'Farmacia San Francisco'!G2</f>
        <v>2100</v>
      </c>
      <c r="H2" s="17">
        <f>'Farmacia San Francisco'!H2</f>
        <v>7950</v>
      </c>
      <c r="I2" s="17" t="str">
        <f>'Farmacia San Francisco'!I2</f>
        <v>T4-Ba</v>
      </c>
      <c r="J2" s="30">
        <f>'Farmacia San Francisco'!J2</f>
        <v>156.5485</v>
      </c>
      <c r="K2" s="30">
        <f>'Farmacia San Francisco'!K2</f>
        <v>153.7589</v>
      </c>
      <c r="L2" s="30">
        <f>'Farmacia San Francisco'!L2</f>
        <v>154.5615</v>
      </c>
      <c r="M2" s="15">
        <f>'Farmacia San Francisco'!M2</f>
        <v>3220</v>
      </c>
      <c r="N2" s="17">
        <f>'Farmacia San Francisco'!N2</f>
        <v>17320</v>
      </c>
      <c r="O2" s="31">
        <f>'Farmacia San Francisco'!O2</f>
        <v>2185679.04</v>
      </c>
      <c r="P2" s="20">
        <f>'Farmacia San Francisco'!P2</f>
        <v>1470</v>
      </c>
      <c r="Q2" s="181">
        <f>'Farmacia San Francisco'!Q2</f>
        <v>338.5632857</v>
      </c>
      <c r="R2" s="32">
        <f>'Farmacia San Francisco'!R2</f>
        <v>497688.03</v>
      </c>
      <c r="S2" s="32">
        <f>'Farmacia San Francisco'!S2</f>
        <v>1465</v>
      </c>
      <c r="T2" s="34">
        <f>'Farmacia San Francisco'!T2</f>
        <v>629913.9212</v>
      </c>
      <c r="U2" s="35">
        <f>'Farmacia San Francisco'!U2</f>
        <v>644</v>
      </c>
      <c r="V2" s="36">
        <f>'Farmacia San Francisco'!V2</f>
        <v>29.27272727</v>
      </c>
      <c r="W2" s="37">
        <f>'Farmacia San Francisco'!W2</f>
        <v>0.1854714681</v>
      </c>
      <c r="X2" s="31">
        <f>'Farmacia San Francisco'!X2</f>
        <v>2683367.07</v>
      </c>
      <c r="Y2" s="26"/>
      <c r="Z2" s="77"/>
      <c r="AA2" s="77"/>
      <c r="AB2" s="29"/>
      <c r="AC2" s="17"/>
      <c r="AD2" s="17"/>
      <c r="AE2" s="17"/>
      <c r="AF2" s="17"/>
      <c r="AG2" s="28"/>
      <c r="AH2" s="30"/>
      <c r="AI2" s="30"/>
      <c r="AJ2" s="30"/>
      <c r="AK2" s="15"/>
      <c r="AL2" s="17"/>
      <c r="AM2" s="31"/>
      <c r="AN2" s="20"/>
      <c r="AO2" s="181"/>
      <c r="AP2" s="32"/>
      <c r="AQ2" s="84"/>
      <c r="AR2" s="34"/>
      <c r="AS2" s="35"/>
      <c r="AT2" s="36"/>
      <c r="AU2" s="37"/>
      <c r="AV2" s="31"/>
    </row>
    <row r="3" ht="15.75" customHeight="1">
      <c r="A3" s="26">
        <f>'Farmacia San Francisco'!A3</f>
        <v>45979</v>
      </c>
      <c r="B3" s="77">
        <f>'Farmacia San Francisco'!B3</f>
        <v>3092029</v>
      </c>
      <c r="C3" s="77" t="str">
        <f>'Farmacia San Francisco'!C3</f>
        <v>Farmacia San Francisco</v>
      </c>
      <c r="D3" s="29">
        <f>'Farmacia San Francisco'!D3</f>
        <v>0.27</v>
      </c>
      <c r="E3" s="17">
        <f>'Farmacia San Francisco'!E3</f>
        <v>11790</v>
      </c>
      <c r="F3" s="17">
        <f>'Farmacia San Francisco'!F3</f>
        <v>6270</v>
      </c>
      <c r="G3" s="17">
        <f>'Farmacia San Francisco'!G3</f>
        <v>1770</v>
      </c>
      <c r="H3" s="17">
        <f>'Farmacia San Francisco'!H3</f>
        <v>3750</v>
      </c>
      <c r="I3" s="17" t="str">
        <f>'Farmacia San Francisco'!I3</f>
        <v>T4-Ba</v>
      </c>
      <c r="J3" s="30">
        <f>'Farmacia San Francisco'!J3</f>
        <v>152.0913</v>
      </c>
      <c r="K3" s="30">
        <f>'Farmacia San Francisco'!K3</f>
        <v>149.3017</v>
      </c>
      <c r="L3" s="30">
        <f>'Farmacia San Francisco'!L3</f>
        <v>150.1043</v>
      </c>
      <c r="M3" s="15">
        <f>'Farmacia San Francisco'!M3</f>
        <v>3225.5</v>
      </c>
      <c r="N3" s="17">
        <f>'Farmacia San Francisco'!N3</f>
        <v>15015.5</v>
      </c>
      <c r="O3" s="31">
        <f>'Farmacia San Francisco'!O3</f>
        <v>1780767.585</v>
      </c>
      <c r="P3" s="20">
        <f>'Farmacia San Francisco'!P3</f>
        <v>1470</v>
      </c>
      <c r="Q3" s="181">
        <f>'Farmacia San Francisco'!Q3</f>
        <v>329.36151</v>
      </c>
      <c r="R3" s="32">
        <f>'Farmacia San Francisco'!R3</f>
        <v>484161.4197</v>
      </c>
      <c r="S3" s="32">
        <f>'Farmacia San Francisco'!S3</f>
        <v>1465</v>
      </c>
      <c r="T3" s="34">
        <f>'Farmacia San Francisco'!T3</f>
        <v>612793.5574</v>
      </c>
      <c r="U3" s="35">
        <f>'Farmacia San Francisco'!U3</f>
        <v>645.1</v>
      </c>
      <c r="V3" s="36">
        <f>'Farmacia San Francisco'!V3</f>
        <v>29.32272727</v>
      </c>
      <c r="W3" s="37">
        <f>'Farmacia San Francisco'!W3</f>
        <v>0.2137645015</v>
      </c>
      <c r="X3" s="31">
        <f>'Farmacia San Francisco'!X3</f>
        <v>2264929.005</v>
      </c>
      <c r="Y3" s="26"/>
      <c r="Z3" s="77"/>
      <c r="AA3" s="77"/>
      <c r="AB3" s="29"/>
      <c r="AC3" s="17"/>
      <c r="AD3" s="17"/>
      <c r="AE3" s="17"/>
      <c r="AF3" s="17"/>
      <c r="AG3" s="28"/>
      <c r="AH3" s="30"/>
      <c r="AI3" s="30"/>
      <c r="AJ3" s="30"/>
      <c r="AK3" s="15"/>
      <c r="AL3" s="17"/>
      <c r="AM3" s="31"/>
      <c r="AN3" s="20"/>
      <c r="AO3" s="181"/>
      <c r="AP3" s="32"/>
      <c r="AQ3" s="84"/>
      <c r="AR3" s="34"/>
      <c r="AS3" s="35"/>
      <c r="AT3" s="36"/>
      <c r="AU3" s="37"/>
      <c r="AV3" s="31"/>
    </row>
    <row r="4" ht="15.75" customHeight="1">
      <c r="A4" s="26">
        <f>'Farmacia San Francisco'!A4</f>
        <v>45931</v>
      </c>
      <c r="B4" s="77">
        <f>'Farmacia San Francisco'!B4</f>
        <v>3092029</v>
      </c>
      <c r="C4" s="77" t="str">
        <f>'Farmacia San Francisco'!C4</f>
        <v>Farmacia San Francisco</v>
      </c>
      <c r="D4" s="29">
        <f>'Farmacia San Francisco'!D4</f>
        <v>0.27</v>
      </c>
      <c r="E4" s="17">
        <f>'Farmacia San Francisco'!E4</f>
        <v>10500</v>
      </c>
      <c r="F4" s="17">
        <f>'Farmacia San Francisco'!F4</f>
        <v>3270</v>
      </c>
      <c r="G4" s="17">
        <f>'Farmacia San Francisco'!G4</f>
        <v>1800</v>
      </c>
      <c r="H4" s="17">
        <f>'Farmacia San Francisco'!H4</f>
        <v>5430</v>
      </c>
      <c r="I4" s="28" t="str">
        <f>'Farmacia San Francisco'!I4</f>
        <v>T4-Ba</v>
      </c>
      <c r="J4" s="30">
        <f>'Farmacia San Francisco'!J4</f>
        <v>159.8077</v>
      </c>
      <c r="K4" s="30">
        <f>'Farmacia San Francisco'!K4</f>
        <v>156.9735</v>
      </c>
      <c r="L4" s="30">
        <f>'Farmacia San Francisco'!L4</f>
        <v>158.2241</v>
      </c>
      <c r="M4" s="15">
        <f>'Farmacia San Francisco'!M4</f>
        <v>3293.2</v>
      </c>
      <c r="N4" s="17">
        <f>'Farmacia San Francisco'!N4</f>
        <v>13793.2</v>
      </c>
      <c r="O4" s="31">
        <f>'Farmacia San Francisco'!O4</f>
        <v>1664280.342</v>
      </c>
      <c r="P4" s="20">
        <f>'Farmacia San Francisco'!P4</f>
        <v>1450</v>
      </c>
      <c r="Q4" s="181">
        <f>'Farmacia San Francisco'!Q4</f>
        <v>359.3542111</v>
      </c>
      <c r="R4" s="32">
        <f>'Farmacia San Francisco'!R4</f>
        <v>521063.6061</v>
      </c>
      <c r="S4" s="32">
        <f>'Farmacia San Francisco'!S4</f>
        <v>1465</v>
      </c>
      <c r="T4" s="34">
        <f>'Farmacia San Francisco'!T4</f>
        <v>668596.4775</v>
      </c>
      <c r="U4" s="35">
        <f>'Farmacia San Francisco'!U4</f>
        <v>658.64</v>
      </c>
      <c r="V4" s="36">
        <f>'Farmacia San Francisco'!V4</f>
        <v>29.93818182</v>
      </c>
      <c r="W4" s="37">
        <f>'Farmacia San Francisco'!W4</f>
        <v>0.2384355134</v>
      </c>
      <c r="X4" s="31">
        <f>'Farmacia San Francisco'!X4</f>
        <v>2185343.948</v>
      </c>
      <c r="Y4" s="26"/>
      <c r="Z4" s="77"/>
      <c r="AA4" s="77"/>
      <c r="AB4" s="29"/>
      <c r="AC4" s="17"/>
      <c r="AD4" s="17"/>
      <c r="AE4" s="17"/>
      <c r="AF4" s="17"/>
      <c r="AG4" s="28"/>
      <c r="AH4" s="30"/>
      <c r="AI4" s="30"/>
      <c r="AJ4" s="30"/>
      <c r="AK4" s="15"/>
      <c r="AL4" s="17"/>
      <c r="AM4" s="31"/>
      <c r="AN4" s="20"/>
      <c r="AO4" s="181"/>
      <c r="AP4" s="32"/>
      <c r="AQ4" s="32"/>
      <c r="AR4" s="34"/>
      <c r="AS4" s="35"/>
      <c r="AT4" s="36"/>
      <c r="AU4" s="37"/>
      <c r="AV4" s="31"/>
    </row>
    <row r="5" ht="15.75" customHeight="1">
      <c r="A5" s="26"/>
      <c r="B5" s="77"/>
      <c r="C5" s="77"/>
      <c r="D5" s="29"/>
      <c r="E5" s="17"/>
      <c r="F5" s="17"/>
      <c r="G5" s="17"/>
      <c r="H5" s="17"/>
      <c r="I5" s="28"/>
      <c r="J5" s="30"/>
      <c r="K5" s="30"/>
      <c r="L5" s="30"/>
      <c r="M5" s="15"/>
      <c r="N5" s="17"/>
      <c r="O5" s="31"/>
      <c r="P5" s="20"/>
      <c r="Q5" s="181"/>
      <c r="R5" s="32"/>
      <c r="S5" s="32"/>
      <c r="T5" s="34"/>
      <c r="U5" s="35"/>
      <c r="V5" s="36"/>
      <c r="W5" s="37"/>
      <c r="X5" s="31"/>
      <c r="Y5" s="26"/>
      <c r="Z5" s="77"/>
      <c r="AA5" s="77"/>
      <c r="AB5" s="29"/>
      <c r="AC5" s="17"/>
      <c r="AD5" s="17"/>
      <c r="AE5" s="17"/>
      <c r="AF5" s="17"/>
      <c r="AG5" s="28"/>
      <c r="AH5" s="30"/>
      <c r="AI5" s="30"/>
      <c r="AJ5" s="30"/>
      <c r="AK5" s="15"/>
      <c r="AL5" s="17"/>
      <c r="AM5" s="31"/>
      <c r="AN5" s="20"/>
      <c r="AO5" s="181"/>
      <c r="AP5" s="32"/>
      <c r="AQ5" s="32"/>
      <c r="AR5" s="34"/>
      <c r="AS5" s="35"/>
      <c r="AT5" s="36"/>
      <c r="AU5" s="37"/>
      <c r="AV5" s="31"/>
    </row>
    <row r="6" ht="15.75" customHeight="1">
      <c r="A6" s="26"/>
      <c r="B6" s="77"/>
      <c r="C6" s="77"/>
      <c r="D6" s="29"/>
      <c r="E6" s="17"/>
      <c r="F6" s="17"/>
      <c r="G6" s="17"/>
      <c r="H6" s="17"/>
      <c r="I6" s="28"/>
      <c r="J6" s="30"/>
      <c r="K6" s="30"/>
      <c r="L6" s="30"/>
      <c r="M6" s="15"/>
      <c r="N6" s="17"/>
      <c r="O6" s="31"/>
      <c r="P6" s="20"/>
      <c r="Q6" s="181"/>
      <c r="R6" s="32"/>
      <c r="S6" s="32"/>
      <c r="T6" s="34"/>
      <c r="U6" s="35"/>
      <c r="V6" s="36"/>
      <c r="W6" s="37"/>
      <c r="X6" s="31"/>
      <c r="Y6" s="26"/>
      <c r="Z6" s="77"/>
      <c r="AA6" s="77"/>
      <c r="AB6" s="29"/>
      <c r="AC6" s="17"/>
      <c r="AD6" s="17"/>
      <c r="AE6" s="17"/>
      <c r="AF6" s="17"/>
      <c r="AG6" s="28"/>
      <c r="AH6" s="30"/>
      <c r="AI6" s="30"/>
      <c r="AJ6" s="30"/>
      <c r="AK6" s="15"/>
      <c r="AL6" s="17"/>
      <c r="AM6" s="31"/>
      <c r="AN6" s="20"/>
      <c r="AO6" s="181"/>
      <c r="AP6" s="32"/>
      <c r="AQ6" s="32"/>
      <c r="AR6" s="34"/>
      <c r="AS6" s="35"/>
      <c r="AT6" s="36"/>
      <c r="AU6" s="37"/>
      <c r="AV6" s="31"/>
    </row>
    <row r="7" ht="15.75" customHeight="1">
      <c r="A7" s="26"/>
      <c r="B7" s="77"/>
      <c r="C7" s="77"/>
      <c r="D7" s="29"/>
      <c r="E7" s="17"/>
      <c r="F7" s="17"/>
      <c r="G7" s="17"/>
      <c r="H7" s="17"/>
      <c r="I7" s="28"/>
      <c r="J7" s="30"/>
      <c r="K7" s="30"/>
      <c r="L7" s="30"/>
      <c r="M7" s="15"/>
      <c r="N7" s="17"/>
      <c r="O7" s="31"/>
      <c r="P7" s="20"/>
      <c r="Q7" s="181"/>
      <c r="R7" s="32"/>
      <c r="S7" s="32"/>
      <c r="T7" s="34"/>
      <c r="U7" s="35"/>
      <c r="V7" s="36"/>
      <c r="W7" s="37"/>
      <c r="X7" s="31"/>
      <c r="Y7" s="26"/>
      <c r="Z7" s="77"/>
      <c r="AA7" s="77"/>
      <c r="AB7" s="29"/>
      <c r="AC7" s="17"/>
      <c r="AD7" s="17"/>
      <c r="AE7" s="17"/>
      <c r="AF7" s="17"/>
      <c r="AG7" s="28"/>
      <c r="AH7" s="30"/>
      <c r="AI7" s="30"/>
      <c r="AJ7" s="30"/>
      <c r="AK7" s="15"/>
      <c r="AL7" s="17"/>
      <c r="AM7" s="31"/>
      <c r="AN7" s="20"/>
      <c r="AO7" s="181"/>
      <c r="AP7" s="32"/>
      <c r="AQ7" s="32"/>
      <c r="AR7" s="34"/>
      <c r="AS7" s="35"/>
      <c r="AT7" s="36"/>
      <c r="AU7" s="37"/>
      <c r="AV7" s="31"/>
    </row>
    <row r="8" ht="15.75" customHeight="1">
      <c r="A8" s="26"/>
      <c r="B8" s="77"/>
      <c r="C8" s="77"/>
      <c r="D8" s="29"/>
      <c r="E8" s="17"/>
      <c r="F8" s="17"/>
      <c r="G8" s="17"/>
      <c r="H8" s="17"/>
      <c r="I8" s="28"/>
      <c r="J8" s="30"/>
      <c r="K8" s="30"/>
      <c r="L8" s="30"/>
      <c r="M8" s="15"/>
      <c r="N8" s="17"/>
      <c r="O8" s="31"/>
      <c r="P8" s="20"/>
      <c r="Q8" s="181"/>
      <c r="R8" s="32"/>
      <c r="S8" s="32"/>
      <c r="T8" s="34"/>
      <c r="U8" s="35"/>
      <c r="V8" s="36"/>
      <c r="W8" s="37"/>
      <c r="X8" s="31"/>
      <c r="Y8" s="26"/>
      <c r="Z8" s="77"/>
      <c r="AA8" s="77"/>
      <c r="AB8" s="29"/>
      <c r="AC8" s="17"/>
      <c r="AD8" s="17"/>
      <c r="AE8" s="17"/>
      <c r="AF8" s="17"/>
      <c r="AG8" s="28"/>
      <c r="AH8" s="30"/>
      <c r="AI8" s="30"/>
      <c r="AJ8" s="30"/>
      <c r="AK8" s="15"/>
      <c r="AL8" s="17"/>
      <c r="AM8" s="31"/>
      <c r="AN8" s="20"/>
      <c r="AO8" s="181"/>
      <c r="AP8" s="32"/>
      <c r="AQ8" s="32"/>
      <c r="AR8" s="34"/>
      <c r="AS8" s="35"/>
      <c r="AT8" s="36"/>
      <c r="AU8" s="37"/>
      <c r="AV8" s="31"/>
    </row>
    <row r="9" ht="15.75" customHeight="1">
      <c r="A9" s="26"/>
      <c r="B9" s="77"/>
      <c r="C9" s="77"/>
      <c r="D9" s="29"/>
      <c r="E9" s="17"/>
      <c r="F9" s="17"/>
      <c r="G9" s="17"/>
      <c r="H9" s="17"/>
      <c r="I9" s="28"/>
      <c r="J9" s="30"/>
      <c r="K9" s="30"/>
      <c r="L9" s="30"/>
      <c r="M9" s="15"/>
      <c r="N9" s="17"/>
      <c r="O9" s="31"/>
      <c r="P9" s="20"/>
      <c r="Q9" s="181"/>
      <c r="R9" s="32"/>
      <c r="S9" s="32"/>
      <c r="T9" s="34"/>
      <c r="U9" s="35"/>
      <c r="V9" s="36"/>
      <c r="W9" s="37"/>
      <c r="X9" s="31"/>
      <c r="Y9" s="26"/>
      <c r="Z9" s="77"/>
      <c r="AA9" s="77"/>
      <c r="AB9" s="29"/>
      <c r="AC9" s="17"/>
      <c r="AD9" s="17"/>
      <c r="AE9" s="17"/>
      <c r="AF9" s="17"/>
      <c r="AG9" s="28"/>
      <c r="AH9" s="30"/>
      <c r="AI9" s="30"/>
      <c r="AJ9" s="30"/>
      <c r="AK9" s="15"/>
      <c r="AL9" s="17"/>
      <c r="AM9" s="31"/>
      <c r="AN9" s="20"/>
      <c r="AO9" s="181"/>
      <c r="AP9" s="32"/>
      <c r="AQ9" s="32"/>
      <c r="AR9" s="34"/>
      <c r="AS9" s="35"/>
      <c r="AT9" s="36"/>
      <c r="AU9" s="37"/>
      <c r="AV9" s="31"/>
    </row>
    <row r="10" ht="15.75" customHeight="1">
      <c r="A10" s="26"/>
      <c r="B10" s="77"/>
      <c r="C10" s="77"/>
      <c r="D10" s="29"/>
      <c r="E10" s="17"/>
      <c r="F10" s="17"/>
      <c r="G10" s="17"/>
      <c r="H10" s="17"/>
      <c r="I10" s="28"/>
      <c r="J10" s="30"/>
      <c r="K10" s="30"/>
      <c r="L10" s="30"/>
      <c r="M10" s="15"/>
      <c r="N10" s="17"/>
      <c r="O10" s="31"/>
      <c r="P10" s="20"/>
      <c r="Q10" s="181"/>
      <c r="R10" s="32"/>
      <c r="S10" s="32"/>
      <c r="T10" s="34"/>
      <c r="U10" s="35"/>
      <c r="V10" s="36"/>
      <c r="W10" s="37"/>
      <c r="X10" s="31"/>
      <c r="Y10" s="26"/>
      <c r="Z10" s="77"/>
      <c r="AA10" s="77"/>
      <c r="AB10" s="29"/>
      <c r="AC10" s="17"/>
      <c r="AD10" s="17"/>
      <c r="AE10" s="17"/>
      <c r="AF10" s="17"/>
      <c r="AG10" s="28"/>
      <c r="AH10" s="30"/>
      <c r="AI10" s="30"/>
      <c r="AJ10" s="30"/>
      <c r="AK10" s="15"/>
      <c r="AL10" s="17"/>
      <c r="AM10" s="31"/>
      <c r="AN10" s="20"/>
      <c r="AO10" s="181"/>
      <c r="AP10" s="32"/>
      <c r="AQ10" s="32"/>
      <c r="AR10" s="34"/>
      <c r="AS10" s="35"/>
      <c r="AT10" s="36"/>
      <c r="AU10" s="37"/>
      <c r="AV10" s="31"/>
    </row>
    <row r="11" ht="15.75" customHeight="1">
      <c r="A11" s="26"/>
      <c r="B11" s="77"/>
      <c r="C11" s="77"/>
      <c r="D11" s="29"/>
      <c r="E11" s="17"/>
      <c r="F11" s="17"/>
      <c r="G11" s="17"/>
      <c r="H11" s="17"/>
      <c r="I11" s="28"/>
      <c r="J11" s="30"/>
      <c r="K11" s="30"/>
      <c r="L11" s="30"/>
      <c r="M11" s="15"/>
      <c r="N11" s="17"/>
      <c r="O11" s="31"/>
      <c r="P11" s="20"/>
      <c r="Q11" s="181"/>
      <c r="R11" s="32"/>
      <c r="S11" s="32"/>
      <c r="T11" s="34"/>
      <c r="U11" s="35"/>
      <c r="V11" s="36"/>
      <c r="W11" s="37"/>
      <c r="X11" s="31"/>
      <c r="Y11" s="26"/>
      <c r="Z11" s="77"/>
      <c r="AA11" s="77"/>
      <c r="AB11" s="29"/>
      <c r="AC11" s="17"/>
      <c r="AD11" s="17"/>
      <c r="AE11" s="17"/>
      <c r="AF11" s="17"/>
      <c r="AG11" s="28"/>
      <c r="AH11" s="30"/>
      <c r="AI11" s="30"/>
      <c r="AJ11" s="30"/>
      <c r="AK11" s="15"/>
      <c r="AL11" s="17"/>
      <c r="AM11" s="31"/>
      <c r="AN11" s="20"/>
      <c r="AO11" s="181"/>
      <c r="AP11" s="32"/>
      <c r="AQ11" s="32"/>
      <c r="AR11" s="34"/>
      <c r="AS11" s="35"/>
      <c r="AT11" s="36"/>
      <c r="AU11" s="37"/>
      <c r="AV11" s="31"/>
    </row>
    <row r="12" ht="15.75" customHeight="1">
      <c r="A12" s="26"/>
      <c r="B12" s="77"/>
      <c r="C12" s="77"/>
      <c r="D12" s="29"/>
      <c r="E12" s="17"/>
      <c r="F12" s="17"/>
      <c r="G12" s="17"/>
      <c r="H12" s="17"/>
      <c r="I12" s="28"/>
      <c r="J12" s="30"/>
      <c r="K12" s="30"/>
      <c r="L12" s="30"/>
      <c r="M12" s="15"/>
      <c r="N12" s="17"/>
      <c r="O12" s="31"/>
      <c r="P12" s="20"/>
      <c r="Q12" s="181"/>
      <c r="R12" s="32"/>
      <c r="S12" s="32"/>
      <c r="T12" s="34"/>
      <c r="U12" s="35"/>
      <c r="V12" s="36"/>
      <c r="W12" s="37"/>
      <c r="X12" s="31"/>
      <c r="Y12" s="26"/>
      <c r="Z12" s="77"/>
      <c r="AA12" s="77"/>
      <c r="AB12" s="29"/>
      <c r="AC12" s="17"/>
      <c r="AD12" s="17"/>
      <c r="AE12" s="17"/>
      <c r="AF12" s="17"/>
      <c r="AG12" s="28"/>
      <c r="AH12" s="30"/>
      <c r="AI12" s="30"/>
      <c r="AJ12" s="30"/>
      <c r="AK12" s="15"/>
      <c r="AL12" s="17"/>
      <c r="AM12" s="31"/>
      <c r="AN12" s="20"/>
      <c r="AO12" s="181"/>
      <c r="AP12" s="32"/>
      <c r="AQ12" s="84"/>
      <c r="AR12" s="34"/>
      <c r="AS12" s="35"/>
      <c r="AT12" s="36"/>
      <c r="AU12" s="37"/>
      <c r="AV12" s="31"/>
    </row>
    <row r="13" ht="15.75" customHeight="1">
      <c r="A13" s="26"/>
      <c r="B13" s="77"/>
      <c r="C13" s="77"/>
      <c r="D13" s="29"/>
      <c r="E13" s="17"/>
      <c r="F13" s="17"/>
      <c r="G13" s="17"/>
      <c r="H13" s="17"/>
      <c r="I13" s="28"/>
      <c r="J13" s="30"/>
      <c r="K13" s="30"/>
      <c r="L13" s="30"/>
      <c r="M13" s="15"/>
      <c r="N13" s="17"/>
      <c r="O13" s="31"/>
      <c r="P13" s="20"/>
      <c r="Q13" s="181"/>
      <c r="R13" s="32"/>
      <c r="S13" s="32"/>
      <c r="T13" s="34"/>
      <c r="U13" s="35"/>
      <c r="V13" s="36"/>
      <c r="W13" s="37"/>
      <c r="X13" s="31"/>
      <c r="Y13" s="26"/>
      <c r="Z13" s="77"/>
      <c r="AA13" s="77"/>
      <c r="AB13" s="29"/>
      <c r="AC13" s="17"/>
      <c r="AD13" s="17"/>
      <c r="AE13" s="17"/>
      <c r="AF13" s="17"/>
      <c r="AG13" s="28"/>
      <c r="AH13" s="30"/>
      <c r="AI13" s="30"/>
      <c r="AJ13" s="30"/>
      <c r="AK13" s="15"/>
      <c r="AL13" s="17"/>
      <c r="AM13" s="31"/>
      <c r="AN13" s="20"/>
      <c r="AO13" s="181"/>
      <c r="AP13" s="32"/>
      <c r="AQ13" s="84"/>
      <c r="AR13" s="34"/>
      <c r="AS13" s="35"/>
      <c r="AT13" s="36"/>
      <c r="AU13" s="37"/>
      <c r="AV13" s="31"/>
    </row>
    <row r="14" ht="15.75" customHeight="1">
      <c r="A14" s="26"/>
      <c r="B14" s="77"/>
      <c r="C14" s="77"/>
      <c r="D14" s="29"/>
      <c r="E14" s="17"/>
      <c r="F14" s="17"/>
      <c r="G14" s="17"/>
      <c r="H14" s="17"/>
      <c r="I14" s="28"/>
      <c r="J14" s="30"/>
      <c r="K14" s="30"/>
      <c r="L14" s="30"/>
      <c r="M14" s="15"/>
      <c r="N14" s="17"/>
      <c r="O14" s="31"/>
      <c r="P14" s="20"/>
      <c r="Q14" s="181"/>
      <c r="R14" s="32"/>
      <c r="S14" s="32"/>
      <c r="T14" s="34"/>
      <c r="U14" s="35"/>
      <c r="V14" s="36"/>
      <c r="W14" s="37"/>
      <c r="X14" s="31"/>
      <c r="Y14" s="26"/>
      <c r="Z14" s="77"/>
      <c r="AA14" s="77"/>
      <c r="AB14" s="29"/>
      <c r="AC14" s="17"/>
      <c r="AD14" s="17"/>
      <c r="AE14" s="17"/>
      <c r="AF14" s="17"/>
      <c r="AG14" s="28"/>
      <c r="AH14" s="30"/>
      <c r="AI14" s="30"/>
      <c r="AJ14" s="30"/>
      <c r="AK14" s="15"/>
      <c r="AL14" s="17"/>
      <c r="AM14" s="31"/>
      <c r="AN14" s="20"/>
      <c r="AO14" s="181"/>
      <c r="AP14" s="32"/>
      <c r="AQ14" s="84"/>
      <c r="AR14" s="34"/>
      <c r="AS14" s="35"/>
      <c r="AT14" s="36"/>
      <c r="AU14" s="37"/>
      <c r="AV14" s="31"/>
    </row>
    <row r="15" ht="15.75" customHeight="1">
      <c r="A15" s="26"/>
      <c r="B15" s="77"/>
      <c r="C15" s="77"/>
      <c r="D15" s="29"/>
      <c r="E15" s="17"/>
      <c r="F15" s="17"/>
      <c r="G15" s="17"/>
      <c r="H15" s="17"/>
      <c r="I15" s="28"/>
      <c r="J15" s="30"/>
      <c r="K15" s="30"/>
      <c r="L15" s="30"/>
      <c r="M15" s="15"/>
      <c r="N15" s="17"/>
      <c r="O15" s="31"/>
      <c r="P15" s="20"/>
      <c r="Q15" s="181"/>
      <c r="R15" s="32"/>
      <c r="S15" s="32"/>
      <c r="T15" s="34"/>
      <c r="U15" s="35"/>
      <c r="V15" s="36"/>
      <c r="W15" s="37"/>
      <c r="X15" s="31"/>
      <c r="Y15" s="26"/>
      <c r="Z15" s="77"/>
      <c r="AA15" s="77"/>
      <c r="AB15" s="29"/>
      <c r="AC15" s="17"/>
      <c r="AD15" s="17"/>
      <c r="AE15" s="17"/>
      <c r="AF15" s="17"/>
      <c r="AG15" s="28"/>
      <c r="AH15" s="30"/>
      <c r="AI15" s="30"/>
      <c r="AJ15" s="30"/>
      <c r="AK15" s="15"/>
      <c r="AL15" s="17"/>
      <c r="AM15" s="31"/>
      <c r="AN15" s="20"/>
      <c r="AO15" s="181"/>
      <c r="AP15" s="32"/>
      <c r="AQ15" s="84"/>
      <c r="AR15" s="34"/>
      <c r="AS15" s="35"/>
      <c r="AT15" s="36"/>
      <c r="AU15" s="37"/>
      <c r="AV15" s="31"/>
    </row>
    <row r="16" ht="15.75" customHeight="1">
      <c r="A16" s="189"/>
      <c r="B16" s="189"/>
      <c r="C16" s="194"/>
      <c r="T16" s="202"/>
    </row>
    <row r="17" ht="15.75" customHeight="1">
      <c r="A17" s="189"/>
      <c r="B17" s="189"/>
      <c r="C17" s="194"/>
      <c r="T17" s="202"/>
    </row>
    <row r="18" ht="15.75" customHeight="1">
      <c r="A18" s="189"/>
      <c r="B18" s="189"/>
      <c r="C18" s="194"/>
      <c r="T18" s="202"/>
    </row>
    <row r="19" ht="15.75" customHeight="1">
      <c r="A19" s="189"/>
      <c r="B19" s="189"/>
      <c r="C19" s="194"/>
      <c r="T19" s="202"/>
    </row>
    <row r="20" ht="15.75" customHeight="1">
      <c r="A20" s="189"/>
      <c r="B20" s="189"/>
      <c r="C20" s="194"/>
      <c r="T20" s="202"/>
    </row>
    <row r="21" ht="15.75" customHeight="1">
      <c r="A21" s="189"/>
      <c r="B21" s="189"/>
      <c r="C21" s="194"/>
      <c r="T21" s="202"/>
    </row>
    <row r="22" ht="15.75" customHeight="1">
      <c r="A22" s="189"/>
      <c r="B22" s="189"/>
      <c r="C22" s="194"/>
      <c r="T22" s="202"/>
    </row>
    <row r="23" ht="15.75" customHeight="1">
      <c r="A23" s="189"/>
      <c r="B23" s="189"/>
      <c r="C23" s="194"/>
      <c r="T23" s="202"/>
    </row>
    <row r="24" ht="15.75" customHeight="1">
      <c r="A24" s="189"/>
      <c r="B24" s="189"/>
      <c r="C24" s="194"/>
      <c r="T24" s="202"/>
    </row>
    <row r="25" ht="15.75" customHeight="1">
      <c r="A25" s="189"/>
      <c r="B25" s="189"/>
      <c r="C25" s="194"/>
      <c r="T25" s="202"/>
    </row>
    <row r="26" ht="15.75" customHeight="1">
      <c r="A26" s="189"/>
      <c r="B26" s="189"/>
      <c r="C26" s="194"/>
      <c r="T26" s="202"/>
    </row>
    <row r="27" ht="15.75" customHeight="1">
      <c r="A27" s="189"/>
      <c r="B27" s="189"/>
      <c r="C27" s="194"/>
      <c r="T27" s="202"/>
    </row>
    <row r="28" ht="15.75" customHeight="1">
      <c r="A28" s="189"/>
      <c r="B28" s="189"/>
      <c r="C28" s="194"/>
      <c r="T28" s="202"/>
    </row>
    <row r="29" ht="15.75" customHeight="1">
      <c r="A29" s="189"/>
      <c r="B29" s="189"/>
      <c r="C29" s="194"/>
      <c r="T29" s="202"/>
    </row>
    <row r="30" ht="15.75" customHeight="1">
      <c r="A30" s="189"/>
      <c r="B30" s="189"/>
      <c r="C30" s="194"/>
      <c r="T30" s="202"/>
    </row>
    <row r="31" ht="15.75" customHeight="1">
      <c r="A31" s="189"/>
      <c r="B31" s="189"/>
      <c r="C31" s="194"/>
      <c r="T31" s="202"/>
    </row>
    <row r="32" ht="15.75" customHeight="1">
      <c r="A32" s="189"/>
      <c r="B32" s="189"/>
      <c r="C32" s="194"/>
      <c r="T32" s="202"/>
    </row>
    <row r="33" ht="15.75" customHeight="1">
      <c r="A33" s="189"/>
      <c r="B33" s="189"/>
      <c r="C33" s="194"/>
      <c r="T33" s="202"/>
    </row>
    <row r="34" ht="15.75" customHeight="1">
      <c r="A34" s="189"/>
      <c r="B34" s="189"/>
      <c r="C34" s="194"/>
      <c r="T34" s="202"/>
    </row>
    <row r="35" ht="15.75" customHeight="1">
      <c r="A35" s="189"/>
      <c r="B35" s="189"/>
      <c r="C35" s="194"/>
      <c r="T35" s="202"/>
    </row>
    <row r="36" ht="15.75" customHeight="1">
      <c r="A36" s="189"/>
      <c r="B36" s="189"/>
      <c r="C36" s="194"/>
      <c r="T36" s="202"/>
    </row>
    <row r="37" ht="15.75" customHeight="1">
      <c r="A37" s="189"/>
      <c r="B37" s="189"/>
      <c r="C37" s="194"/>
      <c r="T37" s="202"/>
    </row>
    <row r="38" ht="15.75" customHeight="1">
      <c r="A38" s="189"/>
      <c r="B38" s="189"/>
      <c r="C38" s="194"/>
      <c r="T38" s="202"/>
    </row>
    <row r="39" ht="15.75" customHeight="1">
      <c r="A39" s="189"/>
      <c r="B39" s="189"/>
      <c r="C39" s="194"/>
      <c r="T39" s="202"/>
    </row>
    <row r="40" ht="15.75" customHeight="1">
      <c r="A40" s="189"/>
      <c r="B40" s="189"/>
      <c r="C40" s="194"/>
      <c r="T40" s="202"/>
    </row>
    <row r="41" ht="15.75" customHeight="1">
      <c r="A41" s="189"/>
      <c r="B41" s="189"/>
      <c r="C41" s="194"/>
      <c r="T41" s="202"/>
    </row>
    <row r="42" ht="15.75" customHeight="1">
      <c r="A42" s="189"/>
      <c r="B42" s="189"/>
      <c r="C42" s="194"/>
      <c r="T42" s="202"/>
    </row>
    <row r="43" ht="15.75" customHeight="1">
      <c r="A43" s="189"/>
      <c r="B43" s="189"/>
      <c r="C43" s="194"/>
      <c r="T43" s="202"/>
    </row>
    <row r="44" ht="15.75" customHeight="1">
      <c r="A44" s="189"/>
      <c r="B44" s="189"/>
      <c r="C44" s="194"/>
      <c r="T44" s="202"/>
    </row>
    <row r="45" ht="15.75" customHeight="1">
      <c r="A45" s="189"/>
      <c r="B45" s="189"/>
      <c r="C45" s="194"/>
      <c r="T45" s="202"/>
    </row>
    <row r="46" ht="15.75" customHeight="1">
      <c r="A46" s="189"/>
      <c r="B46" s="189"/>
      <c r="C46" s="194"/>
      <c r="T46" s="202"/>
    </row>
    <row r="47" ht="15.75" customHeight="1">
      <c r="A47" s="189"/>
      <c r="B47" s="189"/>
      <c r="C47" s="194"/>
      <c r="T47" s="202"/>
    </row>
    <row r="48" ht="15.75" customHeight="1">
      <c r="A48" s="189"/>
      <c r="B48" s="189"/>
      <c r="C48" s="194"/>
      <c r="T48" s="202"/>
    </row>
    <row r="49" ht="15.75" customHeight="1">
      <c r="A49" s="189"/>
      <c r="B49" s="189"/>
      <c r="C49" s="194"/>
      <c r="T49" s="202"/>
    </row>
    <row r="50" ht="15.75" customHeight="1">
      <c r="A50" s="189"/>
      <c r="B50" s="189"/>
      <c r="C50" s="194"/>
      <c r="T50" s="202"/>
    </row>
    <row r="51" ht="15.75" customHeight="1">
      <c r="A51" s="189"/>
      <c r="B51" s="189"/>
      <c r="C51" s="194"/>
      <c r="T51" s="202"/>
    </row>
    <row r="52" ht="15.75" customHeight="1">
      <c r="A52" s="189"/>
      <c r="B52" s="189"/>
      <c r="C52" s="194"/>
      <c r="T52" s="202"/>
    </row>
    <row r="53" ht="15.75" customHeight="1">
      <c r="A53" s="189"/>
      <c r="B53" s="189"/>
      <c r="C53" s="194"/>
      <c r="T53" s="202"/>
    </row>
    <row r="54" ht="15.75" customHeight="1">
      <c r="A54" s="189"/>
      <c r="B54" s="189"/>
      <c r="C54" s="194"/>
      <c r="T54" s="202"/>
    </row>
    <row r="55" ht="15.75" customHeight="1">
      <c r="A55" s="189"/>
      <c r="B55" s="189"/>
      <c r="C55" s="194"/>
      <c r="T55" s="202"/>
    </row>
    <row r="56" ht="15.75" customHeight="1">
      <c r="A56" s="189"/>
      <c r="B56" s="189"/>
      <c r="C56" s="194"/>
      <c r="T56" s="202"/>
    </row>
    <row r="57" ht="15.75" customHeight="1">
      <c r="A57" s="189"/>
      <c r="B57" s="189"/>
      <c r="C57" s="194"/>
      <c r="T57" s="202"/>
    </row>
    <row r="58" ht="15.75" customHeight="1">
      <c r="A58" s="189"/>
      <c r="B58" s="189"/>
      <c r="C58" s="194"/>
      <c r="T58" s="202"/>
    </row>
    <row r="59" ht="15.75" customHeight="1">
      <c r="A59" s="189"/>
      <c r="B59" s="189"/>
      <c r="C59" s="194"/>
      <c r="T59" s="202"/>
    </row>
    <row r="60" ht="15.75" customHeight="1">
      <c r="A60" s="189"/>
      <c r="B60" s="189"/>
      <c r="C60" s="194"/>
      <c r="T60" s="202"/>
    </row>
    <row r="61" ht="15.75" customHeight="1">
      <c r="A61" s="189"/>
      <c r="B61" s="189"/>
      <c r="C61" s="194"/>
      <c r="T61" s="202"/>
    </row>
    <row r="62" ht="15.75" customHeight="1">
      <c r="A62" s="189"/>
      <c r="B62" s="189"/>
      <c r="C62" s="194"/>
      <c r="T62" s="202"/>
    </row>
    <row r="63" ht="15.75" customHeight="1">
      <c r="A63" s="189"/>
      <c r="B63" s="189"/>
      <c r="C63" s="194"/>
      <c r="T63" s="202"/>
    </row>
    <row r="64" ht="15.75" customHeight="1">
      <c r="A64" s="189"/>
      <c r="B64" s="189"/>
      <c r="C64" s="194"/>
      <c r="T64" s="202"/>
    </row>
    <row r="65" ht="15.75" customHeight="1">
      <c r="A65" s="189"/>
      <c r="B65" s="189"/>
      <c r="C65" s="194"/>
      <c r="T65" s="202"/>
    </row>
    <row r="66" ht="15.75" customHeight="1">
      <c r="A66" s="189"/>
      <c r="B66" s="189"/>
      <c r="C66" s="194"/>
      <c r="T66" s="202"/>
    </row>
    <row r="67" ht="15.75" customHeight="1">
      <c r="A67" s="189"/>
      <c r="B67" s="189"/>
      <c r="C67" s="194"/>
      <c r="T67" s="202"/>
    </row>
    <row r="68" ht="15.75" customHeight="1">
      <c r="A68" s="189"/>
      <c r="B68" s="189"/>
      <c r="C68" s="194"/>
      <c r="T68" s="202"/>
    </row>
    <row r="69" ht="15.75" customHeight="1">
      <c r="A69" s="189"/>
      <c r="B69" s="189"/>
      <c r="C69" s="194"/>
      <c r="T69" s="202"/>
    </row>
    <row r="70" ht="15.75" customHeight="1">
      <c r="A70" s="189"/>
      <c r="B70" s="189"/>
      <c r="C70" s="194"/>
      <c r="T70" s="202"/>
    </row>
    <row r="71" ht="15.75" customHeight="1">
      <c r="A71" s="189"/>
      <c r="B71" s="189"/>
      <c r="C71" s="194"/>
      <c r="T71" s="202"/>
    </row>
    <row r="72" ht="15.75" customHeight="1">
      <c r="A72" s="189"/>
      <c r="B72" s="189"/>
      <c r="C72" s="194"/>
      <c r="T72" s="202"/>
    </row>
    <row r="73" ht="15.75" customHeight="1">
      <c r="A73" s="189"/>
      <c r="B73" s="189"/>
      <c r="C73" s="194"/>
      <c r="T73" s="202"/>
    </row>
    <row r="74" ht="15.75" customHeight="1">
      <c r="A74" s="189"/>
      <c r="B74" s="189"/>
      <c r="C74" s="194"/>
      <c r="T74" s="202"/>
    </row>
    <row r="75" ht="15.75" customHeight="1">
      <c r="A75" s="189"/>
      <c r="B75" s="189"/>
      <c r="C75" s="194"/>
      <c r="T75" s="202"/>
    </row>
    <row r="76" ht="15.75" customHeight="1">
      <c r="A76" s="189"/>
      <c r="B76" s="189"/>
      <c r="C76" s="194"/>
      <c r="T76" s="202"/>
    </row>
    <row r="77" ht="15.75" customHeight="1">
      <c r="A77" s="189"/>
      <c r="B77" s="189"/>
      <c r="C77" s="194"/>
      <c r="T77" s="202"/>
    </row>
    <row r="78" ht="15.75" customHeight="1">
      <c r="A78" s="189"/>
      <c r="B78" s="189"/>
      <c r="C78" s="194"/>
      <c r="T78" s="202"/>
    </row>
    <row r="79" ht="15.75" customHeight="1">
      <c r="A79" s="189"/>
      <c r="B79" s="189"/>
      <c r="C79" s="194"/>
      <c r="T79" s="202"/>
    </row>
    <row r="80" ht="15.75" customHeight="1">
      <c r="A80" s="189"/>
      <c r="B80" s="189"/>
      <c r="C80" s="194"/>
      <c r="T80" s="202"/>
    </row>
    <row r="81" ht="15.75" customHeight="1">
      <c r="A81" s="189"/>
      <c r="B81" s="189"/>
      <c r="C81" s="194"/>
      <c r="T81" s="202"/>
    </row>
    <row r="82" ht="15.75" customHeight="1">
      <c r="A82" s="189"/>
      <c r="B82" s="189"/>
      <c r="C82" s="194"/>
      <c r="T82" s="202"/>
    </row>
    <row r="83" ht="15.75" customHeight="1">
      <c r="A83" s="189"/>
      <c r="B83" s="189"/>
      <c r="C83" s="194"/>
      <c r="T83" s="202"/>
    </row>
    <row r="84" ht="15.75" customHeight="1">
      <c r="A84" s="189"/>
      <c r="B84" s="189"/>
      <c r="C84" s="194"/>
      <c r="T84" s="202"/>
    </row>
    <row r="85" ht="15.75" customHeight="1">
      <c r="A85" s="189"/>
      <c r="B85" s="189"/>
      <c r="C85" s="194"/>
      <c r="T85" s="202"/>
    </row>
    <row r="86" ht="15.75" customHeight="1">
      <c r="A86" s="189"/>
      <c r="B86" s="189"/>
      <c r="C86" s="194"/>
      <c r="T86" s="202"/>
    </row>
    <row r="87" ht="15.75" customHeight="1">
      <c r="A87" s="189"/>
      <c r="B87" s="189"/>
      <c r="C87" s="194"/>
      <c r="T87" s="202"/>
    </row>
    <row r="88" ht="15.75" customHeight="1">
      <c r="A88" s="189"/>
      <c r="B88" s="189"/>
      <c r="C88" s="194"/>
      <c r="T88" s="202"/>
    </row>
    <row r="89" ht="15.75" customHeight="1">
      <c r="A89" s="189"/>
      <c r="B89" s="189"/>
      <c r="C89" s="194"/>
      <c r="T89" s="202"/>
    </row>
    <row r="90" ht="15.75" customHeight="1">
      <c r="A90" s="189"/>
      <c r="B90" s="189"/>
      <c r="C90" s="194"/>
      <c r="T90" s="202"/>
    </row>
    <row r="91" ht="15.75" customHeight="1">
      <c r="A91" s="189"/>
      <c r="B91" s="189"/>
      <c r="C91" s="194"/>
      <c r="T91" s="202"/>
    </row>
    <row r="92" ht="15.75" customHeight="1">
      <c r="A92" s="189"/>
      <c r="B92" s="189"/>
      <c r="C92" s="194"/>
      <c r="T92" s="202"/>
    </row>
    <row r="93" ht="15.75" customHeight="1">
      <c r="A93" s="189"/>
      <c r="B93" s="189"/>
      <c r="C93" s="194"/>
      <c r="T93" s="202"/>
    </row>
    <row r="94" ht="15.75" customHeight="1">
      <c r="A94" s="189"/>
      <c r="B94" s="189"/>
      <c r="C94" s="194"/>
      <c r="T94" s="202"/>
    </row>
    <row r="95" ht="15.75" customHeight="1">
      <c r="A95" s="189"/>
      <c r="B95" s="189"/>
      <c r="C95" s="194"/>
      <c r="T95" s="202"/>
    </row>
    <row r="96" ht="15.75" customHeight="1">
      <c r="A96" s="189"/>
      <c r="B96" s="189"/>
      <c r="C96" s="194"/>
      <c r="T96" s="202"/>
    </row>
    <row r="97" ht="15.75" customHeight="1">
      <c r="A97" s="189"/>
      <c r="B97" s="189"/>
      <c r="C97" s="194"/>
      <c r="T97" s="202"/>
    </row>
    <row r="98" ht="15.75" customHeight="1">
      <c r="A98" s="189"/>
      <c r="B98" s="189"/>
      <c r="C98" s="194"/>
      <c r="T98" s="202"/>
    </row>
    <row r="99" ht="15.75" customHeight="1">
      <c r="A99" s="189"/>
      <c r="B99" s="189"/>
      <c r="C99" s="194"/>
      <c r="T99" s="202"/>
    </row>
    <row r="100" ht="15.75" customHeight="1">
      <c r="A100" s="189"/>
      <c r="B100" s="189"/>
      <c r="C100" s="194"/>
      <c r="T100" s="202"/>
    </row>
    <row r="101" ht="15.75" customHeight="1">
      <c r="A101" s="189"/>
      <c r="B101" s="189"/>
      <c r="C101" s="194"/>
      <c r="T101" s="202"/>
    </row>
    <row r="102" ht="15.75" customHeight="1">
      <c r="A102" s="189"/>
      <c r="B102" s="189"/>
      <c r="C102" s="194"/>
      <c r="T102" s="202"/>
    </row>
    <row r="103" ht="15.75" customHeight="1">
      <c r="A103" s="189"/>
      <c r="B103" s="189"/>
      <c r="C103" s="194"/>
      <c r="T103" s="202"/>
    </row>
    <row r="104" ht="15.75" customHeight="1">
      <c r="A104" s="189"/>
      <c r="B104" s="189"/>
      <c r="C104" s="194"/>
      <c r="T104" s="202"/>
    </row>
    <row r="105" ht="15.75" customHeight="1">
      <c r="A105" s="189"/>
      <c r="B105" s="189"/>
      <c r="C105" s="194"/>
      <c r="T105" s="202"/>
    </row>
    <row r="106" ht="15.75" customHeight="1">
      <c r="A106" s="189"/>
      <c r="B106" s="189"/>
      <c r="C106" s="194"/>
      <c r="T106" s="202"/>
    </row>
    <row r="107" ht="15.75" customHeight="1">
      <c r="A107" s="189"/>
      <c r="B107" s="189"/>
      <c r="C107" s="194"/>
      <c r="T107" s="202"/>
    </row>
    <row r="108" ht="15.75" customHeight="1">
      <c r="A108" s="189"/>
      <c r="B108" s="189"/>
      <c r="C108" s="194"/>
      <c r="T108" s="202"/>
    </row>
    <row r="109" ht="15.75" customHeight="1">
      <c r="A109" s="189"/>
      <c r="B109" s="189"/>
      <c r="C109" s="194"/>
      <c r="T109" s="202"/>
    </row>
    <row r="110" ht="15.75" customHeight="1">
      <c r="A110" s="189"/>
      <c r="B110" s="189"/>
      <c r="C110" s="194"/>
      <c r="T110" s="202"/>
    </row>
    <row r="111" ht="15.75" customHeight="1">
      <c r="A111" s="189"/>
      <c r="B111" s="189"/>
      <c r="C111" s="194"/>
      <c r="T111" s="202"/>
    </row>
    <row r="112" ht="15.75" customHeight="1">
      <c r="A112" s="189"/>
      <c r="B112" s="189"/>
      <c r="C112" s="194"/>
      <c r="T112" s="202"/>
    </row>
    <row r="113" ht="15.75" customHeight="1">
      <c r="A113" s="189"/>
      <c r="B113" s="189"/>
      <c r="C113" s="194"/>
      <c r="T113" s="202"/>
    </row>
    <row r="114" ht="15.75" customHeight="1">
      <c r="A114" s="189"/>
      <c r="B114" s="189"/>
      <c r="C114" s="194"/>
      <c r="T114" s="202"/>
    </row>
    <row r="115" ht="15.75" customHeight="1">
      <c r="A115" s="189"/>
      <c r="B115" s="189"/>
      <c r="C115" s="194"/>
      <c r="T115" s="202"/>
    </row>
    <row r="116" ht="15.75" customHeight="1">
      <c r="A116" s="189"/>
      <c r="B116" s="189"/>
      <c r="C116" s="194"/>
      <c r="T116" s="202"/>
    </row>
    <row r="117" ht="15.75" customHeight="1">
      <c r="A117" s="189"/>
      <c r="B117" s="189"/>
      <c r="C117" s="194"/>
      <c r="T117" s="202"/>
    </row>
    <row r="118" ht="15.75" customHeight="1">
      <c r="A118" s="189"/>
      <c r="B118" s="189"/>
      <c r="C118" s="194"/>
      <c r="T118" s="202"/>
    </row>
    <row r="119" ht="15.75" customHeight="1">
      <c r="A119" s="189"/>
      <c r="B119" s="189"/>
      <c r="C119" s="194"/>
      <c r="T119" s="202"/>
    </row>
    <row r="120" ht="15.75" customHeight="1">
      <c r="A120" s="189"/>
      <c r="B120" s="189"/>
      <c r="C120" s="194"/>
      <c r="T120" s="202"/>
    </row>
    <row r="121" ht="15.75" customHeight="1">
      <c r="A121" s="189"/>
      <c r="B121" s="189"/>
      <c r="C121" s="194"/>
      <c r="T121" s="202"/>
    </row>
    <row r="122" ht="15.75" customHeight="1">
      <c r="A122" s="189"/>
      <c r="B122" s="189"/>
      <c r="C122" s="194"/>
      <c r="T122" s="202"/>
    </row>
    <row r="123" ht="15.75" customHeight="1">
      <c r="A123" s="189"/>
      <c r="B123" s="189"/>
      <c r="C123" s="194"/>
      <c r="T123" s="202"/>
    </row>
    <row r="124" ht="15.75" customHeight="1">
      <c r="A124" s="189"/>
      <c r="B124" s="189"/>
      <c r="C124" s="194"/>
      <c r="T124" s="202"/>
    </row>
    <row r="125" ht="15.75" customHeight="1">
      <c r="A125" s="189"/>
      <c r="B125" s="189"/>
      <c r="C125" s="194"/>
      <c r="T125" s="202"/>
    </row>
    <row r="126" ht="15.75" customHeight="1">
      <c r="A126" s="189"/>
      <c r="B126" s="189"/>
      <c r="C126" s="194"/>
      <c r="T126" s="202"/>
    </row>
    <row r="127" ht="15.75" customHeight="1">
      <c r="A127" s="189"/>
      <c r="B127" s="189"/>
      <c r="C127" s="194"/>
      <c r="T127" s="202"/>
    </row>
    <row r="128" ht="15.75" customHeight="1">
      <c r="A128" s="189"/>
      <c r="B128" s="189"/>
      <c r="C128" s="194"/>
      <c r="T128" s="202"/>
    </row>
    <row r="129" ht="15.75" customHeight="1">
      <c r="A129" s="189"/>
      <c r="B129" s="189"/>
      <c r="C129" s="194"/>
      <c r="T129" s="202"/>
    </row>
    <row r="130" ht="15.75" customHeight="1">
      <c r="A130" s="189"/>
      <c r="B130" s="189"/>
      <c r="C130" s="194"/>
      <c r="T130" s="202"/>
    </row>
    <row r="131" ht="15.75" customHeight="1">
      <c r="A131" s="189"/>
      <c r="B131" s="189"/>
      <c r="C131" s="194"/>
      <c r="T131" s="202"/>
    </row>
    <row r="132" ht="15.75" customHeight="1">
      <c r="A132" s="189"/>
      <c r="B132" s="189"/>
      <c r="C132" s="194"/>
      <c r="T132" s="202"/>
    </row>
    <row r="133" ht="15.75" customHeight="1">
      <c r="A133" s="189"/>
      <c r="B133" s="189"/>
      <c r="C133" s="194"/>
      <c r="T133" s="202"/>
    </row>
    <row r="134" ht="15.75" customHeight="1">
      <c r="A134" s="189"/>
      <c r="B134" s="189"/>
      <c r="C134" s="194"/>
      <c r="T134" s="202"/>
    </row>
    <row r="135" ht="15.75" customHeight="1">
      <c r="A135" s="189"/>
      <c r="B135" s="189"/>
      <c r="C135" s="194"/>
      <c r="T135" s="202"/>
    </row>
    <row r="136" ht="15.75" customHeight="1">
      <c r="A136" s="189"/>
      <c r="B136" s="189"/>
      <c r="C136" s="194"/>
      <c r="T136" s="202"/>
    </row>
    <row r="137" ht="15.75" customHeight="1">
      <c r="A137" s="189"/>
      <c r="B137" s="189"/>
      <c r="C137" s="194"/>
      <c r="T137" s="202"/>
    </row>
    <row r="138" ht="15.75" customHeight="1">
      <c r="A138" s="189"/>
      <c r="B138" s="189"/>
      <c r="C138" s="194"/>
      <c r="T138" s="202"/>
    </row>
    <row r="139" ht="15.75" customHeight="1">
      <c r="A139" s="189"/>
      <c r="B139" s="189"/>
      <c r="C139" s="194"/>
      <c r="T139" s="202"/>
    </row>
    <row r="140" ht="15.75" customHeight="1">
      <c r="A140" s="189"/>
      <c r="B140" s="189"/>
      <c r="C140" s="194"/>
      <c r="T140" s="202"/>
    </row>
    <row r="141" ht="15.75" customHeight="1">
      <c r="A141" s="189"/>
      <c r="B141" s="189"/>
      <c r="C141" s="194"/>
      <c r="T141" s="202"/>
    </row>
    <row r="142" ht="15.75" customHeight="1">
      <c r="A142" s="189"/>
      <c r="B142" s="189"/>
      <c r="C142" s="194"/>
      <c r="T142" s="202"/>
    </row>
    <row r="143" ht="15.75" customHeight="1">
      <c r="A143" s="189"/>
      <c r="B143" s="189"/>
      <c r="C143" s="194"/>
      <c r="T143" s="202"/>
    </row>
    <row r="144" ht="15.75" customHeight="1">
      <c r="A144" s="189"/>
      <c r="B144" s="189"/>
      <c r="C144" s="194"/>
      <c r="T144" s="202"/>
    </row>
    <row r="145" ht="15.75" customHeight="1">
      <c r="A145" s="189"/>
      <c r="B145" s="189"/>
      <c r="C145" s="194"/>
      <c r="T145" s="202"/>
    </row>
    <row r="146" ht="15.75" customHeight="1">
      <c r="A146" s="189"/>
      <c r="B146" s="189"/>
      <c r="C146" s="194"/>
      <c r="T146" s="202"/>
    </row>
    <row r="147" ht="15.75" customHeight="1">
      <c r="A147" s="189"/>
      <c r="B147" s="189"/>
      <c r="C147" s="194"/>
      <c r="T147" s="202"/>
    </row>
    <row r="148" ht="15.75" customHeight="1">
      <c r="A148" s="189"/>
      <c r="B148" s="189"/>
      <c r="C148" s="194"/>
      <c r="T148" s="202"/>
    </row>
    <row r="149" ht="15.75" customHeight="1">
      <c r="A149" s="189"/>
      <c r="B149" s="189"/>
      <c r="C149" s="194"/>
      <c r="T149" s="202"/>
    </row>
    <row r="150" ht="15.75" customHeight="1">
      <c r="A150" s="189"/>
      <c r="B150" s="189"/>
      <c r="C150" s="194"/>
      <c r="T150" s="202"/>
    </row>
    <row r="151" ht="15.75" customHeight="1">
      <c r="A151" s="189"/>
      <c r="B151" s="189"/>
      <c r="C151" s="194"/>
      <c r="T151" s="202"/>
    </row>
    <row r="152" ht="15.75" customHeight="1">
      <c r="A152" s="189"/>
      <c r="B152" s="189"/>
      <c r="C152" s="194"/>
      <c r="T152" s="202"/>
    </row>
    <row r="153" ht="15.75" customHeight="1">
      <c r="A153" s="189"/>
      <c r="B153" s="189"/>
      <c r="C153" s="194"/>
      <c r="T153" s="202"/>
    </row>
    <row r="154" ht="15.75" customHeight="1">
      <c r="A154" s="189"/>
      <c r="B154" s="189"/>
      <c r="C154" s="194"/>
      <c r="T154" s="202"/>
    </row>
    <row r="155" ht="15.75" customHeight="1">
      <c r="A155" s="189"/>
      <c r="B155" s="189"/>
      <c r="C155" s="194"/>
      <c r="T155" s="202"/>
    </row>
    <row r="156" ht="15.75" customHeight="1">
      <c r="A156" s="189"/>
      <c r="B156" s="189"/>
      <c r="C156" s="194"/>
      <c r="T156" s="202"/>
    </row>
    <row r="157" ht="15.75" customHeight="1">
      <c r="A157" s="189"/>
      <c r="B157" s="189"/>
      <c r="C157" s="194"/>
      <c r="T157" s="202"/>
    </row>
    <row r="158" ht="15.75" customHeight="1">
      <c r="A158" s="189"/>
      <c r="B158" s="189"/>
      <c r="C158" s="194"/>
      <c r="T158" s="202"/>
    </row>
    <row r="159" ht="15.75" customHeight="1">
      <c r="A159" s="189"/>
      <c r="B159" s="189"/>
      <c r="C159" s="194"/>
      <c r="T159" s="202"/>
    </row>
    <row r="160" ht="15.75" customHeight="1">
      <c r="A160" s="189"/>
      <c r="B160" s="189"/>
      <c r="C160" s="194"/>
      <c r="T160" s="202"/>
    </row>
    <row r="161" ht="15.75" customHeight="1">
      <c r="A161" s="189"/>
      <c r="B161" s="189"/>
      <c r="C161" s="194"/>
      <c r="T161" s="202"/>
    </row>
    <row r="162" ht="15.75" customHeight="1">
      <c r="A162" s="189"/>
      <c r="B162" s="189"/>
      <c r="C162" s="194"/>
      <c r="T162" s="202"/>
    </row>
    <row r="163" ht="15.75" customHeight="1">
      <c r="A163" s="189"/>
      <c r="B163" s="189"/>
      <c r="C163" s="194"/>
      <c r="T163" s="202"/>
    </row>
    <row r="164" ht="15.75" customHeight="1">
      <c r="A164" s="189"/>
      <c r="B164" s="189"/>
      <c r="C164" s="194"/>
      <c r="T164" s="202"/>
    </row>
    <row r="165" ht="15.75" customHeight="1">
      <c r="A165" s="189"/>
      <c r="B165" s="189"/>
      <c r="C165" s="194"/>
      <c r="T165" s="202"/>
    </row>
    <row r="166" ht="15.75" customHeight="1">
      <c r="A166" s="189"/>
      <c r="B166" s="189"/>
      <c r="C166" s="194"/>
      <c r="T166" s="202"/>
    </row>
    <row r="167" ht="15.75" customHeight="1">
      <c r="A167" s="189"/>
      <c r="B167" s="189"/>
      <c r="C167" s="194"/>
      <c r="T167" s="202"/>
    </row>
    <row r="168" ht="15.75" customHeight="1">
      <c r="A168" s="189"/>
      <c r="B168" s="189"/>
      <c r="C168" s="194"/>
      <c r="T168" s="202"/>
    </row>
    <row r="169" ht="15.75" customHeight="1">
      <c r="A169" s="189"/>
      <c r="B169" s="189"/>
      <c r="C169" s="194"/>
      <c r="T169" s="202"/>
    </row>
    <row r="170" ht="15.75" customHeight="1">
      <c r="A170" s="189"/>
      <c r="B170" s="189"/>
      <c r="C170" s="194"/>
      <c r="T170" s="202"/>
    </row>
    <row r="171" ht="15.75" customHeight="1">
      <c r="A171" s="189"/>
      <c r="B171" s="189"/>
      <c r="C171" s="194"/>
      <c r="T171" s="202"/>
    </row>
    <row r="172" ht="15.75" customHeight="1">
      <c r="A172" s="189"/>
      <c r="B172" s="189"/>
      <c r="C172" s="194"/>
      <c r="T172" s="202"/>
    </row>
    <row r="173" ht="15.75" customHeight="1">
      <c r="A173" s="189"/>
      <c r="B173" s="189"/>
      <c r="C173" s="194"/>
      <c r="T173" s="202"/>
    </row>
    <row r="174" ht="15.75" customHeight="1">
      <c r="A174" s="189"/>
      <c r="B174" s="189"/>
      <c r="C174" s="194"/>
      <c r="T174" s="202"/>
    </row>
    <row r="175" ht="15.75" customHeight="1">
      <c r="A175" s="189"/>
      <c r="B175" s="189"/>
      <c r="C175" s="194"/>
      <c r="T175" s="202"/>
    </row>
    <row r="176" ht="15.75" customHeight="1">
      <c r="A176" s="189"/>
      <c r="B176" s="189"/>
      <c r="C176" s="194"/>
      <c r="T176" s="202"/>
    </row>
    <row r="177" ht="15.75" customHeight="1">
      <c r="A177" s="189"/>
      <c r="B177" s="189"/>
      <c r="C177" s="194"/>
      <c r="T177" s="202"/>
    </row>
    <row r="178" ht="15.75" customHeight="1">
      <c r="A178" s="189"/>
      <c r="B178" s="189"/>
      <c r="C178" s="194"/>
      <c r="T178" s="202"/>
    </row>
    <row r="179" ht="15.75" customHeight="1">
      <c r="A179" s="189"/>
      <c r="B179" s="189"/>
      <c r="C179" s="194"/>
      <c r="T179" s="202"/>
    </row>
    <row r="180" ht="15.75" customHeight="1">
      <c r="A180" s="189"/>
      <c r="B180" s="189"/>
      <c r="C180" s="194"/>
      <c r="T180" s="202"/>
    </row>
    <row r="181" ht="15.75" customHeight="1">
      <c r="A181" s="189"/>
      <c r="B181" s="189"/>
      <c r="C181" s="194"/>
      <c r="T181" s="202"/>
    </row>
    <row r="182" ht="15.75" customHeight="1">
      <c r="A182" s="189"/>
      <c r="B182" s="189"/>
      <c r="C182" s="194"/>
      <c r="T182" s="202"/>
    </row>
    <row r="183" ht="15.75" customHeight="1">
      <c r="A183" s="189"/>
      <c r="B183" s="189"/>
      <c r="C183" s="194"/>
      <c r="T183" s="202"/>
    </row>
    <row r="184" ht="15.75" customHeight="1">
      <c r="A184" s="189"/>
      <c r="B184" s="189"/>
      <c r="C184" s="194"/>
      <c r="T184" s="202"/>
    </row>
    <row r="185" ht="15.75" customHeight="1">
      <c r="A185" s="189"/>
      <c r="B185" s="189"/>
      <c r="C185" s="194"/>
      <c r="T185" s="202"/>
    </row>
    <row r="186" ht="15.75" customHeight="1">
      <c r="A186" s="189"/>
      <c r="B186" s="189"/>
      <c r="C186" s="194"/>
      <c r="T186" s="202"/>
    </row>
    <row r="187" ht="15.75" customHeight="1">
      <c r="A187" s="189"/>
      <c r="B187" s="189"/>
      <c r="C187" s="194"/>
      <c r="T187" s="202"/>
    </row>
    <row r="188" ht="15.75" customHeight="1">
      <c r="A188" s="189"/>
      <c r="B188" s="189"/>
      <c r="C188" s="194"/>
      <c r="T188" s="202"/>
    </row>
    <row r="189" ht="15.75" customHeight="1">
      <c r="A189" s="189"/>
      <c r="B189" s="189"/>
      <c r="C189" s="194"/>
      <c r="T189" s="202"/>
    </row>
    <row r="190" ht="15.75" customHeight="1">
      <c r="A190" s="189"/>
      <c r="B190" s="189"/>
      <c r="C190" s="194"/>
      <c r="T190" s="202"/>
    </row>
    <row r="191" ht="15.75" customHeight="1">
      <c r="A191" s="189"/>
      <c r="B191" s="189"/>
      <c r="C191" s="194"/>
      <c r="T191" s="202"/>
    </row>
    <row r="192" ht="15.75" customHeight="1">
      <c r="A192" s="189"/>
      <c r="B192" s="189"/>
      <c r="C192" s="194"/>
      <c r="T192" s="202"/>
    </row>
    <row r="193" ht="15.75" customHeight="1">
      <c r="A193" s="189"/>
      <c r="B193" s="189"/>
      <c r="C193" s="194"/>
      <c r="T193" s="202"/>
    </row>
    <row r="194" ht="15.75" customHeight="1">
      <c r="A194" s="189"/>
      <c r="B194" s="189"/>
      <c r="C194" s="194"/>
      <c r="T194" s="202"/>
    </row>
    <row r="195" ht="15.75" customHeight="1">
      <c r="A195" s="189"/>
      <c r="B195" s="189"/>
      <c r="C195" s="194"/>
      <c r="T195" s="202"/>
    </row>
    <row r="196" ht="15.75" customHeight="1">
      <c r="A196" s="189"/>
      <c r="B196" s="189"/>
      <c r="C196" s="194"/>
      <c r="T196" s="202"/>
    </row>
    <row r="197" ht="15.75" customHeight="1">
      <c r="A197" s="189"/>
      <c r="B197" s="189"/>
      <c r="C197" s="194"/>
      <c r="T197" s="202"/>
    </row>
    <row r="198" ht="15.75" customHeight="1">
      <c r="A198" s="189"/>
      <c r="B198" s="189"/>
      <c r="C198" s="194"/>
      <c r="T198" s="202"/>
    </row>
    <row r="199" ht="15.75" customHeight="1">
      <c r="A199" s="189"/>
      <c r="B199" s="189"/>
      <c r="C199" s="194"/>
      <c r="T199" s="202"/>
    </row>
    <row r="200" ht="15.75" customHeight="1">
      <c r="A200" s="189"/>
      <c r="B200" s="189"/>
      <c r="C200" s="194"/>
      <c r="T200" s="202"/>
    </row>
    <row r="201" ht="15.75" customHeight="1">
      <c r="A201" s="189"/>
      <c r="B201" s="189"/>
      <c r="C201" s="194"/>
      <c r="T201" s="202"/>
    </row>
    <row r="202" ht="15.75" customHeight="1">
      <c r="A202" s="189"/>
      <c r="B202" s="189"/>
      <c r="C202" s="194"/>
      <c r="T202" s="202"/>
    </row>
    <row r="203" ht="15.75" customHeight="1">
      <c r="A203" s="189"/>
      <c r="B203" s="189"/>
      <c r="C203" s="194"/>
      <c r="T203" s="202"/>
    </row>
    <row r="204" ht="15.75" customHeight="1">
      <c r="A204" s="189"/>
      <c r="B204" s="189"/>
      <c r="C204" s="194"/>
      <c r="T204" s="202"/>
    </row>
    <row r="205" ht="15.75" customHeight="1">
      <c r="A205" s="189"/>
      <c r="B205" s="189"/>
      <c r="C205" s="194"/>
      <c r="T205" s="202"/>
    </row>
    <row r="206" ht="15.75" customHeight="1">
      <c r="A206" s="189"/>
      <c r="B206" s="189"/>
      <c r="C206" s="194"/>
      <c r="T206" s="202"/>
    </row>
    <row r="207" ht="15.75" customHeight="1">
      <c r="A207" s="189"/>
      <c r="B207" s="189"/>
      <c r="C207" s="194"/>
      <c r="T207" s="202"/>
    </row>
    <row r="208" ht="15.75" customHeight="1">
      <c r="A208" s="189"/>
      <c r="B208" s="189"/>
      <c r="C208" s="194"/>
      <c r="T208" s="202"/>
    </row>
    <row r="209" ht="15.75" customHeight="1">
      <c r="A209" s="189"/>
      <c r="B209" s="189"/>
      <c r="C209" s="194"/>
      <c r="T209" s="202"/>
    </row>
    <row r="210" ht="15.75" customHeight="1">
      <c r="A210" s="189"/>
      <c r="B210" s="189"/>
      <c r="C210" s="194"/>
      <c r="T210" s="202"/>
    </row>
    <row r="211" ht="15.75" customHeight="1">
      <c r="A211" s="189"/>
      <c r="B211" s="189"/>
      <c r="C211" s="194"/>
      <c r="T211" s="202"/>
    </row>
    <row r="212" ht="15.75" customHeight="1">
      <c r="A212" s="189"/>
      <c r="B212" s="189"/>
      <c r="C212" s="194"/>
      <c r="T212" s="202"/>
    </row>
    <row r="213" ht="15.75" customHeight="1">
      <c r="A213" s="189"/>
      <c r="B213" s="189"/>
      <c r="C213" s="194"/>
      <c r="T213" s="202"/>
    </row>
    <row r="214" ht="15.75" customHeight="1">
      <c r="A214" s="189"/>
      <c r="B214" s="189"/>
      <c r="C214" s="194"/>
      <c r="T214" s="202"/>
    </row>
    <row r="215" ht="15.75" customHeight="1">
      <c r="A215" s="189"/>
      <c r="B215" s="189"/>
      <c r="C215" s="194"/>
      <c r="T215" s="202"/>
    </row>
    <row r="216" ht="15.75" customHeight="1">
      <c r="A216" s="189"/>
      <c r="B216" s="189"/>
      <c r="C216" s="194"/>
      <c r="T216" s="202"/>
    </row>
    <row r="217" ht="15.75" customHeight="1">
      <c r="A217" s="189"/>
      <c r="B217" s="189"/>
      <c r="C217" s="194"/>
      <c r="T217" s="202"/>
    </row>
    <row r="218" ht="15.75" customHeight="1">
      <c r="A218" s="189"/>
      <c r="B218" s="189"/>
      <c r="C218" s="194"/>
      <c r="T218" s="202"/>
    </row>
    <row r="219" ht="15.75" customHeight="1">
      <c r="A219" s="189"/>
      <c r="B219" s="189"/>
      <c r="C219" s="194"/>
      <c r="T219" s="202"/>
    </row>
    <row r="220" ht="15.75" customHeight="1">
      <c r="A220" s="189"/>
      <c r="B220" s="189"/>
      <c r="C220" s="194"/>
      <c r="T220" s="20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6" width="12.63"/>
    <col customWidth="1" min="8" max="8" width="17.88"/>
    <col customWidth="1" min="9" max="9" width="14.38"/>
    <col customWidth="1" min="10" max="10" width="9.75"/>
    <col customWidth="1" min="13" max="13" width="17.88"/>
    <col customWidth="1" min="14" max="14" width="14.38"/>
    <col customWidth="1" min="17" max="17" width="17.63"/>
    <col customWidth="1" min="20" max="20" width="19.13"/>
    <col customWidth="1" min="23" max="23" width="19.13"/>
  </cols>
  <sheetData>
    <row r="1" ht="15.0" customHeight="1">
      <c r="A1" s="207" t="str">
        <f>Datos!A1</f>
        <v>   Fecha </v>
      </c>
      <c r="B1" s="207" t="str">
        <f>Datos!B1</f>
        <v>NIS</v>
      </c>
      <c r="C1" s="207" t="str">
        <f>Datos!C1</f>
        <v>Cliente</v>
      </c>
      <c r="D1" s="207" t="str">
        <f>Datos!D1</f>
        <v>IVA</v>
      </c>
      <c r="E1" s="207" t="str">
        <f>Datos!E1</f>
        <v>Consumo [kWh]</v>
      </c>
      <c r="F1" s="207" t="str">
        <f>Datos!F1</f>
        <v>Consumo hs punta [kWh]</v>
      </c>
      <c r="G1" s="207" t="str">
        <f>Datos!G1</f>
        <v>Consumo hs valle [kWh]</v>
      </c>
      <c r="H1" s="207" t="str">
        <f>Datos!H1</f>
        <v>Consumo hs resto[kWh]</v>
      </c>
      <c r="I1" s="207" t="str">
        <f>Datos!I1</f>
        <v>Catergoria</v>
      </c>
      <c r="J1" s="207" t="str">
        <f>Datos!J1</f>
        <v>Tarifa punta</v>
      </c>
      <c r="K1" s="207" t="str">
        <f>Datos!K1</f>
        <v>Tarifa valle</v>
      </c>
      <c r="L1" s="207" t="str">
        <f>Datos!L1</f>
        <v>Tarifa resto</v>
      </c>
      <c r="M1" s="207" t="str">
        <f>Datos!M1</f>
        <v>Generacion FV [kWh]</v>
      </c>
      <c r="N1" s="207" t="str">
        <f>Datos!N1</f>
        <v>CONSUMO TOTAL</v>
      </c>
      <c r="O1" s="207" t="str">
        <f>Datos!O1</f>
        <v>Total a pagar S / IVA</v>
      </c>
      <c r="P1" s="207" t="str">
        <f>Datos!P1</f>
        <v>Valor USD</v>
      </c>
      <c r="Q1" s="207" t="str">
        <f>Datos!Q1</f>
        <v>Ahorro (USD)</v>
      </c>
      <c r="R1" s="207" t="str">
        <f>Datos!R1</f>
        <v>Ahorro ($)</v>
      </c>
      <c r="S1" s="207" t="str">
        <f>Datos!S1</f>
        <v>Valor dolar Actual ($)</v>
      </c>
      <c r="T1" s="207" t="str">
        <f>Datos!T1</f>
        <v>Ahorro ($)-A precio actual</v>
      </c>
      <c r="U1" s="207" t="str">
        <f>Datos!U1</f>
        <v>kg CO2e evitados</v>
      </c>
      <c r="V1" s="207" t="str">
        <f>Datos!V1</f>
        <v>Equivalente en árboles</v>
      </c>
      <c r="W1" s="207" t="str">
        <f>Datos!W1</f>
        <v>% de ahorro sobre los consumos</v>
      </c>
      <c r="X1" s="207" t="str">
        <f>Datos!X1</f>
        <v>SIN PANELES S/IVA</v>
      </c>
      <c r="Y1" s="175"/>
      <c r="Z1" s="175"/>
      <c r="AA1" s="176"/>
      <c r="AB1" s="177"/>
      <c r="AC1" s="178"/>
    </row>
    <row r="2" ht="15.75" customHeight="1">
      <c r="A2" s="192">
        <f>IFERROR(__xludf.DUMMYFUNCTION("FILTER(Datos!1:1247,Datos!B:B=5211887)"),45992.0)</f>
        <v>45992</v>
      </c>
      <c r="B2" s="189">
        <f>IFERROR(__xludf.DUMMYFUNCTION("""COMPUTED_VALUE"""),5211887.0)</f>
        <v>5211887</v>
      </c>
      <c r="C2" s="189" t="str">
        <f>IFERROR(__xludf.DUMMYFUNCTION("""COMPUTED_VALUE"""),"O.Domingo-Colectivo")</f>
        <v>O.Domingo-Colectivo</v>
      </c>
      <c r="D2" s="202">
        <f>IFERROR(__xludf.DUMMYFUNCTION("""COMPUTED_VALUE"""),0.27)</f>
        <v>0.27</v>
      </c>
      <c r="E2" s="211">
        <f>IFERROR(__xludf.DUMMYFUNCTION("""COMPUTED_VALUE"""),2829.0)</f>
        <v>2829</v>
      </c>
      <c r="F2" s="211">
        <f>IFERROR(__xludf.DUMMYFUNCTION("""COMPUTED_VALUE"""),0.0)</f>
        <v>0</v>
      </c>
      <c r="G2" s="211">
        <f>IFERROR(__xludf.DUMMYFUNCTION("""COMPUTED_VALUE"""),0.0)</f>
        <v>0</v>
      </c>
      <c r="H2" s="211">
        <f>IFERROR(__xludf.DUMMYFUNCTION("""COMPUTED_VALUE"""),2829.0)</f>
        <v>2829</v>
      </c>
      <c r="I2" s="212" t="str">
        <f>IFERROR(__xludf.DUMMYFUNCTION("""COMPUTED_VALUE"""),"T2-Ba")</f>
        <v>T2-Ba</v>
      </c>
      <c r="J2" s="212">
        <f>IFERROR(__xludf.DUMMYFUNCTION("""COMPUTED_VALUE"""),148.2814)</f>
        <v>148.2814</v>
      </c>
      <c r="K2" s="212">
        <f>IFERROR(__xludf.DUMMYFUNCTION("""COMPUTED_VALUE"""),148.2814)</f>
        <v>148.2814</v>
      </c>
      <c r="L2" s="212">
        <f>IFERROR(__xludf.DUMMYFUNCTION("""COMPUTED_VALUE"""),148.2814)</f>
        <v>148.2814</v>
      </c>
      <c r="M2" s="152">
        <f>IFERROR(__xludf.DUMMYFUNCTION("""COMPUTED_VALUE"""),1272.1)</f>
        <v>1272.1</v>
      </c>
      <c r="N2" s="152">
        <f>IFERROR(__xludf.DUMMYFUNCTION("""COMPUTED_VALUE"""),4101.1)</f>
        <v>4101.1</v>
      </c>
      <c r="O2" s="213">
        <f>IFERROR(__xludf.DUMMYFUNCTION("""COMPUTED_VALUE"""),419488.0806)</f>
        <v>419488.0806</v>
      </c>
      <c r="P2" s="212">
        <f>IFERROR(__xludf.DUMMYFUNCTION("""COMPUTED_VALUE"""),1470.0)</f>
        <v>1470</v>
      </c>
      <c r="Q2" s="212">
        <f>IFERROR(__xludf.DUMMYFUNCTION("""COMPUTED_VALUE"""),128.31889043537413)</f>
        <v>128.3188904</v>
      </c>
      <c r="R2" s="212">
        <f>IFERROR(__xludf.DUMMYFUNCTION("""COMPUTED_VALUE"""),188628.76893999998)</f>
        <v>188628.7689</v>
      </c>
      <c r="S2" s="212">
        <f>IFERROR(__xludf.DUMMYFUNCTION("""COMPUTED_VALUE"""),1465.0)</f>
        <v>1465</v>
      </c>
      <c r="T2" s="154">
        <f>IFERROR(__xludf.DUMMYFUNCTION("""COMPUTED_VALUE"""),238743.71159953534)</f>
        <v>238743.7116</v>
      </c>
      <c r="U2" s="188">
        <f>IFERROR(__xludf.DUMMYFUNCTION("""COMPUTED_VALUE"""),254.42)</f>
        <v>254.42</v>
      </c>
      <c r="V2" s="188">
        <f>IFERROR(__xludf.DUMMYFUNCTION("""COMPUTED_VALUE"""),11.564545454545454)</f>
        <v>11.56454545</v>
      </c>
      <c r="W2" s="157">
        <f>IFERROR(__xludf.DUMMYFUNCTION("""COMPUTED_VALUE"""),0.3101850722976762)</f>
        <v>0.3101850723</v>
      </c>
      <c r="X2" s="212">
        <f>IFERROR(__xludf.DUMMYFUNCTION("""COMPUTED_VALUE"""),608116.84954)</f>
        <v>608116.8495</v>
      </c>
      <c r="Y2" s="205"/>
      <c r="Z2" s="187"/>
      <c r="AA2" s="188"/>
      <c r="AB2" s="188"/>
      <c r="AC2" s="202"/>
      <c r="AD2" s="189"/>
      <c r="AE2" s="189"/>
      <c r="AF2" s="189"/>
      <c r="AG2" s="189"/>
      <c r="AH2" s="189"/>
      <c r="AI2" s="189"/>
      <c r="AJ2" s="189"/>
      <c r="AK2" s="189"/>
      <c r="AL2" s="189"/>
      <c r="AM2" s="189"/>
      <c r="AN2" s="189"/>
      <c r="AO2" s="189"/>
      <c r="AP2" s="189"/>
      <c r="AQ2" s="189"/>
      <c r="AR2" s="189"/>
      <c r="AS2" s="189"/>
      <c r="AT2" s="189"/>
      <c r="AU2" s="189"/>
      <c r="AV2" s="189"/>
    </row>
    <row r="3" ht="15.75" customHeight="1">
      <c r="A3" s="214">
        <f>IFERROR(__xludf.DUMMYFUNCTION("""COMPUTED_VALUE"""),45983.0)</f>
        <v>45983</v>
      </c>
      <c r="B3" s="189">
        <f>IFERROR(__xludf.DUMMYFUNCTION("""COMPUTED_VALUE"""),5211887.0)</f>
        <v>5211887</v>
      </c>
      <c r="C3" s="189" t="str">
        <f>IFERROR(__xludf.DUMMYFUNCTION("""COMPUTED_VALUE"""),"O.Domingo-Colectivo")</f>
        <v>O.Domingo-Colectivo</v>
      </c>
      <c r="D3" s="202">
        <f>IFERROR(__xludf.DUMMYFUNCTION("""COMPUTED_VALUE"""),0.27)</f>
        <v>0.27</v>
      </c>
      <c r="E3" s="211">
        <f>IFERROR(__xludf.DUMMYFUNCTION("""COMPUTED_VALUE"""),2436.0)</f>
        <v>2436</v>
      </c>
      <c r="F3" s="211"/>
      <c r="G3" s="211"/>
      <c r="H3" s="211">
        <f>IFERROR(__xludf.DUMMYFUNCTION("""COMPUTED_VALUE"""),2436.0)</f>
        <v>2436</v>
      </c>
      <c r="I3" s="212" t="str">
        <f>IFERROR(__xludf.DUMMYFUNCTION("""COMPUTED_VALUE"""),"T2-Ba")</f>
        <v>T2-Ba</v>
      </c>
      <c r="J3" s="212">
        <f>IFERROR(__xludf.DUMMYFUNCTION("""COMPUTED_VALUE"""),145.8675)</f>
        <v>145.8675</v>
      </c>
      <c r="K3" s="212">
        <f>IFERROR(__xludf.DUMMYFUNCTION("""COMPUTED_VALUE"""),145.8675)</f>
        <v>145.8675</v>
      </c>
      <c r="L3" s="212">
        <f>IFERROR(__xludf.DUMMYFUNCTION("""COMPUTED_VALUE"""),145.8675)</f>
        <v>145.8675</v>
      </c>
      <c r="M3" s="152">
        <f>IFERROR(__xludf.DUMMYFUNCTION("""COMPUTED_VALUE"""),1276.9)</f>
        <v>1276.9</v>
      </c>
      <c r="N3" s="152">
        <f>IFERROR(__xludf.DUMMYFUNCTION("""COMPUTED_VALUE"""),3712.9)</f>
        <v>3712.9</v>
      </c>
      <c r="O3" s="213">
        <f>IFERROR(__xludf.DUMMYFUNCTION("""COMPUTED_VALUE"""),355333.23000000004)</f>
        <v>355333.23</v>
      </c>
      <c r="P3" s="212">
        <f>IFERROR(__xludf.DUMMYFUNCTION("""COMPUTED_VALUE"""),1470.0)</f>
        <v>1470</v>
      </c>
      <c r="Q3" s="212">
        <f>IFERROR(__xludf.DUMMYFUNCTION("""COMPUTED_VALUE"""),126.70626581632655)</f>
        <v>126.7062658</v>
      </c>
      <c r="R3" s="212">
        <f>IFERROR(__xludf.DUMMYFUNCTION("""COMPUTED_VALUE"""),186258.21075000003)</f>
        <v>186258.2108</v>
      </c>
      <c r="S3" s="212">
        <f>IFERROR(__xludf.DUMMYFUNCTION("""COMPUTED_VALUE"""),1465.0)</f>
        <v>1465</v>
      </c>
      <c r="T3" s="154">
        <f>IFERROR(__xludf.DUMMYFUNCTION("""COMPUTED_VALUE"""),235743.34286456637)</f>
        <v>235743.3429</v>
      </c>
      <c r="U3" s="188">
        <f>IFERROR(__xludf.DUMMYFUNCTION("""COMPUTED_VALUE"""),255.38000000000002)</f>
        <v>255.38</v>
      </c>
      <c r="V3" s="188">
        <f>IFERROR(__xludf.DUMMYFUNCTION("""COMPUTED_VALUE"""),11.60818181818182)</f>
        <v>11.60818182</v>
      </c>
      <c r="W3" s="157">
        <f>IFERROR(__xludf.DUMMYFUNCTION("""COMPUTED_VALUE"""),0.34390907376982954)</f>
        <v>0.3439090738</v>
      </c>
      <c r="X3" s="212">
        <f>IFERROR(__xludf.DUMMYFUNCTION("""COMPUTED_VALUE"""),541591.4407500001)</f>
        <v>541591.4408</v>
      </c>
      <c r="Y3" s="205"/>
      <c r="Z3" s="187"/>
      <c r="AA3" s="188"/>
      <c r="AB3" s="188"/>
      <c r="AC3" s="202"/>
      <c r="AD3" s="189"/>
      <c r="AE3" s="189"/>
      <c r="AF3" s="189"/>
      <c r="AG3" s="189"/>
      <c r="AH3" s="189"/>
      <c r="AI3" s="189"/>
      <c r="AJ3" s="189"/>
      <c r="AK3" s="189"/>
      <c r="AL3" s="189"/>
      <c r="AM3" s="189"/>
      <c r="AN3" s="189"/>
      <c r="AO3" s="189"/>
      <c r="AP3" s="189"/>
      <c r="AQ3" s="189"/>
      <c r="AR3" s="189"/>
      <c r="AS3" s="189"/>
      <c r="AT3" s="189"/>
      <c r="AU3" s="189"/>
      <c r="AV3" s="189"/>
    </row>
    <row r="4" ht="15.75" customHeight="1">
      <c r="A4" s="214">
        <f>IFERROR(__xludf.DUMMYFUNCTION("""COMPUTED_VALUE"""),45931.0)</f>
        <v>45931</v>
      </c>
      <c r="B4" s="151">
        <f>IFERROR(__xludf.DUMMYFUNCTION("""COMPUTED_VALUE"""),5211887.0)</f>
        <v>5211887</v>
      </c>
      <c r="C4" s="151" t="str">
        <f>IFERROR(__xludf.DUMMYFUNCTION("""COMPUTED_VALUE"""),"O.Domingo-Colectivo")</f>
        <v>O.Domingo-Colectivo</v>
      </c>
      <c r="D4" s="152">
        <f>IFERROR(__xludf.DUMMYFUNCTION("""COMPUTED_VALUE"""),0.27)</f>
        <v>0.27</v>
      </c>
      <c r="E4" s="153">
        <f>IFERROR(__xludf.DUMMYFUNCTION("""COMPUTED_VALUE"""),2828.0)</f>
        <v>2828</v>
      </c>
      <c r="F4" s="153"/>
      <c r="G4" s="153"/>
      <c r="H4" s="153">
        <f>IFERROR(__xludf.DUMMYFUNCTION("""COMPUTED_VALUE"""),2828.0)</f>
        <v>2828</v>
      </c>
      <c r="I4" s="151" t="str">
        <f>IFERROR(__xludf.DUMMYFUNCTION("""COMPUTED_VALUE"""),"T2-Ba")</f>
        <v>T2-Ba</v>
      </c>
      <c r="J4" s="154">
        <f>IFERROR(__xludf.DUMMYFUNCTION("""COMPUTED_VALUE"""),157.071)</f>
        <v>157.071</v>
      </c>
      <c r="K4" s="154">
        <f>IFERROR(__xludf.DUMMYFUNCTION("""COMPUTED_VALUE"""),157.071)</f>
        <v>157.071</v>
      </c>
      <c r="L4" s="154">
        <f>IFERROR(__xludf.DUMMYFUNCTION("""COMPUTED_VALUE"""),157.071)</f>
        <v>157.071</v>
      </c>
      <c r="M4" s="152">
        <f>IFERROR(__xludf.DUMMYFUNCTION("""COMPUTED_VALUE"""),1366.3)</f>
        <v>1366.3</v>
      </c>
      <c r="N4" s="153">
        <f>IFERROR(__xludf.DUMMYFUNCTION("""COMPUTED_VALUE"""),4194.3)</f>
        <v>4194.3</v>
      </c>
      <c r="O4" s="154">
        <f>IFERROR(__xludf.DUMMYFUNCTION("""COMPUTED_VALUE"""),444196.788)</f>
        <v>444196.788</v>
      </c>
      <c r="P4" s="154">
        <f>IFERROR(__xludf.DUMMYFUNCTION("""COMPUTED_VALUE"""),1450.0)</f>
        <v>1450</v>
      </c>
      <c r="Q4" s="155">
        <f>IFERROR(__xludf.DUMMYFUNCTION("""COMPUTED_VALUE"""),148.0042119310345)</f>
        <v>148.0042119</v>
      </c>
      <c r="R4" s="154">
        <f>IFERROR(__xludf.DUMMYFUNCTION("""COMPUTED_VALUE"""),214606.1073)</f>
        <v>214606.1073</v>
      </c>
      <c r="S4" s="154">
        <f>IFERROR(__xludf.DUMMYFUNCTION("""COMPUTED_VALUE"""),1465.0)</f>
        <v>1465</v>
      </c>
      <c r="T4" s="154">
        <f>IFERROR(__xludf.DUMMYFUNCTION("""COMPUTED_VALUE"""),275369.2365082862)</f>
        <v>275369.2365</v>
      </c>
      <c r="U4" s="156">
        <f>IFERROR(__xludf.DUMMYFUNCTION("""COMPUTED_VALUE"""),273.26)</f>
        <v>273.26</v>
      </c>
      <c r="V4" s="156">
        <f>IFERROR(__xludf.DUMMYFUNCTION("""COMPUTED_VALUE"""),12.42090909090909)</f>
        <v>12.42090909</v>
      </c>
      <c r="W4" s="157">
        <f>IFERROR(__xludf.DUMMYFUNCTION("""COMPUTED_VALUE"""),0.32575161528741386)</f>
        <v>0.3257516153</v>
      </c>
      <c r="X4" s="154">
        <f>IFERROR(__xludf.DUMMYFUNCTION("""COMPUTED_VALUE"""),658802.8953)</f>
        <v>658802.8953</v>
      </c>
      <c r="Y4" s="165"/>
      <c r="Z4" s="187"/>
      <c r="AA4" s="188"/>
      <c r="AB4" s="188"/>
      <c r="AC4" s="202"/>
    </row>
    <row r="5" ht="15.75" customHeight="1">
      <c r="A5" s="150">
        <f>IFERROR(__xludf.DUMMYFUNCTION("""COMPUTED_VALUE"""),45922.0)</f>
        <v>45922</v>
      </c>
      <c r="B5" s="151">
        <f>IFERROR(__xludf.DUMMYFUNCTION("""COMPUTED_VALUE"""),5211887.0)</f>
        <v>5211887</v>
      </c>
      <c r="C5" s="151" t="str">
        <f>IFERROR(__xludf.DUMMYFUNCTION("""COMPUTED_VALUE"""),"O.Domingo-Colectivo")</f>
        <v>O.Domingo-Colectivo</v>
      </c>
      <c r="D5" s="152">
        <f>IFERROR(__xludf.DUMMYFUNCTION("""COMPUTED_VALUE"""),0.27)</f>
        <v>0.27</v>
      </c>
      <c r="E5" s="153">
        <f>IFERROR(__xludf.DUMMYFUNCTION("""COMPUTED_VALUE"""),371.0)</f>
        <v>371</v>
      </c>
      <c r="F5" s="153"/>
      <c r="G5" s="153"/>
      <c r="H5" s="153">
        <f>IFERROR(__xludf.DUMMYFUNCTION("""COMPUTED_VALUE"""),371.0)</f>
        <v>371</v>
      </c>
      <c r="I5" s="151" t="str">
        <f>IFERROR(__xludf.DUMMYFUNCTION("""COMPUTED_VALUE"""),"T2-Ba")</f>
        <v>T2-Ba</v>
      </c>
      <c r="J5" s="154">
        <f>IFERROR(__xludf.DUMMYFUNCTION("""COMPUTED_VALUE"""),156.8264)</f>
        <v>156.8264</v>
      </c>
      <c r="K5" s="154">
        <f>IFERROR(__xludf.DUMMYFUNCTION("""COMPUTED_VALUE"""),156.8264)</f>
        <v>156.8264</v>
      </c>
      <c r="L5" s="154">
        <f>IFERROR(__xludf.DUMMYFUNCTION("""COMPUTED_VALUE"""),156.8264)</f>
        <v>156.8264</v>
      </c>
      <c r="M5" s="152">
        <f>IFERROR(__xludf.DUMMYFUNCTION("""COMPUTED_VALUE"""),1304.8)</f>
        <v>1304.8</v>
      </c>
      <c r="N5" s="153">
        <f>IFERROR(__xludf.DUMMYFUNCTION("""COMPUTED_VALUE"""),1675.8)</f>
        <v>1675.8</v>
      </c>
      <c r="O5" s="154">
        <f>IFERROR(__xludf.DUMMYFUNCTION("""COMPUTED_VALUE"""),58182.5944)</f>
        <v>58182.5944</v>
      </c>
      <c r="P5" s="154">
        <f>IFERROR(__xludf.DUMMYFUNCTION("""COMPUTED_VALUE"""),1425.0)</f>
        <v>1425</v>
      </c>
      <c r="Q5" s="155">
        <f>IFERROR(__xludf.DUMMYFUNCTION("""COMPUTED_VALUE"""),143.59795559298246)</f>
        <v>143.5979556</v>
      </c>
      <c r="R5" s="154">
        <f>IFERROR(__xludf.DUMMYFUNCTION("""COMPUTED_VALUE"""),204627.08672)</f>
        <v>204627.0867</v>
      </c>
      <c r="S5" s="154">
        <f>IFERROR(__xludf.DUMMYFUNCTION("""COMPUTED_VALUE"""),1465.0)</f>
        <v>1465</v>
      </c>
      <c r="T5" s="154">
        <f>IFERROR(__xludf.DUMMYFUNCTION("""COMPUTED_VALUE"""),267171.1762785235)</f>
        <v>267171.1763</v>
      </c>
      <c r="U5" s="156">
        <f>IFERROR(__xludf.DUMMYFUNCTION("""COMPUTED_VALUE"""),260.96)</f>
        <v>260.96</v>
      </c>
      <c r="V5" s="156">
        <f>IFERROR(__xludf.DUMMYFUNCTION("""COMPUTED_VALUE"""),11.861818181818181)</f>
        <v>11.86181818</v>
      </c>
      <c r="W5" s="157">
        <f>IFERROR(__xludf.DUMMYFUNCTION("""COMPUTED_VALUE"""),0.7786131996658313)</f>
        <v>0.7786131997</v>
      </c>
      <c r="X5" s="154">
        <f>IFERROR(__xludf.DUMMYFUNCTION("""COMPUTED_VALUE"""),262809.68111999996)</f>
        <v>262809.6811</v>
      </c>
      <c r="Y5" s="165"/>
      <c r="Z5" s="187"/>
      <c r="AA5" s="188"/>
      <c r="AB5" s="188"/>
      <c r="AC5" s="202"/>
    </row>
    <row r="6" ht="15.75" customHeight="1">
      <c r="A6" s="150">
        <f>IFERROR(__xludf.DUMMYFUNCTION("""COMPUTED_VALUE"""),45890.0)</f>
        <v>45890</v>
      </c>
      <c r="B6" s="151">
        <f>IFERROR(__xludf.DUMMYFUNCTION("""COMPUTED_VALUE"""),5211887.0)</f>
        <v>5211887</v>
      </c>
      <c r="C6" s="151" t="str">
        <f>IFERROR(__xludf.DUMMYFUNCTION("""COMPUTED_VALUE"""),"O.Domingo-Colectivo")</f>
        <v>O.Domingo-Colectivo</v>
      </c>
      <c r="D6" s="152">
        <f>IFERROR(__xludf.DUMMYFUNCTION("""COMPUTED_VALUE"""),0.27)</f>
        <v>0.27</v>
      </c>
      <c r="E6" s="153">
        <f>IFERROR(__xludf.DUMMYFUNCTION("""COMPUTED_VALUE"""),295.0)</f>
        <v>295</v>
      </c>
      <c r="F6" s="153"/>
      <c r="G6" s="153"/>
      <c r="H6" s="153">
        <f>IFERROR(__xludf.DUMMYFUNCTION("""COMPUTED_VALUE"""),295.0)</f>
        <v>295</v>
      </c>
      <c r="I6" s="151" t="str">
        <f>IFERROR(__xludf.DUMMYFUNCTION("""COMPUTED_VALUE"""),"T2-Ba")</f>
        <v>T2-Ba</v>
      </c>
      <c r="J6" s="154">
        <f>IFERROR(__xludf.DUMMYFUNCTION("""COMPUTED_VALUE"""),156.5178)</f>
        <v>156.5178</v>
      </c>
      <c r="K6" s="154">
        <f>IFERROR(__xludf.DUMMYFUNCTION("""COMPUTED_VALUE"""),156.5178)</f>
        <v>156.5178</v>
      </c>
      <c r="L6" s="154">
        <f>IFERROR(__xludf.DUMMYFUNCTION("""COMPUTED_VALUE"""),156.5178)</f>
        <v>156.5178</v>
      </c>
      <c r="M6" s="152">
        <f>IFERROR(__xludf.DUMMYFUNCTION("""COMPUTED_VALUE"""),1118.8)</f>
        <v>1118.8</v>
      </c>
      <c r="N6" s="152">
        <f>IFERROR(__xludf.DUMMYFUNCTION("""COMPUTED_VALUE"""),1413.8)</f>
        <v>1413.8</v>
      </c>
      <c r="O6" s="154">
        <f>IFERROR(__xludf.DUMMYFUNCTION("""COMPUTED_VALUE"""),46172.751)</f>
        <v>46172.751</v>
      </c>
      <c r="P6" s="154">
        <f>IFERROR(__xludf.DUMMYFUNCTION("""COMPUTED_VALUE"""),1340.0)</f>
        <v>1340</v>
      </c>
      <c r="Q6" s="155">
        <f>IFERROR(__xludf.DUMMYFUNCTION("""COMPUTED_VALUE"""),130.68068256716415)</f>
        <v>130.6806826</v>
      </c>
      <c r="R6" s="154">
        <f>IFERROR(__xludf.DUMMYFUNCTION("""COMPUTED_VALUE"""),175112.11463999996)</f>
        <v>175112.1146</v>
      </c>
      <c r="S6" s="154">
        <f>IFERROR(__xludf.DUMMYFUNCTION("""COMPUTED_VALUE"""),1465.0)</f>
        <v>1465</v>
      </c>
      <c r="T6" s="154">
        <f>IFERROR(__xludf.DUMMYFUNCTION("""COMPUTED_VALUE"""),243137.94395033727)</f>
        <v>243137.944</v>
      </c>
      <c r="U6" s="156">
        <f>IFERROR(__xludf.DUMMYFUNCTION("""COMPUTED_VALUE"""),223.76)</f>
        <v>223.76</v>
      </c>
      <c r="V6" s="156">
        <f>IFERROR(__xludf.DUMMYFUNCTION("""COMPUTED_VALUE"""),10.17090909090909)</f>
        <v>10.17090909</v>
      </c>
      <c r="W6" s="157">
        <f>IFERROR(__xludf.DUMMYFUNCTION("""COMPUTED_VALUE"""),0.791342481256189)</f>
        <v>0.7913424813</v>
      </c>
      <c r="X6" s="154">
        <f>IFERROR(__xludf.DUMMYFUNCTION("""COMPUTED_VALUE"""),221284.86563999997)</f>
        <v>221284.8656</v>
      </c>
      <c r="Y6" s="165"/>
      <c r="Z6" s="187"/>
      <c r="AA6" s="188"/>
      <c r="AB6" s="188"/>
      <c r="AC6" s="202"/>
    </row>
    <row r="7" ht="15.75" customHeight="1">
      <c r="A7" s="150">
        <f>IFERROR(__xludf.DUMMYFUNCTION("""COMPUTED_VALUE"""),45839.0)</f>
        <v>45839</v>
      </c>
      <c r="B7" s="151">
        <f>IFERROR(__xludf.DUMMYFUNCTION("""COMPUTED_VALUE"""),5211887.0)</f>
        <v>5211887</v>
      </c>
      <c r="C7" s="151" t="str">
        <f>IFERROR(__xludf.DUMMYFUNCTION("""COMPUTED_VALUE"""),"O.Domingo-Colectivo")</f>
        <v>O.Domingo-Colectivo</v>
      </c>
      <c r="D7" s="152">
        <f>IFERROR(__xludf.DUMMYFUNCTION("""COMPUTED_VALUE"""),0.27)</f>
        <v>0.27</v>
      </c>
      <c r="E7" s="153">
        <f>IFERROR(__xludf.DUMMYFUNCTION("""COMPUTED_VALUE"""),380.0)</f>
        <v>380</v>
      </c>
      <c r="F7" s="153"/>
      <c r="G7" s="153"/>
      <c r="H7" s="153">
        <f>IFERROR(__xludf.DUMMYFUNCTION("""COMPUTED_VALUE"""),380.0)</f>
        <v>380</v>
      </c>
      <c r="I7" s="151" t="str">
        <f>IFERROR(__xludf.DUMMYFUNCTION("""COMPUTED_VALUE"""),"T2-Ba")</f>
        <v>T2-Ba</v>
      </c>
      <c r="J7" s="154">
        <f>IFERROR(__xludf.DUMMYFUNCTION("""COMPUTED_VALUE"""),148.82)</f>
        <v>148.82</v>
      </c>
      <c r="K7" s="154">
        <f>IFERROR(__xludf.DUMMYFUNCTION("""COMPUTED_VALUE"""),148.82)</f>
        <v>148.82</v>
      </c>
      <c r="L7" s="154">
        <f>IFERROR(__xludf.DUMMYFUNCTION("""COMPUTED_VALUE"""),148.82)</f>
        <v>148.82</v>
      </c>
      <c r="M7" s="152">
        <f>IFERROR(__xludf.DUMMYFUNCTION("""COMPUTED_VALUE"""),341.6)</f>
        <v>341.6</v>
      </c>
      <c r="N7" s="152">
        <f>IFERROR(__xludf.DUMMYFUNCTION("""COMPUTED_VALUE"""),721.6)</f>
        <v>721.6</v>
      </c>
      <c r="O7" s="154">
        <f>IFERROR(__xludf.DUMMYFUNCTION("""COMPUTED_VALUE"""),56551.6)</f>
        <v>56551.6</v>
      </c>
      <c r="P7" s="154">
        <f>IFERROR(__xludf.DUMMYFUNCTION("""COMPUTED_VALUE"""),1280.0)</f>
        <v>1280</v>
      </c>
      <c r="Q7" s="155">
        <f>IFERROR(__xludf.DUMMYFUNCTION("""COMPUTED_VALUE"""),39.7163375)</f>
        <v>39.7163375</v>
      </c>
      <c r="R7" s="154">
        <f>IFERROR(__xludf.DUMMYFUNCTION("""COMPUTED_VALUE"""),50836.912000000004)</f>
        <v>50836.912</v>
      </c>
      <c r="S7" s="154">
        <f>IFERROR(__xludf.DUMMYFUNCTION("""COMPUTED_VALUE"""),1465.0)</f>
        <v>1465</v>
      </c>
      <c r="T7" s="154">
        <f>IFERROR(__xludf.DUMMYFUNCTION("""COMPUTED_VALUE"""),73894.231735625)</f>
        <v>73894.23174</v>
      </c>
      <c r="U7" s="156">
        <f>IFERROR(__xludf.DUMMYFUNCTION("""COMPUTED_VALUE"""),68.32000000000001)</f>
        <v>68.32</v>
      </c>
      <c r="V7" s="156">
        <f>IFERROR(__xludf.DUMMYFUNCTION("""COMPUTED_VALUE"""),3.105454545454546)</f>
        <v>3.105454545</v>
      </c>
      <c r="W7" s="157">
        <f>IFERROR(__xludf.DUMMYFUNCTION("""COMPUTED_VALUE"""),0.4733924611973393)</f>
        <v>0.4733924612</v>
      </c>
      <c r="X7" s="154">
        <f>IFERROR(__xludf.DUMMYFUNCTION("""COMPUTED_VALUE"""),107388.512)</f>
        <v>107388.512</v>
      </c>
      <c r="Y7" s="165"/>
      <c r="Z7" s="187"/>
      <c r="AA7" s="188"/>
      <c r="AB7" s="188"/>
      <c r="AC7" s="202"/>
    </row>
    <row r="8" ht="15.75" customHeight="1">
      <c r="A8" s="150">
        <f>IFERROR(__xludf.DUMMYFUNCTION("""COMPUTED_VALUE"""),45809.0)</f>
        <v>45809</v>
      </c>
      <c r="B8" s="151">
        <f>IFERROR(__xludf.DUMMYFUNCTION("""COMPUTED_VALUE"""),5211887.0)</f>
        <v>5211887</v>
      </c>
      <c r="C8" s="151" t="str">
        <f>IFERROR(__xludf.DUMMYFUNCTION("""COMPUTED_VALUE"""),"O.Domingo-Colectivo")</f>
        <v>O.Domingo-Colectivo</v>
      </c>
      <c r="D8" s="152">
        <f>IFERROR(__xludf.DUMMYFUNCTION("""COMPUTED_VALUE"""),0.27)</f>
        <v>0.27</v>
      </c>
      <c r="E8" s="153">
        <f>IFERROR(__xludf.DUMMYFUNCTION("""COMPUTED_VALUE"""),314.0)</f>
        <v>314</v>
      </c>
      <c r="F8" s="153"/>
      <c r="G8" s="153"/>
      <c r="H8" s="153">
        <f>IFERROR(__xludf.DUMMYFUNCTION("""COMPUTED_VALUE"""),314.0)</f>
        <v>314</v>
      </c>
      <c r="I8" s="151" t="str">
        <f>IFERROR(__xludf.DUMMYFUNCTION("""COMPUTED_VALUE"""),"T2-Ba")</f>
        <v>T2-Ba</v>
      </c>
      <c r="J8" s="154">
        <f>IFERROR(__xludf.DUMMYFUNCTION("""COMPUTED_VALUE"""),148.2484)</f>
        <v>148.2484</v>
      </c>
      <c r="K8" s="154">
        <f>IFERROR(__xludf.DUMMYFUNCTION("""COMPUTED_VALUE"""),148.2484)</f>
        <v>148.2484</v>
      </c>
      <c r="L8" s="154">
        <f>IFERROR(__xludf.DUMMYFUNCTION("""COMPUTED_VALUE"""),148.2484)</f>
        <v>148.2484</v>
      </c>
      <c r="M8" s="152">
        <f>IFERROR(__xludf.DUMMYFUNCTION("""COMPUTED_VALUE"""),825.6)</f>
        <v>825.6</v>
      </c>
      <c r="N8" s="152">
        <f>IFERROR(__xludf.DUMMYFUNCTION("""COMPUTED_VALUE"""),1139.6)</f>
        <v>1139.6</v>
      </c>
      <c r="O8" s="154">
        <f>IFERROR(__xludf.DUMMYFUNCTION("""COMPUTED_VALUE"""),46549.9976)</f>
        <v>46549.9976</v>
      </c>
      <c r="P8" s="154">
        <f>IFERROR(__xludf.DUMMYFUNCTION("""COMPUTED_VALUE"""),1280.0)</f>
        <v>1280</v>
      </c>
      <c r="Q8" s="155">
        <f>IFERROR(__xludf.DUMMYFUNCTION("""COMPUTED_VALUE"""),95.620218)</f>
        <v>95.620218</v>
      </c>
      <c r="R8" s="154">
        <f>IFERROR(__xludf.DUMMYFUNCTION("""COMPUTED_VALUE"""),122393.87904)</f>
        <v>122393.879</v>
      </c>
      <c r="S8" s="154">
        <f>IFERROR(__xludf.DUMMYFUNCTION("""COMPUTED_VALUE"""),1465.0)</f>
        <v>1465</v>
      </c>
      <c r="T8" s="154">
        <f>IFERROR(__xludf.DUMMYFUNCTION("""COMPUTED_VALUE"""),177906.1965999)</f>
        <v>177906.1966</v>
      </c>
      <c r="U8" s="156">
        <f>IFERROR(__xludf.DUMMYFUNCTION("""COMPUTED_VALUE"""),165.12)</f>
        <v>165.12</v>
      </c>
      <c r="V8" s="156">
        <f>IFERROR(__xludf.DUMMYFUNCTION("""COMPUTED_VALUE"""),7.505454545454546)</f>
        <v>7.505454545</v>
      </c>
      <c r="W8" s="157">
        <f>IFERROR(__xludf.DUMMYFUNCTION("""COMPUTED_VALUE"""),0.7244647244647244)</f>
        <v>0.7244647245</v>
      </c>
      <c r="X8" s="154">
        <f>IFERROR(__xludf.DUMMYFUNCTION("""COMPUTED_VALUE"""),168943.87664)</f>
        <v>168943.8766</v>
      </c>
      <c r="Y8" s="165"/>
      <c r="Z8" s="187"/>
      <c r="AA8" s="188"/>
      <c r="AB8" s="188"/>
      <c r="AC8" s="202"/>
    </row>
    <row r="9" ht="15.75" customHeight="1">
      <c r="A9" s="150">
        <f>IFERROR(__xludf.DUMMYFUNCTION("""COMPUTED_VALUE"""),45778.0)</f>
        <v>45778</v>
      </c>
      <c r="B9" s="151">
        <f>IFERROR(__xludf.DUMMYFUNCTION("""COMPUTED_VALUE"""),5211887.0)</f>
        <v>5211887</v>
      </c>
      <c r="C9" s="151" t="str">
        <f>IFERROR(__xludf.DUMMYFUNCTION("""COMPUTED_VALUE"""),"O.Domingo-Colectivo")</f>
        <v>O.Domingo-Colectivo</v>
      </c>
      <c r="D9" s="152">
        <f>IFERROR(__xludf.DUMMYFUNCTION("""COMPUTED_VALUE"""),0.27)</f>
        <v>0.27</v>
      </c>
      <c r="E9" s="153">
        <f>IFERROR(__xludf.DUMMYFUNCTION("""COMPUTED_VALUE"""),442.0)</f>
        <v>442</v>
      </c>
      <c r="F9" s="153"/>
      <c r="G9" s="153"/>
      <c r="H9" s="153">
        <f>IFERROR(__xludf.DUMMYFUNCTION("""COMPUTED_VALUE"""),442.0)</f>
        <v>442</v>
      </c>
      <c r="I9" s="151" t="str">
        <f>IFERROR(__xludf.DUMMYFUNCTION("""COMPUTED_VALUE"""),"T2-Ba")</f>
        <v>T2-Ba</v>
      </c>
      <c r="J9" s="154">
        <f>IFERROR(__xludf.DUMMYFUNCTION("""COMPUTED_VALUE"""),145.8875)</f>
        <v>145.8875</v>
      </c>
      <c r="K9" s="154">
        <f>IFERROR(__xludf.DUMMYFUNCTION("""COMPUTED_VALUE"""),145.89)</f>
        <v>145.89</v>
      </c>
      <c r="L9" s="154">
        <f>IFERROR(__xludf.DUMMYFUNCTION("""COMPUTED_VALUE"""),148.89)</f>
        <v>148.89</v>
      </c>
      <c r="M9" s="152">
        <f>IFERROR(__xludf.DUMMYFUNCTION("""COMPUTED_VALUE"""),1289.3)</f>
        <v>1289.3</v>
      </c>
      <c r="N9" s="152">
        <f>IFERROR(__xludf.DUMMYFUNCTION("""COMPUTED_VALUE"""),1731.3)</f>
        <v>1731.3</v>
      </c>
      <c r="O9" s="154">
        <f>IFERROR(__xludf.DUMMYFUNCTION("""COMPUTED_VALUE"""),65809.37999999999)</f>
        <v>65809.38</v>
      </c>
      <c r="P9" s="154">
        <f>IFERROR(__xludf.DUMMYFUNCTION("""COMPUTED_VALUE"""),1200.0)</f>
        <v>1200</v>
      </c>
      <c r="Q9" s="155">
        <f>IFERROR(__xludf.DUMMYFUNCTION("""COMPUTED_VALUE"""),159.96989749999997)</f>
        <v>159.9698975</v>
      </c>
      <c r="R9" s="154">
        <f>IFERROR(__xludf.DUMMYFUNCTION("""COMPUTED_VALUE"""),191963.87699999998)</f>
        <v>191963.877</v>
      </c>
      <c r="S9" s="154">
        <f>IFERROR(__xludf.DUMMYFUNCTION("""COMPUTED_VALUE"""),1465.0)</f>
        <v>1465</v>
      </c>
      <c r="T9" s="154">
        <f>IFERROR(__xludf.DUMMYFUNCTION("""COMPUTED_VALUE"""),297631.99279362493)</f>
        <v>297631.9928</v>
      </c>
      <c r="U9" s="156">
        <f>IFERROR(__xludf.DUMMYFUNCTION("""COMPUTED_VALUE"""),257.86)</f>
        <v>257.86</v>
      </c>
      <c r="V9" s="156">
        <f>IFERROR(__xludf.DUMMYFUNCTION("""COMPUTED_VALUE"""),11.72090909090909)</f>
        <v>11.72090909</v>
      </c>
      <c r="W9" s="157">
        <f>IFERROR(__xludf.DUMMYFUNCTION("""COMPUTED_VALUE"""),0.7447005140645757)</f>
        <v>0.7447005141</v>
      </c>
      <c r="X9" s="154">
        <f>IFERROR(__xludf.DUMMYFUNCTION("""COMPUTED_VALUE"""),257773.25699999998)</f>
        <v>257773.257</v>
      </c>
      <c r="Y9" s="165"/>
      <c r="Z9" s="187"/>
      <c r="AA9" s="188"/>
      <c r="AB9" s="188"/>
      <c r="AC9" s="202"/>
    </row>
    <row r="10" ht="15.75" customHeight="1">
      <c r="A10" s="167">
        <f>IFERROR(__xludf.DUMMYFUNCTION("""COMPUTED_VALUE"""),45748.0)</f>
        <v>45748</v>
      </c>
      <c r="B10" s="151">
        <f>IFERROR(__xludf.DUMMYFUNCTION("""COMPUTED_VALUE"""),5211887.0)</f>
        <v>5211887</v>
      </c>
      <c r="C10" s="151" t="str">
        <f>IFERROR(__xludf.DUMMYFUNCTION("""COMPUTED_VALUE"""),"O.Domingo-Colectivo")</f>
        <v>O.Domingo-Colectivo</v>
      </c>
      <c r="D10" s="152">
        <f>IFERROR(__xludf.DUMMYFUNCTION("""COMPUTED_VALUE"""),0.21)</f>
        <v>0.21</v>
      </c>
      <c r="E10" s="153">
        <f>IFERROR(__xludf.DUMMYFUNCTION("""COMPUTED_VALUE"""),1824.0)</f>
        <v>1824</v>
      </c>
      <c r="F10" s="153"/>
      <c r="G10" s="153"/>
      <c r="H10" s="153">
        <f>IFERROR(__xludf.DUMMYFUNCTION("""COMPUTED_VALUE"""),1824.0)</f>
        <v>1824</v>
      </c>
      <c r="I10" s="151" t="str">
        <f>IFERROR(__xludf.DUMMYFUNCTION("""COMPUTED_VALUE"""),"T2-Ba")</f>
        <v>T2-Ba</v>
      </c>
      <c r="J10" s="154">
        <f>IFERROR(__xludf.DUMMYFUNCTION("""COMPUTED_VALUE"""),141.2146)</f>
        <v>141.2146</v>
      </c>
      <c r="K10" s="154">
        <f>IFERROR(__xludf.DUMMYFUNCTION("""COMPUTED_VALUE"""),141.21)</f>
        <v>141.21</v>
      </c>
      <c r="L10" s="154">
        <f>IFERROR(__xludf.DUMMYFUNCTION("""COMPUTED_VALUE"""),141.21)</f>
        <v>141.21</v>
      </c>
      <c r="M10" s="152">
        <f>IFERROR(__xludf.DUMMYFUNCTION("""COMPUTED_VALUE"""),1279.1)</f>
        <v>1279.1</v>
      </c>
      <c r="N10" s="152">
        <f>IFERROR(__xludf.DUMMYFUNCTION("""COMPUTED_VALUE"""),3103.1)</f>
        <v>3103.1</v>
      </c>
      <c r="O10" s="154">
        <f>IFERROR(__xludf.DUMMYFUNCTION("""COMPUTED_VALUE"""),257567.04)</f>
        <v>257567.04</v>
      </c>
      <c r="P10" s="154">
        <f>IFERROR(__xludf.DUMMYFUNCTION("""COMPUTED_VALUE"""),1140.0)</f>
        <v>1140</v>
      </c>
      <c r="Q10" s="155">
        <f>IFERROR(__xludf.DUMMYFUNCTION("""COMPUTED_VALUE"""),158.44009736842105)</f>
        <v>158.4400974</v>
      </c>
      <c r="R10" s="154">
        <f>IFERROR(__xludf.DUMMYFUNCTION("""COMPUTED_VALUE"""),180621.711)</f>
        <v>180621.711</v>
      </c>
      <c r="S10" s="154">
        <f>IFERROR(__xludf.DUMMYFUNCTION("""COMPUTED_VALUE"""),1465.0)</f>
        <v>1465</v>
      </c>
      <c r="T10" s="154">
        <f>IFERROR(__xludf.DUMMYFUNCTION("""COMPUTED_VALUE"""),280858.83860013157)</f>
        <v>280858.8386</v>
      </c>
      <c r="U10" s="156">
        <f>IFERROR(__xludf.DUMMYFUNCTION("""COMPUTED_VALUE"""),255.82)</f>
        <v>255.82</v>
      </c>
      <c r="V10" s="156">
        <f>IFERROR(__xludf.DUMMYFUNCTION("""COMPUTED_VALUE"""),11.628181818181817)</f>
        <v>11.62818182</v>
      </c>
      <c r="W10" s="157">
        <f>IFERROR(__xludf.DUMMYFUNCTION("""COMPUTED_VALUE"""),0.41220070252328317)</f>
        <v>0.4122007025</v>
      </c>
      <c r="X10" s="154">
        <f>IFERROR(__xludf.DUMMYFUNCTION("""COMPUTED_VALUE"""),438188.75100000005)</f>
        <v>438188.751</v>
      </c>
      <c r="Y10" s="165"/>
      <c r="Z10" s="187"/>
      <c r="AA10" s="188"/>
      <c r="AB10" s="188"/>
      <c r="AC10" s="202"/>
    </row>
    <row r="11" ht="15.75" customHeight="1">
      <c r="A11" s="167">
        <f>IFERROR(__xludf.DUMMYFUNCTION("""COMPUTED_VALUE"""),45717.0)</f>
        <v>45717</v>
      </c>
      <c r="B11" s="151">
        <f>IFERROR(__xludf.DUMMYFUNCTION("""COMPUTED_VALUE"""),5211887.0)</f>
        <v>5211887</v>
      </c>
      <c r="C11" s="151" t="str">
        <f>IFERROR(__xludf.DUMMYFUNCTION("""COMPUTED_VALUE"""),"O.Domingo-Colectivo")</f>
        <v>O.Domingo-Colectivo</v>
      </c>
      <c r="D11" s="152">
        <f>IFERROR(__xludf.DUMMYFUNCTION("""COMPUTED_VALUE"""),0.27)</f>
        <v>0.27</v>
      </c>
      <c r="E11" s="153">
        <f>IFERROR(__xludf.DUMMYFUNCTION("""COMPUTED_VALUE"""),2972.0)</f>
        <v>2972</v>
      </c>
      <c r="F11" s="153"/>
      <c r="G11" s="153"/>
      <c r="H11" s="153">
        <f>IFERROR(__xludf.DUMMYFUNCTION("""COMPUTED_VALUE"""),2972.0)</f>
        <v>2972</v>
      </c>
      <c r="I11" s="151" t="str">
        <f>IFERROR(__xludf.DUMMYFUNCTION("""COMPUTED_VALUE"""),"T2-Ba")</f>
        <v>T2-Ba</v>
      </c>
      <c r="J11" s="154">
        <f>IFERROR(__xludf.DUMMYFUNCTION("""COMPUTED_VALUE"""),140.1738)</f>
        <v>140.1738</v>
      </c>
      <c r="K11" s="154">
        <f>IFERROR(__xludf.DUMMYFUNCTION("""COMPUTED_VALUE"""),140.1738)</f>
        <v>140.1738</v>
      </c>
      <c r="L11" s="154">
        <f>IFERROR(__xludf.DUMMYFUNCTION("""COMPUTED_VALUE"""),140.1738)</f>
        <v>140.1738</v>
      </c>
      <c r="M11" s="152">
        <f>IFERROR(__xludf.DUMMYFUNCTION("""COMPUTED_VALUE"""),1348.9)</f>
        <v>1348.9</v>
      </c>
      <c r="N11" s="152">
        <f>IFERROR(__xludf.DUMMYFUNCTION("""COMPUTED_VALUE"""),4320.9)</f>
        <v>4320.9</v>
      </c>
      <c r="O11" s="154">
        <f>IFERROR(__xludf.DUMMYFUNCTION("""COMPUTED_VALUE"""),416596.5336)</f>
        <v>416596.5336</v>
      </c>
      <c r="P11" s="154">
        <f>IFERROR(__xludf.DUMMYFUNCTION("""COMPUTED_VALUE"""),1095.75)</f>
        <v>1095.75</v>
      </c>
      <c r="Q11" s="155">
        <f>IFERROR(__xludf.DUMMYFUNCTION("""COMPUTED_VALUE"""),172.55800941820672)</f>
        <v>172.5580094</v>
      </c>
      <c r="R11" s="154">
        <f>IFERROR(__xludf.DUMMYFUNCTION("""COMPUTED_VALUE"""),189080.43882)</f>
        <v>189080.4388</v>
      </c>
      <c r="S11" s="154">
        <f>IFERROR(__xludf.DUMMYFUNCTION("""COMPUTED_VALUE"""),1465.0)</f>
        <v>1465</v>
      </c>
      <c r="T11" s="154">
        <f>IFERROR(__xludf.DUMMYFUNCTION("""COMPUTED_VALUE"""),321052.8044230445)</f>
        <v>321052.8044</v>
      </c>
      <c r="U11" s="156">
        <f>IFERROR(__xludf.DUMMYFUNCTION("""COMPUTED_VALUE"""),269.78000000000003)</f>
        <v>269.78</v>
      </c>
      <c r="V11" s="156">
        <f>IFERROR(__xludf.DUMMYFUNCTION("""COMPUTED_VALUE"""),12.262727272727274)</f>
        <v>12.26272727</v>
      </c>
      <c r="W11" s="157">
        <f>IFERROR(__xludf.DUMMYFUNCTION("""COMPUTED_VALUE"""),0.31218033280103685)</f>
        <v>0.3121803328</v>
      </c>
      <c r="X11" s="154">
        <f>IFERROR(__xludf.DUMMYFUNCTION("""COMPUTED_VALUE"""),605676.97242)</f>
        <v>605676.9724</v>
      </c>
      <c r="Y11" s="165"/>
      <c r="Z11" s="187"/>
      <c r="AA11" s="188"/>
      <c r="AB11" s="188"/>
      <c r="AC11" s="202"/>
    </row>
    <row r="12" ht="15.75" customHeight="1">
      <c r="A12" s="167">
        <f>IFERROR(__xludf.DUMMYFUNCTION("""COMPUTED_VALUE"""),45713.0)</f>
        <v>45713</v>
      </c>
      <c r="B12" s="151">
        <f>IFERROR(__xludf.DUMMYFUNCTION("""COMPUTED_VALUE"""),5211887.0)</f>
        <v>5211887</v>
      </c>
      <c r="C12" s="151" t="str">
        <f>IFERROR(__xludf.DUMMYFUNCTION("""COMPUTED_VALUE"""),"O.Domingo-Colectivo")</f>
        <v>O.Domingo-Colectivo</v>
      </c>
      <c r="D12" s="152">
        <f>IFERROR(__xludf.DUMMYFUNCTION("""COMPUTED_VALUE"""),0.27)</f>
        <v>0.27</v>
      </c>
      <c r="E12" s="153">
        <f>IFERROR(__xludf.DUMMYFUNCTION("""COMPUTED_VALUE"""),3289.0)</f>
        <v>3289</v>
      </c>
      <c r="F12" s="153"/>
      <c r="G12" s="153"/>
      <c r="H12" s="153">
        <f>IFERROR(__xludf.DUMMYFUNCTION("""COMPUTED_VALUE"""),3289.0)</f>
        <v>3289</v>
      </c>
      <c r="I12" s="151" t="str">
        <f>IFERROR(__xludf.DUMMYFUNCTION("""COMPUTED_VALUE"""),"T2-Ba")</f>
        <v>T2-Ba</v>
      </c>
      <c r="J12" s="154">
        <f>IFERROR(__xludf.DUMMYFUNCTION("""COMPUTED_VALUE"""),137.1997)</f>
        <v>137.1997</v>
      </c>
      <c r="K12" s="154">
        <f>IFERROR(__xludf.DUMMYFUNCTION("""COMPUTED_VALUE"""),137.1997)</f>
        <v>137.1997</v>
      </c>
      <c r="L12" s="154">
        <f>IFERROR(__xludf.DUMMYFUNCTION("""COMPUTED_VALUE"""),137.1997)</f>
        <v>137.1997</v>
      </c>
      <c r="M12" s="152">
        <f>IFERROR(__xludf.DUMMYFUNCTION("""COMPUTED_VALUE"""),1307.7)</f>
        <v>1307.7</v>
      </c>
      <c r="N12" s="152">
        <f>IFERROR(__xludf.DUMMYFUNCTION("""COMPUTED_VALUE"""),4596.7)</f>
        <v>4596.7</v>
      </c>
      <c r="O12" s="154">
        <f>IFERROR(__xludf.DUMMYFUNCTION("""COMPUTED_VALUE"""),451249.81330000004)</f>
        <v>451249.8133</v>
      </c>
      <c r="P12" s="154">
        <f>IFERROR(__xludf.DUMMYFUNCTION("""COMPUTED_VALUE"""),1086.0)</f>
        <v>1086</v>
      </c>
      <c r="Q12" s="155">
        <f>IFERROR(__xludf.DUMMYFUNCTION("""COMPUTED_VALUE"""),165.2081470441989)</f>
        <v>165.208147</v>
      </c>
      <c r="R12" s="154">
        <f>IFERROR(__xludf.DUMMYFUNCTION("""COMPUTED_VALUE"""),179416.04769)</f>
        <v>179416.0477</v>
      </c>
      <c r="S12" s="154">
        <f>IFERROR(__xludf.DUMMYFUNCTION("""COMPUTED_VALUE"""),1465.0)</f>
        <v>1465</v>
      </c>
      <c r="T12" s="154">
        <f>IFERROR(__xludf.DUMMYFUNCTION("""COMPUTED_VALUE"""),307378.01798308425)</f>
        <v>307378.018</v>
      </c>
      <c r="U12" s="156">
        <f>IFERROR(__xludf.DUMMYFUNCTION("""COMPUTED_VALUE"""),261.54)</f>
        <v>261.54</v>
      </c>
      <c r="V12" s="156">
        <f>IFERROR(__xludf.DUMMYFUNCTION("""COMPUTED_VALUE"""),11.888181818181819)</f>
        <v>11.88818182</v>
      </c>
      <c r="W12" s="157">
        <f>IFERROR(__xludf.DUMMYFUNCTION("""COMPUTED_VALUE"""),0.284486696978267)</f>
        <v>0.284486697</v>
      </c>
      <c r="X12" s="154">
        <f>IFERROR(__xludf.DUMMYFUNCTION("""COMPUTED_VALUE"""),630665.8609900001)</f>
        <v>630665.861</v>
      </c>
      <c r="Y12" s="154"/>
    </row>
    <row r="13" ht="15.75" customHeight="1">
      <c r="A13" s="167">
        <f>IFERROR(__xludf.DUMMYFUNCTION("""COMPUTED_VALUE"""),45682.0)</f>
        <v>45682</v>
      </c>
      <c r="B13" s="151">
        <f>IFERROR(__xludf.DUMMYFUNCTION("""COMPUTED_VALUE"""),5211887.0)</f>
        <v>5211887</v>
      </c>
      <c r="C13" s="151" t="str">
        <f>IFERROR(__xludf.DUMMYFUNCTION("""COMPUTED_VALUE"""),"O.Domingo-Colectivo")</f>
        <v>O.Domingo-Colectivo</v>
      </c>
      <c r="D13" s="152">
        <f>IFERROR(__xludf.DUMMYFUNCTION("""COMPUTED_VALUE"""),0.27)</f>
        <v>0.27</v>
      </c>
      <c r="E13" s="153">
        <f>IFERROR(__xludf.DUMMYFUNCTION("""COMPUTED_VALUE"""),3085.0)</f>
        <v>3085</v>
      </c>
      <c r="F13" s="153"/>
      <c r="G13" s="153"/>
      <c r="H13" s="153">
        <f>IFERROR(__xludf.DUMMYFUNCTION("""COMPUTED_VALUE"""),3085.0)</f>
        <v>3085</v>
      </c>
      <c r="I13" s="151" t="str">
        <f>IFERROR(__xludf.DUMMYFUNCTION("""COMPUTED_VALUE"""),"T2-Ba")</f>
        <v>T2-Ba</v>
      </c>
      <c r="J13" s="154">
        <f>IFERROR(__xludf.DUMMYFUNCTION("""COMPUTED_VALUE"""),142.9)</f>
        <v>142.9</v>
      </c>
      <c r="K13" s="154">
        <f>IFERROR(__xludf.DUMMYFUNCTION("""COMPUTED_VALUE"""),142.9)</f>
        <v>142.9</v>
      </c>
      <c r="L13" s="154">
        <f>IFERROR(__xludf.DUMMYFUNCTION("""COMPUTED_VALUE"""),142.9)</f>
        <v>142.9</v>
      </c>
      <c r="M13" s="152">
        <f>IFERROR(__xludf.DUMMYFUNCTION("""COMPUTED_VALUE"""),1215.4)</f>
        <v>1215.4</v>
      </c>
      <c r="N13" s="153">
        <f>IFERROR(__xludf.DUMMYFUNCTION("""COMPUTED_VALUE"""),4300.4)</f>
        <v>4300.4</v>
      </c>
      <c r="O13" s="154">
        <f>IFERROR(__xludf.DUMMYFUNCTION("""COMPUTED_VALUE"""),440846.5)</f>
        <v>440846.5</v>
      </c>
      <c r="P13" s="154">
        <f>IFERROR(__xludf.DUMMYFUNCTION("""COMPUTED_VALUE"""),1075.5)</f>
        <v>1075.5</v>
      </c>
      <c r="Q13" s="155">
        <f>IFERROR(__xludf.DUMMYFUNCTION("""COMPUTED_VALUE"""),161.4882938168294)</f>
        <v>161.4882938</v>
      </c>
      <c r="R13" s="154">
        <f>IFERROR(__xludf.DUMMYFUNCTION("""COMPUTED_VALUE"""),173680.66000000003)</f>
        <v>173680.66</v>
      </c>
      <c r="S13" s="154">
        <f>IFERROR(__xludf.DUMMYFUNCTION("""COMPUTED_VALUE"""),1465.0)</f>
        <v>1465</v>
      </c>
      <c r="T13" s="154">
        <f>IFERROR(__xludf.DUMMYFUNCTION("""COMPUTED_VALUE"""),300457.04506090196)</f>
        <v>300457.0451</v>
      </c>
      <c r="U13" s="156">
        <f>IFERROR(__xludf.DUMMYFUNCTION("""COMPUTED_VALUE"""),243.08000000000004)</f>
        <v>243.08</v>
      </c>
      <c r="V13" s="156">
        <f>IFERROR(__xludf.DUMMYFUNCTION("""COMPUTED_VALUE"""),11.04909090909091)</f>
        <v>11.04909091</v>
      </c>
      <c r="W13" s="157">
        <f>IFERROR(__xludf.DUMMYFUNCTION("""COMPUTED_VALUE"""),0.2826248721049205)</f>
        <v>0.2826248721</v>
      </c>
      <c r="X13" s="154">
        <f>IFERROR(__xludf.DUMMYFUNCTION("""COMPUTED_VALUE"""),614527.16)</f>
        <v>614527.16</v>
      </c>
      <c r="Y13" s="154"/>
    </row>
    <row r="14" ht="15.75" customHeight="1">
      <c r="A14" s="167">
        <f>IFERROR(__xludf.DUMMYFUNCTION("""COMPUTED_VALUE"""),45627.0)</f>
        <v>45627</v>
      </c>
      <c r="B14" s="151">
        <f>IFERROR(__xludf.DUMMYFUNCTION("""COMPUTED_VALUE"""),5211887.0)</f>
        <v>5211887</v>
      </c>
      <c r="C14" s="151" t="str">
        <f>IFERROR(__xludf.DUMMYFUNCTION("""COMPUTED_VALUE"""),"O.Domingo-Colectivo")</f>
        <v>O.Domingo-Colectivo</v>
      </c>
      <c r="D14" s="152">
        <f>IFERROR(__xludf.DUMMYFUNCTION("""COMPUTED_VALUE"""),0.27)</f>
        <v>0.27</v>
      </c>
      <c r="E14" s="153">
        <f>IFERROR(__xludf.DUMMYFUNCTION("""COMPUTED_VALUE"""),3312.0)</f>
        <v>3312</v>
      </c>
      <c r="F14" s="153"/>
      <c r="G14" s="153"/>
      <c r="H14" s="153">
        <f>IFERROR(__xludf.DUMMYFUNCTION("""COMPUTED_VALUE"""),3312.0)</f>
        <v>3312</v>
      </c>
      <c r="I14" s="151" t="str">
        <f>IFERROR(__xludf.DUMMYFUNCTION("""COMPUTED_VALUE"""),"T2-Ba")</f>
        <v>T2-Ba</v>
      </c>
      <c r="J14" s="154">
        <f>IFERROR(__xludf.DUMMYFUNCTION("""COMPUTED_VALUE"""),141.2503)</f>
        <v>141.2503</v>
      </c>
      <c r="K14" s="154">
        <f>IFERROR(__xludf.DUMMYFUNCTION("""COMPUTED_VALUE"""),141.2503)</f>
        <v>141.2503</v>
      </c>
      <c r="L14" s="154">
        <f>IFERROR(__xludf.DUMMYFUNCTION("""COMPUTED_VALUE"""),141.2503)</f>
        <v>141.2503</v>
      </c>
      <c r="M14" s="152">
        <f>IFERROR(__xludf.DUMMYFUNCTION("""COMPUTED_VALUE"""),1343.2)</f>
        <v>1343.2</v>
      </c>
      <c r="N14" s="153">
        <f>IFERROR(__xludf.DUMMYFUNCTION("""COMPUTED_VALUE"""),4655.2)</f>
        <v>4655.2</v>
      </c>
      <c r="O14" s="154">
        <f>IFERROR(__xludf.DUMMYFUNCTION("""COMPUTED_VALUE"""),467820.99360000005)</f>
        <v>467820.9936</v>
      </c>
      <c r="P14" s="154">
        <f>IFERROR(__xludf.DUMMYFUNCTION("""COMPUTED_VALUE"""),1055.0)</f>
        <v>1055</v>
      </c>
      <c r="Q14" s="155">
        <f>IFERROR(__xludf.DUMMYFUNCTION("""COMPUTED_VALUE"""),179.8364009099526)</f>
        <v>179.8364009</v>
      </c>
      <c r="R14" s="154">
        <f>IFERROR(__xludf.DUMMYFUNCTION("""COMPUTED_VALUE"""),189727.40296)</f>
        <v>189727.403</v>
      </c>
      <c r="S14" s="154">
        <f>IFERROR(__xludf.DUMMYFUNCTION("""COMPUTED_VALUE"""),1465.0)</f>
        <v>1465</v>
      </c>
      <c r="T14" s="154">
        <f>IFERROR(__xludf.DUMMYFUNCTION("""COMPUTED_VALUE"""),334594.61571301235)</f>
        <v>334594.6157</v>
      </c>
      <c r="U14" s="156">
        <f>IFERROR(__xludf.DUMMYFUNCTION("""COMPUTED_VALUE"""),268.64000000000004)</f>
        <v>268.64</v>
      </c>
      <c r="V14" s="156">
        <f>IFERROR(__xludf.DUMMYFUNCTION("""COMPUTED_VALUE"""),12.210909090909093)</f>
        <v>12.21090909</v>
      </c>
      <c r="W14" s="157">
        <f>IFERROR(__xludf.DUMMYFUNCTION("""COMPUTED_VALUE"""),0.2885375494071146)</f>
        <v>0.2885375494</v>
      </c>
      <c r="X14" s="154">
        <f>IFERROR(__xludf.DUMMYFUNCTION("""COMPUTED_VALUE"""),657548.39656)</f>
        <v>657548.3966</v>
      </c>
      <c r="Y14" s="154"/>
    </row>
    <row r="15" ht="15.75" customHeight="1">
      <c r="A15" s="167">
        <f>IFERROR(__xludf.DUMMYFUNCTION("""COMPUTED_VALUE"""),45597.0)</f>
        <v>45597</v>
      </c>
      <c r="B15" s="151">
        <f>IFERROR(__xludf.DUMMYFUNCTION("""COMPUTED_VALUE"""),5211887.0)</f>
        <v>5211887</v>
      </c>
      <c r="C15" s="151" t="str">
        <f>IFERROR(__xludf.DUMMYFUNCTION("""COMPUTED_VALUE"""),"O.Domingo-Colectivo")</f>
        <v>O.Domingo-Colectivo</v>
      </c>
      <c r="D15" s="152">
        <f>IFERROR(__xludf.DUMMYFUNCTION("""COMPUTED_VALUE"""),0.27)</f>
        <v>0.27</v>
      </c>
      <c r="E15" s="153">
        <f>IFERROR(__xludf.DUMMYFUNCTION("""COMPUTED_VALUE"""),3413.0)</f>
        <v>3413</v>
      </c>
      <c r="F15" s="153"/>
      <c r="G15" s="153"/>
      <c r="H15" s="153">
        <f>IFERROR(__xludf.DUMMYFUNCTION("""COMPUTED_VALUE"""),3413.0)</f>
        <v>3413</v>
      </c>
      <c r="I15" s="151" t="str">
        <f>IFERROR(__xludf.DUMMYFUNCTION("""COMPUTED_VALUE"""),"T2-Ba")</f>
        <v>T2-Ba</v>
      </c>
      <c r="J15" s="154">
        <f>IFERROR(__xludf.DUMMYFUNCTION("""COMPUTED_VALUE"""),139.734)</f>
        <v>139.734</v>
      </c>
      <c r="K15" s="154">
        <f>IFERROR(__xludf.DUMMYFUNCTION("""COMPUTED_VALUE"""),139.734)</f>
        <v>139.734</v>
      </c>
      <c r="L15" s="154">
        <f>IFERROR(__xludf.DUMMYFUNCTION("""COMPUTED_VALUE"""),139.734)</f>
        <v>139.734</v>
      </c>
      <c r="M15" s="152">
        <f>IFERROR(__xludf.DUMMYFUNCTION("""COMPUTED_VALUE"""),1389.3)</f>
        <v>1389.3</v>
      </c>
      <c r="N15" s="153">
        <f>IFERROR(__xludf.DUMMYFUNCTION("""COMPUTED_VALUE"""),4802.3)</f>
        <v>4802.3</v>
      </c>
      <c r="O15" s="154">
        <f>IFERROR(__xludf.DUMMYFUNCTION("""COMPUTED_VALUE"""),476912.14200000005)</f>
        <v>476912.142</v>
      </c>
      <c r="P15" s="154">
        <f>IFERROR(__xludf.DUMMYFUNCTION("""COMPUTED_VALUE"""),1035.0)</f>
        <v>1035</v>
      </c>
      <c r="Q15" s="155">
        <f>IFERROR(__xludf.DUMMYFUNCTION("""COMPUTED_VALUE"""),187.56758086956523)</f>
        <v>187.5675809</v>
      </c>
      <c r="R15" s="154">
        <f>IFERROR(__xludf.DUMMYFUNCTION("""COMPUTED_VALUE"""),194132.4462)</f>
        <v>194132.4462</v>
      </c>
      <c r="S15" s="154">
        <f>IFERROR(__xludf.DUMMYFUNCTION("""COMPUTED_VALUE"""),1465.0)</f>
        <v>1465</v>
      </c>
      <c r="T15" s="154">
        <f>IFERROR(__xludf.DUMMYFUNCTION("""COMPUTED_VALUE"""),348978.8625868696)</f>
        <v>348978.8626</v>
      </c>
      <c r="U15" s="156">
        <f>IFERROR(__xludf.DUMMYFUNCTION("""COMPUTED_VALUE"""),277.86)</f>
        <v>277.86</v>
      </c>
      <c r="V15" s="156">
        <f>IFERROR(__xludf.DUMMYFUNCTION("""COMPUTED_VALUE"""),12.63)</f>
        <v>12.63</v>
      </c>
      <c r="W15" s="157">
        <f>IFERROR(__xludf.DUMMYFUNCTION("""COMPUTED_VALUE"""),0.2892988776211398)</f>
        <v>0.2892988776</v>
      </c>
      <c r="X15" s="154">
        <f>IFERROR(__xludf.DUMMYFUNCTION("""COMPUTED_VALUE"""),671044.5882000001)</f>
        <v>671044.5882</v>
      </c>
      <c r="Y15" s="154"/>
    </row>
    <row r="16" ht="15.75" customHeight="1">
      <c r="A16" s="167">
        <f>IFERROR(__xludf.DUMMYFUNCTION("""COMPUTED_VALUE"""),45589.0)</f>
        <v>45589</v>
      </c>
      <c r="B16" s="151">
        <f>IFERROR(__xludf.DUMMYFUNCTION("""COMPUTED_VALUE"""),5211887.0)</f>
        <v>5211887</v>
      </c>
      <c r="C16" s="151" t="str">
        <f>IFERROR(__xludf.DUMMYFUNCTION("""COMPUTED_VALUE"""),"O.Domingo-Colectivo")</f>
        <v>O.Domingo-Colectivo</v>
      </c>
      <c r="D16" s="152">
        <f>IFERROR(__xludf.DUMMYFUNCTION("""COMPUTED_VALUE"""),0.27)</f>
        <v>0.27</v>
      </c>
      <c r="E16" s="153">
        <f>IFERROR(__xludf.DUMMYFUNCTION("""COMPUTED_VALUE"""),3204.0)</f>
        <v>3204</v>
      </c>
      <c r="F16" s="153"/>
      <c r="G16" s="153"/>
      <c r="H16" s="153">
        <f>IFERROR(__xludf.DUMMYFUNCTION("""COMPUTED_VALUE"""),3204.0)</f>
        <v>3204</v>
      </c>
      <c r="I16" s="151" t="str">
        <f>IFERROR(__xludf.DUMMYFUNCTION("""COMPUTED_VALUE"""),"T2-Ba")</f>
        <v>T2-Ba</v>
      </c>
      <c r="J16" s="154">
        <f>IFERROR(__xludf.DUMMYFUNCTION("""COMPUTED_VALUE"""),137.7794)</f>
        <v>137.7794</v>
      </c>
      <c r="K16" s="154">
        <f>IFERROR(__xludf.DUMMYFUNCTION("""COMPUTED_VALUE"""),137.7794)</f>
        <v>137.7794</v>
      </c>
      <c r="L16" s="154">
        <f>IFERROR(__xludf.DUMMYFUNCTION("""COMPUTED_VALUE"""),137.7794)</f>
        <v>137.7794</v>
      </c>
      <c r="M16" s="152">
        <f>IFERROR(__xludf.DUMMYFUNCTION("""COMPUTED_VALUE"""),1519.4)</f>
        <v>1519.4</v>
      </c>
      <c r="N16" s="153">
        <f>IFERROR(__xludf.DUMMYFUNCTION("""COMPUTED_VALUE"""),4723.4)</f>
        <v>4723.4</v>
      </c>
      <c r="O16" s="154">
        <f>IFERROR(__xludf.DUMMYFUNCTION("""COMPUTED_VALUE"""),441445.1976)</f>
        <v>441445.1976</v>
      </c>
      <c r="P16" s="154">
        <f>IFERROR(__xludf.DUMMYFUNCTION("""COMPUTED_VALUE"""),1016.5)</f>
        <v>1016.5</v>
      </c>
      <c r="Q16" s="155">
        <f>IFERROR(__xludf.DUMMYFUNCTION("""COMPUTED_VALUE"""),205.94394526315793)</f>
        <v>205.9439453</v>
      </c>
      <c r="R16" s="154">
        <f>IFERROR(__xludf.DUMMYFUNCTION("""COMPUTED_VALUE"""),209342.02036000002)</f>
        <v>209342.0204</v>
      </c>
      <c r="S16" s="154">
        <f>IFERROR(__xludf.DUMMYFUNCTION("""COMPUTED_VALUE"""),1465.0)</f>
        <v>1465</v>
      </c>
      <c r="T16" s="154">
        <f>IFERROR(__xludf.DUMMYFUNCTION("""COMPUTED_VALUE"""),383169.0073593685)</f>
        <v>383169.0074</v>
      </c>
      <c r="U16" s="156">
        <f>IFERROR(__xludf.DUMMYFUNCTION("""COMPUTED_VALUE"""),303.88000000000005)</f>
        <v>303.88</v>
      </c>
      <c r="V16" s="156">
        <f>IFERROR(__xludf.DUMMYFUNCTION("""COMPUTED_VALUE"""),13.812727272727274)</f>
        <v>13.81272727</v>
      </c>
      <c r="W16" s="157">
        <f>IFERROR(__xludf.DUMMYFUNCTION("""COMPUTED_VALUE"""),0.32167506457213024)</f>
        <v>0.3216750646</v>
      </c>
      <c r="X16" s="154">
        <f>IFERROR(__xludf.DUMMYFUNCTION("""COMPUTED_VALUE"""),650787.21796)</f>
        <v>650787.218</v>
      </c>
      <c r="Y16" s="154"/>
    </row>
    <row r="17" ht="15.75" customHeight="1">
      <c r="A17" s="167">
        <f>IFERROR(__xludf.DUMMYFUNCTION("""COMPUTED_VALUE"""),45560.0)</f>
        <v>45560</v>
      </c>
      <c r="B17" s="151">
        <f>IFERROR(__xludf.DUMMYFUNCTION("""COMPUTED_VALUE"""),5211887.0)</f>
        <v>5211887</v>
      </c>
      <c r="C17" s="151" t="str">
        <f>IFERROR(__xludf.DUMMYFUNCTION("""COMPUTED_VALUE"""),"O.Domingo-Colectivo")</f>
        <v>O.Domingo-Colectivo</v>
      </c>
      <c r="D17" s="152">
        <f>IFERROR(__xludf.DUMMYFUNCTION("""COMPUTED_VALUE"""),0.27)</f>
        <v>0.27</v>
      </c>
      <c r="E17" s="153">
        <f>IFERROR(__xludf.DUMMYFUNCTION("""COMPUTED_VALUE"""),645.0)</f>
        <v>645</v>
      </c>
      <c r="F17" s="153"/>
      <c r="G17" s="153"/>
      <c r="H17" s="153">
        <f>IFERROR(__xludf.DUMMYFUNCTION("""COMPUTED_VALUE"""),645.0)</f>
        <v>645</v>
      </c>
      <c r="I17" s="151" t="str">
        <f>IFERROR(__xludf.DUMMYFUNCTION("""COMPUTED_VALUE"""),"T2-Ba")</f>
        <v>T2-Ba</v>
      </c>
      <c r="J17" s="154">
        <f>IFERROR(__xludf.DUMMYFUNCTION("""COMPUTED_VALUE"""),133.9704)</f>
        <v>133.9704</v>
      </c>
      <c r="K17" s="154">
        <f>IFERROR(__xludf.DUMMYFUNCTION("""COMPUTED_VALUE"""),133.9704)</f>
        <v>133.9704</v>
      </c>
      <c r="L17" s="154">
        <f>IFERROR(__xludf.DUMMYFUNCTION("""COMPUTED_VALUE"""),133.9704)</f>
        <v>133.9704</v>
      </c>
      <c r="M17" s="152">
        <f>IFERROR(__xludf.DUMMYFUNCTION("""COMPUTED_VALUE"""),1556.3)</f>
        <v>1556.3</v>
      </c>
      <c r="N17" s="153">
        <f>IFERROR(__xludf.DUMMYFUNCTION("""COMPUTED_VALUE"""),2201.3)</f>
        <v>2201.3</v>
      </c>
      <c r="O17" s="154">
        <f>IFERROR(__xludf.DUMMYFUNCTION("""COMPUTED_VALUE"""),86410.90800000001)</f>
        <v>86410.908</v>
      </c>
      <c r="P17" s="154">
        <f>IFERROR(__xludf.DUMMYFUNCTION("""COMPUTED_VALUE"""),992.5)</f>
        <v>992.5</v>
      </c>
      <c r="Q17" s="155">
        <f>IFERROR(__xludf.DUMMYFUNCTION("""COMPUTED_VALUE"""),210.07368616624686)</f>
        <v>210.0736862</v>
      </c>
      <c r="R17" s="154">
        <f>IFERROR(__xludf.DUMMYFUNCTION("""COMPUTED_VALUE"""),208498.13352)</f>
        <v>208498.1335</v>
      </c>
      <c r="S17" s="154">
        <f>IFERROR(__xludf.DUMMYFUNCTION("""COMPUTED_VALUE"""),1465.0)</f>
        <v>1465</v>
      </c>
      <c r="T17" s="154">
        <f>IFERROR(__xludf.DUMMYFUNCTION("""COMPUTED_VALUE"""),390852.5967966106)</f>
        <v>390852.5968</v>
      </c>
      <c r="U17" s="156">
        <f>IFERROR(__xludf.DUMMYFUNCTION("""COMPUTED_VALUE"""),311.26)</f>
        <v>311.26</v>
      </c>
      <c r="V17" s="156">
        <f>IFERROR(__xludf.DUMMYFUNCTION("""COMPUTED_VALUE"""),14.148181818181818)</f>
        <v>14.14818182</v>
      </c>
      <c r="W17" s="157">
        <f>IFERROR(__xludf.DUMMYFUNCTION("""COMPUTED_VALUE"""),0.7069913233089538)</f>
        <v>0.7069913233</v>
      </c>
      <c r="X17" s="154">
        <f>IFERROR(__xludf.DUMMYFUNCTION("""COMPUTED_VALUE"""),294909.04152)</f>
        <v>294909.0415</v>
      </c>
      <c r="Y17" s="154"/>
    </row>
    <row r="18" ht="15.75" customHeight="1">
      <c r="A18" s="167">
        <f>IFERROR(__xludf.DUMMYFUNCTION("""COMPUTED_VALUE"""),45528.0)</f>
        <v>45528</v>
      </c>
      <c r="B18" s="151">
        <f>IFERROR(__xludf.DUMMYFUNCTION("""COMPUTED_VALUE"""),5211887.0)</f>
        <v>5211887</v>
      </c>
      <c r="C18" s="151" t="str">
        <f>IFERROR(__xludf.DUMMYFUNCTION("""COMPUTED_VALUE"""),"O.Domingo-Colectivo")</f>
        <v>O.Domingo-Colectivo</v>
      </c>
      <c r="D18" s="152">
        <f>IFERROR(__xludf.DUMMYFUNCTION("""COMPUTED_VALUE"""),0.27)</f>
        <v>0.27</v>
      </c>
      <c r="E18" s="153">
        <f>IFERROR(__xludf.DUMMYFUNCTION("""COMPUTED_VALUE"""),1946.0)</f>
        <v>1946</v>
      </c>
      <c r="F18" s="153"/>
      <c r="G18" s="153"/>
      <c r="H18" s="153">
        <f>IFERROR(__xludf.DUMMYFUNCTION("""COMPUTED_VALUE"""),1946.0)</f>
        <v>1946</v>
      </c>
      <c r="I18" s="151" t="str">
        <f>IFERROR(__xludf.DUMMYFUNCTION("""COMPUTED_VALUE"""),"T2-Ba")</f>
        <v>T2-Ba</v>
      </c>
      <c r="J18" s="154">
        <f>IFERROR(__xludf.DUMMYFUNCTION("""COMPUTED_VALUE"""),127.2071)</f>
        <v>127.2071</v>
      </c>
      <c r="K18" s="154">
        <f>IFERROR(__xludf.DUMMYFUNCTION("""COMPUTED_VALUE"""),127.2071)</f>
        <v>127.2071</v>
      </c>
      <c r="L18" s="154">
        <f>IFERROR(__xludf.DUMMYFUNCTION("""COMPUTED_VALUE"""),127.2071)</f>
        <v>127.2071</v>
      </c>
      <c r="M18" s="152">
        <f>IFERROR(__xludf.DUMMYFUNCTION("""COMPUTED_VALUE"""),1017.3)</f>
        <v>1017.3</v>
      </c>
      <c r="N18" s="153">
        <f>IFERROR(__xludf.DUMMYFUNCTION("""COMPUTED_VALUE"""),2963.3)</f>
        <v>2963.3</v>
      </c>
      <c r="O18" s="154">
        <f>IFERROR(__xludf.DUMMYFUNCTION("""COMPUTED_VALUE"""),247545.0166)</f>
        <v>247545.0166</v>
      </c>
      <c r="P18" s="154">
        <f>IFERROR(__xludf.DUMMYFUNCTION("""COMPUTED_VALUE"""),974.0)</f>
        <v>974</v>
      </c>
      <c r="Q18" s="155">
        <f>IFERROR(__xludf.DUMMYFUNCTION("""COMPUTED_VALUE"""),132.8622000308008)</f>
        <v>132.8622</v>
      </c>
      <c r="R18" s="154">
        <f>IFERROR(__xludf.DUMMYFUNCTION("""COMPUTED_VALUE"""),129407.78282999998)</f>
        <v>129407.7828</v>
      </c>
      <c r="S18" s="154">
        <f>IFERROR(__xludf.DUMMYFUNCTION("""COMPUTED_VALUE"""),1465.0)</f>
        <v>1465</v>
      </c>
      <c r="T18" s="154">
        <f>IFERROR(__xludf.DUMMYFUNCTION("""COMPUTED_VALUE"""),247196.76626730643)</f>
        <v>247196.7663</v>
      </c>
      <c r="U18" s="156">
        <f>IFERROR(__xludf.DUMMYFUNCTION("""COMPUTED_VALUE"""),203.46)</f>
        <v>203.46</v>
      </c>
      <c r="V18" s="156">
        <f>IFERROR(__xludf.DUMMYFUNCTION("""COMPUTED_VALUE"""),9.248181818181818)</f>
        <v>9.248181818</v>
      </c>
      <c r="W18" s="157">
        <f>IFERROR(__xludf.DUMMYFUNCTION("""COMPUTED_VALUE"""),0.34329969965916374)</f>
        <v>0.3432996997</v>
      </c>
      <c r="X18" s="154">
        <f>IFERROR(__xludf.DUMMYFUNCTION("""COMPUTED_VALUE"""),376952.79943)</f>
        <v>376952.7994</v>
      </c>
      <c r="Y18" s="154"/>
    </row>
    <row r="19" ht="15.75" customHeight="1">
      <c r="D19" s="152"/>
    </row>
    <row r="20" ht="15.75" customHeight="1">
      <c r="D20" s="152"/>
    </row>
    <row r="21" ht="15.75" customHeight="1">
      <c r="D21" s="152"/>
    </row>
    <row r="22" ht="15.75" customHeight="1">
      <c r="D22" s="152"/>
    </row>
    <row r="23" ht="15.75" customHeight="1">
      <c r="D23" s="152"/>
    </row>
    <row r="24" ht="15.75" customHeight="1">
      <c r="D24" s="152"/>
    </row>
    <row r="25" ht="15.75" customHeight="1">
      <c r="D25" s="152"/>
    </row>
    <row r="26" ht="15.75" customHeight="1">
      <c r="D26" s="152"/>
    </row>
    <row r="27" ht="15.75" customHeight="1">
      <c r="D27" s="152"/>
    </row>
    <row r="28" ht="15.75" customHeight="1">
      <c r="D28" s="152"/>
    </row>
    <row r="29" ht="15.75" customHeight="1">
      <c r="D29" s="152"/>
    </row>
    <row r="30" ht="15.75" customHeight="1">
      <c r="D30" s="152"/>
    </row>
    <row r="31" ht="15.75" customHeight="1">
      <c r="D31" s="152"/>
    </row>
    <row r="32" ht="15.75" customHeight="1">
      <c r="D32" s="152"/>
    </row>
    <row r="33" ht="15.75" customHeight="1">
      <c r="D33" s="152"/>
    </row>
    <row r="34" ht="15.75" customHeight="1">
      <c r="D34" s="152"/>
    </row>
    <row r="35" ht="15.75" customHeight="1">
      <c r="D35" s="152"/>
    </row>
    <row r="36" ht="15.75" customHeight="1">
      <c r="D36" s="152"/>
    </row>
    <row r="37" ht="15.75" customHeight="1">
      <c r="D37" s="152"/>
    </row>
    <row r="38" ht="15.75" customHeight="1">
      <c r="D38" s="152"/>
    </row>
    <row r="39" ht="15.75" customHeight="1">
      <c r="D39" s="152"/>
    </row>
    <row r="40" ht="15.75" customHeight="1">
      <c r="D40" s="152"/>
    </row>
    <row r="41" ht="15.75" customHeight="1">
      <c r="D41" s="152"/>
    </row>
    <row r="42" ht="15.75" customHeight="1">
      <c r="D42" s="152"/>
    </row>
    <row r="43" ht="15.75" customHeight="1">
      <c r="D43" s="152"/>
    </row>
    <row r="44" ht="15.75" customHeight="1">
      <c r="D44" s="152"/>
    </row>
    <row r="45" ht="15.75" customHeight="1">
      <c r="D45" s="152"/>
    </row>
    <row r="46" ht="15.75" customHeight="1">
      <c r="D46" s="152"/>
    </row>
    <row r="47" ht="15.75" customHeight="1">
      <c r="D47" s="152"/>
    </row>
    <row r="48" ht="15.75" customHeight="1">
      <c r="D48" s="152"/>
    </row>
    <row r="49" ht="15.75" customHeight="1">
      <c r="D49" s="152"/>
    </row>
    <row r="50" ht="15.75" customHeight="1">
      <c r="D50" s="152"/>
    </row>
    <row r="51" ht="15.75" customHeight="1">
      <c r="D51" s="152"/>
    </row>
    <row r="52" ht="15.75" customHeight="1">
      <c r="D52" s="152"/>
    </row>
    <row r="53" ht="15.75" customHeight="1">
      <c r="D53" s="152"/>
    </row>
    <row r="54" ht="15.75" customHeight="1">
      <c r="D54" s="152"/>
    </row>
    <row r="55" ht="15.75" customHeight="1">
      <c r="D55" s="152"/>
    </row>
    <row r="56" ht="15.75" customHeight="1">
      <c r="D56" s="152"/>
    </row>
    <row r="57" ht="15.75" customHeight="1">
      <c r="D57" s="152"/>
    </row>
    <row r="58" ht="15.75" customHeight="1">
      <c r="D58" s="152"/>
    </row>
    <row r="59" ht="15.75" customHeight="1">
      <c r="D59" s="152"/>
    </row>
    <row r="60" ht="15.75" customHeight="1">
      <c r="D60" s="152"/>
    </row>
    <row r="61" ht="15.75" customHeight="1">
      <c r="D61" s="152"/>
    </row>
    <row r="62" ht="15.75" customHeight="1">
      <c r="D62" s="152"/>
    </row>
    <row r="63" ht="15.75" customHeight="1">
      <c r="D63" s="152"/>
    </row>
    <row r="64" ht="15.75" customHeight="1">
      <c r="D64" s="152"/>
    </row>
    <row r="65" ht="15.75" customHeight="1">
      <c r="D65" s="152"/>
    </row>
    <row r="66" ht="15.75" customHeight="1">
      <c r="D66" s="152"/>
    </row>
    <row r="67" ht="15.75" customHeight="1">
      <c r="D67" s="152"/>
    </row>
    <row r="68" ht="15.75" customHeight="1">
      <c r="D68" s="152"/>
    </row>
    <row r="69" ht="15.75" customHeight="1">
      <c r="D69" s="152"/>
    </row>
    <row r="70" ht="15.75" customHeight="1">
      <c r="D70" s="152"/>
    </row>
    <row r="71" ht="15.75" customHeight="1">
      <c r="D71" s="152"/>
    </row>
    <row r="72" ht="15.75" customHeight="1">
      <c r="D72" s="152"/>
    </row>
    <row r="73" ht="15.75" customHeight="1">
      <c r="D73" s="152"/>
    </row>
    <row r="74" ht="15.75" customHeight="1">
      <c r="D74" s="152"/>
    </row>
    <row r="75" ht="15.75" customHeight="1">
      <c r="D75" s="152"/>
    </row>
    <row r="76" ht="15.75" customHeight="1">
      <c r="D76" s="152"/>
    </row>
    <row r="77" ht="15.75" customHeight="1">
      <c r="D77" s="152"/>
    </row>
    <row r="78" ht="15.75" customHeight="1">
      <c r="D78" s="152"/>
    </row>
    <row r="79" ht="15.75" customHeight="1">
      <c r="D79" s="152"/>
    </row>
    <row r="80" ht="15.75" customHeight="1">
      <c r="D80" s="152"/>
    </row>
    <row r="81" ht="15.75" customHeight="1">
      <c r="D81" s="152"/>
    </row>
    <row r="82" ht="15.75" customHeight="1">
      <c r="D82" s="152"/>
    </row>
    <row r="83" ht="15.75" customHeight="1">
      <c r="D83" s="152"/>
    </row>
    <row r="84" ht="15.75" customHeight="1">
      <c r="D84" s="152"/>
    </row>
    <row r="85" ht="15.75" customHeight="1">
      <c r="D85" s="152"/>
    </row>
    <row r="86" ht="15.75" customHeight="1">
      <c r="D86" s="152"/>
    </row>
    <row r="87" ht="15.75" customHeight="1">
      <c r="D87" s="152"/>
    </row>
    <row r="88" ht="15.75" customHeight="1">
      <c r="D88" s="152"/>
    </row>
    <row r="89" ht="15.75" customHeight="1">
      <c r="D89" s="152"/>
    </row>
    <row r="90" ht="15.75" customHeight="1">
      <c r="D90" s="152"/>
    </row>
    <row r="91" ht="15.75" customHeight="1">
      <c r="D91" s="152"/>
    </row>
    <row r="92" ht="15.75" customHeight="1">
      <c r="D92" s="152"/>
    </row>
    <row r="93" ht="15.75" customHeight="1">
      <c r="D93" s="152"/>
    </row>
    <row r="94" ht="15.75" customHeight="1">
      <c r="D94" s="152"/>
    </row>
    <row r="95" ht="15.75" customHeight="1">
      <c r="D95" s="152"/>
    </row>
    <row r="96" ht="15.75" customHeight="1">
      <c r="D96" s="152"/>
    </row>
    <row r="97" ht="15.75" customHeight="1">
      <c r="D97" s="152"/>
    </row>
    <row r="98" ht="15.75" customHeight="1">
      <c r="D98" s="152"/>
    </row>
    <row r="99" ht="15.75" customHeight="1">
      <c r="D99" s="152"/>
    </row>
    <row r="100" ht="15.75" customHeight="1">
      <c r="D100" s="152"/>
    </row>
    <row r="101" ht="15.75" customHeight="1">
      <c r="D101" s="152"/>
    </row>
    <row r="102" ht="15.75" customHeight="1">
      <c r="D102" s="152"/>
    </row>
    <row r="103" ht="15.75" customHeight="1">
      <c r="D103" s="152"/>
    </row>
    <row r="104" ht="15.75" customHeight="1">
      <c r="D104" s="152"/>
    </row>
    <row r="105" ht="15.75" customHeight="1">
      <c r="D105" s="152"/>
    </row>
    <row r="106" ht="15.75" customHeight="1">
      <c r="D106" s="152"/>
    </row>
    <row r="107" ht="15.75" customHeight="1">
      <c r="D107" s="152"/>
    </row>
    <row r="108" ht="15.75" customHeight="1">
      <c r="D108" s="152"/>
    </row>
    <row r="109" ht="15.75" customHeight="1">
      <c r="D109" s="152"/>
    </row>
    <row r="110" ht="15.75" customHeight="1">
      <c r="D110" s="152"/>
    </row>
    <row r="111" ht="15.75" customHeight="1">
      <c r="D111" s="152"/>
    </row>
    <row r="112" ht="15.75" customHeight="1">
      <c r="D112" s="152"/>
    </row>
    <row r="113" ht="15.75" customHeight="1">
      <c r="D113" s="152"/>
    </row>
    <row r="114" ht="15.75" customHeight="1">
      <c r="D114" s="152"/>
    </row>
    <row r="115" ht="15.75" customHeight="1">
      <c r="D115" s="152"/>
    </row>
    <row r="116" ht="15.75" customHeight="1">
      <c r="D116" s="152"/>
    </row>
    <row r="117" ht="15.75" customHeight="1">
      <c r="D117" s="152"/>
    </row>
    <row r="118" ht="15.75" customHeight="1">
      <c r="D118" s="152"/>
    </row>
    <row r="119" ht="15.75" customHeight="1">
      <c r="D119" s="152"/>
    </row>
    <row r="120" ht="15.75" customHeight="1">
      <c r="D120" s="152"/>
    </row>
    <row r="121" ht="15.75" customHeight="1">
      <c r="D121" s="152"/>
    </row>
    <row r="122" ht="15.75" customHeight="1">
      <c r="D122" s="152"/>
    </row>
    <row r="123" ht="15.75" customHeight="1">
      <c r="D123" s="152"/>
    </row>
    <row r="124" ht="15.75" customHeight="1">
      <c r="D124" s="152"/>
    </row>
    <row r="125" ht="15.75" customHeight="1">
      <c r="D125" s="152"/>
    </row>
    <row r="126" ht="15.75" customHeight="1">
      <c r="D126" s="152"/>
    </row>
    <row r="127" ht="15.75" customHeight="1">
      <c r="D127" s="152"/>
    </row>
    <row r="128" ht="15.75" customHeight="1">
      <c r="D128" s="152"/>
    </row>
    <row r="129" ht="15.75" customHeight="1">
      <c r="D129" s="152"/>
    </row>
    <row r="130" ht="15.75" customHeight="1">
      <c r="D130" s="152"/>
    </row>
    <row r="131" ht="15.75" customHeight="1">
      <c r="D131" s="152"/>
    </row>
    <row r="132" ht="15.75" customHeight="1">
      <c r="D132" s="152"/>
    </row>
    <row r="133" ht="15.75" customHeight="1">
      <c r="D133" s="152"/>
    </row>
    <row r="134" ht="15.75" customHeight="1">
      <c r="D134" s="152"/>
    </row>
    <row r="135" ht="15.75" customHeight="1">
      <c r="D135" s="152"/>
    </row>
    <row r="136" ht="15.75" customHeight="1">
      <c r="D136" s="152"/>
    </row>
    <row r="137" ht="15.75" customHeight="1">
      <c r="D137" s="152"/>
    </row>
    <row r="138" ht="15.75" customHeight="1">
      <c r="D138" s="152"/>
    </row>
    <row r="139" ht="15.75" customHeight="1">
      <c r="D139" s="152"/>
    </row>
    <row r="140" ht="15.75" customHeight="1">
      <c r="D140" s="152"/>
    </row>
    <row r="141" ht="15.75" customHeight="1">
      <c r="D141" s="152"/>
    </row>
    <row r="142" ht="15.75" customHeight="1">
      <c r="D142" s="152"/>
    </row>
    <row r="143" ht="15.75" customHeight="1">
      <c r="D143" s="152"/>
    </row>
    <row r="144" ht="15.75" customHeight="1">
      <c r="D144" s="152"/>
    </row>
    <row r="145" ht="15.75" customHeight="1">
      <c r="D145" s="152"/>
    </row>
    <row r="146" ht="15.75" customHeight="1">
      <c r="D146" s="152"/>
    </row>
    <row r="147" ht="15.75" customHeight="1">
      <c r="D147" s="152"/>
    </row>
    <row r="148" ht="15.75" customHeight="1">
      <c r="D148" s="152"/>
    </row>
    <row r="149" ht="15.75" customHeight="1">
      <c r="D149" s="152"/>
    </row>
    <row r="150" ht="15.75" customHeight="1">
      <c r="D150" s="152"/>
    </row>
    <row r="151" ht="15.75" customHeight="1">
      <c r="D151" s="152"/>
    </row>
    <row r="152" ht="15.75" customHeight="1">
      <c r="D152" s="152"/>
    </row>
    <row r="153" ht="15.75" customHeight="1">
      <c r="D153" s="152"/>
    </row>
    <row r="154" ht="15.75" customHeight="1">
      <c r="D154" s="152"/>
    </row>
    <row r="155" ht="15.75" customHeight="1">
      <c r="D155" s="152"/>
    </row>
    <row r="156" ht="15.75" customHeight="1">
      <c r="D156" s="152"/>
    </row>
    <row r="157" ht="15.75" customHeight="1">
      <c r="D157" s="152"/>
    </row>
    <row r="158" ht="15.75" customHeight="1">
      <c r="D158" s="152"/>
    </row>
    <row r="159" ht="15.75" customHeight="1">
      <c r="D159" s="152"/>
    </row>
    <row r="160" ht="15.75" customHeight="1">
      <c r="D160" s="152"/>
    </row>
    <row r="161" ht="15.75" customHeight="1">
      <c r="D161" s="152"/>
    </row>
    <row r="162" ht="15.75" customHeight="1">
      <c r="D162" s="152"/>
    </row>
    <row r="163" ht="15.75" customHeight="1">
      <c r="D163" s="152"/>
    </row>
    <row r="164" ht="15.75" customHeight="1">
      <c r="D164" s="152"/>
    </row>
    <row r="165" ht="15.75" customHeight="1">
      <c r="D165" s="152"/>
    </row>
    <row r="166" ht="15.75" customHeight="1">
      <c r="D166" s="152"/>
    </row>
    <row r="167" ht="15.75" customHeight="1">
      <c r="D167" s="152"/>
    </row>
    <row r="168" ht="15.75" customHeight="1">
      <c r="D168" s="152"/>
    </row>
    <row r="169" ht="15.75" customHeight="1">
      <c r="D169" s="152"/>
    </row>
    <row r="170" ht="15.75" customHeight="1">
      <c r="D170" s="152"/>
    </row>
    <row r="171" ht="15.75" customHeight="1">
      <c r="D171" s="152"/>
    </row>
    <row r="172" ht="15.75" customHeight="1">
      <c r="D172" s="152"/>
    </row>
    <row r="173" ht="15.75" customHeight="1">
      <c r="D173" s="152"/>
    </row>
    <row r="174" ht="15.75" customHeight="1">
      <c r="D174" s="152"/>
    </row>
    <row r="175" ht="15.75" customHeight="1">
      <c r="D175" s="152"/>
    </row>
    <row r="176" ht="15.75" customHeight="1">
      <c r="D176" s="152"/>
    </row>
    <row r="177" ht="15.75" customHeight="1">
      <c r="D177" s="152"/>
    </row>
    <row r="178" ht="15.75" customHeight="1">
      <c r="D178" s="152"/>
    </row>
    <row r="179" ht="15.75" customHeight="1">
      <c r="D179" s="152"/>
    </row>
    <row r="180" ht="15.75" customHeight="1">
      <c r="D180" s="152"/>
    </row>
    <row r="181" ht="15.75" customHeight="1">
      <c r="D181" s="152"/>
    </row>
    <row r="182" ht="15.75" customHeight="1">
      <c r="D182" s="152"/>
    </row>
    <row r="183" ht="15.75" customHeight="1">
      <c r="D183" s="152"/>
    </row>
    <row r="184" ht="15.75" customHeight="1">
      <c r="D184" s="152"/>
    </row>
    <row r="185" ht="15.75" customHeight="1">
      <c r="D185" s="152"/>
    </row>
    <row r="186" ht="15.75" customHeight="1">
      <c r="D186" s="152"/>
    </row>
    <row r="187" ht="15.75" customHeight="1">
      <c r="D187" s="152"/>
    </row>
    <row r="188" ht="15.75" customHeight="1">
      <c r="D188" s="152"/>
    </row>
    <row r="189" ht="15.75" customHeight="1">
      <c r="D189" s="152"/>
    </row>
    <row r="190" ht="15.75" customHeight="1">
      <c r="D190" s="152"/>
    </row>
    <row r="191" ht="15.75" customHeight="1">
      <c r="D191" s="152"/>
    </row>
    <row r="192" ht="15.75" customHeight="1">
      <c r="D192" s="152"/>
    </row>
    <row r="193" ht="15.75" customHeight="1">
      <c r="D193" s="152"/>
    </row>
    <row r="194" ht="15.75" customHeight="1">
      <c r="D194" s="152"/>
    </row>
    <row r="195" ht="15.75" customHeight="1">
      <c r="D195" s="152"/>
    </row>
    <row r="196" ht="15.75" customHeight="1">
      <c r="D196" s="152"/>
    </row>
    <row r="197" ht="15.75" customHeight="1">
      <c r="D197" s="152"/>
    </row>
    <row r="198" ht="15.75" customHeight="1">
      <c r="D198" s="152"/>
    </row>
    <row r="199" ht="15.75" customHeight="1">
      <c r="D199" s="152"/>
    </row>
    <row r="200" ht="15.75" customHeight="1">
      <c r="D200" s="152"/>
    </row>
    <row r="201" ht="15.75" customHeight="1">
      <c r="D201" s="152"/>
    </row>
    <row r="202" ht="15.75" customHeight="1">
      <c r="D202" s="152"/>
    </row>
    <row r="203" ht="15.75" customHeight="1">
      <c r="D203" s="152"/>
    </row>
    <row r="204" ht="15.75" customHeight="1">
      <c r="D204" s="152"/>
    </row>
    <row r="205" ht="15.75" customHeight="1">
      <c r="D205" s="152"/>
    </row>
    <row r="206" ht="15.75" customHeight="1">
      <c r="D206" s="152"/>
    </row>
    <row r="207" ht="15.75" customHeight="1">
      <c r="D207" s="152"/>
    </row>
    <row r="208" ht="15.75" customHeight="1">
      <c r="D208" s="152"/>
    </row>
    <row r="209" ht="15.75" customHeight="1">
      <c r="D209" s="152"/>
    </row>
    <row r="210" ht="15.75" customHeight="1">
      <c r="D210" s="152"/>
    </row>
    <row r="211" ht="15.75" customHeight="1">
      <c r="D211" s="152"/>
    </row>
    <row r="212" ht="15.75" customHeight="1">
      <c r="D212" s="152"/>
    </row>
    <row r="213" ht="15.75" customHeight="1">
      <c r="D213" s="152"/>
    </row>
    <row r="214" ht="15.75" customHeight="1">
      <c r="D214" s="152"/>
    </row>
    <row r="215" ht="15.75" customHeight="1">
      <c r="D215" s="152"/>
    </row>
    <row r="216" ht="15.75" customHeight="1">
      <c r="D216" s="152"/>
    </row>
    <row r="217" ht="15.75" customHeight="1">
      <c r="D217" s="152"/>
    </row>
    <row r="218" ht="15.75" customHeight="1">
      <c r="D218" s="152"/>
    </row>
    <row r="219" ht="15.75" customHeight="1">
      <c r="D219" s="152"/>
    </row>
    <row r="220" ht="15.75" customHeight="1">
      <c r="D220" s="152"/>
    </row>
    <row r="221" ht="15.75" customHeight="1">
      <c r="D221" s="152"/>
    </row>
    <row r="222" ht="15.75" customHeight="1">
      <c r="D222" s="152"/>
    </row>
    <row r="223" ht="15.75" customHeight="1">
      <c r="D223" s="152"/>
    </row>
    <row r="224" ht="15.75" customHeight="1">
      <c r="D224" s="152"/>
    </row>
    <row r="225" ht="15.75" customHeight="1">
      <c r="D225" s="152"/>
    </row>
    <row r="226" ht="15.75" customHeight="1">
      <c r="D226" s="152"/>
    </row>
    <row r="227" ht="15.75" customHeight="1">
      <c r="D227" s="152"/>
    </row>
    <row r="228" ht="15.75" customHeight="1">
      <c r="D228" s="152"/>
    </row>
    <row r="229" ht="15.75" customHeight="1">
      <c r="D229" s="152"/>
    </row>
    <row r="230" ht="15.75" customHeight="1">
      <c r="D230" s="152"/>
    </row>
    <row r="231" ht="15.75" customHeight="1">
      <c r="D231" s="152"/>
    </row>
    <row r="232" ht="15.75" customHeight="1">
      <c r="D232" s="152"/>
    </row>
    <row r="233" ht="15.75" customHeight="1">
      <c r="D233" s="152"/>
    </row>
    <row r="234" ht="15.75" customHeight="1">
      <c r="D234" s="152"/>
    </row>
    <row r="235" ht="15.75" customHeight="1">
      <c r="D235" s="152"/>
    </row>
    <row r="236" ht="15.75" customHeight="1">
      <c r="D236" s="152"/>
    </row>
    <row r="237" ht="15.75" customHeight="1">
      <c r="D237" s="152"/>
    </row>
    <row r="238" ht="15.75" customHeight="1">
      <c r="D238" s="152"/>
    </row>
    <row r="239" ht="15.75" customHeight="1">
      <c r="D239" s="152"/>
    </row>
    <row r="240" ht="15.75" customHeight="1">
      <c r="D240" s="152"/>
    </row>
    <row r="241" ht="15.75" customHeight="1">
      <c r="D241" s="152"/>
    </row>
    <row r="242" ht="15.75" customHeight="1">
      <c r="D242" s="152"/>
    </row>
    <row r="243" ht="15.75" customHeight="1">
      <c r="D243" s="152"/>
    </row>
    <row r="244" ht="15.75" customHeight="1">
      <c r="D244" s="152"/>
    </row>
    <row r="245" ht="15.75" customHeight="1">
      <c r="D245" s="152"/>
    </row>
    <row r="246" ht="15.75" customHeight="1">
      <c r="D246" s="152"/>
    </row>
    <row r="247" ht="15.75" customHeight="1">
      <c r="D247" s="152"/>
    </row>
    <row r="248" ht="15.75" customHeight="1">
      <c r="D248" s="152"/>
    </row>
    <row r="249" ht="15.75" customHeight="1">
      <c r="D249" s="152"/>
    </row>
    <row r="250" ht="15.75" customHeight="1">
      <c r="D250" s="152"/>
    </row>
    <row r="251" ht="15.75" customHeight="1">
      <c r="D251" s="152"/>
    </row>
    <row r="252" ht="15.75" customHeight="1">
      <c r="D252" s="152"/>
    </row>
    <row r="253" ht="15.75" customHeight="1">
      <c r="D253" s="152"/>
    </row>
    <row r="254" ht="15.75" customHeight="1">
      <c r="D254" s="152"/>
    </row>
    <row r="255" ht="15.75" customHeight="1">
      <c r="D255" s="152"/>
    </row>
    <row r="256" ht="15.75" customHeight="1">
      <c r="D256" s="152"/>
    </row>
    <row r="257" ht="15.75" customHeight="1">
      <c r="D257" s="152"/>
    </row>
    <row r="258" ht="15.75" customHeight="1">
      <c r="D258" s="152"/>
    </row>
    <row r="259" ht="15.75" customHeight="1">
      <c r="D259" s="152"/>
    </row>
    <row r="260" ht="15.75" customHeight="1">
      <c r="D260" s="152"/>
    </row>
    <row r="261" ht="15.75" customHeight="1">
      <c r="D261" s="152"/>
    </row>
    <row r="262" ht="15.75" customHeight="1">
      <c r="D262" s="152"/>
    </row>
    <row r="263" ht="15.75" customHeight="1">
      <c r="D263" s="152"/>
    </row>
    <row r="264" ht="15.75" customHeight="1">
      <c r="D264" s="152"/>
    </row>
    <row r="265" ht="15.75" customHeight="1">
      <c r="D265" s="152"/>
    </row>
    <row r="266" ht="15.75" customHeight="1">
      <c r="D266" s="152"/>
    </row>
    <row r="267" ht="15.75" customHeight="1">
      <c r="D267" s="152"/>
    </row>
    <row r="268" ht="15.75" customHeight="1">
      <c r="D268" s="152"/>
    </row>
    <row r="269" ht="15.75" customHeight="1">
      <c r="D269" s="152"/>
    </row>
    <row r="270" ht="15.75" customHeight="1">
      <c r="D270" s="152"/>
    </row>
    <row r="271" ht="15.75" customHeight="1">
      <c r="D271" s="152"/>
    </row>
    <row r="272" ht="15.75" customHeight="1">
      <c r="D272" s="152"/>
    </row>
    <row r="273" ht="15.75" customHeight="1">
      <c r="D273" s="152"/>
    </row>
    <row r="274" ht="15.75" customHeight="1">
      <c r="D274" s="152"/>
    </row>
    <row r="275" ht="15.75" customHeight="1">
      <c r="D275" s="152"/>
    </row>
    <row r="276" ht="15.75" customHeight="1">
      <c r="D276" s="152"/>
    </row>
    <row r="277" ht="15.75" customHeight="1">
      <c r="D277" s="152"/>
    </row>
    <row r="278" ht="15.75" customHeight="1">
      <c r="D278" s="152"/>
    </row>
    <row r="279" ht="15.75" customHeight="1">
      <c r="D279" s="152"/>
    </row>
    <row r="280" ht="15.75" customHeight="1">
      <c r="D280" s="152"/>
    </row>
    <row r="281" ht="15.75" customHeight="1">
      <c r="D281" s="152"/>
    </row>
    <row r="282" ht="15.75" customHeight="1">
      <c r="D282" s="152"/>
    </row>
    <row r="283" ht="15.75" customHeight="1">
      <c r="D283" s="152"/>
    </row>
    <row r="284" ht="15.75" customHeight="1">
      <c r="D284" s="152"/>
    </row>
    <row r="285" ht="15.75" customHeight="1">
      <c r="D285" s="152"/>
    </row>
    <row r="286" ht="15.75" customHeight="1">
      <c r="D286" s="152"/>
    </row>
    <row r="287" ht="15.75" customHeight="1">
      <c r="D287" s="152"/>
    </row>
    <row r="288" ht="15.75" customHeight="1">
      <c r="D288" s="152"/>
    </row>
    <row r="289" ht="15.75" customHeight="1">
      <c r="D289" s="152"/>
    </row>
    <row r="290" ht="15.75" customHeight="1">
      <c r="D290" s="152"/>
    </row>
    <row r="291" ht="15.75" customHeight="1">
      <c r="D291" s="152"/>
    </row>
    <row r="292" ht="15.75" customHeight="1">
      <c r="D292" s="152"/>
    </row>
    <row r="293" ht="15.75" customHeight="1">
      <c r="D293" s="152"/>
    </row>
    <row r="294" ht="15.75" customHeight="1">
      <c r="D294" s="152"/>
    </row>
    <row r="295" ht="15.75" customHeight="1">
      <c r="D295" s="152"/>
    </row>
    <row r="296" ht="15.75" customHeight="1">
      <c r="D296" s="152"/>
    </row>
    <row r="297" ht="15.75" customHeight="1">
      <c r="D297" s="152"/>
    </row>
    <row r="298" ht="15.75" customHeight="1">
      <c r="D298" s="152"/>
    </row>
    <row r="299" ht="15.75" customHeight="1">
      <c r="D299" s="152"/>
    </row>
    <row r="300" ht="15.75" customHeight="1">
      <c r="D300" s="152"/>
    </row>
    <row r="301" ht="15.75" customHeight="1">
      <c r="D301" s="152"/>
    </row>
    <row r="302" ht="15.75" customHeight="1">
      <c r="D302" s="152"/>
    </row>
    <row r="303" ht="15.75" customHeight="1">
      <c r="D303" s="152"/>
    </row>
    <row r="304" ht="15.75" customHeight="1">
      <c r="D304" s="152"/>
    </row>
    <row r="305" ht="15.75" customHeight="1">
      <c r="D305" s="152"/>
    </row>
    <row r="306" ht="15.75" customHeight="1">
      <c r="D306" s="152"/>
    </row>
    <row r="307" ht="15.75" customHeight="1">
      <c r="D307" s="152"/>
    </row>
    <row r="308" ht="15.75" customHeight="1">
      <c r="D308" s="152"/>
    </row>
    <row r="309" ht="15.75" customHeight="1">
      <c r="D309" s="152"/>
    </row>
    <row r="310" ht="15.75" customHeight="1">
      <c r="D310" s="152"/>
    </row>
    <row r="311" ht="15.75" customHeight="1">
      <c r="D311" s="152"/>
    </row>
    <row r="312" ht="15.75" customHeight="1">
      <c r="D312" s="152"/>
    </row>
    <row r="313" ht="15.75" customHeight="1">
      <c r="D313" s="152"/>
    </row>
    <row r="314" ht="15.75" customHeight="1">
      <c r="D314" s="152"/>
    </row>
    <row r="315" ht="15.75" customHeight="1">
      <c r="D315" s="152"/>
    </row>
    <row r="316" ht="15.75" customHeight="1">
      <c r="D316" s="152"/>
    </row>
    <row r="317" ht="15.75" customHeight="1">
      <c r="D317" s="152"/>
    </row>
    <row r="318" ht="15.75" customHeight="1">
      <c r="D318" s="152"/>
    </row>
    <row r="319" ht="15.75" customHeight="1">
      <c r="D319" s="152"/>
    </row>
    <row r="320" ht="15.75" customHeight="1">
      <c r="D320" s="152"/>
    </row>
    <row r="321" ht="15.75" customHeight="1">
      <c r="D321" s="152"/>
    </row>
    <row r="322" ht="15.75" customHeight="1">
      <c r="D322" s="152"/>
    </row>
    <row r="323" ht="15.75" customHeight="1">
      <c r="D323" s="152"/>
    </row>
    <row r="324" ht="15.75" customHeight="1">
      <c r="D324" s="152"/>
    </row>
    <row r="325" ht="15.75" customHeight="1">
      <c r="D325" s="152"/>
    </row>
    <row r="326" ht="15.75" customHeight="1">
      <c r="D326" s="152"/>
    </row>
    <row r="327" ht="15.75" customHeight="1">
      <c r="D327" s="152"/>
    </row>
    <row r="328" ht="15.75" customHeight="1">
      <c r="D328" s="152"/>
    </row>
    <row r="329" ht="15.75" customHeight="1">
      <c r="D329" s="152"/>
    </row>
    <row r="330" ht="15.75" customHeight="1">
      <c r="D330" s="152"/>
    </row>
    <row r="331" ht="15.75" customHeight="1">
      <c r="D331" s="152"/>
    </row>
    <row r="332" ht="15.75" customHeight="1">
      <c r="D332" s="152"/>
    </row>
    <row r="333" ht="15.75" customHeight="1">
      <c r="D333" s="152"/>
    </row>
    <row r="334" ht="15.75" customHeight="1">
      <c r="D334" s="152"/>
    </row>
    <row r="335" ht="15.75" customHeight="1">
      <c r="D335" s="152"/>
    </row>
    <row r="336" ht="15.75" customHeight="1">
      <c r="D336" s="152"/>
    </row>
    <row r="337" ht="15.75" customHeight="1">
      <c r="D337" s="152"/>
    </row>
    <row r="338" ht="15.75" customHeight="1">
      <c r="D338" s="152"/>
    </row>
    <row r="339" ht="15.75" customHeight="1">
      <c r="D339" s="152"/>
    </row>
    <row r="340" ht="15.75" customHeight="1">
      <c r="D340" s="152"/>
    </row>
    <row r="341" ht="15.75" customHeight="1">
      <c r="D341" s="152"/>
    </row>
    <row r="342" ht="15.75" customHeight="1">
      <c r="D342" s="152"/>
    </row>
    <row r="343" ht="15.75" customHeight="1">
      <c r="D343" s="152"/>
    </row>
    <row r="344" ht="15.75" customHeight="1">
      <c r="D344" s="152"/>
    </row>
    <row r="345" ht="15.75" customHeight="1">
      <c r="D345" s="152"/>
    </row>
    <row r="346" ht="15.75" customHeight="1">
      <c r="D346" s="152"/>
    </row>
    <row r="347" ht="15.75" customHeight="1">
      <c r="D347" s="152"/>
    </row>
    <row r="348" ht="15.75" customHeight="1">
      <c r="D348" s="152"/>
    </row>
    <row r="349" ht="15.75" customHeight="1">
      <c r="D349" s="152"/>
    </row>
    <row r="350" ht="15.75" customHeight="1">
      <c r="D350" s="152"/>
    </row>
    <row r="351" ht="15.75" customHeight="1">
      <c r="D351" s="152"/>
    </row>
    <row r="352" ht="15.75" customHeight="1">
      <c r="D352" s="152"/>
    </row>
    <row r="353" ht="15.75" customHeight="1">
      <c r="D353" s="152"/>
    </row>
    <row r="354" ht="15.75" customHeight="1">
      <c r="D354" s="152"/>
    </row>
    <row r="355" ht="15.75" customHeight="1">
      <c r="D355" s="152"/>
    </row>
    <row r="356" ht="15.75" customHeight="1">
      <c r="D356" s="152"/>
    </row>
    <row r="357" ht="15.75" customHeight="1">
      <c r="D357" s="152"/>
    </row>
    <row r="358" ht="15.75" customHeight="1">
      <c r="D358" s="152"/>
    </row>
    <row r="359" ht="15.75" customHeight="1">
      <c r="D359" s="152"/>
    </row>
    <row r="360" ht="15.75" customHeight="1">
      <c r="D360" s="152"/>
    </row>
    <row r="361" ht="15.75" customHeight="1">
      <c r="D361" s="152"/>
    </row>
    <row r="362" ht="15.75" customHeight="1">
      <c r="D362" s="152"/>
    </row>
    <row r="363" ht="15.75" customHeight="1">
      <c r="D363" s="152"/>
    </row>
    <row r="364" ht="15.75" customHeight="1">
      <c r="D364" s="152"/>
    </row>
    <row r="365" ht="15.75" customHeight="1">
      <c r="D365" s="152"/>
    </row>
    <row r="366" ht="15.75" customHeight="1">
      <c r="D366" s="152"/>
    </row>
    <row r="367" ht="15.75" customHeight="1">
      <c r="D367" s="152"/>
    </row>
    <row r="368" ht="15.75" customHeight="1">
      <c r="D368" s="152"/>
    </row>
    <row r="369" ht="15.75" customHeight="1">
      <c r="D369" s="152"/>
    </row>
    <row r="370" ht="15.75" customHeight="1">
      <c r="D370" s="152"/>
    </row>
    <row r="371" ht="15.75" customHeight="1">
      <c r="D371" s="152"/>
    </row>
    <row r="372" ht="15.75" customHeight="1">
      <c r="D372" s="152"/>
    </row>
    <row r="373" ht="15.75" customHeight="1">
      <c r="D373" s="152"/>
    </row>
    <row r="374" ht="15.75" customHeight="1">
      <c r="D374" s="152"/>
    </row>
    <row r="375" ht="15.75" customHeight="1">
      <c r="D375" s="152"/>
    </row>
    <row r="376" ht="15.75" customHeight="1">
      <c r="D376" s="152"/>
    </row>
    <row r="377" ht="15.75" customHeight="1">
      <c r="D377" s="152"/>
    </row>
    <row r="378" ht="15.75" customHeight="1">
      <c r="D378" s="152"/>
    </row>
    <row r="379" ht="15.75" customHeight="1">
      <c r="D379" s="152"/>
    </row>
    <row r="380" ht="15.75" customHeight="1">
      <c r="D380" s="152"/>
    </row>
    <row r="381" ht="15.75" customHeight="1">
      <c r="D381" s="152"/>
    </row>
    <row r="382" ht="15.75" customHeight="1">
      <c r="D382" s="152"/>
    </row>
    <row r="383" ht="15.75" customHeight="1">
      <c r="D383" s="152"/>
    </row>
    <row r="384" ht="15.75" customHeight="1">
      <c r="D384" s="152"/>
    </row>
    <row r="385" ht="15.75" customHeight="1">
      <c r="D385" s="152"/>
    </row>
    <row r="386" ht="15.75" customHeight="1">
      <c r="D386" s="152"/>
    </row>
    <row r="387" ht="15.75" customHeight="1">
      <c r="D387" s="152"/>
    </row>
    <row r="388" ht="15.75" customHeight="1">
      <c r="D388" s="152"/>
    </row>
    <row r="389" ht="15.75" customHeight="1">
      <c r="D389" s="152"/>
    </row>
    <row r="390" ht="15.75" customHeight="1">
      <c r="D390" s="152"/>
    </row>
    <row r="391" ht="15.75" customHeight="1">
      <c r="D391" s="152"/>
    </row>
    <row r="392" ht="15.75" customHeight="1">
      <c r="D392" s="152"/>
    </row>
    <row r="393" ht="15.75" customHeight="1">
      <c r="D393" s="152"/>
    </row>
    <row r="394" ht="15.75" customHeight="1">
      <c r="D394" s="152"/>
    </row>
    <row r="395" ht="15.75" customHeight="1">
      <c r="D395" s="152"/>
    </row>
    <row r="396" ht="15.75" customHeight="1">
      <c r="D396" s="152"/>
    </row>
    <row r="397" ht="15.75" customHeight="1">
      <c r="D397" s="152"/>
    </row>
    <row r="398" ht="15.75" customHeight="1">
      <c r="D398" s="152"/>
    </row>
    <row r="399" ht="15.75" customHeight="1">
      <c r="D399" s="152"/>
    </row>
    <row r="400" ht="15.75" customHeight="1">
      <c r="D400" s="152"/>
    </row>
    <row r="401" ht="15.75" customHeight="1">
      <c r="D401" s="152"/>
    </row>
    <row r="402" ht="15.75" customHeight="1">
      <c r="D402" s="152"/>
    </row>
    <row r="403" ht="15.75" customHeight="1">
      <c r="D403" s="152"/>
    </row>
    <row r="404" ht="15.75" customHeight="1">
      <c r="D404" s="152"/>
    </row>
    <row r="405" ht="15.75" customHeight="1">
      <c r="D405" s="152"/>
    </row>
    <row r="406" ht="15.75" customHeight="1">
      <c r="D406" s="152"/>
    </row>
    <row r="407" ht="15.75" customHeight="1">
      <c r="D407" s="152"/>
    </row>
    <row r="408" ht="15.75" customHeight="1">
      <c r="D408" s="152"/>
    </row>
    <row r="409" ht="15.75" customHeight="1">
      <c r="D409" s="152"/>
    </row>
    <row r="410" ht="15.75" customHeight="1">
      <c r="D410" s="152"/>
    </row>
    <row r="411" ht="15.75" customHeight="1">
      <c r="D411" s="152"/>
    </row>
    <row r="412" ht="15.75" customHeight="1">
      <c r="D412" s="152"/>
    </row>
    <row r="413" ht="15.75" customHeight="1">
      <c r="D413" s="152"/>
    </row>
    <row r="414" ht="15.75" customHeight="1">
      <c r="D414" s="152"/>
    </row>
    <row r="415" ht="15.75" customHeight="1">
      <c r="D415" s="152"/>
    </row>
    <row r="416" ht="15.75" customHeight="1">
      <c r="D416" s="152"/>
    </row>
    <row r="417" ht="15.75" customHeight="1">
      <c r="D417" s="152"/>
    </row>
    <row r="418" ht="15.75" customHeight="1">
      <c r="D418" s="152"/>
    </row>
    <row r="419" ht="15.75" customHeight="1">
      <c r="D419" s="152"/>
    </row>
    <row r="420" ht="15.75" customHeight="1">
      <c r="D420" s="152"/>
    </row>
    <row r="421" ht="15.75" customHeight="1">
      <c r="D421" s="152"/>
    </row>
    <row r="422" ht="15.75" customHeight="1">
      <c r="D422" s="152"/>
    </row>
    <row r="423" ht="15.75" customHeight="1">
      <c r="D423" s="152"/>
    </row>
    <row r="424" ht="15.75" customHeight="1">
      <c r="D424" s="152"/>
    </row>
    <row r="425" ht="15.75" customHeight="1">
      <c r="D425" s="152"/>
    </row>
    <row r="426" ht="15.75" customHeight="1">
      <c r="D426" s="152"/>
    </row>
    <row r="427" ht="15.75" customHeight="1">
      <c r="D427" s="152"/>
    </row>
    <row r="428" ht="15.75" customHeight="1">
      <c r="D428" s="152"/>
    </row>
    <row r="429" ht="15.75" customHeight="1">
      <c r="D429" s="152"/>
    </row>
    <row r="430" ht="15.75" customHeight="1">
      <c r="D430" s="152"/>
    </row>
    <row r="431" ht="15.75" customHeight="1">
      <c r="D431" s="152"/>
    </row>
    <row r="432" ht="15.75" customHeight="1">
      <c r="D432" s="152"/>
    </row>
    <row r="433" ht="15.75" customHeight="1">
      <c r="D433" s="152"/>
    </row>
    <row r="434" ht="15.75" customHeight="1">
      <c r="D434" s="152"/>
    </row>
    <row r="435" ht="15.75" customHeight="1">
      <c r="D435" s="152"/>
    </row>
    <row r="436" ht="15.75" customHeight="1">
      <c r="D436" s="152"/>
    </row>
    <row r="437" ht="15.75" customHeight="1">
      <c r="D437" s="152"/>
    </row>
    <row r="438" ht="15.75" customHeight="1">
      <c r="D438" s="152"/>
    </row>
    <row r="439" ht="15.75" customHeight="1">
      <c r="D439" s="152"/>
    </row>
    <row r="440" ht="15.75" customHeight="1">
      <c r="D440" s="152"/>
    </row>
    <row r="441" ht="15.75" customHeight="1">
      <c r="D441" s="152"/>
    </row>
    <row r="442" ht="15.75" customHeight="1">
      <c r="D442" s="152"/>
    </row>
    <row r="443" ht="15.75" customHeight="1">
      <c r="D443" s="152"/>
    </row>
    <row r="444" ht="15.75" customHeight="1">
      <c r="D444" s="152"/>
    </row>
    <row r="445" ht="15.75" customHeight="1">
      <c r="D445" s="152"/>
    </row>
    <row r="446" ht="15.75" customHeight="1">
      <c r="D446" s="152"/>
    </row>
    <row r="447" ht="15.75" customHeight="1">
      <c r="D447" s="152"/>
    </row>
    <row r="448" ht="15.75" customHeight="1">
      <c r="D448" s="152"/>
    </row>
    <row r="449" ht="15.75" customHeight="1">
      <c r="D449" s="152"/>
    </row>
    <row r="450" ht="15.75" customHeight="1">
      <c r="D450" s="152"/>
    </row>
    <row r="451" ht="15.75" customHeight="1">
      <c r="D451" s="152"/>
    </row>
    <row r="452" ht="15.75" customHeight="1">
      <c r="D452" s="152"/>
    </row>
    <row r="453" ht="15.75" customHeight="1">
      <c r="D453" s="152"/>
    </row>
    <row r="454" ht="15.75" customHeight="1">
      <c r="D454" s="152"/>
    </row>
    <row r="455" ht="15.75" customHeight="1">
      <c r="D455" s="152"/>
    </row>
    <row r="456" ht="15.75" customHeight="1">
      <c r="D456" s="152"/>
    </row>
    <row r="457" ht="15.75" customHeight="1">
      <c r="D457" s="152"/>
    </row>
    <row r="458" ht="15.75" customHeight="1">
      <c r="D458" s="152"/>
    </row>
    <row r="459" ht="15.75" customHeight="1">
      <c r="D459" s="152"/>
    </row>
    <row r="460" ht="15.75" customHeight="1">
      <c r="D460" s="152"/>
    </row>
    <row r="461" ht="15.75" customHeight="1">
      <c r="D461" s="152"/>
    </row>
    <row r="462" ht="15.75" customHeight="1">
      <c r="D462" s="152"/>
    </row>
    <row r="463" ht="15.75" customHeight="1">
      <c r="D463" s="152"/>
    </row>
    <row r="464" ht="15.75" customHeight="1">
      <c r="D464" s="152"/>
    </row>
    <row r="465" ht="15.75" customHeight="1">
      <c r="D465" s="152"/>
    </row>
    <row r="466" ht="15.75" customHeight="1">
      <c r="D466" s="152"/>
    </row>
    <row r="467" ht="15.75" customHeight="1">
      <c r="D467" s="152"/>
    </row>
    <row r="468" ht="15.75" customHeight="1">
      <c r="D468" s="152"/>
    </row>
    <row r="469" ht="15.75" customHeight="1">
      <c r="D469" s="152"/>
    </row>
    <row r="470" ht="15.75" customHeight="1">
      <c r="D470" s="152"/>
    </row>
    <row r="471" ht="15.75" customHeight="1">
      <c r="D471" s="152"/>
    </row>
    <row r="472" ht="15.75" customHeight="1">
      <c r="D472" s="152"/>
    </row>
    <row r="473" ht="15.75" customHeight="1">
      <c r="D473" s="152"/>
    </row>
    <row r="474" ht="15.75" customHeight="1">
      <c r="D474" s="152"/>
    </row>
    <row r="475" ht="15.75" customHeight="1">
      <c r="D475" s="152"/>
    </row>
    <row r="476" ht="15.75" customHeight="1">
      <c r="D476" s="152"/>
    </row>
    <row r="477" ht="15.75" customHeight="1">
      <c r="D477" s="152"/>
    </row>
    <row r="478" ht="15.75" customHeight="1">
      <c r="D478" s="152"/>
    </row>
    <row r="479" ht="15.75" customHeight="1">
      <c r="D479" s="152"/>
    </row>
    <row r="480" ht="15.75" customHeight="1">
      <c r="D480" s="152"/>
    </row>
    <row r="481" ht="15.75" customHeight="1">
      <c r="D481" s="152"/>
    </row>
    <row r="482" ht="15.75" customHeight="1">
      <c r="D482" s="152"/>
    </row>
    <row r="483" ht="15.75" customHeight="1">
      <c r="D483" s="152"/>
    </row>
    <row r="484" ht="15.75" customHeight="1">
      <c r="D484" s="152"/>
    </row>
    <row r="485" ht="15.75" customHeight="1">
      <c r="D485" s="152"/>
    </row>
    <row r="486" ht="15.75" customHeight="1">
      <c r="D486" s="152"/>
    </row>
    <row r="487" ht="15.75" customHeight="1">
      <c r="D487" s="152"/>
    </row>
    <row r="488" ht="15.75" customHeight="1">
      <c r="D488" s="152"/>
    </row>
    <row r="489" ht="15.75" customHeight="1">
      <c r="D489" s="152"/>
    </row>
    <row r="490" ht="15.75" customHeight="1">
      <c r="D490" s="152"/>
    </row>
    <row r="491" ht="15.75" customHeight="1">
      <c r="D491" s="152"/>
    </row>
    <row r="492" ht="15.75" customHeight="1">
      <c r="D492" s="152"/>
    </row>
    <row r="493" ht="15.75" customHeight="1">
      <c r="D493" s="152"/>
    </row>
    <row r="494" ht="15.75" customHeight="1">
      <c r="D494" s="152"/>
    </row>
    <row r="495" ht="15.75" customHeight="1">
      <c r="D495" s="152"/>
    </row>
    <row r="496" ht="15.75" customHeight="1">
      <c r="D496" s="152"/>
    </row>
    <row r="497" ht="15.75" customHeight="1">
      <c r="D497" s="152"/>
    </row>
    <row r="498" ht="15.75" customHeight="1">
      <c r="D498" s="152"/>
    </row>
    <row r="499" ht="15.75" customHeight="1">
      <c r="D499" s="152"/>
    </row>
    <row r="500" ht="15.75" customHeight="1">
      <c r="D500" s="152"/>
    </row>
    <row r="501" ht="15.75" customHeight="1">
      <c r="D501" s="152"/>
    </row>
    <row r="502" ht="15.75" customHeight="1">
      <c r="D502" s="152"/>
    </row>
    <row r="503" ht="15.75" customHeight="1">
      <c r="D503" s="152"/>
    </row>
    <row r="504" ht="15.75" customHeight="1">
      <c r="D504" s="152"/>
    </row>
    <row r="505" ht="15.75" customHeight="1">
      <c r="D505" s="152"/>
    </row>
    <row r="506" ht="15.75" customHeight="1">
      <c r="D506" s="152"/>
    </row>
    <row r="507" ht="15.75" customHeight="1">
      <c r="D507" s="152"/>
    </row>
    <row r="508" ht="15.75" customHeight="1">
      <c r="D508" s="152"/>
    </row>
    <row r="509" ht="15.75" customHeight="1">
      <c r="D509" s="152"/>
    </row>
    <row r="510" ht="15.75" customHeight="1">
      <c r="D510" s="152"/>
    </row>
    <row r="511" ht="15.75" customHeight="1">
      <c r="D511" s="152"/>
    </row>
    <row r="512" ht="15.75" customHeight="1">
      <c r="D512" s="152"/>
    </row>
    <row r="513" ht="15.75" customHeight="1">
      <c r="D513" s="152"/>
    </row>
    <row r="514" ht="15.75" customHeight="1">
      <c r="D514" s="152"/>
    </row>
    <row r="515" ht="15.75" customHeight="1">
      <c r="D515" s="152"/>
    </row>
    <row r="516" ht="15.75" customHeight="1">
      <c r="D516" s="152"/>
    </row>
    <row r="517" ht="15.75" customHeight="1">
      <c r="D517" s="152"/>
    </row>
    <row r="518" ht="15.75" customHeight="1">
      <c r="D518" s="152"/>
    </row>
    <row r="519" ht="15.75" customHeight="1">
      <c r="D519" s="152"/>
    </row>
    <row r="520" ht="15.75" customHeight="1">
      <c r="D520" s="152"/>
    </row>
    <row r="521" ht="15.75" customHeight="1">
      <c r="D521" s="152"/>
    </row>
    <row r="522" ht="15.75" customHeight="1">
      <c r="D522" s="152"/>
    </row>
    <row r="523" ht="15.75" customHeight="1">
      <c r="D523" s="152"/>
    </row>
    <row r="524" ht="15.75" customHeight="1">
      <c r="D524" s="152"/>
    </row>
    <row r="525" ht="15.75" customHeight="1">
      <c r="D525" s="152"/>
    </row>
    <row r="526" ht="15.75" customHeight="1">
      <c r="D526" s="152"/>
    </row>
    <row r="527" ht="15.75" customHeight="1">
      <c r="D527" s="152"/>
    </row>
    <row r="528" ht="15.75" customHeight="1">
      <c r="D528" s="152"/>
    </row>
    <row r="529" ht="15.75" customHeight="1">
      <c r="D529" s="152"/>
    </row>
    <row r="530" ht="15.75" customHeight="1">
      <c r="D530" s="152"/>
    </row>
    <row r="531" ht="15.75" customHeight="1">
      <c r="D531" s="152"/>
    </row>
    <row r="532" ht="15.75" customHeight="1">
      <c r="D532" s="152"/>
    </row>
    <row r="533" ht="15.75" customHeight="1">
      <c r="D533" s="152"/>
    </row>
    <row r="534" ht="15.75" customHeight="1">
      <c r="D534" s="152"/>
    </row>
    <row r="535" ht="15.75" customHeight="1">
      <c r="D535" s="152"/>
    </row>
    <row r="536" ht="15.75" customHeight="1">
      <c r="D536" s="152"/>
    </row>
    <row r="537" ht="15.75" customHeight="1">
      <c r="D537" s="152"/>
    </row>
    <row r="538" ht="15.75" customHeight="1">
      <c r="D538" s="152"/>
    </row>
    <row r="539" ht="15.75" customHeight="1">
      <c r="D539" s="152"/>
    </row>
    <row r="540" ht="15.75" customHeight="1">
      <c r="D540" s="152"/>
    </row>
    <row r="541" ht="15.75" customHeight="1">
      <c r="D541" s="152"/>
    </row>
    <row r="542" ht="15.75" customHeight="1">
      <c r="D542" s="152"/>
    </row>
    <row r="543" ht="15.75" customHeight="1">
      <c r="D543" s="152"/>
    </row>
    <row r="544" ht="15.75" customHeight="1">
      <c r="D544" s="152"/>
    </row>
    <row r="545" ht="15.75" customHeight="1">
      <c r="D545" s="152"/>
    </row>
    <row r="546" ht="15.75" customHeight="1">
      <c r="D546" s="152"/>
    </row>
    <row r="547" ht="15.75" customHeight="1">
      <c r="D547" s="152"/>
    </row>
    <row r="548" ht="15.75" customHeight="1">
      <c r="D548" s="152"/>
    </row>
    <row r="549" ht="15.75" customHeight="1">
      <c r="D549" s="152"/>
    </row>
    <row r="550" ht="15.75" customHeight="1">
      <c r="D550" s="152"/>
    </row>
    <row r="551" ht="15.75" customHeight="1">
      <c r="D551" s="152"/>
    </row>
    <row r="552" ht="15.75" customHeight="1">
      <c r="D552" s="152"/>
    </row>
    <row r="553" ht="15.75" customHeight="1">
      <c r="D553" s="152"/>
    </row>
    <row r="554" ht="15.75" customHeight="1">
      <c r="D554" s="152"/>
    </row>
    <row r="555" ht="15.75" customHeight="1">
      <c r="D555" s="152"/>
    </row>
    <row r="556" ht="15.75" customHeight="1">
      <c r="D556" s="152"/>
    </row>
    <row r="557" ht="15.75" customHeight="1">
      <c r="D557" s="152"/>
    </row>
    <row r="558" ht="15.75" customHeight="1">
      <c r="D558" s="152"/>
    </row>
    <row r="559" ht="15.75" customHeight="1">
      <c r="D559" s="152"/>
    </row>
    <row r="560" ht="15.75" customHeight="1">
      <c r="D560" s="152"/>
    </row>
    <row r="561" ht="15.75" customHeight="1">
      <c r="D561" s="152"/>
    </row>
    <row r="562" ht="15.75" customHeight="1">
      <c r="D562" s="152"/>
    </row>
    <row r="563" ht="15.75" customHeight="1">
      <c r="D563" s="152"/>
    </row>
    <row r="564" ht="15.75" customHeight="1">
      <c r="D564" s="152"/>
    </row>
    <row r="565" ht="15.75" customHeight="1">
      <c r="D565" s="152"/>
    </row>
    <row r="566" ht="15.75" customHeight="1">
      <c r="D566" s="152"/>
    </row>
    <row r="567" ht="15.75" customHeight="1">
      <c r="D567" s="152"/>
    </row>
    <row r="568" ht="15.75" customHeight="1">
      <c r="D568" s="152"/>
    </row>
    <row r="569" ht="15.75" customHeight="1">
      <c r="D569" s="152"/>
    </row>
    <row r="570" ht="15.75" customHeight="1">
      <c r="D570" s="152"/>
    </row>
    <row r="571" ht="15.75" customHeight="1">
      <c r="D571" s="152"/>
    </row>
    <row r="572" ht="15.75" customHeight="1">
      <c r="D572" s="152"/>
    </row>
    <row r="573" ht="15.75" customHeight="1">
      <c r="D573" s="152"/>
    </row>
    <row r="574" ht="15.75" customHeight="1">
      <c r="D574" s="152"/>
    </row>
    <row r="575" ht="15.75" customHeight="1">
      <c r="D575" s="152"/>
    </row>
    <row r="576" ht="15.75" customHeight="1">
      <c r="D576" s="152"/>
    </row>
    <row r="577" ht="15.75" customHeight="1">
      <c r="D577" s="152"/>
    </row>
    <row r="578" ht="15.75" customHeight="1">
      <c r="D578" s="152"/>
    </row>
    <row r="579" ht="15.75" customHeight="1">
      <c r="D579" s="152"/>
    </row>
    <row r="580" ht="15.75" customHeight="1">
      <c r="D580" s="152"/>
    </row>
    <row r="581" ht="15.75" customHeight="1">
      <c r="D581" s="152"/>
    </row>
    <row r="582" ht="15.75" customHeight="1">
      <c r="D582" s="152"/>
    </row>
    <row r="583" ht="15.75" customHeight="1">
      <c r="D583" s="152"/>
    </row>
    <row r="584" ht="15.75" customHeight="1">
      <c r="D584" s="152"/>
    </row>
    <row r="585" ht="15.75" customHeight="1">
      <c r="D585" s="152"/>
    </row>
    <row r="586" ht="15.75" customHeight="1">
      <c r="D586" s="152"/>
    </row>
    <row r="587" ht="15.75" customHeight="1">
      <c r="D587" s="152"/>
    </row>
    <row r="588" ht="15.75" customHeight="1">
      <c r="D588" s="152"/>
    </row>
    <row r="589" ht="15.75" customHeight="1">
      <c r="D589" s="152"/>
    </row>
    <row r="590" ht="15.75" customHeight="1">
      <c r="D590" s="152"/>
    </row>
    <row r="591" ht="15.75" customHeight="1">
      <c r="D591" s="152"/>
    </row>
    <row r="592" ht="15.75" customHeight="1">
      <c r="D592" s="152"/>
    </row>
    <row r="593" ht="15.75" customHeight="1">
      <c r="D593" s="152"/>
    </row>
    <row r="594" ht="15.75" customHeight="1">
      <c r="D594" s="152"/>
    </row>
    <row r="595" ht="15.75" customHeight="1">
      <c r="D595" s="152"/>
    </row>
    <row r="596" ht="15.75" customHeight="1">
      <c r="D596" s="152"/>
    </row>
    <row r="597" ht="15.75" customHeight="1">
      <c r="D597" s="152"/>
    </row>
    <row r="598" ht="15.75" customHeight="1">
      <c r="D598" s="152"/>
    </row>
    <row r="599" ht="15.75" customHeight="1">
      <c r="D599" s="152"/>
    </row>
    <row r="600" ht="15.75" customHeight="1">
      <c r="D600" s="152"/>
    </row>
    <row r="601" ht="15.75" customHeight="1">
      <c r="D601" s="152"/>
    </row>
    <row r="602" ht="15.75" customHeight="1">
      <c r="D602" s="152"/>
    </row>
    <row r="603" ht="15.75" customHeight="1">
      <c r="D603" s="152"/>
    </row>
    <row r="604" ht="15.75" customHeight="1">
      <c r="D604" s="152"/>
    </row>
    <row r="605" ht="15.75" customHeight="1">
      <c r="D605" s="152"/>
    </row>
    <row r="606" ht="15.75" customHeight="1">
      <c r="D606" s="152"/>
    </row>
    <row r="607" ht="15.75" customHeight="1">
      <c r="D607" s="152"/>
    </row>
    <row r="608" ht="15.75" customHeight="1">
      <c r="D608" s="152"/>
    </row>
    <row r="609" ht="15.75" customHeight="1">
      <c r="D609" s="152"/>
    </row>
    <row r="610" ht="15.75" customHeight="1">
      <c r="D610" s="152"/>
    </row>
    <row r="611" ht="15.75" customHeight="1">
      <c r="D611" s="152"/>
    </row>
    <row r="612" ht="15.75" customHeight="1">
      <c r="D612" s="152"/>
    </row>
    <row r="613" ht="15.75" customHeight="1">
      <c r="D613" s="152"/>
    </row>
    <row r="614" ht="15.75" customHeight="1">
      <c r="D614" s="152"/>
    </row>
    <row r="615" ht="15.75" customHeight="1">
      <c r="D615" s="152"/>
    </row>
    <row r="616" ht="15.75" customHeight="1">
      <c r="D616" s="152"/>
    </row>
    <row r="617" ht="15.75" customHeight="1">
      <c r="D617" s="152"/>
    </row>
    <row r="618" ht="15.75" customHeight="1">
      <c r="D618" s="152"/>
    </row>
    <row r="619" ht="15.75" customHeight="1">
      <c r="D619" s="152"/>
    </row>
    <row r="620" ht="15.75" customHeight="1">
      <c r="D620" s="152"/>
    </row>
    <row r="621" ht="15.75" customHeight="1">
      <c r="D621" s="152"/>
    </row>
    <row r="622" ht="15.75" customHeight="1">
      <c r="D622" s="152"/>
    </row>
    <row r="623" ht="15.75" customHeight="1">
      <c r="D623" s="152"/>
    </row>
    <row r="624" ht="15.75" customHeight="1">
      <c r="D624" s="152"/>
    </row>
    <row r="625" ht="15.75" customHeight="1">
      <c r="D625" s="152"/>
    </row>
    <row r="626" ht="15.75" customHeight="1">
      <c r="D626" s="152"/>
    </row>
    <row r="627" ht="15.75" customHeight="1">
      <c r="D627" s="152"/>
    </row>
    <row r="628" ht="15.75" customHeight="1">
      <c r="D628" s="152"/>
    </row>
    <row r="629" ht="15.75" customHeight="1">
      <c r="D629" s="152"/>
    </row>
    <row r="630" ht="15.75" customHeight="1">
      <c r="D630" s="152"/>
    </row>
    <row r="631" ht="15.75" customHeight="1">
      <c r="D631" s="152"/>
    </row>
    <row r="632" ht="15.75" customHeight="1">
      <c r="D632" s="152"/>
    </row>
    <row r="633" ht="15.75" customHeight="1">
      <c r="D633" s="152"/>
    </row>
    <row r="634" ht="15.75" customHeight="1">
      <c r="D634" s="152"/>
    </row>
    <row r="635" ht="15.75" customHeight="1">
      <c r="D635" s="152"/>
    </row>
    <row r="636" ht="15.75" customHeight="1">
      <c r="D636" s="152"/>
    </row>
    <row r="637" ht="15.75" customHeight="1">
      <c r="D637" s="152"/>
    </row>
    <row r="638" ht="15.75" customHeight="1">
      <c r="D638" s="152"/>
    </row>
    <row r="639" ht="15.75" customHeight="1">
      <c r="D639" s="152"/>
    </row>
    <row r="640" ht="15.75" customHeight="1">
      <c r="D640" s="152"/>
    </row>
    <row r="641" ht="15.75" customHeight="1">
      <c r="D641" s="152"/>
    </row>
    <row r="642" ht="15.75" customHeight="1">
      <c r="D642" s="152"/>
    </row>
    <row r="643" ht="15.75" customHeight="1">
      <c r="D643" s="152"/>
    </row>
    <row r="644" ht="15.75" customHeight="1">
      <c r="D644" s="152"/>
    </row>
    <row r="645" ht="15.75" customHeight="1">
      <c r="D645" s="152"/>
    </row>
    <row r="646" ht="15.75" customHeight="1">
      <c r="D646" s="152"/>
    </row>
    <row r="647" ht="15.75" customHeight="1">
      <c r="D647" s="152"/>
    </row>
    <row r="648" ht="15.75" customHeight="1">
      <c r="D648" s="152"/>
    </row>
    <row r="649" ht="15.75" customHeight="1">
      <c r="D649" s="152"/>
    </row>
    <row r="650" ht="15.75" customHeight="1">
      <c r="D650" s="152"/>
    </row>
    <row r="651" ht="15.75" customHeight="1">
      <c r="D651" s="152"/>
    </row>
    <row r="652" ht="15.75" customHeight="1">
      <c r="D652" s="152"/>
    </row>
    <row r="653" ht="15.75" customHeight="1">
      <c r="D653" s="152"/>
    </row>
    <row r="654" ht="15.75" customHeight="1">
      <c r="D654" s="152"/>
    </row>
    <row r="655" ht="15.75" customHeight="1">
      <c r="D655" s="152"/>
    </row>
    <row r="656" ht="15.75" customHeight="1">
      <c r="D656" s="152"/>
    </row>
    <row r="657" ht="15.75" customHeight="1">
      <c r="D657" s="152"/>
    </row>
    <row r="658" ht="15.75" customHeight="1">
      <c r="D658" s="152"/>
    </row>
    <row r="659" ht="15.75" customHeight="1">
      <c r="D659" s="152"/>
    </row>
    <row r="660" ht="15.75" customHeight="1">
      <c r="D660" s="152"/>
    </row>
    <row r="661" ht="15.75" customHeight="1">
      <c r="D661" s="152"/>
    </row>
    <row r="662" ht="15.75" customHeight="1">
      <c r="D662" s="152"/>
    </row>
    <row r="663" ht="15.75" customHeight="1">
      <c r="D663" s="152"/>
    </row>
    <row r="664" ht="15.75" customHeight="1">
      <c r="D664" s="152"/>
    </row>
    <row r="665" ht="15.75" customHeight="1">
      <c r="D665" s="152"/>
    </row>
    <row r="666" ht="15.75" customHeight="1">
      <c r="D666" s="152"/>
    </row>
    <row r="667" ht="15.75" customHeight="1">
      <c r="D667" s="152"/>
    </row>
    <row r="668" ht="15.75" customHeight="1">
      <c r="D668" s="152"/>
    </row>
    <row r="669" ht="15.75" customHeight="1">
      <c r="D669" s="152"/>
    </row>
    <row r="670" ht="15.75" customHeight="1">
      <c r="D670" s="152"/>
    </row>
    <row r="671" ht="15.75" customHeight="1">
      <c r="D671" s="152"/>
    </row>
    <row r="672" ht="15.75" customHeight="1">
      <c r="D672" s="152"/>
    </row>
    <row r="673" ht="15.75" customHeight="1">
      <c r="D673" s="152"/>
    </row>
    <row r="674" ht="15.75" customHeight="1">
      <c r="D674" s="152"/>
    </row>
    <row r="675" ht="15.75" customHeight="1">
      <c r="D675" s="152"/>
    </row>
    <row r="676" ht="15.75" customHeight="1">
      <c r="D676" s="152"/>
    </row>
    <row r="677" ht="15.75" customHeight="1">
      <c r="D677" s="152"/>
    </row>
    <row r="678" ht="15.75" customHeight="1">
      <c r="D678" s="152"/>
    </row>
    <row r="679" ht="15.75" customHeight="1">
      <c r="D679" s="152"/>
    </row>
    <row r="680" ht="15.75" customHeight="1">
      <c r="D680" s="152"/>
    </row>
    <row r="681" ht="15.75" customHeight="1">
      <c r="D681" s="152"/>
    </row>
    <row r="682" ht="15.75" customHeight="1">
      <c r="D682" s="152"/>
    </row>
    <row r="683" ht="15.75" customHeight="1">
      <c r="D683" s="152"/>
    </row>
    <row r="684" ht="15.75" customHeight="1">
      <c r="D684" s="152"/>
    </row>
    <row r="685" ht="15.75" customHeight="1">
      <c r="D685" s="152"/>
    </row>
    <row r="686" ht="15.75" customHeight="1">
      <c r="D686" s="152"/>
    </row>
    <row r="687" ht="15.75" customHeight="1">
      <c r="D687" s="152"/>
    </row>
    <row r="688" ht="15.75" customHeight="1">
      <c r="D688" s="152"/>
    </row>
    <row r="689" ht="15.75" customHeight="1">
      <c r="D689" s="152"/>
    </row>
    <row r="690" ht="15.75" customHeight="1">
      <c r="D690" s="152"/>
    </row>
    <row r="691" ht="15.75" customHeight="1">
      <c r="D691" s="152"/>
    </row>
    <row r="692" ht="15.75" customHeight="1">
      <c r="D692" s="152"/>
    </row>
    <row r="693" ht="15.75" customHeight="1">
      <c r="D693" s="152"/>
    </row>
    <row r="694" ht="15.75" customHeight="1">
      <c r="D694" s="152"/>
    </row>
    <row r="695" ht="15.75" customHeight="1">
      <c r="D695" s="152"/>
    </row>
    <row r="696" ht="15.75" customHeight="1">
      <c r="D696" s="152"/>
    </row>
    <row r="697" ht="15.75" customHeight="1">
      <c r="D697" s="152"/>
    </row>
    <row r="698" ht="15.75" customHeight="1">
      <c r="D698" s="152"/>
    </row>
    <row r="699" ht="15.75" customHeight="1">
      <c r="D699" s="152"/>
    </row>
    <row r="700" ht="15.75" customHeight="1">
      <c r="D700" s="152"/>
    </row>
    <row r="701" ht="15.75" customHeight="1">
      <c r="D701" s="152"/>
    </row>
    <row r="702" ht="15.75" customHeight="1">
      <c r="D702" s="152"/>
    </row>
    <row r="703" ht="15.75" customHeight="1">
      <c r="D703" s="152"/>
    </row>
    <row r="704" ht="15.75" customHeight="1">
      <c r="D704" s="152"/>
    </row>
    <row r="705" ht="15.75" customHeight="1">
      <c r="D705" s="152"/>
    </row>
    <row r="706" ht="15.75" customHeight="1">
      <c r="D706" s="152"/>
    </row>
    <row r="707" ht="15.75" customHeight="1">
      <c r="D707" s="152"/>
    </row>
    <row r="708" ht="15.75" customHeight="1">
      <c r="D708" s="152"/>
    </row>
    <row r="709" ht="15.75" customHeight="1">
      <c r="D709" s="152"/>
    </row>
    <row r="710" ht="15.75" customHeight="1">
      <c r="D710" s="152"/>
    </row>
    <row r="711" ht="15.75" customHeight="1">
      <c r="D711" s="152"/>
    </row>
    <row r="712" ht="15.75" customHeight="1">
      <c r="D712" s="152"/>
    </row>
    <row r="713" ht="15.75" customHeight="1">
      <c r="D713" s="152"/>
    </row>
    <row r="714" ht="15.75" customHeight="1">
      <c r="D714" s="152"/>
    </row>
    <row r="715" ht="15.75" customHeight="1">
      <c r="D715" s="152"/>
    </row>
    <row r="716" ht="15.75" customHeight="1">
      <c r="D716" s="152"/>
    </row>
    <row r="717" ht="15.75" customHeight="1">
      <c r="D717" s="152"/>
    </row>
    <row r="718" ht="15.75" customHeight="1">
      <c r="D718" s="152"/>
    </row>
    <row r="719" ht="15.75" customHeight="1">
      <c r="D719" s="152"/>
    </row>
    <row r="720" ht="15.75" customHeight="1">
      <c r="D720" s="152"/>
    </row>
    <row r="721" ht="15.75" customHeight="1">
      <c r="D721" s="152"/>
    </row>
    <row r="722" ht="15.75" customHeight="1">
      <c r="D722" s="152"/>
    </row>
    <row r="723" ht="15.75" customHeight="1">
      <c r="D723" s="152"/>
    </row>
    <row r="724" ht="15.75" customHeight="1">
      <c r="D724" s="152"/>
    </row>
    <row r="725" ht="15.75" customHeight="1">
      <c r="D725" s="152"/>
    </row>
    <row r="726" ht="15.75" customHeight="1">
      <c r="D726" s="152"/>
    </row>
    <row r="727" ht="15.75" customHeight="1">
      <c r="D727" s="152"/>
    </row>
    <row r="728" ht="15.75" customHeight="1">
      <c r="D728" s="152"/>
    </row>
    <row r="729" ht="15.75" customHeight="1">
      <c r="D729" s="152"/>
    </row>
    <row r="730" ht="15.75" customHeight="1">
      <c r="D730" s="152"/>
    </row>
    <row r="731" ht="15.75" customHeight="1">
      <c r="D731" s="152"/>
    </row>
    <row r="732" ht="15.75" customHeight="1">
      <c r="D732" s="152"/>
    </row>
    <row r="733" ht="15.75" customHeight="1">
      <c r="D733" s="152"/>
    </row>
    <row r="734" ht="15.75" customHeight="1">
      <c r="D734" s="152"/>
    </row>
    <row r="735" ht="15.75" customHeight="1">
      <c r="D735" s="152"/>
    </row>
    <row r="736" ht="15.75" customHeight="1">
      <c r="D736" s="152"/>
    </row>
    <row r="737" ht="15.75" customHeight="1">
      <c r="D737" s="152"/>
    </row>
    <row r="738" ht="15.75" customHeight="1">
      <c r="D738" s="152"/>
    </row>
    <row r="739" ht="15.75" customHeight="1">
      <c r="D739" s="152"/>
    </row>
    <row r="740" ht="15.75" customHeight="1">
      <c r="D740" s="152"/>
    </row>
    <row r="741" ht="15.75" customHeight="1">
      <c r="D741" s="152"/>
    </row>
    <row r="742" ht="15.75" customHeight="1">
      <c r="D742" s="152"/>
    </row>
    <row r="743" ht="15.75" customHeight="1">
      <c r="D743" s="152"/>
    </row>
    <row r="744" ht="15.75" customHeight="1">
      <c r="D744" s="152"/>
    </row>
    <row r="745" ht="15.75" customHeight="1">
      <c r="D745" s="152"/>
    </row>
    <row r="746" ht="15.75" customHeight="1">
      <c r="D746" s="152"/>
    </row>
    <row r="747" ht="15.75" customHeight="1">
      <c r="D747" s="152"/>
    </row>
    <row r="748" ht="15.75" customHeight="1">
      <c r="D748" s="152"/>
    </row>
    <row r="749" ht="15.75" customHeight="1">
      <c r="D749" s="152"/>
    </row>
    <row r="750" ht="15.75" customHeight="1">
      <c r="D750" s="152"/>
    </row>
    <row r="751" ht="15.75" customHeight="1">
      <c r="D751" s="152"/>
    </row>
    <row r="752" ht="15.75" customHeight="1">
      <c r="D752" s="152"/>
    </row>
    <row r="753" ht="15.75" customHeight="1">
      <c r="D753" s="152"/>
    </row>
    <row r="754" ht="15.75" customHeight="1">
      <c r="D754" s="152"/>
    </row>
    <row r="755" ht="15.75" customHeight="1">
      <c r="D755" s="152"/>
    </row>
    <row r="756" ht="15.75" customHeight="1">
      <c r="D756" s="152"/>
    </row>
    <row r="757" ht="15.75" customHeight="1">
      <c r="D757" s="152"/>
    </row>
    <row r="758" ht="15.75" customHeight="1">
      <c r="D758" s="152"/>
    </row>
    <row r="759" ht="15.75" customHeight="1">
      <c r="D759" s="152"/>
    </row>
    <row r="760" ht="15.75" customHeight="1">
      <c r="D760" s="152"/>
    </row>
    <row r="761" ht="15.75" customHeight="1">
      <c r="D761" s="152"/>
    </row>
    <row r="762" ht="15.75" customHeight="1">
      <c r="D762" s="152"/>
    </row>
    <row r="763" ht="15.75" customHeight="1">
      <c r="D763" s="152"/>
    </row>
    <row r="764" ht="15.75" customHeight="1">
      <c r="D764" s="152"/>
    </row>
    <row r="765" ht="15.75" customHeight="1">
      <c r="D765" s="152"/>
    </row>
    <row r="766" ht="15.75" customHeight="1">
      <c r="D766" s="152"/>
    </row>
    <row r="767" ht="15.75" customHeight="1">
      <c r="D767" s="152"/>
    </row>
    <row r="768" ht="15.75" customHeight="1">
      <c r="D768" s="152"/>
    </row>
    <row r="769" ht="15.75" customHeight="1">
      <c r="D769" s="152"/>
    </row>
    <row r="770" ht="15.75" customHeight="1">
      <c r="D770" s="152"/>
    </row>
    <row r="771" ht="15.75" customHeight="1">
      <c r="D771" s="152"/>
    </row>
    <row r="772" ht="15.75" customHeight="1">
      <c r="D772" s="152"/>
    </row>
    <row r="773" ht="15.75" customHeight="1">
      <c r="D773" s="152"/>
    </row>
    <row r="774" ht="15.75" customHeight="1">
      <c r="D774" s="152"/>
    </row>
    <row r="775" ht="15.75" customHeight="1">
      <c r="D775" s="152"/>
    </row>
    <row r="776" ht="15.75" customHeight="1">
      <c r="D776" s="152"/>
    </row>
    <row r="777" ht="15.75" customHeight="1">
      <c r="D777" s="152"/>
    </row>
    <row r="778" ht="15.75" customHeight="1">
      <c r="D778" s="152"/>
    </row>
    <row r="779" ht="15.75" customHeight="1">
      <c r="D779" s="152"/>
    </row>
    <row r="780" ht="15.75" customHeight="1">
      <c r="D780" s="152"/>
    </row>
    <row r="781" ht="15.75" customHeight="1">
      <c r="D781" s="152"/>
    </row>
    <row r="782" ht="15.75" customHeight="1">
      <c r="D782" s="152"/>
    </row>
    <row r="783" ht="15.75" customHeight="1">
      <c r="D783" s="152"/>
    </row>
    <row r="784" ht="15.75" customHeight="1">
      <c r="D784" s="152"/>
    </row>
    <row r="785" ht="15.75" customHeight="1">
      <c r="D785" s="152"/>
    </row>
    <row r="786" ht="15.75" customHeight="1">
      <c r="D786" s="152"/>
    </row>
    <row r="787" ht="15.75" customHeight="1">
      <c r="D787" s="152"/>
    </row>
    <row r="788" ht="15.75" customHeight="1">
      <c r="D788" s="152"/>
    </row>
    <row r="789" ht="15.75" customHeight="1">
      <c r="D789" s="152"/>
    </row>
    <row r="790" ht="15.75" customHeight="1">
      <c r="D790" s="152"/>
    </row>
    <row r="791" ht="15.75" customHeight="1">
      <c r="D791" s="152"/>
    </row>
    <row r="792" ht="15.75" customHeight="1">
      <c r="D792" s="152"/>
    </row>
    <row r="793" ht="15.75" customHeight="1">
      <c r="D793" s="152"/>
    </row>
    <row r="794" ht="15.75" customHeight="1">
      <c r="D794" s="152"/>
    </row>
    <row r="795" ht="15.75" customHeight="1">
      <c r="D795" s="152"/>
    </row>
    <row r="796" ht="15.75" customHeight="1">
      <c r="D796" s="152"/>
    </row>
    <row r="797" ht="15.75" customHeight="1">
      <c r="D797" s="152"/>
    </row>
    <row r="798" ht="15.75" customHeight="1">
      <c r="D798" s="152"/>
    </row>
    <row r="799" ht="15.75" customHeight="1">
      <c r="D799" s="152"/>
    </row>
    <row r="800" ht="15.75" customHeight="1">
      <c r="D800" s="152"/>
    </row>
    <row r="801" ht="15.75" customHeight="1">
      <c r="D801" s="152"/>
    </row>
    <row r="802" ht="15.75" customHeight="1">
      <c r="D802" s="152"/>
    </row>
    <row r="803" ht="15.75" customHeight="1">
      <c r="D803" s="152"/>
    </row>
    <row r="804" ht="15.75" customHeight="1">
      <c r="D804" s="152"/>
    </row>
    <row r="805" ht="15.75" customHeight="1">
      <c r="D805" s="152"/>
    </row>
    <row r="806" ht="15.75" customHeight="1">
      <c r="D806" s="152"/>
    </row>
    <row r="807" ht="15.75" customHeight="1">
      <c r="D807" s="152"/>
    </row>
    <row r="808" ht="15.75" customHeight="1">
      <c r="D808" s="152"/>
    </row>
    <row r="809" ht="15.75" customHeight="1">
      <c r="D809" s="152"/>
    </row>
    <row r="810" ht="15.75" customHeight="1">
      <c r="D810" s="152"/>
    </row>
    <row r="811" ht="15.75" customHeight="1">
      <c r="D811" s="152"/>
    </row>
    <row r="812" ht="15.75" customHeight="1">
      <c r="D812" s="152"/>
    </row>
    <row r="813" ht="15.75" customHeight="1">
      <c r="D813" s="152"/>
    </row>
    <row r="814" ht="15.75" customHeight="1">
      <c r="D814" s="152"/>
    </row>
    <row r="815" ht="15.75" customHeight="1">
      <c r="D815" s="152"/>
    </row>
    <row r="816" ht="15.75" customHeight="1">
      <c r="D816" s="152"/>
    </row>
    <row r="817" ht="15.75" customHeight="1">
      <c r="D817" s="152"/>
    </row>
    <row r="818" ht="15.75" customHeight="1">
      <c r="D818" s="152"/>
    </row>
    <row r="819" ht="15.75" customHeight="1">
      <c r="D819" s="152"/>
    </row>
    <row r="820" ht="15.75" customHeight="1">
      <c r="D820" s="152"/>
    </row>
    <row r="821" ht="15.75" customHeight="1">
      <c r="D821" s="152"/>
    </row>
    <row r="822" ht="15.75" customHeight="1">
      <c r="D822" s="152"/>
    </row>
    <row r="823" ht="15.75" customHeight="1">
      <c r="D823" s="152"/>
    </row>
    <row r="824" ht="15.75" customHeight="1">
      <c r="D824" s="152"/>
    </row>
    <row r="825" ht="15.75" customHeight="1">
      <c r="D825" s="152"/>
    </row>
    <row r="826" ht="15.75" customHeight="1">
      <c r="D826" s="152"/>
    </row>
    <row r="827" ht="15.75" customHeight="1">
      <c r="D827" s="152"/>
    </row>
    <row r="828" ht="15.75" customHeight="1">
      <c r="D828" s="152"/>
    </row>
    <row r="829" ht="15.75" customHeight="1">
      <c r="D829" s="152"/>
    </row>
    <row r="830" ht="15.75" customHeight="1">
      <c r="D830" s="152"/>
    </row>
    <row r="831" ht="15.75" customHeight="1">
      <c r="D831" s="152"/>
    </row>
    <row r="832" ht="15.75" customHeight="1">
      <c r="D832" s="152"/>
    </row>
    <row r="833" ht="15.75" customHeight="1">
      <c r="D833" s="152"/>
    </row>
    <row r="834" ht="15.75" customHeight="1">
      <c r="D834" s="152"/>
    </row>
    <row r="835" ht="15.75" customHeight="1">
      <c r="D835" s="152"/>
    </row>
    <row r="836" ht="15.75" customHeight="1">
      <c r="D836" s="152"/>
    </row>
    <row r="837" ht="15.75" customHeight="1">
      <c r="D837" s="152"/>
    </row>
    <row r="838" ht="15.75" customHeight="1">
      <c r="D838" s="152"/>
    </row>
    <row r="839" ht="15.75" customHeight="1">
      <c r="D839" s="152"/>
    </row>
    <row r="840" ht="15.75" customHeight="1">
      <c r="D840" s="152"/>
    </row>
    <row r="841" ht="15.75" customHeight="1">
      <c r="D841" s="152"/>
    </row>
    <row r="842" ht="15.75" customHeight="1">
      <c r="D842" s="152"/>
    </row>
    <row r="843" ht="15.75" customHeight="1">
      <c r="D843" s="152"/>
    </row>
    <row r="844" ht="15.75" customHeight="1">
      <c r="D844" s="152"/>
    </row>
    <row r="845" ht="15.75" customHeight="1">
      <c r="D845" s="152"/>
    </row>
    <row r="846" ht="15.75" customHeight="1">
      <c r="D846" s="152"/>
    </row>
    <row r="847" ht="15.75" customHeight="1">
      <c r="D847" s="152"/>
    </row>
    <row r="848" ht="15.75" customHeight="1">
      <c r="D848" s="152"/>
    </row>
    <row r="849" ht="15.75" customHeight="1">
      <c r="D849" s="152"/>
    </row>
    <row r="850" ht="15.75" customHeight="1">
      <c r="D850" s="152"/>
    </row>
    <row r="851" ht="15.75" customHeight="1">
      <c r="D851" s="152"/>
    </row>
    <row r="852" ht="15.75" customHeight="1">
      <c r="D852" s="152"/>
    </row>
    <row r="853" ht="15.75" customHeight="1">
      <c r="D853" s="152"/>
    </row>
    <row r="854" ht="15.75" customHeight="1">
      <c r="D854" s="152"/>
    </row>
    <row r="855" ht="15.75" customHeight="1">
      <c r="D855" s="152"/>
    </row>
    <row r="856" ht="15.75" customHeight="1">
      <c r="D856" s="152"/>
    </row>
    <row r="857" ht="15.75" customHeight="1">
      <c r="D857" s="152"/>
    </row>
    <row r="858" ht="15.75" customHeight="1">
      <c r="D858" s="152"/>
    </row>
    <row r="859" ht="15.75" customHeight="1">
      <c r="D859" s="152"/>
    </row>
    <row r="860" ht="15.75" customHeight="1">
      <c r="D860" s="152"/>
    </row>
    <row r="861" ht="15.75" customHeight="1">
      <c r="D861" s="152"/>
    </row>
    <row r="862" ht="15.75" customHeight="1">
      <c r="D862" s="152"/>
    </row>
    <row r="863" ht="15.75" customHeight="1">
      <c r="D863" s="152"/>
    </row>
    <row r="864" ht="15.75" customHeight="1">
      <c r="D864" s="152"/>
    </row>
    <row r="865" ht="15.75" customHeight="1">
      <c r="D865" s="152"/>
    </row>
    <row r="866" ht="15.75" customHeight="1">
      <c r="D866" s="152"/>
    </row>
    <row r="867" ht="15.75" customHeight="1">
      <c r="D867" s="152"/>
    </row>
    <row r="868" ht="15.75" customHeight="1">
      <c r="D868" s="152"/>
    </row>
    <row r="869" ht="15.75" customHeight="1">
      <c r="D869" s="152"/>
    </row>
    <row r="870" ht="15.75" customHeight="1">
      <c r="D870" s="152"/>
    </row>
    <row r="871" ht="15.75" customHeight="1">
      <c r="D871" s="152"/>
    </row>
    <row r="872" ht="15.75" customHeight="1">
      <c r="D872" s="152"/>
    </row>
    <row r="873" ht="15.75" customHeight="1">
      <c r="D873" s="152"/>
    </row>
    <row r="874" ht="15.75" customHeight="1">
      <c r="D874" s="152"/>
    </row>
    <row r="875" ht="15.75" customHeight="1">
      <c r="D875" s="152"/>
    </row>
    <row r="876" ht="15.75" customHeight="1">
      <c r="D876" s="152"/>
    </row>
    <row r="877" ht="15.75" customHeight="1">
      <c r="D877" s="152"/>
    </row>
    <row r="878" ht="15.75" customHeight="1">
      <c r="D878" s="152"/>
    </row>
    <row r="879" ht="15.75" customHeight="1">
      <c r="D879" s="152"/>
    </row>
    <row r="880" ht="15.75" customHeight="1">
      <c r="D880" s="152"/>
    </row>
    <row r="881" ht="15.75" customHeight="1">
      <c r="D881" s="152"/>
    </row>
    <row r="882" ht="15.75" customHeight="1">
      <c r="D882" s="152"/>
    </row>
    <row r="883" ht="15.75" customHeight="1">
      <c r="D883" s="152"/>
    </row>
    <row r="884" ht="15.75" customHeight="1">
      <c r="D884" s="152"/>
    </row>
    <row r="885" ht="15.75" customHeight="1">
      <c r="D885" s="152"/>
    </row>
    <row r="886" ht="15.75" customHeight="1">
      <c r="D886" s="152"/>
    </row>
    <row r="887" ht="15.75" customHeight="1">
      <c r="D887" s="152"/>
    </row>
    <row r="888" ht="15.75" customHeight="1">
      <c r="D888" s="152"/>
    </row>
    <row r="889" ht="15.75" customHeight="1">
      <c r="D889" s="152"/>
    </row>
    <row r="890" ht="15.75" customHeight="1">
      <c r="D890" s="152"/>
    </row>
    <row r="891" ht="15.75" customHeight="1">
      <c r="D891" s="152"/>
    </row>
    <row r="892" ht="15.75" customHeight="1">
      <c r="D892" s="152"/>
    </row>
    <row r="893" ht="15.75" customHeight="1">
      <c r="D893" s="152"/>
    </row>
    <row r="894" ht="15.75" customHeight="1">
      <c r="D894" s="152"/>
    </row>
    <row r="895" ht="15.75" customHeight="1">
      <c r="D895" s="152"/>
    </row>
    <row r="896" ht="15.75" customHeight="1">
      <c r="D896" s="152"/>
    </row>
    <row r="897" ht="15.75" customHeight="1">
      <c r="D897" s="152"/>
    </row>
    <row r="898" ht="15.75" customHeight="1">
      <c r="D898" s="152"/>
    </row>
    <row r="899" ht="15.75" customHeight="1">
      <c r="D899" s="152"/>
    </row>
    <row r="900" ht="15.75" customHeight="1">
      <c r="D900" s="152"/>
    </row>
    <row r="901" ht="15.75" customHeight="1">
      <c r="D901" s="152"/>
    </row>
    <row r="902" ht="15.75" customHeight="1">
      <c r="D902" s="152"/>
    </row>
    <row r="903" ht="15.75" customHeight="1">
      <c r="D903" s="152"/>
    </row>
    <row r="904" ht="15.75" customHeight="1">
      <c r="D904" s="152"/>
    </row>
    <row r="905" ht="15.75" customHeight="1">
      <c r="D905" s="152"/>
    </row>
    <row r="906" ht="15.75" customHeight="1">
      <c r="D906" s="152"/>
    </row>
    <row r="907" ht="15.75" customHeight="1">
      <c r="D907" s="152"/>
    </row>
    <row r="908" ht="15.75" customHeight="1">
      <c r="D908" s="152"/>
    </row>
    <row r="909" ht="15.75" customHeight="1">
      <c r="D909" s="152"/>
    </row>
    <row r="910" ht="15.75" customHeight="1">
      <c r="D910" s="152"/>
    </row>
    <row r="911" ht="15.75" customHeight="1">
      <c r="D911" s="152"/>
    </row>
    <row r="912" ht="15.75" customHeight="1">
      <c r="D912" s="152"/>
    </row>
    <row r="913" ht="15.75" customHeight="1">
      <c r="D913" s="152"/>
    </row>
    <row r="914" ht="15.75" customHeight="1">
      <c r="D914" s="152"/>
    </row>
    <row r="915" ht="15.75" customHeight="1">
      <c r="D915" s="152"/>
    </row>
    <row r="916" ht="15.75" customHeight="1">
      <c r="D916" s="152"/>
    </row>
    <row r="917" ht="15.75" customHeight="1">
      <c r="D917" s="152"/>
    </row>
    <row r="918" ht="15.75" customHeight="1">
      <c r="D918" s="152"/>
    </row>
    <row r="919" ht="15.75" customHeight="1">
      <c r="D919" s="152"/>
    </row>
    <row r="920" ht="15.75" customHeight="1">
      <c r="D920" s="152"/>
    </row>
    <row r="921" ht="15.75" customHeight="1">
      <c r="D921" s="152"/>
    </row>
    <row r="922" ht="15.75" customHeight="1">
      <c r="D922" s="152"/>
    </row>
    <row r="923" ht="15.75" customHeight="1">
      <c r="D923" s="152"/>
    </row>
    <row r="924" ht="15.75" customHeight="1">
      <c r="D924" s="152"/>
    </row>
    <row r="925" ht="15.75" customHeight="1">
      <c r="D925" s="152"/>
    </row>
    <row r="926" ht="15.75" customHeight="1">
      <c r="D926" s="152"/>
    </row>
    <row r="927" ht="15.75" customHeight="1">
      <c r="D927" s="152"/>
    </row>
    <row r="928" ht="15.75" customHeight="1">
      <c r="D928" s="152"/>
    </row>
    <row r="929" ht="15.75" customHeight="1">
      <c r="D929" s="152"/>
    </row>
    <row r="930" ht="15.75" customHeight="1">
      <c r="D930" s="152"/>
    </row>
    <row r="931" ht="15.75" customHeight="1">
      <c r="D931" s="152"/>
    </row>
    <row r="932" ht="15.75" customHeight="1">
      <c r="D932" s="152"/>
    </row>
    <row r="933" ht="15.75" customHeight="1">
      <c r="D933" s="152"/>
    </row>
    <row r="934" ht="15.75" customHeight="1">
      <c r="D934" s="152"/>
    </row>
    <row r="935" ht="15.75" customHeight="1">
      <c r="D935" s="152"/>
    </row>
    <row r="936" ht="15.75" customHeight="1">
      <c r="D936" s="152"/>
    </row>
    <row r="937" ht="15.75" customHeight="1">
      <c r="D937" s="152"/>
    </row>
    <row r="938" ht="15.75" customHeight="1">
      <c r="D938" s="152"/>
    </row>
    <row r="939" ht="15.75" customHeight="1">
      <c r="D939" s="152"/>
    </row>
    <row r="940" ht="15.75" customHeight="1">
      <c r="D940" s="152"/>
    </row>
    <row r="941" ht="15.75" customHeight="1">
      <c r="D941" s="152"/>
    </row>
    <row r="942" ht="15.75" customHeight="1">
      <c r="D942" s="152"/>
    </row>
    <row r="943" ht="15.75" customHeight="1">
      <c r="D943" s="152"/>
    </row>
    <row r="944" ht="15.75" customHeight="1">
      <c r="D944" s="152"/>
    </row>
    <row r="945" ht="15.75" customHeight="1">
      <c r="D945" s="152"/>
    </row>
    <row r="946" ht="15.75" customHeight="1">
      <c r="D946" s="152"/>
    </row>
    <row r="947" ht="15.75" customHeight="1">
      <c r="D947" s="152"/>
    </row>
    <row r="948" ht="15.75" customHeight="1">
      <c r="D948" s="152"/>
    </row>
    <row r="949" ht="15.75" customHeight="1">
      <c r="D949" s="152"/>
    </row>
    <row r="950" ht="15.75" customHeight="1">
      <c r="D950" s="152"/>
    </row>
    <row r="951" ht="15.75" customHeight="1">
      <c r="D951" s="152"/>
    </row>
    <row r="952" ht="15.75" customHeight="1">
      <c r="D952" s="152"/>
    </row>
    <row r="953" ht="15.75" customHeight="1">
      <c r="D953" s="152"/>
    </row>
    <row r="954" ht="15.75" customHeight="1">
      <c r="D954" s="152"/>
    </row>
    <row r="955" ht="15.75" customHeight="1">
      <c r="D955" s="152"/>
    </row>
    <row r="956" ht="15.75" customHeight="1">
      <c r="D956" s="152"/>
    </row>
    <row r="957" ht="15.75" customHeight="1">
      <c r="D957" s="152"/>
    </row>
    <row r="958" ht="15.75" customHeight="1">
      <c r="D958" s="152"/>
    </row>
    <row r="959" ht="15.75" customHeight="1">
      <c r="D959" s="152"/>
    </row>
    <row r="960" ht="15.75" customHeight="1">
      <c r="D960" s="152"/>
    </row>
    <row r="961" ht="15.75" customHeight="1">
      <c r="D961" s="152"/>
    </row>
    <row r="962" ht="15.75" customHeight="1">
      <c r="D962" s="152"/>
    </row>
    <row r="963" ht="15.75" customHeight="1">
      <c r="D963" s="152"/>
    </row>
    <row r="964" ht="15.75" customHeight="1">
      <c r="D964" s="152"/>
    </row>
    <row r="965" ht="15.75" customHeight="1">
      <c r="D965" s="152"/>
    </row>
    <row r="966" ht="15.75" customHeight="1">
      <c r="D966" s="152"/>
    </row>
    <row r="967" ht="15.75" customHeight="1">
      <c r="D967" s="152"/>
    </row>
    <row r="968" ht="15.75" customHeight="1">
      <c r="D968" s="152"/>
    </row>
    <row r="969" ht="15.75" customHeight="1">
      <c r="D969" s="152"/>
    </row>
    <row r="970" ht="15.75" customHeight="1">
      <c r="D970" s="152"/>
    </row>
    <row r="971" ht="15.75" customHeight="1">
      <c r="D971" s="152"/>
    </row>
    <row r="972" ht="15.75" customHeight="1">
      <c r="D972" s="152"/>
    </row>
    <row r="973" ht="15.75" customHeight="1">
      <c r="D973" s="152"/>
    </row>
    <row r="974" ht="15.75" customHeight="1">
      <c r="D974" s="152"/>
    </row>
    <row r="975" ht="15.75" customHeight="1">
      <c r="D975" s="152"/>
    </row>
    <row r="976" ht="15.75" customHeight="1">
      <c r="D976" s="152"/>
    </row>
    <row r="977" ht="15.75" customHeight="1">
      <c r="D977" s="152"/>
    </row>
    <row r="978" ht="15.75" customHeight="1">
      <c r="D978" s="152"/>
    </row>
    <row r="979" ht="15.75" customHeight="1">
      <c r="D979" s="152"/>
    </row>
    <row r="980" ht="15.75" customHeight="1">
      <c r="D980" s="152"/>
    </row>
    <row r="981" ht="15.75" customHeight="1">
      <c r="D981" s="152"/>
    </row>
    <row r="982" ht="15.75" customHeight="1">
      <c r="D982" s="152"/>
    </row>
    <row r="983" ht="15.75" customHeight="1">
      <c r="D983" s="152"/>
    </row>
    <row r="984" ht="15.75" customHeight="1">
      <c r="D984" s="152"/>
    </row>
    <row r="985" ht="15.75" customHeight="1">
      <c r="D985" s="152"/>
    </row>
    <row r="986" ht="15.75" customHeight="1">
      <c r="D986" s="152"/>
    </row>
    <row r="987" ht="15.75" customHeight="1">
      <c r="D987" s="152"/>
    </row>
    <row r="988" ht="15.75" customHeight="1">
      <c r="D988" s="152"/>
    </row>
    <row r="989" ht="15.75" customHeight="1">
      <c r="D989" s="152"/>
    </row>
    <row r="990" ht="15.75" customHeight="1">
      <c r="D990" s="152"/>
    </row>
    <row r="991" ht="15.75" customHeight="1">
      <c r="D991" s="152"/>
    </row>
    <row r="992" ht="15.75" customHeight="1">
      <c r="D992" s="152"/>
    </row>
    <row r="993" ht="15.75" customHeight="1">
      <c r="D993" s="152"/>
    </row>
    <row r="994" ht="15.75" customHeight="1">
      <c r="D994" s="152"/>
    </row>
    <row r="995" ht="15.75" customHeight="1">
      <c r="D995" s="152"/>
    </row>
    <row r="996" ht="15.75" customHeight="1">
      <c r="D996" s="152"/>
    </row>
    <row r="997" ht="15.75" customHeight="1">
      <c r="D997" s="152"/>
    </row>
    <row r="998" ht="15.75" customHeight="1">
      <c r="D998" s="152"/>
    </row>
    <row r="999" ht="15.75" customHeight="1">
      <c r="D999" s="152"/>
    </row>
    <row r="1000" ht="15.75" customHeight="1">
      <c r="D1000" s="152"/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6.88"/>
    <col customWidth="1" min="4" max="4" width="12.63"/>
    <col customWidth="1" min="5" max="5" width="13.75"/>
    <col customWidth="1" min="6" max="6" width="12.63"/>
    <col customWidth="1" min="8" max="8" width="20.25"/>
    <col customWidth="1" min="9" max="9" width="14.38"/>
    <col customWidth="1" min="12" max="12" width="20.88"/>
    <col customWidth="1" min="13" max="13" width="17.88"/>
    <col customWidth="1" min="14" max="14" width="14.38"/>
    <col customWidth="1" min="15" max="15" width="13.63"/>
    <col customWidth="1" min="16" max="16" width="19.13"/>
    <col customWidth="1" min="17" max="17" width="20.88"/>
    <col customWidth="1" min="18" max="18" width="21.5"/>
    <col customWidth="1" min="19" max="19" width="21.0"/>
    <col customWidth="1" min="20" max="20" width="20.88"/>
    <col customWidth="1" min="21" max="21" width="13.0"/>
    <col customWidth="1" min="22" max="22" width="18.13"/>
    <col customWidth="1" min="23" max="23" width="15.0"/>
    <col customWidth="1" min="24" max="24" width="19.13"/>
  </cols>
  <sheetData>
    <row r="1" ht="15.75" customHeight="1">
      <c r="A1" s="168" t="str">
        <f>Datos!A1</f>
        <v>   Fecha </v>
      </c>
      <c r="B1" s="168" t="str">
        <f>Datos!B1</f>
        <v>NIS</v>
      </c>
      <c r="C1" s="168" t="str">
        <f>Datos!C1</f>
        <v>Cliente</v>
      </c>
      <c r="D1" s="168" t="str">
        <f>Datos!D1</f>
        <v>IVA</v>
      </c>
      <c r="E1" s="168" t="str">
        <f>Datos!E1</f>
        <v>Consumo [kWh]</v>
      </c>
      <c r="F1" s="168" t="str">
        <f>Datos!F1</f>
        <v>Consumo hs punta [kWh]</v>
      </c>
      <c r="G1" s="168" t="str">
        <f>Datos!G1</f>
        <v>Consumo hs valle [kWh]</v>
      </c>
      <c r="H1" s="168" t="str">
        <f>Datos!H1</f>
        <v>Consumo hs resto[kWh]</v>
      </c>
      <c r="I1" s="168" t="str">
        <f>Datos!I1</f>
        <v>Catergoria</v>
      </c>
      <c r="J1" s="168" t="str">
        <f>Datos!J1</f>
        <v>Tarifa punta</v>
      </c>
      <c r="K1" s="168" t="str">
        <f>Datos!K1</f>
        <v>Tarifa valle</v>
      </c>
      <c r="L1" s="168" t="str">
        <f>Datos!L1</f>
        <v>Tarifa resto</v>
      </c>
      <c r="M1" s="168" t="str">
        <f>Datos!M1</f>
        <v>Generacion FV [kWh]</v>
      </c>
      <c r="N1" s="168" t="str">
        <f>Datos!N1</f>
        <v>CONSUMO TOTAL</v>
      </c>
      <c r="O1" s="168" t="str">
        <f>Datos!O1</f>
        <v>Total a pagar S / IVA</v>
      </c>
      <c r="P1" s="168" t="str">
        <f>Datos!P1</f>
        <v>Valor USD</v>
      </c>
      <c r="Q1" s="168" t="str">
        <f>Datos!Q1</f>
        <v>Ahorro (USD)</v>
      </c>
      <c r="R1" s="168" t="str">
        <f>Datos!R1</f>
        <v>Ahorro ($)</v>
      </c>
      <c r="S1" s="168" t="str">
        <f>Datos!S1</f>
        <v>Valor dolar Actual ($)</v>
      </c>
      <c r="T1" s="168" t="str">
        <f>Datos!T1</f>
        <v>Ahorro ($)-A precio actual</v>
      </c>
      <c r="U1" s="168" t="str">
        <f>Datos!U1</f>
        <v>kg CO2e evitados</v>
      </c>
      <c r="V1" s="168" t="str">
        <f>Datos!V1</f>
        <v>Equivalente en árboles</v>
      </c>
      <c r="W1" s="168" t="str">
        <f>Datos!W1</f>
        <v>% de ahorro sobre los consumos</v>
      </c>
      <c r="X1" s="168" t="str">
        <f>Datos!X1</f>
        <v>SIN PANELES S/IVA</v>
      </c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  <c r="AK1" s="180"/>
      <c r="AL1" s="180"/>
      <c r="AM1" s="180"/>
      <c r="AN1" s="180"/>
      <c r="AO1" s="180"/>
      <c r="AP1" s="180"/>
      <c r="AQ1" s="180"/>
      <c r="AR1" s="180"/>
      <c r="AS1" s="180"/>
      <c r="AT1" s="180"/>
      <c r="AU1" s="180"/>
      <c r="AV1" s="180"/>
    </row>
    <row r="2" ht="15.75" customHeight="1">
      <c r="A2" s="192">
        <f>'OD-Valle del Colectivo'!A2</f>
        <v>45992</v>
      </c>
      <c r="B2" s="189">
        <f>'OD-Valle del Colectivo'!B2</f>
        <v>5211887</v>
      </c>
      <c r="C2" s="189" t="str">
        <f>'OD-Valle del Colectivo'!C2</f>
        <v>O.Domingo-Colectivo</v>
      </c>
      <c r="D2" s="202">
        <f>'OD-Valle del Colectivo'!D2</f>
        <v>0.27</v>
      </c>
      <c r="E2" s="211">
        <f>'OD-Valle del Colectivo'!E2</f>
        <v>2829</v>
      </c>
      <c r="F2" s="211">
        <f>'OD-Valle del Colectivo'!F2</f>
        <v>0</v>
      </c>
      <c r="G2" s="211">
        <f>'OD-Valle del Colectivo'!G2</f>
        <v>0</v>
      </c>
      <c r="H2" s="211">
        <f>'OD-Valle del Colectivo'!H2</f>
        <v>2829</v>
      </c>
      <c r="I2" s="212" t="str">
        <f>'OD-Valle del Colectivo'!I2</f>
        <v>T2-Ba</v>
      </c>
      <c r="J2" s="212">
        <f>'OD-Valle del Colectivo'!J2</f>
        <v>148.2814</v>
      </c>
      <c r="K2" s="212">
        <f>'OD-Valle del Colectivo'!K2</f>
        <v>148.2814</v>
      </c>
      <c r="L2" s="212">
        <f>'OD-Valle del Colectivo'!L2</f>
        <v>148.2814</v>
      </c>
      <c r="M2" s="152">
        <f>'OD-Valle del Colectivo'!M2</f>
        <v>1272.1</v>
      </c>
      <c r="N2" s="152">
        <f>'OD-Valle del Colectivo'!N2</f>
        <v>4101.1</v>
      </c>
      <c r="O2" s="213">
        <f>'OD-Valle del Colectivo'!O2</f>
        <v>419488.0806</v>
      </c>
      <c r="P2" s="212">
        <f>'OD-Valle del Colectivo'!P2</f>
        <v>1470</v>
      </c>
      <c r="Q2" s="212">
        <f>'OD-Valle del Colectivo'!Q2</f>
        <v>128.3188904</v>
      </c>
      <c r="R2" s="212">
        <f>'OD-Valle del Colectivo'!R2</f>
        <v>188628.7689</v>
      </c>
      <c r="S2" s="212">
        <f>'OD-Valle del Colectivo'!S2</f>
        <v>1465</v>
      </c>
      <c r="T2" s="154">
        <f>'OD-Valle del Colectivo'!T2</f>
        <v>238743.7116</v>
      </c>
      <c r="U2" s="188">
        <f>'OD-Valle del Colectivo'!U2</f>
        <v>254.42</v>
      </c>
      <c r="V2" s="188">
        <f>'OD-Valle del Colectivo'!V2</f>
        <v>11.56454545</v>
      </c>
      <c r="W2" s="157">
        <f>'OD-Valle del Colectivo'!W2</f>
        <v>0.3101850723</v>
      </c>
      <c r="X2" s="212">
        <f>'OD-Valle del Colectivo'!X2</f>
        <v>608116.8495</v>
      </c>
      <c r="Y2" s="205"/>
      <c r="Z2" s="187"/>
      <c r="AA2" s="188"/>
      <c r="AB2" s="188"/>
      <c r="AC2" s="202"/>
      <c r="AD2" s="189"/>
      <c r="AE2" s="189"/>
      <c r="AF2" s="189"/>
      <c r="AG2" s="189"/>
      <c r="AH2" s="189"/>
      <c r="AI2" s="189"/>
      <c r="AJ2" s="189"/>
      <c r="AK2" s="189"/>
      <c r="AL2" s="189"/>
      <c r="AM2" s="189"/>
      <c r="AN2" s="189"/>
      <c r="AO2" s="189"/>
      <c r="AP2" s="189"/>
      <c r="AQ2" s="189"/>
      <c r="AR2" s="189"/>
      <c r="AS2" s="189"/>
      <c r="AT2" s="189"/>
      <c r="AU2" s="189"/>
      <c r="AV2" s="189"/>
    </row>
    <row r="3" ht="15.75" customHeight="1">
      <c r="A3" s="192">
        <f>'OD-Valle del Colectivo'!A3</f>
        <v>45983</v>
      </c>
      <c r="B3" s="189">
        <f>'OD-Valle del Colectivo'!B3</f>
        <v>5211887</v>
      </c>
      <c r="C3" s="189" t="str">
        <f>'OD-Valle del Colectivo'!C3</f>
        <v>O.Domingo-Colectivo</v>
      </c>
      <c r="D3" s="202">
        <f>'OD-Valle del Colectivo'!D3</f>
        <v>0.27</v>
      </c>
      <c r="E3" s="211">
        <f>'OD-Valle del Colectivo'!E3</f>
        <v>2436</v>
      </c>
      <c r="F3" s="211" t="str">
        <f>'OD-Valle del Colectivo'!F3</f>
        <v/>
      </c>
      <c r="G3" s="211" t="str">
        <f>'OD-Valle del Colectivo'!G3</f>
        <v/>
      </c>
      <c r="H3" s="211">
        <f>'OD-Valle del Colectivo'!H3</f>
        <v>2436</v>
      </c>
      <c r="I3" s="212" t="str">
        <f>'OD-Valle del Colectivo'!I3</f>
        <v>T2-Ba</v>
      </c>
      <c r="J3" s="212">
        <f>'OD-Valle del Colectivo'!J3</f>
        <v>145.8675</v>
      </c>
      <c r="K3" s="212">
        <f>'OD-Valle del Colectivo'!K3</f>
        <v>145.8675</v>
      </c>
      <c r="L3" s="212">
        <f>'OD-Valle del Colectivo'!L3</f>
        <v>145.8675</v>
      </c>
      <c r="M3" s="152">
        <f>'OD-Valle del Colectivo'!M3</f>
        <v>1276.9</v>
      </c>
      <c r="N3" s="152">
        <f>'OD-Valle del Colectivo'!N3</f>
        <v>3712.9</v>
      </c>
      <c r="O3" s="213">
        <f>'OD-Valle del Colectivo'!O3</f>
        <v>355333.23</v>
      </c>
      <c r="P3" s="212">
        <f>'OD-Valle del Colectivo'!P3</f>
        <v>1470</v>
      </c>
      <c r="Q3" s="212">
        <f>'OD-Valle del Colectivo'!Q3</f>
        <v>126.7062658</v>
      </c>
      <c r="R3" s="212">
        <f>'OD-Valle del Colectivo'!R3</f>
        <v>186258.2108</v>
      </c>
      <c r="S3" s="212">
        <f>'OD-Valle del Colectivo'!S3</f>
        <v>1465</v>
      </c>
      <c r="T3" s="154">
        <f>'OD-Valle del Colectivo'!T3</f>
        <v>235743.3429</v>
      </c>
      <c r="U3" s="188">
        <f>'OD-Valle del Colectivo'!U3</f>
        <v>255.38</v>
      </c>
      <c r="V3" s="188">
        <f>'OD-Valle del Colectivo'!V3</f>
        <v>11.60818182</v>
      </c>
      <c r="W3" s="157">
        <f>'OD-Valle del Colectivo'!W3</f>
        <v>0.3439090738</v>
      </c>
      <c r="X3" s="212">
        <f>'OD-Valle del Colectivo'!X3</f>
        <v>541591.4408</v>
      </c>
      <c r="Y3" s="205"/>
      <c r="Z3" s="187"/>
      <c r="AA3" s="188"/>
      <c r="AB3" s="188"/>
      <c r="AC3" s="202"/>
      <c r="AD3" s="189"/>
      <c r="AE3" s="189"/>
      <c r="AF3" s="189"/>
      <c r="AG3" s="189"/>
      <c r="AH3" s="189"/>
      <c r="AI3" s="189"/>
      <c r="AJ3" s="189"/>
      <c r="AK3" s="189"/>
      <c r="AL3" s="189"/>
      <c r="AM3" s="189"/>
      <c r="AN3" s="189"/>
      <c r="AO3" s="189"/>
      <c r="AP3" s="189"/>
      <c r="AQ3" s="189"/>
      <c r="AR3" s="189"/>
      <c r="AS3" s="189"/>
      <c r="AT3" s="189"/>
      <c r="AU3" s="189"/>
      <c r="AV3" s="189"/>
    </row>
    <row r="4" ht="15.75" customHeight="1">
      <c r="A4" s="192">
        <f>'OD-Valle del Colectivo'!A4</f>
        <v>45931</v>
      </c>
      <c r="B4" s="189">
        <f>'OD-Valle del Colectivo'!B4</f>
        <v>5211887</v>
      </c>
      <c r="C4" s="189" t="str">
        <f>'OD-Valle del Colectivo'!C4</f>
        <v>O.Domingo-Colectivo</v>
      </c>
      <c r="D4" s="202">
        <f>'OD-Valle del Colectivo'!D4</f>
        <v>0.27</v>
      </c>
      <c r="E4" s="211">
        <f>'OD-Valle del Colectivo'!E4</f>
        <v>2828</v>
      </c>
      <c r="F4" s="211" t="str">
        <f>'OD-Valle del Colectivo'!F4</f>
        <v/>
      </c>
      <c r="G4" s="211" t="str">
        <f>'OD-Valle del Colectivo'!G4</f>
        <v/>
      </c>
      <c r="H4" s="211">
        <f>'OD-Valle del Colectivo'!H4</f>
        <v>2828</v>
      </c>
      <c r="I4" s="212" t="str">
        <f>'OD-Valle del Colectivo'!I4</f>
        <v>T2-Ba</v>
      </c>
      <c r="J4" s="212">
        <f>'OD-Valle del Colectivo'!J4</f>
        <v>157.071</v>
      </c>
      <c r="K4" s="212">
        <f>'OD-Valle del Colectivo'!K4</f>
        <v>157.071</v>
      </c>
      <c r="L4" s="212">
        <f>'OD-Valle del Colectivo'!L4</f>
        <v>157.071</v>
      </c>
      <c r="M4" s="152">
        <f>'OD-Valle del Colectivo'!M4</f>
        <v>1366.3</v>
      </c>
      <c r="N4" s="152">
        <f>'OD-Valle del Colectivo'!N4</f>
        <v>4194.3</v>
      </c>
      <c r="O4" s="213">
        <f>'OD-Valle del Colectivo'!O4</f>
        <v>444196.788</v>
      </c>
      <c r="P4" s="212">
        <f>'OD-Valle del Colectivo'!P4</f>
        <v>1450</v>
      </c>
      <c r="Q4" s="212">
        <f>'OD-Valle del Colectivo'!Q4</f>
        <v>148.0042119</v>
      </c>
      <c r="R4" s="212">
        <f>'OD-Valle del Colectivo'!R4</f>
        <v>214606.1073</v>
      </c>
      <c r="S4" s="212">
        <f>'OD-Valle del Colectivo'!S4</f>
        <v>1465</v>
      </c>
      <c r="T4" s="154">
        <f>'OD-Valle del Colectivo'!T4</f>
        <v>275369.2365</v>
      </c>
      <c r="U4" s="188">
        <f>'OD-Valle del Colectivo'!U4</f>
        <v>273.26</v>
      </c>
      <c r="V4" s="188">
        <f>'OD-Valle del Colectivo'!V4</f>
        <v>12.42090909</v>
      </c>
      <c r="W4" s="157">
        <f>'OD-Valle del Colectivo'!W4</f>
        <v>0.3257516153</v>
      </c>
      <c r="X4" s="212">
        <f>'OD-Valle del Colectivo'!X4</f>
        <v>658802.8953</v>
      </c>
      <c r="Y4" s="205"/>
      <c r="Z4" s="187"/>
      <c r="AA4" s="188"/>
      <c r="AB4" s="188"/>
      <c r="AC4" s="202"/>
      <c r="AD4" s="189"/>
      <c r="AE4" s="189"/>
      <c r="AF4" s="189"/>
      <c r="AG4" s="189"/>
      <c r="AH4" s="189"/>
      <c r="AI4" s="189"/>
      <c r="AJ4" s="189"/>
      <c r="AK4" s="189"/>
      <c r="AL4" s="189"/>
      <c r="AM4" s="189"/>
      <c r="AN4" s="189"/>
      <c r="AO4" s="189"/>
      <c r="AP4" s="189"/>
      <c r="AQ4" s="189"/>
      <c r="AR4" s="189"/>
      <c r="AS4" s="189"/>
      <c r="AT4" s="189"/>
      <c r="AU4" s="189"/>
      <c r="AV4" s="189"/>
    </row>
    <row r="5" ht="15.75" customHeight="1">
      <c r="A5" s="189"/>
      <c r="B5" s="189"/>
      <c r="C5" s="194"/>
      <c r="T5" s="202"/>
    </row>
    <row r="6" ht="15.75" customHeight="1">
      <c r="A6" s="189"/>
      <c r="B6" s="189"/>
      <c r="C6" s="194"/>
      <c r="T6" s="202"/>
    </row>
    <row r="7" ht="15.75" customHeight="1">
      <c r="A7" s="189"/>
      <c r="B7" s="189"/>
      <c r="C7" s="194"/>
      <c r="T7" s="202"/>
    </row>
    <row r="8" ht="15.75" customHeight="1">
      <c r="A8" s="189"/>
      <c r="B8" s="189"/>
      <c r="C8" s="194"/>
      <c r="T8" s="202"/>
    </row>
    <row r="9" ht="15.75" customHeight="1">
      <c r="A9" s="189"/>
      <c r="B9" s="189"/>
      <c r="C9" s="194"/>
      <c r="T9" s="202"/>
    </row>
    <row r="10" ht="15.75" customHeight="1">
      <c r="A10" s="189"/>
      <c r="B10" s="189"/>
      <c r="C10" s="194"/>
      <c r="T10" s="202"/>
    </row>
    <row r="11" ht="15.75" customHeight="1">
      <c r="A11" s="189"/>
      <c r="B11" s="189"/>
      <c r="C11" s="194"/>
      <c r="T11" s="202"/>
    </row>
    <row r="12" ht="15.75" customHeight="1">
      <c r="A12" s="189"/>
      <c r="B12" s="189"/>
      <c r="C12" s="194"/>
      <c r="T12" s="202"/>
    </row>
    <row r="13" ht="15.75" customHeight="1">
      <c r="A13" s="189"/>
      <c r="B13" s="189"/>
      <c r="C13" s="194"/>
      <c r="T13" s="202"/>
    </row>
    <row r="14" ht="15.75" customHeight="1">
      <c r="A14" s="189"/>
      <c r="B14" s="189"/>
      <c r="C14" s="194"/>
      <c r="T14" s="202"/>
    </row>
    <row r="15" ht="15.75" customHeight="1">
      <c r="A15" s="189"/>
      <c r="B15" s="189"/>
      <c r="C15" s="194"/>
      <c r="T15" s="202"/>
    </row>
    <row r="16" ht="15.75" customHeight="1">
      <c r="A16" s="189"/>
      <c r="B16" s="189"/>
      <c r="C16" s="194"/>
      <c r="T16" s="202"/>
    </row>
    <row r="17" ht="15.75" customHeight="1">
      <c r="A17" s="189"/>
      <c r="B17" s="189"/>
      <c r="C17" s="194"/>
      <c r="T17" s="202"/>
    </row>
    <row r="18" ht="15.75" customHeight="1">
      <c r="A18" s="189"/>
      <c r="B18" s="189"/>
      <c r="C18" s="194"/>
      <c r="T18" s="202"/>
    </row>
    <row r="19" ht="15.75" customHeight="1">
      <c r="A19" s="189"/>
      <c r="B19" s="189"/>
      <c r="C19" s="194"/>
      <c r="T19" s="202"/>
    </row>
    <row r="20" ht="15.75" customHeight="1">
      <c r="A20" s="189"/>
      <c r="B20" s="189"/>
      <c r="C20" s="194"/>
      <c r="T20" s="202"/>
    </row>
    <row r="21" ht="15.75" customHeight="1">
      <c r="A21" s="189"/>
      <c r="B21" s="189"/>
      <c r="C21" s="194"/>
      <c r="T21" s="202"/>
    </row>
    <row r="22" ht="15.75" customHeight="1">
      <c r="A22" s="189"/>
      <c r="B22" s="189"/>
      <c r="C22" s="194"/>
      <c r="T22" s="202"/>
    </row>
    <row r="23" ht="15.75" customHeight="1">
      <c r="A23" s="189"/>
      <c r="B23" s="189"/>
      <c r="C23" s="194"/>
      <c r="T23" s="202"/>
    </row>
    <row r="24" ht="15.75" customHeight="1">
      <c r="A24" s="189"/>
      <c r="B24" s="189"/>
      <c r="C24" s="194"/>
      <c r="T24" s="202"/>
    </row>
    <row r="25" ht="15.75" customHeight="1">
      <c r="A25" s="189"/>
      <c r="B25" s="189"/>
      <c r="C25" s="194"/>
      <c r="T25" s="202"/>
    </row>
    <row r="26" ht="15.75" customHeight="1">
      <c r="A26" s="189"/>
      <c r="B26" s="189"/>
      <c r="C26" s="194"/>
      <c r="T26" s="202"/>
    </row>
    <row r="27" ht="15.75" customHeight="1">
      <c r="A27" s="189"/>
      <c r="B27" s="189"/>
      <c r="C27" s="194"/>
      <c r="T27" s="202"/>
    </row>
    <row r="28" ht="15.75" customHeight="1">
      <c r="A28" s="189"/>
      <c r="B28" s="189"/>
      <c r="C28" s="194"/>
      <c r="T28" s="202"/>
    </row>
    <row r="29" ht="15.75" customHeight="1">
      <c r="A29" s="189"/>
      <c r="B29" s="189"/>
      <c r="C29" s="194"/>
      <c r="T29" s="202"/>
    </row>
    <row r="30" ht="15.75" customHeight="1">
      <c r="A30" s="189"/>
      <c r="B30" s="189"/>
      <c r="C30" s="194"/>
      <c r="T30" s="202"/>
    </row>
    <row r="31" ht="15.75" customHeight="1">
      <c r="A31" s="189"/>
      <c r="B31" s="189"/>
      <c r="C31" s="194"/>
      <c r="T31" s="202"/>
    </row>
    <row r="32" ht="15.75" customHeight="1">
      <c r="A32" s="189"/>
      <c r="B32" s="189"/>
      <c r="C32" s="194"/>
      <c r="T32" s="202"/>
    </row>
    <row r="33" ht="15.75" customHeight="1">
      <c r="A33" s="189"/>
      <c r="B33" s="189"/>
      <c r="C33" s="194"/>
      <c r="T33" s="202"/>
    </row>
    <row r="34" ht="15.75" customHeight="1">
      <c r="A34" s="189"/>
      <c r="B34" s="189"/>
      <c r="C34" s="194"/>
      <c r="T34" s="202"/>
    </row>
    <row r="35" ht="15.75" customHeight="1">
      <c r="A35" s="189"/>
      <c r="B35" s="189"/>
      <c r="C35" s="194"/>
      <c r="T35" s="202"/>
    </row>
    <row r="36" ht="15.75" customHeight="1">
      <c r="A36" s="189"/>
      <c r="B36" s="189"/>
      <c r="C36" s="194"/>
      <c r="T36" s="202"/>
    </row>
    <row r="37" ht="15.75" customHeight="1">
      <c r="A37" s="189"/>
      <c r="B37" s="189"/>
      <c r="C37" s="194"/>
      <c r="T37" s="202"/>
    </row>
    <row r="38" ht="15.75" customHeight="1">
      <c r="A38" s="189"/>
      <c r="B38" s="189"/>
      <c r="C38" s="194"/>
      <c r="T38" s="202"/>
    </row>
    <row r="39" ht="15.75" customHeight="1">
      <c r="A39" s="189"/>
      <c r="B39" s="189"/>
      <c r="C39" s="194"/>
      <c r="T39" s="202"/>
    </row>
    <row r="40" ht="15.75" customHeight="1">
      <c r="A40" s="189"/>
      <c r="B40" s="189"/>
      <c r="C40" s="194"/>
      <c r="T40" s="202"/>
    </row>
    <row r="41" ht="15.75" customHeight="1">
      <c r="A41" s="189"/>
      <c r="B41" s="189"/>
      <c r="C41" s="194"/>
      <c r="T41" s="202"/>
    </row>
    <row r="42" ht="15.75" customHeight="1">
      <c r="A42" s="189"/>
      <c r="B42" s="189"/>
      <c r="C42" s="194"/>
      <c r="T42" s="202"/>
    </row>
    <row r="43" ht="15.75" customHeight="1">
      <c r="A43" s="189"/>
      <c r="B43" s="189"/>
      <c r="C43" s="194"/>
      <c r="T43" s="202"/>
    </row>
    <row r="44" ht="15.75" customHeight="1">
      <c r="A44" s="189"/>
      <c r="B44" s="189"/>
      <c r="C44" s="194"/>
      <c r="T44" s="202"/>
    </row>
    <row r="45" ht="15.75" customHeight="1">
      <c r="A45" s="189"/>
      <c r="B45" s="189"/>
      <c r="C45" s="194"/>
      <c r="T45" s="202"/>
    </row>
    <row r="46" ht="15.75" customHeight="1">
      <c r="A46" s="189"/>
      <c r="B46" s="189"/>
      <c r="C46" s="194"/>
      <c r="T46" s="202"/>
    </row>
    <row r="47" ht="15.75" customHeight="1">
      <c r="A47" s="189"/>
      <c r="B47" s="189"/>
      <c r="C47" s="194"/>
      <c r="T47" s="202"/>
    </row>
    <row r="48" ht="15.75" customHeight="1">
      <c r="A48" s="189"/>
      <c r="B48" s="189"/>
      <c r="C48" s="194"/>
      <c r="T48" s="202"/>
    </row>
    <row r="49" ht="15.75" customHeight="1">
      <c r="A49" s="189"/>
      <c r="B49" s="189"/>
      <c r="C49" s="194"/>
      <c r="T49" s="202"/>
    </row>
    <row r="50" ht="15.75" customHeight="1">
      <c r="A50" s="189"/>
      <c r="B50" s="189"/>
      <c r="C50" s="194"/>
      <c r="T50" s="202"/>
    </row>
    <row r="51" ht="15.75" customHeight="1">
      <c r="A51" s="189"/>
      <c r="B51" s="189"/>
      <c r="C51" s="194"/>
      <c r="T51" s="202"/>
    </row>
    <row r="52" ht="15.75" customHeight="1">
      <c r="A52" s="189"/>
      <c r="B52" s="189"/>
      <c r="C52" s="194"/>
      <c r="T52" s="202"/>
    </row>
    <row r="53" ht="15.75" customHeight="1">
      <c r="A53" s="189"/>
      <c r="B53" s="189"/>
      <c r="C53" s="194"/>
      <c r="T53" s="202"/>
    </row>
    <row r="54" ht="15.75" customHeight="1">
      <c r="A54" s="189"/>
      <c r="B54" s="189"/>
      <c r="C54" s="194"/>
      <c r="T54" s="202"/>
    </row>
    <row r="55" ht="15.75" customHeight="1">
      <c r="A55" s="189"/>
      <c r="B55" s="189"/>
      <c r="C55" s="194"/>
      <c r="T55" s="202"/>
    </row>
    <row r="56" ht="15.75" customHeight="1">
      <c r="A56" s="189"/>
      <c r="B56" s="189"/>
      <c r="C56" s="194"/>
      <c r="T56" s="202"/>
    </row>
    <row r="57" ht="15.75" customHeight="1">
      <c r="A57" s="189"/>
      <c r="B57" s="189"/>
      <c r="C57" s="194"/>
      <c r="T57" s="202"/>
    </row>
    <row r="58" ht="15.75" customHeight="1">
      <c r="A58" s="189"/>
      <c r="B58" s="189"/>
      <c r="C58" s="194"/>
      <c r="T58" s="202"/>
    </row>
    <row r="59" ht="15.75" customHeight="1">
      <c r="A59" s="189"/>
      <c r="B59" s="189"/>
      <c r="C59" s="194"/>
      <c r="T59" s="202"/>
    </row>
    <row r="60" ht="15.75" customHeight="1">
      <c r="A60" s="189"/>
      <c r="B60" s="189"/>
      <c r="C60" s="194"/>
      <c r="T60" s="202"/>
    </row>
    <row r="61" ht="15.75" customHeight="1">
      <c r="A61" s="189"/>
      <c r="B61" s="189"/>
      <c r="C61" s="194"/>
      <c r="T61" s="202"/>
    </row>
    <row r="62" ht="15.75" customHeight="1">
      <c r="A62" s="189"/>
      <c r="B62" s="189"/>
      <c r="C62" s="194"/>
      <c r="T62" s="202"/>
    </row>
    <row r="63" ht="15.75" customHeight="1">
      <c r="A63" s="189"/>
      <c r="B63" s="189"/>
      <c r="C63" s="194"/>
      <c r="T63" s="202"/>
    </row>
    <row r="64" ht="15.75" customHeight="1">
      <c r="A64" s="189"/>
      <c r="B64" s="189"/>
      <c r="C64" s="194"/>
      <c r="T64" s="202"/>
    </row>
    <row r="65" ht="15.75" customHeight="1">
      <c r="A65" s="189"/>
      <c r="B65" s="189"/>
      <c r="C65" s="194"/>
      <c r="T65" s="202"/>
    </row>
    <row r="66" ht="15.75" customHeight="1">
      <c r="A66" s="189"/>
      <c r="B66" s="189"/>
      <c r="C66" s="194"/>
      <c r="T66" s="202"/>
    </row>
    <row r="67" ht="15.75" customHeight="1">
      <c r="A67" s="189"/>
      <c r="B67" s="189"/>
      <c r="C67" s="194"/>
      <c r="T67" s="202"/>
    </row>
    <row r="68" ht="15.75" customHeight="1">
      <c r="A68" s="189"/>
      <c r="B68" s="189"/>
      <c r="C68" s="194"/>
      <c r="T68" s="202"/>
    </row>
    <row r="69" ht="15.75" customHeight="1">
      <c r="A69" s="189"/>
      <c r="B69" s="189"/>
      <c r="C69" s="194"/>
      <c r="T69" s="202"/>
    </row>
    <row r="70" ht="15.75" customHeight="1">
      <c r="A70" s="189"/>
      <c r="B70" s="189"/>
      <c r="C70" s="194"/>
      <c r="T70" s="202"/>
    </row>
    <row r="71" ht="15.75" customHeight="1">
      <c r="A71" s="189"/>
      <c r="B71" s="189"/>
      <c r="C71" s="194"/>
      <c r="T71" s="202"/>
    </row>
    <row r="72" ht="15.75" customHeight="1">
      <c r="A72" s="189"/>
      <c r="B72" s="189"/>
      <c r="C72" s="194"/>
      <c r="T72" s="202"/>
    </row>
    <row r="73" ht="15.75" customHeight="1">
      <c r="A73" s="189"/>
      <c r="B73" s="189"/>
      <c r="C73" s="194"/>
      <c r="T73" s="202"/>
    </row>
    <row r="74" ht="15.75" customHeight="1">
      <c r="A74" s="189"/>
      <c r="B74" s="189"/>
      <c r="C74" s="194"/>
      <c r="T74" s="202"/>
    </row>
    <row r="75" ht="15.75" customHeight="1">
      <c r="A75" s="189"/>
      <c r="B75" s="189"/>
      <c r="C75" s="194"/>
      <c r="T75" s="202"/>
    </row>
    <row r="76" ht="15.75" customHeight="1">
      <c r="A76" s="189"/>
      <c r="B76" s="189"/>
      <c r="C76" s="194"/>
      <c r="T76" s="202"/>
    </row>
    <row r="77" ht="15.75" customHeight="1">
      <c r="A77" s="189"/>
      <c r="B77" s="189"/>
      <c r="C77" s="194"/>
      <c r="T77" s="202"/>
    </row>
    <row r="78" ht="15.75" customHeight="1">
      <c r="A78" s="189"/>
      <c r="B78" s="189"/>
      <c r="C78" s="194"/>
      <c r="T78" s="202"/>
    </row>
    <row r="79" ht="15.75" customHeight="1">
      <c r="A79" s="189"/>
      <c r="B79" s="189"/>
      <c r="C79" s="194"/>
      <c r="T79" s="202"/>
    </row>
    <row r="80" ht="15.75" customHeight="1">
      <c r="A80" s="189"/>
      <c r="B80" s="189"/>
      <c r="C80" s="194"/>
      <c r="T80" s="202"/>
    </row>
    <row r="81" ht="15.75" customHeight="1">
      <c r="A81" s="189"/>
      <c r="B81" s="189"/>
      <c r="C81" s="194"/>
      <c r="T81" s="202"/>
    </row>
    <row r="82" ht="15.75" customHeight="1">
      <c r="A82" s="189"/>
      <c r="B82" s="189"/>
      <c r="C82" s="194"/>
      <c r="T82" s="202"/>
    </row>
    <row r="83" ht="15.75" customHeight="1">
      <c r="A83" s="189"/>
      <c r="B83" s="189"/>
      <c r="C83" s="194"/>
      <c r="T83" s="202"/>
    </row>
    <row r="84" ht="15.75" customHeight="1">
      <c r="A84" s="189"/>
      <c r="B84" s="189"/>
      <c r="C84" s="194"/>
      <c r="T84" s="202"/>
    </row>
    <row r="85" ht="15.75" customHeight="1">
      <c r="A85" s="189"/>
      <c r="B85" s="189"/>
      <c r="C85" s="194"/>
      <c r="T85" s="202"/>
    </row>
    <row r="86" ht="15.75" customHeight="1">
      <c r="A86" s="189"/>
      <c r="B86" s="189"/>
      <c r="C86" s="194"/>
      <c r="T86" s="202"/>
    </row>
    <row r="87" ht="15.75" customHeight="1">
      <c r="A87" s="189"/>
      <c r="B87" s="189"/>
      <c r="C87" s="194"/>
      <c r="T87" s="202"/>
    </row>
    <row r="88" ht="15.75" customHeight="1">
      <c r="A88" s="189"/>
      <c r="B88" s="189"/>
      <c r="C88" s="194"/>
      <c r="T88" s="202"/>
    </row>
    <row r="89" ht="15.75" customHeight="1">
      <c r="A89" s="189"/>
      <c r="B89" s="189"/>
      <c r="C89" s="194"/>
      <c r="T89" s="202"/>
    </row>
    <row r="90" ht="15.75" customHeight="1">
      <c r="A90" s="189"/>
      <c r="B90" s="189"/>
      <c r="C90" s="194"/>
      <c r="T90" s="202"/>
    </row>
    <row r="91" ht="15.75" customHeight="1">
      <c r="A91" s="189"/>
      <c r="B91" s="189"/>
      <c r="C91" s="194"/>
      <c r="T91" s="202"/>
    </row>
    <row r="92" ht="15.75" customHeight="1">
      <c r="A92" s="189"/>
      <c r="B92" s="189"/>
      <c r="C92" s="194"/>
      <c r="T92" s="202"/>
    </row>
    <row r="93" ht="15.75" customHeight="1">
      <c r="A93" s="189"/>
      <c r="B93" s="189"/>
      <c r="C93" s="194"/>
      <c r="T93" s="202"/>
    </row>
    <row r="94" ht="15.75" customHeight="1">
      <c r="A94" s="189"/>
      <c r="B94" s="189"/>
      <c r="C94" s="194"/>
      <c r="T94" s="202"/>
    </row>
    <row r="95" ht="15.75" customHeight="1">
      <c r="A95" s="189"/>
      <c r="B95" s="189"/>
      <c r="C95" s="194"/>
      <c r="T95" s="202"/>
    </row>
    <row r="96" ht="15.75" customHeight="1">
      <c r="A96" s="189"/>
      <c r="B96" s="189"/>
      <c r="C96" s="194"/>
      <c r="T96" s="202"/>
    </row>
    <row r="97" ht="15.75" customHeight="1">
      <c r="A97" s="189"/>
      <c r="B97" s="189"/>
      <c r="C97" s="194"/>
      <c r="T97" s="202"/>
    </row>
    <row r="98" ht="15.75" customHeight="1">
      <c r="A98" s="189"/>
      <c r="B98" s="189"/>
      <c r="C98" s="194"/>
      <c r="T98" s="202"/>
    </row>
    <row r="99" ht="15.75" customHeight="1">
      <c r="A99" s="189"/>
      <c r="B99" s="189"/>
      <c r="C99" s="194"/>
      <c r="T99" s="202"/>
    </row>
    <row r="100" ht="15.75" customHeight="1">
      <c r="A100" s="189"/>
      <c r="B100" s="189"/>
      <c r="C100" s="194"/>
      <c r="T100" s="202"/>
    </row>
    <row r="101" ht="15.75" customHeight="1">
      <c r="A101" s="189"/>
      <c r="B101" s="189"/>
      <c r="C101" s="194"/>
      <c r="T101" s="202"/>
    </row>
    <row r="102" ht="15.75" customHeight="1">
      <c r="A102" s="189"/>
      <c r="B102" s="189"/>
      <c r="C102" s="194"/>
      <c r="T102" s="202"/>
    </row>
    <row r="103" ht="15.75" customHeight="1">
      <c r="A103" s="189"/>
      <c r="B103" s="189"/>
      <c r="C103" s="194"/>
      <c r="T103" s="202"/>
    </row>
    <row r="104" ht="15.75" customHeight="1">
      <c r="A104" s="189"/>
      <c r="B104" s="189"/>
      <c r="C104" s="194"/>
      <c r="T104" s="202"/>
    </row>
    <row r="105" ht="15.75" customHeight="1">
      <c r="A105" s="189"/>
      <c r="B105" s="189"/>
      <c r="C105" s="194"/>
      <c r="T105" s="202"/>
    </row>
    <row r="106" ht="15.75" customHeight="1">
      <c r="A106" s="189"/>
      <c r="B106" s="189"/>
      <c r="C106" s="194"/>
      <c r="T106" s="202"/>
    </row>
    <row r="107" ht="15.75" customHeight="1">
      <c r="A107" s="189"/>
      <c r="B107" s="189"/>
      <c r="C107" s="194"/>
      <c r="T107" s="202"/>
    </row>
    <row r="108" ht="15.75" customHeight="1">
      <c r="A108" s="189"/>
      <c r="B108" s="189"/>
      <c r="C108" s="194"/>
      <c r="T108" s="202"/>
    </row>
    <row r="109" ht="15.75" customHeight="1">
      <c r="A109" s="189"/>
      <c r="B109" s="189"/>
      <c r="C109" s="194"/>
      <c r="T109" s="202"/>
    </row>
    <row r="110" ht="15.75" customHeight="1">
      <c r="A110" s="189"/>
      <c r="B110" s="189"/>
      <c r="C110" s="194"/>
      <c r="T110" s="202"/>
    </row>
    <row r="111" ht="15.75" customHeight="1">
      <c r="A111" s="189"/>
      <c r="B111" s="189"/>
      <c r="C111" s="194"/>
      <c r="T111" s="202"/>
    </row>
    <row r="112" ht="15.75" customHeight="1">
      <c r="A112" s="189"/>
      <c r="B112" s="189"/>
      <c r="C112" s="194"/>
      <c r="T112" s="202"/>
    </row>
    <row r="113" ht="15.75" customHeight="1">
      <c r="A113" s="189"/>
      <c r="B113" s="189"/>
      <c r="C113" s="194"/>
      <c r="T113" s="202"/>
    </row>
    <row r="114" ht="15.75" customHeight="1">
      <c r="A114" s="189"/>
      <c r="B114" s="189"/>
      <c r="C114" s="194"/>
      <c r="T114" s="202"/>
    </row>
    <row r="115" ht="15.75" customHeight="1">
      <c r="A115" s="189"/>
      <c r="B115" s="189"/>
      <c r="C115" s="194"/>
      <c r="T115" s="202"/>
    </row>
    <row r="116" ht="15.75" customHeight="1">
      <c r="A116" s="189"/>
      <c r="B116" s="189"/>
      <c r="C116" s="194"/>
      <c r="T116" s="202"/>
    </row>
    <row r="117" ht="15.75" customHeight="1">
      <c r="A117" s="189"/>
      <c r="B117" s="189"/>
      <c r="C117" s="194"/>
      <c r="T117" s="202"/>
    </row>
    <row r="118" ht="15.75" customHeight="1">
      <c r="A118" s="189"/>
      <c r="B118" s="189"/>
      <c r="C118" s="194"/>
      <c r="T118" s="202"/>
    </row>
    <row r="119" ht="15.75" customHeight="1">
      <c r="A119" s="189"/>
      <c r="B119" s="189"/>
      <c r="C119" s="194"/>
      <c r="T119" s="202"/>
    </row>
    <row r="120" ht="15.75" customHeight="1">
      <c r="A120" s="189"/>
      <c r="B120" s="189"/>
      <c r="C120" s="194"/>
      <c r="T120" s="202"/>
    </row>
    <row r="121" ht="15.75" customHeight="1">
      <c r="A121" s="189"/>
      <c r="B121" s="189"/>
      <c r="C121" s="194"/>
      <c r="T121" s="202"/>
    </row>
    <row r="122" ht="15.75" customHeight="1">
      <c r="A122" s="189"/>
      <c r="B122" s="189"/>
      <c r="C122" s="194"/>
      <c r="T122" s="202"/>
    </row>
    <row r="123" ht="15.75" customHeight="1">
      <c r="A123" s="189"/>
      <c r="B123" s="189"/>
      <c r="C123" s="194"/>
      <c r="T123" s="202"/>
    </row>
    <row r="124" ht="15.75" customHeight="1">
      <c r="A124" s="189"/>
      <c r="B124" s="189"/>
      <c r="C124" s="194"/>
      <c r="T124" s="202"/>
    </row>
    <row r="125" ht="15.75" customHeight="1">
      <c r="A125" s="189"/>
      <c r="B125" s="189"/>
      <c r="C125" s="194"/>
      <c r="T125" s="202"/>
    </row>
    <row r="126" ht="15.75" customHeight="1">
      <c r="A126" s="189"/>
      <c r="B126" s="189"/>
      <c r="C126" s="194"/>
      <c r="T126" s="202"/>
    </row>
    <row r="127" ht="15.75" customHeight="1">
      <c r="A127" s="189"/>
      <c r="B127" s="189"/>
      <c r="C127" s="194"/>
      <c r="T127" s="202"/>
    </row>
    <row r="128" ht="15.75" customHeight="1">
      <c r="A128" s="189"/>
      <c r="B128" s="189"/>
      <c r="C128" s="194"/>
      <c r="T128" s="202"/>
    </row>
    <row r="129" ht="15.75" customHeight="1">
      <c r="A129" s="189"/>
      <c r="B129" s="189"/>
      <c r="C129" s="194"/>
      <c r="T129" s="202"/>
    </row>
    <row r="130" ht="15.75" customHeight="1">
      <c r="A130" s="189"/>
      <c r="B130" s="189"/>
      <c r="C130" s="194"/>
      <c r="T130" s="202"/>
    </row>
    <row r="131" ht="15.75" customHeight="1">
      <c r="A131" s="189"/>
      <c r="B131" s="189"/>
      <c r="C131" s="194"/>
      <c r="T131" s="202"/>
    </row>
    <row r="132" ht="15.75" customHeight="1">
      <c r="A132" s="189"/>
      <c r="B132" s="189"/>
      <c r="C132" s="194"/>
      <c r="T132" s="202"/>
    </row>
    <row r="133" ht="15.75" customHeight="1">
      <c r="A133" s="189"/>
      <c r="B133" s="189"/>
      <c r="C133" s="194"/>
      <c r="T133" s="202"/>
    </row>
    <row r="134" ht="15.75" customHeight="1">
      <c r="A134" s="189"/>
      <c r="B134" s="189"/>
      <c r="C134" s="194"/>
      <c r="T134" s="202"/>
    </row>
    <row r="135" ht="15.75" customHeight="1">
      <c r="A135" s="189"/>
      <c r="B135" s="189"/>
      <c r="C135" s="194"/>
      <c r="T135" s="202"/>
    </row>
    <row r="136" ht="15.75" customHeight="1">
      <c r="A136" s="189"/>
      <c r="B136" s="189"/>
      <c r="C136" s="194"/>
      <c r="T136" s="202"/>
    </row>
    <row r="137" ht="15.75" customHeight="1">
      <c r="A137" s="189"/>
      <c r="B137" s="189"/>
      <c r="C137" s="194"/>
      <c r="T137" s="202"/>
    </row>
    <row r="138" ht="15.75" customHeight="1">
      <c r="A138" s="189"/>
      <c r="B138" s="189"/>
      <c r="C138" s="194"/>
      <c r="T138" s="202"/>
    </row>
    <row r="139" ht="15.75" customHeight="1">
      <c r="A139" s="189"/>
      <c r="B139" s="189"/>
      <c r="C139" s="194"/>
      <c r="T139" s="202"/>
    </row>
    <row r="140" ht="15.75" customHeight="1">
      <c r="A140" s="189"/>
      <c r="B140" s="189"/>
      <c r="C140" s="194"/>
      <c r="T140" s="202"/>
    </row>
    <row r="141" ht="15.75" customHeight="1">
      <c r="A141" s="189"/>
      <c r="B141" s="189"/>
      <c r="C141" s="194"/>
      <c r="T141" s="202"/>
    </row>
    <row r="142" ht="15.75" customHeight="1">
      <c r="A142" s="189"/>
      <c r="B142" s="189"/>
      <c r="C142" s="194"/>
      <c r="T142" s="202"/>
    </row>
    <row r="143" ht="15.75" customHeight="1">
      <c r="A143" s="189"/>
      <c r="B143" s="189"/>
      <c r="C143" s="194"/>
      <c r="T143" s="202"/>
    </row>
    <row r="144" ht="15.75" customHeight="1">
      <c r="A144" s="189"/>
      <c r="B144" s="189"/>
      <c r="C144" s="194"/>
      <c r="T144" s="202"/>
    </row>
    <row r="145" ht="15.75" customHeight="1">
      <c r="A145" s="189"/>
      <c r="B145" s="189"/>
      <c r="C145" s="194"/>
      <c r="T145" s="202"/>
    </row>
    <row r="146" ht="15.75" customHeight="1">
      <c r="A146" s="189"/>
      <c r="B146" s="189"/>
      <c r="C146" s="194"/>
      <c r="T146" s="202"/>
    </row>
    <row r="147" ht="15.75" customHeight="1">
      <c r="A147" s="189"/>
      <c r="B147" s="189"/>
      <c r="C147" s="194"/>
      <c r="T147" s="202"/>
    </row>
    <row r="148" ht="15.75" customHeight="1">
      <c r="A148" s="189"/>
      <c r="B148" s="189"/>
      <c r="C148" s="194"/>
      <c r="T148" s="202"/>
    </row>
    <row r="149" ht="15.75" customHeight="1">
      <c r="A149" s="189"/>
      <c r="B149" s="189"/>
      <c r="C149" s="194"/>
      <c r="T149" s="202"/>
    </row>
    <row r="150" ht="15.75" customHeight="1">
      <c r="A150" s="189"/>
      <c r="B150" s="189"/>
      <c r="C150" s="194"/>
      <c r="T150" s="202"/>
    </row>
    <row r="151" ht="15.75" customHeight="1">
      <c r="A151" s="189"/>
      <c r="B151" s="189"/>
      <c r="C151" s="194"/>
      <c r="T151" s="202"/>
    </row>
    <row r="152" ht="15.75" customHeight="1">
      <c r="A152" s="189"/>
      <c r="B152" s="189"/>
      <c r="C152" s="194"/>
      <c r="T152" s="202"/>
    </row>
    <row r="153" ht="15.75" customHeight="1">
      <c r="A153" s="189"/>
      <c r="B153" s="189"/>
      <c r="C153" s="194"/>
      <c r="T153" s="202"/>
    </row>
    <row r="154" ht="15.75" customHeight="1">
      <c r="A154" s="189"/>
      <c r="B154" s="189"/>
      <c r="C154" s="194"/>
      <c r="T154" s="202"/>
    </row>
    <row r="155" ht="15.75" customHeight="1">
      <c r="A155" s="189"/>
      <c r="B155" s="189"/>
      <c r="C155" s="194"/>
      <c r="T155" s="202"/>
    </row>
    <row r="156" ht="15.75" customHeight="1">
      <c r="A156" s="189"/>
      <c r="B156" s="189"/>
      <c r="C156" s="194"/>
      <c r="T156" s="202"/>
    </row>
    <row r="157" ht="15.75" customHeight="1">
      <c r="A157" s="189"/>
      <c r="B157" s="189"/>
      <c r="C157" s="194"/>
      <c r="T157" s="202"/>
    </row>
    <row r="158" ht="15.75" customHeight="1">
      <c r="A158" s="189"/>
      <c r="B158" s="189"/>
      <c r="C158" s="194"/>
      <c r="T158" s="202"/>
    </row>
    <row r="159" ht="15.75" customHeight="1">
      <c r="A159" s="189"/>
      <c r="B159" s="189"/>
      <c r="C159" s="194"/>
      <c r="T159" s="202"/>
    </row>
    <row r="160" ht="15.75" customHeight="1">
      <c r="A160" s="189"/>
      <c r="B160" s="189"/>
      <c r="C160" s="194"/>
      <c r="T160" s="202"/>
    </row>
    <row r="161" ht="15.75" customHeight="1">
      <c r="A161" s="189"/>
      <c r="B161" s="189"/>
      <c r="C161" s="194"/>
      <c r="T161" s="202"/>
    </row>
    <row r="162" ht="15.75" customHeight="1">
      <c r="A162" s="189"/>
      <c r="B162" s="189"/>
      <c r="C162" s="194"/>
      <c r="T162" s="202"/>
    </row>
    <row r="163" ht="15.75" customHeight="1">
      <c r="A163" s="189"/>
      <c r="B163" s="189"/>
      <c r="C163" s="194"/>
      <c r="T163" s="202"/>
    </row>
    <row r="164" ht="15.75" customHeight="1">
      <c r="A164" s="189"/>
      <c r="B164" s="189"/>
      <c r="C164" s="194"/>
      <c r="T164" s="202"/>
    </row>
    <row r="165" ht="15.75" customHeight="1">
      <c r="A165" s="189"/>
      <c r="B165" s="189"/>
      <c r="C165" s="194"/>
      <c r="T165" s="202"/>
    </row>
    <row r="166" ht="15.75" customHeight="1">
      <c r="A166" s="189"/>
      <c r="B166" s="189"/>
      <c r="C166" s="194"/>
      <c r="T166" s="202"/>
    </row>
    <row r="167" ht="15.75" customHeight="1">
      <c r="A167" s="189"/>
      <c r="B167" s="189"/>
      <c r="C167" s="194"/>
      <c r="T167" s="202"/>
    </row>
    <row r="168" ht="15.75" customHeight="1">
      <c r="A168" s="189"/>
      <c r="B168" s="189"/>
      <c r="C168" s="194"/>
      <c r="T168" s="202"/>
    </row>
    <row r="169" ht="15.75" customHeight="1">
      <c r="A169" s="189"/>
      <c r="B169" s="189"/>
      <c r="C169" s="194"/>
      <c r="T169" s="202"/>
    </row>
    <row r="170" ht="15.75" customHeight="1">
      <c r="A170" s="189"/>
      <c r="B170" s="189"/>
      <c r="C170" s="194"/>
      <c r="T170" s="202"/>
    </row>
    <row r="171" ht="15.75" customHeight="1">
      <c r="A171" s="189"/>
      <c r="B171" s="189"/>
      <c r="C171" s="194"/>
      <c r="T171" s="202"/>
    </row>
    <row r="172" ht="15.75" customHeight="1">
      <c r="A172" s="189"/>
      <c r="B172" s="189"/>
      <c r="C172" s="194"/>
      <c r="T172" s="202"/>
    </row>
    <row r="173" ht="15.75" customHeight="1">
      <c r="A173" s="189"/>
      <c r="B173" s="189"/>
      <c r="C173" s="194"/>
      <c r="T173" s="202"/>
    </row>
    <row r="174" ht="15.75" customHeight="1">
      <c r="A174" s="189"/>
      <c r="B174" s="189"/>
      <c r="C174" s="194"/>
      <c r="T174" s="202"/>
    </row>
    <row r="175" ht="15.75" customHeight="1">
      <c r="A175" s="189"/>
      <c r="B175" s="189"/>
      <c r="C175" s="194"/>
      <c r="T175" s="202"/>
    </row>
    <row r="176" ht="15.75" customHeight="1">
      <c r="A176" s="189"/>
      <c r="B176" s="189"/>
      <c r="C176" s="194"/>
      <c r="T176" s="202"/>
    </row>
    <row r="177" ht="15.75" customHeight="1">
      <c r="A177" s="189"/>
      <c r="B177" s="189"/>
      <c r="C177" s="194"/>
      <c r="T177" s="202"/>
    </row>
    <row r="178" ht="15.75" customHeight="1">
      <c r="A178" s="189"/>
      <c r="B178" s="189"/>
      <c r="C178" s="194"/>
      <c r="T178" s="202"/>
    </row>
    <row r="179" ht="15.75" customHeight="1">
      <c r="A179" s="189"/>
      <c r="B179" s="189"/>
      <c r="C179" s="194"/>
      <c r="T179" s="202"/>
    </row>
    <row r="180" ht="15.75" customHeight="1">
      <c r="A180" s="189"/>
      <c r="B180" s="189"/>
      <c r="C180" s="194"/>
      <c r="T180" s="202"/>
    </row>
    <row r="181" ht="15.75" customHeight="1">
      <c r="A181" s="189"/>
      <c r="B181" s="189"/>
      <c r="C181" s="194"/>
      <c r="T181" s="202"/>
    </row>
    <row r="182" ht="15.75" customHeight="1">
      <c r="A182" s="189"/>
      <c r="B182" s="189"/>
      <c r="C182" s="194"/>
      <c r="T182" s="202"/>
    </row>
    <row r="183" ht="15.75" customHeight="1">
      <c r="A183" s="189"/>
      <c r="B183" s="189"/>
      <c r="C183" s="194"/>
      <c r="T183" s="202"/>
    </row>
    <row r="184" ht="15.75" customHeight="1">
      <c r="A184" s="189"/>
      <c r="B184" s="189"/>
      <c r="C184" s="194"/>
      <c r="T184" s="202"/>
    </row>
    <row r="185" ht="15.75" customHeight="1">
      <c r="A185" s="189"/>
      <c r="B185" s="189"/>
      <c r="C185" s="194"/>
      <c r="T185" s="202"/>
    </row>
    <row r="186" ht="15.75" customHeight="1">
      <c r="A186" s="189"/>
      <c r="B186" s="189"/>
      <c r="C186" s="194"/>
      <c r="T186" s="202"/>
    </row>
    <row r="187" ht="15.75" customHeight="1">
      <c r="A187" s="189"/>
      <c r="B187" s="189"/>
      <c r="C187" s="194"/>
      <c r="T187" s="202"/>
    </row>
    <row r="188" ht="15.75" customHeight="1">
      <c r="A188" s="189"/>
      <c r="B188" s="189"/>
      <c r="C188" s="194"/>
      <c r="T188" s="202"/>
    </row>
    <row r="189" ht="15.75" customHeight="1">
      <c r="A189" s="189"/>
      <c r="B189" s="189"/>
      <c r="C189" s="194"/>
      <c r="T189" s="202"/>
    </row>
    <row r="190" ht="15.75" customHeight="1">
      <c r="A190" s="189"/>
      <c r="B190" s="189"/>
      <c r="C190" s="194"/>
      <c r="T190" s="202"/>
    </row>
    <row r="191" ht="15.75" customHeight="1">
      <c r="A191" s="189"/>
      <c r="B191" s="189"/>
      <c r="C191" s="194"/>
      <c r="T191" s="202"/>
    </row>
    <row r="192" ht="15.75" customHeight="1">
      <c r="A192" s="189"/>
      <c r="B192" s="189"/>
      <c r="C192" s="194"/>
      <c r="T192" s="202"/>
    </row>
    <row r="193" ht="15.75" customHeight="1">
      <c r="A193" s="189"/>
      <c r="B193" s="189"/>
      <c r="C193" s="194"/>
      <c r="T193" s="202"/>
    </row>
    <row r="194" ht="15.75" customHeight="1">
      <c r="A194" s="189"/>
      <c r="B194" s="189"/>
      <c r="C194" s="194"/>
      <c r="T194" s="202"/>
    </row>
    <row r="195" ht="15.75" customHeight="1">
      <c r="A195" s="189"/>
      <c r="B195" s="189"/>
      <c r="C195" s="194"/>
      <c r="T195" s="202"/>
    </row>
    <row r="196" ht="15.75" customHeight="1">
      <c r="A196" s="189"/>
      <c r="B196" s="189"/>
      <c r="C196" s="194"/>
      <c r="T196" s="202"/>
    </row>
    <row r="197" ht="15.75" customHeight="1">
      <c r="A197" s="189"/>
      <c r="B197" s="189"/>
      <c r="C197" s="194"/>
      <c r="T197" s="202"/>
    </row>
    <row r="198" ht="15.75" customHeight="1">
      <c r="A198" s="189"/>
      <c r="B198" s="189"/>
      <c r="C198" s="194"/>
      <c r="T198" s="202"/>
    </row>
    <row r="199" ht="15.75" customHeight="1">
      <c r="A199" s="189"/>
      <c r="B199" s="189"/>
      <c r="C199" s="194"/>
      <c r="T199" s="202"/>
    </row>
    <row r="200" ht="15.75" customHeight="1">
      <c r="A200" s="189"/>
      <c r="B200" s="189"/>
      <c r="C200" s="194"/>
      <c r="T200" s="202"/>
    </row>
    <row r="201" ht="15.75" customHeight="1">
      <c r="A201" s="189"/>
      <c r="B201" s="189"/>
      <c r="C201" s="194"/>
      <c r="T201" s="202"/>
    </row>
    <row r="202" ht="15.75" customHeight="1">
      <c r="A202" s="189"/>
      <c r="B202" s="189"/>
      <c r="C202" s="194"/>
      <c r="T202" s="202"/>
    </row>
    <row r="203" ht="15.75" customHeight="1">
      <c r="A203" s="189"/>
      <c r="B203" s="189"/>
      <c r="C203" s="194"/>
      <c r="T203" s="202"/>
    </row>
    <row r="204" ht="15.75" customHeight="1">
      <c r="A204" s="189"/>
      <c r="B204" s="189"/>
      <c r="C204" s="194"/>
      <c r="T204" s="202"/>
    </row>
    <row r="205" ht="15.75" customHeight="1">
      <c r="A205" s="189"/>
      <c r="B205" s="189"/>
      <c r="C205" s="194"/>
      <c r="T205" s="202"/>
    </row>
    <row r="206" ht="15.75" customHeight="1">
      <c r="A206" s="189"/>
      <c r="B206" s="189"/>
      <c r="C206" s="194"/>
      <c r="T206" s="202"/>
    </row>
    <row r="207" ht="15.75" customHeight="1">
      <c r="A207" s="189"/>
      <c r="B207" s="189"/>
      <c r="C207" s="194"/>
      <c r="T207" s="202"/>
    </row>
    <row r="208" ht="15.75" customHeight="1">
      <c r="A208" s="189"/>
      <c r="B208" s="189"/>
      <c r="C208" s="194"/>
      <c r="T208" s="202"/>
    </row>
    <row r="209" ht="15.75" customHeight="1">
      <c r="A209" s="189"/>
      <c r="B209" s="189"/>
      <c r="C209" s="194"/>
      <c r="T209" s="202"/>
    </row>
    <row r="210" ht="15.75" customHeight="1">
      <c r="A210" s="189"/>
      <c r="B210" s="189"/>
      <c r="C210" s="194"/>
      <c r="T210" s="202"/>
    </row>
    <row r="211" ht="15.75" customHeight="1">
      <c r="A211" s="189"/>
      <c r="B211" s="189"/>
      <c r="C211" s="194"/>
      <c r="T211" s="202"/>
    </row>
    <row r="212" ht="15.75" customHeight="1">
      <c r="A212" s="189"/>
      <c r="B212" s="189"/>
      <c r="C212" s="194"/>
      <c r="T212" s="202"/>
    </row>
    <row r="213" ht="15.75" customHeight="1">
      <c r="A213" s="189"/>
      <c r="B213" s="189"/>
      <c r="C213" s="194"/>
      <c r="T213" s="202"/>
    </row>
    <row r="214" ht="15.75" customHeight="1">
      <c r="A214" s="189"/>
      <c r="B214" s="189"/>
      <c r="C214" s="194"/>
      <c r="T214" s="202"/>
    </row>
    <row r="215" ht="15.75" customHeight="1">
      <c r="A215" s="189"/>
      <c r="B215" s="189"/>
      <c r="C215" s="194"/>
      <c r="T215" s="202"/>
    </row>
    <row r="216" ht="15.75" customHeight="1">
      <c r="A216" s="189"/>
      <c r="B216" s="189"/>
      <c r="C216" s="194"/>
      <c r="T216" s="202"/>
    </row>
    <row r="217" ht="15.75" customHeight="1">
      <c r="A217" s="189"/>
      <c r="B217" s="189"/>
      <c r="C217" s="194"/>
      <c r="T217" s="202"/>
    </row>
    <row r="218" ht="15.75" customHeight="1">
      <c r="A218" s="189"/>
      <c r="B218" s="189"/>
      <c r="C218" s="194"/>
      <c r="T218" s="202"/>
    </row>
    <row r="219" ht="15.75" customHeight="1">
      <c r="A219" s="189"/>
      <c r="B219" s="189"/>
      <c r="C219" s="194"/>
      <c r="T219" s="202"/>
    </row>
    <row r="220" ht="15.75" customHeight="1">
      <c r="A220" s="189"/>
      <c r="B220" s="189"/>
      <c r="C220" s="194"/>
      <c r="T220" s="20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6" width="12.63"/>
    <col customWidth="1" min="8" max="8" width="17.88"/>
    <col customWidth="1" min="9" max="9" width="14.38"/>
    <col customWidth="1" min="10" max="10" width="9.75"/>
    <col customWidth="1" min="20" max="20" width="19.13"/>
    <col customWidth="1" min="23" max="23" width="19.13"/>
  </cols>
  <sheetData>
    <row r="1" ht="15.75" customHeight="1">
      <c r="A1" s="207" t="str">
        <f>Datos!A1</f>
        <v>   Fecha </v>
      </c>
      <c r="B1" s="207" t="str">
        <f>Datos!B1</f>
        <v>NIS</v>
      </c>
      <c r="C1" s="207" t="str">
        <f>Datos!C1</f>
        <v>Cliente</v>
      </c>
      <c r="D1" s="207" t="str">
        <f>Datos!D1</f>
        <v>IVA</v>
      </c>
      <c r="E1" s="207" t="str">
        <f>Datos!E1</f>
        <v>Consumo [kWh]</v>
      </c>
      <c r="F1" s="207" t="str">
        <f>Datos!F1</f>
        <v>Consumo hs punta [kWh]</v>
      </c>
      <c r="G1" s="207" t="str">
        <f>Datos!G1</f>
        <v>Consumo hs valle [kWh]</v>
      </c>
      <c r="H1" s="207" t="str">
        <f>Datos!H1</f>
        <v>Consumo hs resto[kWh]</v>
      </c>
      <c r="I1" s="207" t="str">
        <f>Datos!I1</f>
        <v>Catergoria</v>
      </c>
      <c r="J1" s="207" t="str">
        <f>Datos!J1</f>
        <v>Tarifa punta</v>
      </c>
      <c r="K1" s="207" t="str">
        <f>Datos!K1</f>
        <v>Tarifa valle</v>
      </c>
      <c r="L1" s="207" t="str">
        <f>Datos!L1</f>
        <v>Tarifa resto</v>
      </c>
      <c r="M1" s="207" t="str">
        <f>Datos!M1</f>
        <v>Generacion FV [kWh]</v>
      </c>
      <c r="N1" s="207" t="str">
        <f>Datos!N1</f>
        <v>CONSUMO TOTAL</v>
      </c>
      <c r="O1" s="207" t="str">
        <f>Datos!O1</f>
        <v>Total a pagar S / IVA</v>
      </c>
      <c r="P1" s="207" t="str">
        <f>Datos!P1</f>
        <v>Valor USD</v>
      </c>
      <c r="Q1" s="207" t="str">
        <f>Datos!Q1</f>
        <v>Ahorro (USD)</v>
      </c>
      <c r="R1" s="207" t="str">
        <f>Datos!R1</f>
        <v>Ahorro ($)</v>
      </c>
      <c r="S1" s="207" t="str">
        <f>Datos!S1</f>
        <v>Valor dolar Actual ($)</v>
      </c>
      <c r="T1" s="207" t="str">
        <f>Datos!T1</f>
        <v>Ahorro ($)-A precio actual</v>
      </c>
      <c r="U1" s="207" t="str">
        <f>Datos!U1</f>
        <v>kg CO2e evitados</v>
      </c>
      <c r="V1" s="207" t="str">
        <f>Datos!V1</f>
        <v>Equivalente en árboles</v>
      </c>
      <c r="W1" s="207" t="str">
        <f>Datos!W1</f>
        <v>% de ahorro sobre los consumos</v>
      </c>
      <c r="X1" s="207" t="str">
        <f>Datos!X1</f>
        <v>SIN PANELES S/IVA</v>
      </c>
      <c r="Y1" s="175" t="s">
        <v>74</v>
      </c>
      <c r="Z1" s="175" t="s">
        <v>75</v>
      </c>
      <c r="AA1" s="176" t="s">
        <v>76</v>
      </c>
      <c r="AB1" s="177">
        <v>0.85</v>
      </c>
      <c r="AC1" s="178" t="s">
        <v>77</v>
      </c>
    </row>
    <row r="2" ht="15.75" customHeight="1">
      <c r="A2" s="192">
        <f>IFERROR(__xludf.DUMMYFUNCTION("FILTER(Datos!1:1247,Datos!B:B=4000681)"),45992.0)</f>
        <v>45992</v>
      </c>
      <c r="B2" s="151">
        <f>IFERROR(__xludf.DUMMYFUNCTION("""COMPUTED_VALUE"""),4000681.0)</f>
        <v>4000681</v>
      </c>
      <c r="C2" s="151" t="str">
        <f>IFERROR(__xludf.DUMMYFUNCTION("""COMPUTED_VALUE"""),"O.Domingo-Animana")</f>
        <v>O.Domingo-Animana</v>
      </c>
      <c r="D2" s="152">
        <f>IFERROR(__xludf.DUMMYFUNCTION("""COMPUTED_VALUE"""),0.27)</f>
        <v>0.27</v>
      </c>
      <c r="E2" s="153">
        <f>IFERROR(__xludf.DUMMYFUNCTION("""COMPUTED_VALUE"""),8034.0)</f>
        <v>8034</v>
      </c>
      <c r="F2" s="153">
        <f>IFERROR(__xludf.DUMMYFUNCTION("""COMPUTED_VALUE"""),2164.0)</f>
        <v>2164</v>
      </c>
      <c r="G2" s="211">
        <f>IFERROR(__xludf.DUMMYFUNCTION("""COMPUTED_VALUE"""),2756.0)</f>
        <v>2756</v>
      </c>
      <c r="H2" s="153">
        <f>IFERROR(__xludf.DUMMYFUNCTION("""COMPUTED_VALUE"""),3114.0)</f>
        <v>3114</v>
      </c>
      <c r="I2" s="153" t="str">
        <f>IFERROR(__xludf.DUMMYFUNCTION("""COMPUTED_VALUE"""),"T2-Ba")</f>
        <v>T2-Ba</v>
      </c>
      <c r="J2" s="154">
        <f>IFERROR(__xludf.DUMMYFUNCTION("""COMPUTED_VALUE"""),148.2814)</f>
        <v>148.2814</v>
      </c>
      <c r="K2" s="154">
        <f>IFERROR(__xludf.DUMMYFUNCTION("""COMPUTED_VALUE"""),148.2814)</f>
        <v>148.2814</v>
      </c>
      <c r="L2" s="154">
        <f>IFERROR(__xludf.DUMMYFUNCTION("""COMPUTED_VALUE"""),148.2814)</f>
        <v>148.2814</v>
      </c>
      <c r="M2" s="152">
        <f>IFERROR(__xludf.DUMMYFUNCTION("""COMPUTED_VALUE"""),2746.1)</f>
        <v>2746.1</v>
      </c>
      <c r="N2" s="153">
        <f>IFERROR(__xludf.DUMMYFUNCTION("""COMPUTED_VALUE"""),10780.1)</f>
        <v>10780.1</v>
      </c>
      <c r="O2" s="154">
        <f>IFERROR(__xludf.DUMMYFUNCTION("""COMPUTED_VALUE"""),1191292.7676)</f>
        <v>1191292.768</v>
      </c>
      <c r="P2" s="154">
        <f>IFERROR(__xludf.DUMMYFUNCTION("""COMPUTED_VALUE"""),1470.0)</f>
        <v>1470</v>
      </c>
      <c r="Q2" s="215">
        <f>IFERROR(__xludf.DUMMYFUNCTION("""COMPUTED_VALUE"""),277.0037772380952)</f>
        <v>277.0037772</v>
      </c>
      <c r="R2" s="154">
        <f>IFERROR(__xludf.DUMMYFUNCTION("""COMPUTED_VALUE"""),407195.55253999995)</f>
        <v>407195.5525</v>
      </c>
      <c r="S2" s="154">
        <f>IFERROR(__xludf.DUMMYFUNCTION("""COMPUTED_VALUE"""),1465.0)</f>
        <v>1465</v>
      </c>
      <c r="T2" s="154">
        <f>IFERROR(__xludf.DUMMYFUNCTION("""COMPUTED_VALUE"""),515379.37774033804)</f>
        <v>515379.3777</v>
      </c>
      <c r="U2" s="156">
        <f>IFERROR(__xludf.DUMMYFUNCTION("""COMPUTED_VALUE"""),549.22)</f>
        <v>549.22</v>
      </c>
      <c r="V2" s="156">
        <f>IFERROR(__xludf.DUMMYFUNCTION("""COMPUTED_VALUE"""),24.964545454545455)</f>
        <v>24.96454545</v>
      </c>
      <c r="W2" s="157">
        <f>IFERROR(__xludf.DUMMYFUNCTION("""COMPUTED_VALUE"""),0.2547378966799937)</f>
        <v>0.2547378967</v>
      </c>
      <c r="X2" s="154">
        <f>IFERROR(__xludf.DUMMYFUNCTION("""COMPUTED_VALUE"""),1598488.32014)</f>
        <v>1598488.32</v>
      </c>
      <c r="Y2" s="165"/>
      <c r="Z2" s="187"/>
      <c r="AA2" s="188"/>
      <c r="AB2" s="188"/>
      <c r="AC2" s="202"/>
    </row>
    <row r="3" ht="15.75" customHeight="1">
      <c r="A3" s="192">
        <f>IFERROR(__xludf.DUMMYFUNCTION("""COMPUTED_VALUE"""),45981.0)</f>
        <v>45981</v>
      </c>
      <c r="B3" s="151">
        <f>IFERROR(__xludf.DUMMYFUNCTION("""COMPUTED_VALUE"""),4000681.0)</f>
        <v>4000681</v>
      </c>
      <c r="C3" s="151" t="str">
        <f>IFERROR(__xludf.DUMMYFUNCTION("""COMPUTED_VALUE"""),"O.Domingo-Animana")</f>
        <v>O.Domingo-Animana</v>
      </c>
      <c r="D3" s="152">
        <f>IFERROR(__xludf.DUMMYFUNCTION("""COMPUTED_VALUE"""),0.27)</f>
        <v>0.27</v>
      </c>
      <c r="E3" s="153">
        <f>IFERROR(__xludf.DUMMYFUNCTION("""COMPUTED_VALUE"""),7741.0)</f>
        <v>7741</v>
      </c>
      <c r="F3" s="153">
        <f>IFERROR(__xludf.DUMMYFUNCTION("""COMPUTED_VALUE"""),2428.0)</f>
        <v>2428</v>
      </c>
      <c r="G3" s="211">
        <f>IFERROR(__xludf.DUMMYFUNCTION("""COMPUTED_VALUE"""),2630.0)</f>
        <v>2630</v>
      </c>
      <c r="H3" s="153">
        <f>IFERROR(__xludf.DUMMYFUNCTION("""COMPUTED_VALUE"""),2683.0)</f>
        <v>2683</v>
      </c>
      <c r="I3" s="153" t="str">
        <f>IFERROR(__xludf.DUMMYFUNCTION("""COMPUTED_VALUE"""),"T2-Ba")</f>
        <v>T2-Ba</v>
      </c>
      <c r="J3" s="154">
        <f>IFERROR(__xludf.DUMMYFUNCTION("""COMPUTED_VALUE"""),145.8675)</f>
        <v>145.8675</v>
      </c>
      <c r="K3" s="154">
        <f>IFERROR(__xludf.DUMMYFUNCTION("""COMPUTED_VALUE"""),145.8675)</f>
        <v>145.8675</v>
      </c>
      <c r="L3" s="154">
        <f>IFERROR(__xludf.DUMMYFUNCTION("""COMPUTED_VALUE"""),145.8675)</f>
        <v>145.8675</v>
      </c>
      <c r="M3" s="152">
        <f>IFERROR(__xludf.DUMMYFUNCTION("""COMPUTED_VALUE"""),3084.0)</f>
        <v>3084</v>
      </c>
      <c r="N3" s="153">
        <f>IFERROR(__xludf.DUMMYFUNCTION("""COMPUTED_VALUE"""),10825.0)</f>
        <v>10825</v>
      </c>
      <c r="O3" s="154">
        <f>IFERROR(__xludf.DUMMYFUNCTION("""COMPUTED_VALUE"""),1129160.3175000001)</f>
        <v>1129160.318</v>
      </c>
      <c r="P3" s="154">
        <f>IFERROR(__xludf.DUMMYFUNCTION("""COMPUTED_VALUE"""),1470.0)</f>
        <v>1470</v>
      </c>
      <c r="Q3" s="215">
        <f>IFERROR(__xludf.DUMMYFUNCTION("""COMPUTED_VALUE"""),306.0240612244898)</f>
        <v>306.0240612</v>
      </c>
      <c r="R3" s="154">
        <f>IFERROR(__xludf.DUMMYFUNCTION("""COMPUTED_VALUE"""),449855.37)</f>
        <v>449855.37</v>
      </c>
      <c r="S3" s="154">
        <f>IFERROR(__xludf.DUMMYFUNCTION("""COMPUTED_VALUE"""),1465.0)</f>
        <v>1465</v>
      </c>
      <c r="T3" s="154">
        <f>IFERROR(__xludf.DUMMYFUNCTION("""COMPUTED_VALUE"""),569373.0671112245)</f>
        <v>569373.0671</v>
      </c>
      <c r="U3" s="156">
        <f>IFERROR(__xludf.DUMMYFUNCTION("""COMPUTED_VALUE"""),616.8000000000001)</f>
        <v>616.8</v>
      </c>
      <c r="V3" s="156">
        <f>IFERROR(__xludf.DUMMYFUNCTION("""COMPUTED_VALUE"""),28.03636363636364)</f>
        <v>28.03636364</v>
      </c>
      <c r="W3" s="157">
        <f>IFERROR(__xludf.DUMMYFUNCTION("""COMPUTED_VALUE"""),0.2848960739030023)</f>
        <v>0.2848960739</v>
      </c>
      <c r="X3" s="154">
        <f>IFERROR(__xludf.DUMMYFUNCTION("""COMPUTED_VALUE"""),1579015.6875)</f>
        <v>1579015.688</v>
      </c>
      <c r="Y3" s="165"/>
      <c r="Z3" s="187"/>
      <c r="AA3" s="188"/>
      <c r="AB3" s="188"/>
      <c r="AC3" s="202"/>
    </row>
    <row r="4" ht="15.75" customHeight="1">
      <c r="A4" s="192">
        <f>IFERROR(__xludf.DUMMYFUNCTION("""COMPUTED_VALUE"""),45931.0)</f>
        <v>45931</v>
      </c>
      <c r="B4" s="151">
        <f>IFERROR(__xludf.DUMMYFUNCTION("""COMPUTED_VALUE"""),4000681.0)</f>
        <v>4000681</v>
      </c>
      <c r="C4" s="151" t="str">
        <f>IFERROR(__xludf.DUMMYFUNCTION("""COMPUTED_VALUE"""),"O.Domingo-Animana")</f>
        <v>O.Domingo-Animana</v>
      </c>
      <c r="D4" s="152">
        <f>IFERROR(__xludf.DUMMYFUNCTION("""COMPUTED_VALUE"""),0.27)</f>
        <v>0.27</v>
      </c>
      <c r="E4" s="153">
        <f>IFERROR(__xludf.DUMMYFUNCTION("""COMPUTED_VALUE"""),7285.0)</f>
        <v>7285</v>
      </c>
      <c r="F4" s="153">
        <f>IFERROR(__xludf.DUMMYFUNCTION("""COMPUTED_VALUE"""),2084.0)</f>
        <v>2084</v>
      </c>
      <c r="G4" s="211">
        <f>IFERROR(__xludf.DUMMYFUNCTION("""COMPUTED_VALUE"""),2636.0)</f>
        <v>2636</v>
      </c>
      <c r="H4" s="153">
        <f>IFERROR(__xludf.DUMMYFUNCTION("""COMPUTED_VALUE"""),2565.0)</f>
        <v>2565</v>
      </c>
      <c r="I4" s="151" t="str">
        <f>IFERROR(__xludf.DUMMYFUNCTION("""COMPUTED_VALUE"""),"T2-Ba")</f>
        <v>T2-Ba</v>
      </c>
      <c r="J4" s="154">
        <f>IFERROR(__xludf.DUMMYFUNCTION("""COMPUTED_VALUE"""),157.071)</f>
        <v>157.071</v>
      </c>
      <c r="K4" s="154">
        <f>IFERROR(__xludf.DUMMYFUNCTION("""COMPUTED_VALUE"""),157.071)</f>
        <v>157.071</v>
      </c>
      <c r="L4" s="154">
        <f>IFERROR(__xludf.DUMMYFUNCTION("""COMPUTED_VALUE"""),157.071)</f>
        <v>157.071</v>
      </c>
      <c r="M4" s="152">
        <f>IFERROR(__xludf.DUMMYFUNCTION("""COMPUTED_VALUE"""),2567.0)</f>
        <v>2567</v>
      </c>
      <c r="N4" s="153">
        <f>IFERROR(__xludf.DUMMYFUNCTION("""COMPUTED_VALUE"""),9852.0)</f>
        <v>9852</v>
      </c>
      <c r="O4" s="154">
        <f>IFERROR(__xludf.DUMMYFUNCTION("""COMPUTED_VALUE"""),1144262.2349999999)</f>
        <v>1144262.235</v>
      </c>
      <c r="P4" s="154">
        <f>IFERROR(__xludf.DUMMYFUNCTION("""COMPUTED_VALUE"""),1450.0)</f>
        <v>1450</v>
      </c>
      <c r="Q4" s="155">
        <f>IFERROR(__xludf.DUMMYFUNCTION("""COMPUTED_VALUE"""),278.0698324137931)</f>
        <v>278.0698324</v>
      </c>
      <c r="R4" s="154">
        <f>IFERROR(__xludf.DUMMYFUNCTION("""COMPUTED_VALUE"""),403201.257)</f>
        <v>403201.257</v>
      </c>
      <c r="S4" s="154">
        <f>IFERROR(__xludf.DUMMYFUNCTION("""COMPUTED_VALUE"""),1465.0)</f>
        <v>1465</v>
      </c>
      <c r="T4" s="154">
        <f>IFERROR(__xludf.DUMMYFUNCTION("""COMPUTED_VALUE"""),517362.8266974828)</f>
        <v>517362.8267</v>
      </c>
      <c r="U4" s="156">
        <f>IFERROR(__xludf.DUMMYFUNCTION("""COMPUTED_VALUE"""),513.4)</f>
        <v>513.4</v>
      </c>
      <c r="V4" s="156">
        <f>IFERROR(__xludf.DUMMYFUNCTION("""COMPUTED_VALUE"""),23.336363636363636)</f>
        <v>23.33636364</v>
      </c>
      <c r="W4" s="157">
        <f>IFERROR(__xludf.DUMMYFUNCTION("""COMPUTED_VALUE"""),0.2605562322371092)</f>
        <v>0.2605562322</v>
      </c>
      <c r="X4" s="154">
        <f>IFERROR(__xludf.DUMMYFUNCTION("""COMPUTED_VALUE"""),1547463.4919999999)</f>
        <v>1547463.492</v>
      </c>
      <c r="Y4" s="165"/>
      <c r="Z4" s="187"/>
      <c r="AA4" s="188"/>
      <c r="AB4" s="188"/>
      <c r="AC4" s="202"/>
    </row>
    <row r="5" ht="15.75" customHeight="1">
      <c r="A5" s="150">
        <f>IFERROR(__xludf.DUMMYFUNCTION("""COMPUTED_VALUE"""),45920.0)</f>
        <v>45920</v>
      </c>
      <c r="B5" s="151">
        <f>IFERROR(__xludf.DUMMYFUNCTION("""COMPUTED_VALUE"""),4000681.0)</f>
        <v>4000681</v>
      </c>
      <c r="C5" s="151" t="str">
        <f>IFERROR(__xludf.DUMMYFUNCTION("""COMPUTED_VALUE"""),"O.Domingo-Animana")</f>
        <v>O.Domingo-Animana</v>
      </c>
      <c r="D5" s="152">
        <f>IFERROR(__xludf.DUMMYFUNCTION("""COMPUTED_VALUE"""),0.27)</f>
        <v>0.27</v>
      </c>
      <c r="E5" s="153">
        <f>IFERROR(__xludf.DUMMYFUNCTION("""COMPUTED_VALUE"""),7602.0)</f>
        <v>7602</v>
      </c>
      <c r="F5" s="153">
        <f>IFERROR(__xludf.DUMMYFUNCTION("""COMPUTED_VALUE"""),2344.0)</f>
        <v>2344</v>
      </c>
      <c r="G5" s="211">
        <f>IFERROR(__xludf.DUMMYFUNCTION("""COMPUTED_VALUE"""),2463.0)</f>
        <v>2463</v>
      </c>
      <c r="H5" s="153">
        <f>IFERROR(__xludf.DUMMYFUNCTION("""COMPUTED_VALUE"""),2795.0)</f>
        <v>2795</v>
      </c>
      <c r="I5" s="151" t="str">
        <f>IFERROR(__xludf.DUMMYFUNCTION("""COMPUTED_VALUE"""),"T2-Ba")</f>
        <v>T2-Ba</v>
      </c>
      <c r="J5" s="154">
        <f>IFERROR(__xludf.DUMMYFUNCTION("""COMPUTED_VALUE"""),156.8264)</f>
        <v>156.8264</v>
      </c>
      <c r="K5" s="154">
        <f>IFERROR(__xludf.DUMMYFUNCTION("""COMPUTED_VALUE"""),156.8264)</f>
        <v>156.8264</v>
      </c>
      <c r="L5" s="154">
        <f>IFERROR(__xludf.DUMMYFUNCTION("""COMPUTED_VALUE"""),156.8264)</f>
        <v>156.8264</v>
      </c>
      <c r="M5" s="152">
        <f>IFERROR(__xludf.DUMMYFUNCTION("""COMPUTED_VALUE"""),3006.9)</f>
        <v>3006.9</v>
      </c>
      <c r="N5" s="153">
        <f>IFERROR(__xludf.DUMMYFUNCTION("""COMPUTED_VALUE"""),10608.9)</f>
        <v>10608.9</v>
      </c>
      <c r="O5" s="154">
        <f>IFERROR(__xludf.DUMMYFUNCTION("""COMPUTED_VALUE"""),1192194.2928)</f>
        <v>1192194.293</v>
      </c>
      <c r="P5" s="154">
        <f>IFERROR(__xludf.DUMMYFUNCTION("""COMPUTED_VALUE"""),1425.0)</f>
        <v>1425</v>
      </c>
      <c r="Q5" s="155">
        <f>IFERROR(__xludf.DUMMYFUNCTION("""COMPUTED_VALUE"""),330.9202120421053)</f>
        <v>330.920212</v>
      </c>
      <c r="R5" s="154">
        <f>IFERROR(__xludf.DUMMYFUNCTION("""COMPUTED_VALUE"""),471561.30216)</f>
        <v>471561.3022</v>
      </c>
      <c r="S5" s="154">
        <f>IFERROR(__xludf.DUMMYFUNCTION("""COMPUTED_VALUE"""),1465.0)</f>
        <v>1465</v>
      </c>
      <c r="T5" s="154">
        <f>IFERROR(__xludf.DUMMYFUNCTION("""COMPUTED_VALUE"""),615693.6005149389)</f>
        <v>615693.6005</v>
      </c>
      <c r="U5" s="156">
        <f>IFERROR(__xludf.DUMMYFUNCTION("""COMPUTED_VALUE"""),601.38)</f>
        <v>601.38</v>
      </c>
      <c r="V5" s="156">
        <f>IFERROR(__xludf.DUMMYFUNCTION("""COMPUTED_VALUE"""),27.335454545454546)</f>
        <v>27.33545455</v>
      </c>
      <c r="W5" s="157">
        <f>IFERROR(__xludf.DUMMYFUNCTION("""COMPUTED_VALUE"""),0.28343183553431556)</f>
        <v>0.2834318355</v>
      </c>
      <c r="X5" s="154">
        <f>IFERROR(__xludf.DUMMYFUNCTION("""COMPUTED_VALUE"""),1663755.59496)</f>
        <v>1663755.595</v>
      </c>
      <c r="Y5" s="165"/>
      <c r="Z5" s="187"/>
      <c r="AA5" s="188"/>
      <c r="AB5" s="188"/>
      <c r="AC5" s="202"/>
    </row>
    <row r="6" ht="15.75" customHeight="1">
      <c r="A6" s="150">
        <f>IFERROR(__xludf.DUMMYFUNCTION("""COMPUTED_VALUE"""),45888.0)</f>
        <v>45888</v>
      </c>
      <c r="B6" s="151">
        <f>IFERROR(__xludf.DUMMYFUNCTION("""COMPUTED_VALUE"""),4000681.0)</f>
        <v>4000681</v>
      </c>
      <c r="C6" s="151" t="str">
        <f>IFERROR(__xludf.DUMMYFUNCTION("""COMPUTED_VALUE"""),"O.Domingo-Animana")</f>
        <v>O.Domingo-Animana</v>
      </c>
      <c r="D6" s="152">
        <f>IFERROR(__xludf.DUMMYFUNCTION("""COMPUTED_VALUE"""),0.27)</f>
        <v>0.27</v>
      </c>
      <c r="E6" s="153">
        <f>IFERROR(__xludf.DUMMYFUNCTION("""COMPUTED_VALUE"""),5570.0)</f>
        <v>5570</v>
      </c>
      <c r="F6" s="153">
        <f>IFERROR(__xludf.DUMMYFUNCTION("""COMPUTED_VALUE"""),1683.0)</f>
        <v>1683</v>
      </c>
      <c r="G6" s="153">
        <f>IFERROR(__xludf.DUMMYFUNCTION("""COMPUTED_VALUE"""),1804.0)</f>
        <v>1804</v>
      </c>
      <c r="H6" s="153">
        <f>IFERROR(__xludf.DUMMYFUNCTION("""COMPUTED_VALUE"""),2083.0)</f>
        <v>2083</v>
      </c>
      <c r="I6" s="151" t="str">
        <f>IFERROR(__xludf.DUMMYFUNCTION("""COMPUTED_VALUE"""),"T2-Ba")</f>
        <v>T2-Ba</v>
      </c>
      <c r="J6" s="154">
        <f>IFERROR(__xludf.DUMMYFUNCTION("""COMPUTED_VALUE"""),156.5178)</f>
        <v>156.5178</v>
      </c>
      <c r="K6" s="154">
        <f>IFERROR(__xludf.DUMMYFUNCTION("""COMPUTED_VALUE"""),156.5178)</f>
        <v>156.5178</v>
      </c>
      <c r="L6" s="154">
        <f>IFERROR(__xludf.DUMMYFUNCTION("""COMPUTED_VALUE"""),156.5178)</f>
        <v>156.5178</v>
      </c>
      <c r="M6" s="152">
        <f>IFERROR(__xludf.DUMMYFUNCTION("""COMPUTED_VALUE"""),2035.9)</f>
        <v>2035.9</v>
      </c>
      <c r="N6" s="153">
        <f>IFERROR(__xludf.DUMMYFUNCTION("""COMPUTED_VALUE"""),7605.9)</f>
        <v>7605.9</v>
      </c>
      <c r="O6" s="154">
        <f>IFERROR(__xludf.DUMMYFUNCTION("""COMPUTED_VALUE"""),871804.146)</f>
        <v>871804.146</v>
      </c>
      <c r="P6" s="154">
        <f>IFERROR(__xludf.DUMMYFUNCTION("""COMPUTED_VALUE"""),1340.0)</f>
        <v>1340</v>
      </c>
      <c r="Q6" s="155">
        <f>IFERROR(__xludf.DUMMYFUNCTION("""COMPUTED_VALUE"""),237.80193210447763)</f>
        <v>237.8019321</v>
      </c>
      <c r="R6" s="154">
        <f>IFERROR(__xludf.DUMMYFUNCTION("""COMPUTED_VALUE"""),318654.58902)</f>
        <v>318654.589</v>
      </c>
      <c r="S6" s="154">
        <f>IFERROR(__xludf.DUMMYFUNCTION("""COMPUTED_VALUE"""),1465.0)</f>
        <v>1465</v>
      </c>
      <c r="T6" s="154">
        <f>IFERROR(__xludf.DUMMYFUNCTION("""COMPUTED_VALUE"""),442442.38477698585)</f>
        <v>442442.3848</v>
      </c>
      <c r="U6" s="156">
        <f>IFERROR(__xludf.DUMMYFUNCTION("""COMPUTED_VALUE"""),407.18000000000006)</f>
        <v>407.18</v>
      </c>
      <c r="V6" s="156">
        <f>IFERROR(__xludf.DUMMYFUNCTION("""COMPUTED_VALUE"""),18.50818181818182)</f>
        <v>18.50818182</v>
      </c>
      <c r="W6" s="157">
        <f>IFERROR(__xludf.DUMMYFUNCTION("""COMPUTED_VALUE"""),0.26767377956586336)</f>
        <v>0.2676737796</v>
      </c>
      <c r="X6" s="154">
        <f>IFERROR(__xludf.DUMMYFUNCTION("""COMPUTED_VALUE"""),1190458.73502)</f>
        <v>1190458.735</v>
      </c>
      <c r="Y6" s="165"/>
      <c r="Z6" s="187"/>
      <c r="AA6" s="188"/>
      <c r="AB6" s="188"/>
      <c r="AC6" s="202"/>
    </row>
    <row r="7" ht="15.75" customHeight="1">
      <c r="A7" s="150">
        <f>IFERROR(__xludf.DUMMYFUNCTION("""COMPUTED_VALUE"""),45839.0)</f>
        <v>45839</v>
      </c>
      <c r="B7" s="151">
        <f>IFERROR(__xludf.DUMMYFUNCTION("""COMPUTED_VALUE"""),4000681.0)</f>
        <v>4000681</v>
      </c>
      <c r="C7" s="151" t="str">
        <f>IFERROR(__xludf.DUMMYFUNCTION("""COMPUTED_VALUE"""),"O.Domingo-Animana")</f>
        <v>O.Domingo-Animana</v>
      </c>
      <c r="D7" s="152">
        <f>IFERROR(__xludf.DUMMYFUNCTION("""COMPUTED_VALUE"""),0.27)</f>
        <v>0.27</v>
      </c>
      <c r="E7" s="153">
        <f>IFERROR(__xludf.DUMMYFUNCTION("""COMPUTED_VALUE"""),525.0)</f>
        <v>525</v>
      </c>
      <c r="F7" s="153"/>
      <c r="G7" s="153"/>
      <c r="H7" s="153">
        <f>IFERROR(__xludf.DUMMYFUNCTION("""COMPUTED_VALUE"""),525.0)</f>
        <v>525</v>
      </c>
      <c r="I7" s="151" t="str">
        <f>IFERROR(__xludf.DUMMYFUNCTION("""COMPUTED_VALUE"""),"T2-Ba")</f>
        <v>T2-Ba</v>
      </c>
      <c r="J7" s="154">
        <f>IFERROR(__xludf.DUMMYFUNCTION("""COMPUTED_VALUE"""),148.82)</f>
        <v>148.82</v>
      </c>
      <c r="K7" s="154">
        <f>IFERROR(__xludf.DUMMYFUNCTION("""COMPUTED_VALUE"""),148.82)</f>
        <v>148.82</v>
      </c>
      <c r="L7" s="154">
        <f>IFERROR(__xludf.DUMMYFUNCTION("""COMPUTED_VALUE"""),148.82)</f>
        <v>148.82</v>
      </c>
      <c r="M7" s="152">
        <f>IFERROR(__xludf.DUMMYFUNCTION("""COMPUTED_VALUE"""),2218.6)</f>
        <v>2218.6</v>
      </c>
      <c r="N7" s="153">
        <f>IFERROR(__xludf.DUMMYFUNCTION("""COMPUTED_VALUE"""),2743.6)</f>
        <v>2743.6</v>
      </c>
      <c r="O7" s="154">
        <f>IFERROR(__xludf.DUMMYFUNCTION("""COMPUTED_VALUE"""),78130.5)</f>
        <v>78130.5</v>
      </c>
      <c r="P7" s="154">
        <f>IFERROR(__xludf.DUMMYFUNCTION("""COMPUTED_VALUE"""),1280.0)</f>
        <v>1280</v>
      </c>
      <c r="Q7" s="155">
        <f>IFERROR(__xludf.DUMMYFUNCTION("""COMPUTED_VALUE"""),257.946915625)</f>
        <v>257.9469156</v>
      </c>
      <c r="R7" s="154">
        <f>IFERROR(__xludf.DUMMYFUNCTION("""COMPUTED_VALUE"""),330172.05199999997)</f>
        <v>330172.052</v>
      </c>
      <c r="S7" s="154">
        <f>IFERROR(__xludf.DUMMYFUNCTION("""COMPUTED_VALUE"""),1465.0)</f>
        <v>1465</v>
      </c>
      <c r="T7" s="154">
        <f>IFERROR(__xludf.DUMMYFUNCTION("""COMPUTED_VALUE"""),479923.1338660937)</f>
        <v>479923.1339</v>
      </c>
      <c r="U7" s="156">
        <f>IFERROR(__xludf.DUMMYFUNCTION("""COMPUTED_VALUE"""),443.72)</f>
        <v>443.72</v>
      </c>
      <c r="V7" s="156">
        <f>IFERROR(__xludf.DUMMYFUNCTION("""COMPUTED_VALUE"""),20.16909090909091)</f>
        <v>20.16909091</v>
      </c>
      <c r="W7" s="157">
        <f>IFERROR(__xludf.DUMMYFUNCTION("""COMPUTED_VALUE"""),0.8086455751567284)</f>
        <v>0.8086455752</v>
      </c>
      <c r="X7" s="154">
        <f>IFERROR(__xludf.DUMMYFUNCTION("""COMPUTED_VALUE"""),408302.55199999997)</f>
        <v>408302.552</v>
      </c>
      <c r="Y7" s="165"/>
      <c r="Z7" s="187"/>
      <c r="AA7" s="188"/>
      <c r="AB7" s="188"/>
      <c r="AC7" s="202"/>
    </row>
    <row r="8" ht="15.75" customHeight="1">
      <c r="A8" s="150">
        <f>IFERROR(__xludf.DUMMYFUNCTION("""COMPUTED_VALUE"""),45809.0)</f>
        <v>45809</v>
      </c>
      <c r="B8" s="151">
        <f>IFERROR(__xludf.DUMMYFUNCTION("""COMPUTED_VALUE"""),4000681.0)</f>
        <v>4000681</v>
      </c>
      <c r="C8" s="151" t="str">
        <f>IFERROR(__xludf.DUMMYFUNCTION("""COMPUTED_VALUE"""),"O.Domingo-Animana")</f>
        <v>O.Domingo-Animana</v>
      </c>
      <c r="D8" s="152">
        <f>IFERROR(__xludf.DUMMYFUNCTION("""COMPUTED_VALUE"""),0.27)</f>
        <v>0.27</v>
      </c>
      <c r="E8" s="153">
        <f>IFERROR(__xludf.DUMMYFUNCTION("""COMPUTED_VALUE"""),905.0)</f>
        <v>905</v>
      </c>
      <c r="F8" s="153">
        <f>IFERROR(__xludf.DUMMYFUNCTION("""COMPUTED_VALUE"""),3.0)</f>
        <v>3</v>
      </c>
      <c r="G8" s="153">
        <f>IFERROR(__xludf.DUMMYFUNCTION("""COMPUTED_VALUE"""),3.0)</f>
        <v>3</v>
      </c>
      <c r="H8" s="153">
        <f>IFERROR(__xludf.DUMMYFUNCTION("""COMPUTED_VALUE"""),899.0)</f>
        <v>899</v>
      </c>
      <c r="I8" s="151" t="str">
        <f>IFERROR(__xludf.DUMMYFUNCTION("""COMPUTED_VALUE"""),"T2-Ba")</f>
        <v>T2-Ba</v>
      </c>
      <c r="J8" s="154">
        <f>IFERROR(__xludf.DUMMYFUNCTION("""COMPUTED_VALUE"""),148.2484)</f>
        <v>148.2484</v>
      </c>
      <c r="K8" s="154">
        <f>IFERROR(__xludf.DUMMYFUNCTION("""COMPUTED_VALUE"""),145.89)</f>
        <v>145.89</v>
      </c>
      <c r="L8" s="154">
        <f>IFERROR(__xludf.DUMMYFUNCTION("""COMPUTED_VALUE"""),145.89)</f>
        <v>145.89</v>
      </c>
      <c r="M8" s="152">
        <f>IFERROR(__xludf.DUMMYFUNCTION("""COMPUTED_VALUE"""),2816.1)</f>
        <v>2816.1</v>
      </c>
      <c r="N8" s="153">
        <f>IFERROR(__xludf.DUMMYFUNCTION("""COMPUTED_VALUE"""),3721.1)</f>
        <v>3721.1</v>
      </c>
      <c r="O8" s="154">
        <f>IFERROR(__xludf.DUMMYFUNCTION("""COMPUTED_VALUE"""),132037.52519999997)</f>
        <v>132037.5252</v>
      </c>
      <c r="P8" s="154">
        <f>IFERROR(__xludf.DUMMYFUNCTION("""COMPUTED_VALUE"""),1280.0)</f>
        <v>1280</v>
      </c>
      <c r="Q8" s="155">
        <f>IFERROR(__xludf.DUMMYFUNCTION("""COMPUTED_VALUE"""),320.96939765624995)</f>
        <v>320.9693977</v>
      </c>
      <c r="R8" s="154">
        <f>IFERROR(__xludf.DUMMYFUNCTION("""COMPUTED_VALUE"""),410840.8289999999)</f>
        <v>410840.829</v>
      </c>
      <c r="S8" s="154">
        <f>IFERROR(__xludf.DUMMYFUNCTION("""COMPUTED_VALUE"""),1465.0)</f>
        <v>1465</v>
      </c>
      <c r="T8" s="154">
        <f>IFERROR(__xludf.DUMMYFUNCTION("""COMPUTED_VALUE"""),597179.6128093359)</f>
        <v>597179.6128</v>
      </c>
      <c r="U8" s="156">
        <f>IFERROR(__xludf.DUMMYFUNCTION("""COMPUTED_VALUE"""),563.22)</f>
        <v>563.22</v>
      </c>
      <c r="V8" s="156">
        <f>IFERROR(__xludf.DUMMYFUNCTION("""COMPUTED_VALUE"""),25.60090909090909)</f>
        <v>25.60090909</v>
      </c>
      <c r="W8" s="157">
        <f>IFERROR(__xludf.DUMMYFUNCTION("""COMPUTED_VALUE"""),0.7567824832607775)</f>
        <v>0.7567824833</v>
      </c>
      <c r="X8" s="154">
        <f>IFERROR(__xludf.DUMMYFUNCTION("""COMPUTED_VALUE"""),542878.3542)</f>
        <v>542878.3542</v>
      </c>
      <c r="Y8" s="165"/>
      <c r="Z8" s="187"/>
      <c r="AA8" s="188"/>
      <c r="AB8" s="188"/>
      <c r="AC8" s="202"/>
    </row>
    <row r="9" ht="15.75" customHeight="1">
      <c r="A9" s="150">
        <f>IFERROR(__xludf.DUMMYFUNCTION("""COMPUTED_VALUE"""),45778.0)</f>
        <v>45778</v>
      </c>
      <c r="B9" s="151">
        <f>IFERROR(__xludf.DUMMYFUNCTION("""COMPUTED_VALUE"""),4000681.0)</f>
        <v>4000681</v>
      </c>
      <c r="C9" s="151" t="str">
        <f>IFERROR(__xludf.DUMMYFUNCTION("""COMPUTED_VALUE"""),"O.Domingo-Animana")</f>
        <v>O.Domingo-Animana</v>
      </c>
      <c r="D9" s="152">
        <f>IFERROR(__xludf.DUMMYFUNCTION("""COMPUTED_VALUE"""),0.27)</f>
        <v>0.27</v>
      </c>
      <c r="E9" s="153">
        <f>IFERROR(__xludf.DUMMYFUNCTION("""COMPUTED_VALUE"""),1288.0)</f>
        <v>1288</v>
      </c>
      <c r="F9" s="153">
        <f>IFERROR(__xludf.DUMMYFUNCTION("""COMPUTED_VALUE"""),3.0)</f>
        <v>3</v>
      </c>
      <c r="G9" s="153">
        <f>IFERROR(__xludf.DUMMYFUNCTION("""COMPUTED_VALUE"""),3.0)</f>
        <v>3</v>
      </c>
      <c r="H9" s="153">
        <f>IFERROR(__xludf.DUMMYFUNCTION("""COMPUTED_VALUE"""),1282.0)</f>
        <v>1282</v>
      </c>
      <c r="I9" s="151" t="str">
        <f>IFERROR(__xludf.DUMMYFUNCTION("""COMPUTED_VALUE"""),"T2-Ba")</f>
        <v>T2-Ba</v>
      </c>
      <c r="J9" s="154">
        <f>IFERROR(__xludf.DUMMYFUNCTION("""COMPUTED_VALUE"""),145.8875)</f>
        <v>145.8875</v>
      </c>
      <c r="K9" s="154">
        <f>IFERROR(__xludf.DUMMYFUNCTION("""COMPUTED_VALUE"""),145.89)</f>
        <v>145.89</v>
      </c>
      <c r="L9" s="154">
        <f>IFERROR(__xludf.DUMMYFUNCTION("""COMPUTED_VALUE"""),145.89)</f>
        <v>145.89</v>
      </c>
      <c r="M9" s="152">
        <f>IFERROR(__xludf.DUMMYFUNCTION("""COMPUTED_VALUE"""),3072.2)</f>
        <v>3072.2</v>
      </c>
      <c r="N9" s="153">
        <f>IFERROR(__xludf.DUMMYFUNCTION("""COMPUTED_VALUE"""),4360.2)</f>
        <v>4360.2</v>
      </c>
      <c r="O9" s="154">
        <f>IFERROR(__xludf.DUMMYFUNCTION("""COMPUTED_VALUE"""),187906.31249999997)</f>
        <v>187906.3125</v>
      </c>
      <c r="P9" s="154">
        <f>IFERROR(__xludf.DUMMYFUNCTION("""COMPUTED_VALUE"""),1200.0)</f>
        <v>1200</v>
      </c>
      <c r="Q9" s="155">
        <f>IFERROR(__xludf.DUMMYFUNCTION("""COMPUTED_VALUE"""),373.5027149999999)</f>
        <v>373.502715</v>
      </c>
      <c r="R9" s="154">
        <f>IFERROR(__xludf.DUMMYFUNCTION("""COMPUTED_VALUE"""),448203.2579999999)</f>
        <v>448203.258</v>
      </c>
      <c r="S9" s="154">
        <f>IFERROR(__xludf.DUMMYFUNCTION("""COMPUTED_VALUE"""),1465.0)</f>
        <v>1465</v>
      </c>
      <c r="T9" s="154">
        <f>IFERROR(__xludf.DUMMYFUNCTION("""COMPUTED_VALUE"""),694920.4763932498)</f>
        <v>694920.4764</v>
      </c>
      <c r="U9" s="156">
        <f>IFERROR(__xludf.DUMMYFUNCTION("""COMPUTED_VALUE"""),614.44)</f>
        <v>614.44</v>
      </c>
      <c r="V9" s="156">
        <f>IFERROR(__xludf.DUMMYFUNCTION("""COMPUTED_VALUE"""),27.929090909090913)</f>
        <v>27.92909091</v>
      </c>
      <c r="W9" s="157">
        <f>IFERROR(__xludf.DUMMYFUNCTION("""COMPUTED_VALUE"""),0.7046007146971545)</f>
        <v>0.7046007147</v>
      </c>
      <c r="X9" s="154">
        <f>IFERROR(__xludf.DUMMYFUNCTION("""COMPUTED_VALUE"""),636109.5704999999)</f>
        <v>636109.5705</v>
      </c>
      <c r="Y9" s="165"/>
      <c r="Z9" s="187"/>
      <c r="AA9" s="188"/>
      <c r="AB9" s="188"/>
      <c r="AC9" s="202"/>
    </row>
    <row r="10" ht="15.75" customHeight="1">
      <c r="A10" s="167">
        <f>IFERROR(__xludf.DUMMYFUNCTION("""COMPUTED_VALUE"""),45748.0)</f>
        <v>45748</v>
      </c>
      <c r="B10" s="151">
        <f>IFERROR(__xludf.DUMMYFUNCTION("""COMPUTED_VALUE"""),4000681.0)</f>
        <v>4000681</v>
      </c>
      <c r="C10" s="151" t="str">
        <f>IFERROR(__xludf.DUMMYFUNCTION("""COMPUTED_VALUE"""),"O.Domingo-Animana")</f>
        <v>O.Domingo-Animana</v>
      </c>
      <c r="D10" s="152">
        <f>IFERROR(__xludf.DUMMYFUNCTION("""COMPUTED_VALUE"""),0.21)</f>
        <v>0.21</v>
      </c>
      <c r="E10" s="153">
        <f>IFERROR(__xludf.DUMMYFUNCTION("""COMPUTED_VALUE"""),1730.0)</f>
        <v>1730</v>
      </c>
      <c r="F10" s="153">
        <f>IFERROR(__xludf.DUMMYFUNCTION("""COMPUTED_VALUE"""),3.0)</f>
        <v>3</v>
      </c>
      <c r="G10" s="153">
        <f>IFERROR(__xludf.DUMMYFUNCTION("""COMPUTED_VALUE"""),4.0)</f>
        <v>4</v>
      </c>
      <c r="H10" s="153">
        <f>IFERROR(__xludf.DUMMYFUNCTION("""COMPUTED_VALUE"""),1723.0)</f>
        <v>1723</v>
      </c>
      <c r="I10" s="151" t="str">
        <f>IFERROR(__xludf.DUMMYFUNCTION("""COMPUTED_VALUE"""),"T2-Ba")</f>
        <v>T2-Ba</v>
      </c>
      <c r="J10" s="154">
        <f>IFERROR(__xludf.DUMMYFUNCTION("""COMPUTED_VALUE"""),141.2146)</f>
        <v>141.2146</v>
      </c>
      <c r="K10" s="154">
        <f>IFERROR(__xludf.DUMMYFUNCTION("""COMPUTED_VALUE"""),141.2146)</f>
        <v>141.2146</v>
      </c>
      <c r="L10" s="154">
        <f>IFERROR(__xludf.DUMMYFUNCTION("""COMPUTED_VALUE"""),141.21)</f>
        <v>141.21</v>
      </c>
      <c r="M10" s="152">
        <f>IFERROR(__xludf.DUMMYFUNCTION("""COMPUTED_VALUE"""),3143.2)</f>
        <v>3143.2</v>
      </c>
      <c r="N10" s="153">
        <f>IFERROR(__xludf.DUMMYFUNCTION("""COMPUTED_VALUE"""),4873.2)</f>
        <v>4873.2</v>
      </c>
      <c r="O10" s="154">
        <f>IFERROR(__xludf.DUMMYFUNCTION("""COMPUTED_VALUE"""),244293.3322)</f>
        <v>244293.3322</v>
      </c>
      <c r="P10" s="154">
        <f>IFERROR(__xludf.DUMMYFUNCTION("""COMPUTED_VALUE"""),1140.0)</f>
        <v>1140</v>
      </c>
      <c r="Q10" s="155">
        <f>IFERROR(__xludf.DUMMYFUNCTION("""COMPUTED_VALUE"""),389.3432210526316)</f>
        <v>389.3432211</v>
      </c>
      <c r="R10" s="154">
        <f>IFERROR(__xludf.DUMMYFUNCTION("""COMPUTED_VALUE"""),443851.272)</f>
        <v>443851.272</v>
      </c>
      <c r="S10" s="154">
        <f>IFERROR(__xludf.DUMMYFUNCTION("""COMPUTED_VALUE"""),1465.0)</f>
        <v>1465</v>
      </c>
      <c r="T10" s="154">
        <f>IFERROR(__xludf.DUMMYFUNCTION("""COMPUTED_VALUE"""),690169.2607989473)</f>
        <v>690169.2608</v>
      </c>
      <c r="U10" s="156">
        <f>IFERROR(__xludf.DUMMYFUNCTION("""COMPUTED_VALUE"""),628.64)</f>
        <v>628.64</v>
      </c>
      <c r="V10" s="156">
        <f>IFERROR(__xludf.DUMMYFUNCTION("""COMPUTED_VALUE"""),28.574545454545454)</f>
        <v>28.57454545</v>
      </c>
      <c r="W10" s="157">
        <f>IFERROR(__xludf.DUMMYFUNCTION("""COMPUTED_VALUE"""),0.6449970969633595)</f>
        <v>0.644997097</v>
      </c>
      <c r="X10" s="154">
        <f>IFERROR(__xludf.DUMMYFUNCTION("""COMPUTED_VALUE"""),688144.6042)</f>
        <v>688144.6042</v>
      </c>
      <c r="Y10" s="165"/>
      <c r="Z10" s="187"/>
      <c r="AA10" s="188"/>
      <c r="AB10" s="188"/>
      <c r="AC10" s="202"/>
    </row>
    <row r="11" ht="15.75" customHeight="1">
      <c r="A11" s="167">
        <f>IFERROR(__xludf.DUMMYFUNCTION("""COMPUTED_VALUE"""),45717.0)</f>
        <v>45717</v>
      </c>
      <c r="B11" s="151">
        <f>IFERROR(__xludf.DUMMYFUNCTION("""COMPUTED_VALUE"""),4000681.0)</f>
        <v>4000681</v>
      </c>
      <c r="C11" s="151" t="str">
        <f>IFERROR(__xludf.DUMMYFUNCTION("""COMPUTED_VALUE"""),"O.Domingo-Animana")</f>
        <v>O.Domingo-Animana</v>
      </c>
      <c r="D11" s="152">
        <f>IFERROR(__xludf.DUMMYFUNCTION("""COMPUTED_VALUE"""),0.27)</f>
        <v>0.27</v>
      </c>
      <c r="E11" s="153">
        <f>IFERROR(__xludf.DUMMYFUNCTION("""COMPUTED_VALUE"""),3887.0)</f>
        <v>3887</v>
      </c>
      <c r="F11" s="153">
        <f>IFERROR(__xludf.DUMMYFUNCTION("""COMPUTED_VALUE"""),55.0)</f>
        <v>55</v>
      </c>
      <c r="G11" s="153">
        <f>IFERROR(__xludf.DUMMYFUNCTION("""COMPUTED_VALUE"""),139.0)</f>
        <v>139</v>
      </c>
      <c r="H11" s="153">
        <f>IFERROR(__xludf.DUMMYFUNCTION("""COMPUTED_VALUE"""),3693.0)</f>
        <v>3693</v>
      </c>
      <c r="I11" s="151" t="str">
        <f>IFERROR(__xludf.DUMMYFUNCTION("""COMPUTED_VALUE"""),"T2-Ba")</f>
        <v>T2-Ba</v>
      </c>
      <c r="J11" s="154">
        <f>IFERROR(__xludf.DUMMYFUNCTION("""COMPUTED_VALUE"""),140.1738)</f>
        <v>140.1738</v>
      </c>
      <c r="K11" s="154">
        <f>IFERROR(__xludf.DUMMYFUNCTION("""COMPUTED_VALUE"""),140.1738)</f>
        <v>140.1738</v>
      </c>
      <c r="L11" s="154">
        <f>IFERROR(__xludf.DUMMYFUNCTION("""COMPUTED_VALUE"""),140.1738)</f>
        <v>140.1738</v>
      </c>
      <c r="M11" s="152">
        <f>IFERROR(__xludf.DUMMYFUNCTION("""COMPUTED_VALUE"""),1667.0)</f>
        <v>1667</v>
      </c>
      <c r="N11" s="153">
        <f>IFERROR(__xludf.DUMMYFUNCTION("""COMPUTED_VALUE"""),5554.0)</f>
        <v>5554</v>
      </c>
      <c r="O11" s="154">
        <f>IFERROR(__xludf.DUMMYFUNCTION("""COMPUTED_VALUE"""),544855.5606)</f>
        <v>544855.5606</v>
      </c>
      <c r="P11" s="154">
        <f>IFERROR(__xludf.DUMMYFUNCTION("""COMPUTED_VALUE"""),1095.75)</f>
        <v>1095.75</v>
      </c>
      <c r="Q11" s="155">
        <f>IFERROR(__xludf.DUMMYFUNCTION("""COMPUTED_VALUE"""),213.2509464750171)</f>
        <v>213.2509465</v>
      </c>
      <c r="R11" s="154">
        <f>IFERROR(__xludf.DUMMYFUNCTION("""COMPUTED_VALUE"""),233669.7246)</f>
        <v>233669.7246</v>
      </c>
      <c r="S11" s="154">
        <f>IFERROR(__xludf.DUMMYFUNCTION("""COMPUTED_VALUE"""),1465.0)</f>
        <v>1465</v>
      </c>
      <c r="T11" s="154">
        <f>IFERROR(__xludf.DUMMYFUNCTION("""COMPUTED_VALUE"""),396764.04846409307)</f>
        <v>396764.0485</v>
      </c>
      <c r="U11" s="156">
        <f>IFERROR(__xludf.DUMMYFUNCTION("""COMPUTED_VALUE"""),333.40000000000003)</f>
        <v>333.4</v>
      </c>
      <c r="V11" s="156">
        <f>IFERROR(__xludf.DUMMYFUNCTION("""COMPUTED_VALUE"""),15.154545454545456)</f>
        <v>15.15454545</v>
      </c>
      <c r="W11" s="157">
        <f>IFERROR(__xludf.DUMMYFUNCTION("""COMPUTED_VALUE"""),0.30014404033129277)</f>
        <v>0.3001440403</v>
      </c>
      <c r="X11" s="154">
        <f>IFERROR(__xludf.DUMMYFUNCTION("""COMPUTED_VALUE"""),778525.2851999999)</f>
        <v>778525.2852</v>
      </c>
      <c r="Y11" s="165"/>
      <c r="Z11" s="187"/>
      <c r="AA11" s="188"/>
      <c r="AB11" s="188"/>
      <c r="AC11" s="202"/>
    </row>
    <row r="12" ht="15.75" customHeight="1">
      <c r="A12" s="167">
        <f>IFERROR(__xludf.DUMMYFUNCTION("""COMPUTED_VALUE"""),45713.0)</f>
        <v>45713</v>
      </c>
      <c r="B12" s="151">
        <f>IFERROR(__xludf.DUMMYFUNCTION("""COMPUTED_VALUE"""),4000681.0)</f>
        <v>4000681</v>
      </c>
      <c r="C12" s="151" t="str">
        <f>IFERROR(__xludf.DUMMYFUNCTION("""COMPUTED_VALUE"""),"O.Domingo-Animana")</f>
        <v>O.Domingo-Animana</v>
      </c>
      <c r="D12" s="152">
        <f>IFERROR(__xludf.DUMMYFUNCTION("""COMPUTED_VALUE"""),0.27)</f>
        <v>0.27</v>
      </c>
      <c r="E12" s="153">
        <f>IFERROR(__xludf.DUMMYFUNCTION("""COMPUTED_VALUE"""),4262.0)</f>
        <v>4262</v>
      </c>
      <c r="F12" s="153">
        <f>IFERROR(__xludf.DUMMYFUNCTION("""COMPUTED_VALUE"""),681.0)</f>
        <v>681</v>
      </c>
      <c r="G12" s="153">
        <f>IFERROR(__xludf.DUMMYFUNCTION("""COMPUTED_VALUE"""),741.0)</f>
        <v>741</v>
      </c>
      <c r="H12" s="153">
        <f>IFERROR(__xludf.DUMMYFUNCTION("""COMPUTED_VALUE"""),2840.0)</f>
        <v>2840</v>
      </c>
      <c r="I12" s="151" t="str">
        <f>IFERROR(__xludf.DUMMYFUNCTION("""COMPUTED_VALUE"""),"T2-Ba")</f>
        <v>T2-Ba</v>
      </c>
      <c r="J12" s="154">
        <f>IFERROR(__xludf.DUMMYFUNCTION("""COMPUTED_VALUE"""),137.1997)</f>
        <v>137.1997</v>
      </c>
      <c r="K12" s="154">
        <f>IFERROR(__xludf.DUMMYFUNCTION("""COMPUTED_VALUE"""),137.1997)</f>
        <v>137.1997</v>
      </c>
      <c r="L12" s="154">
        <f>IFERROR(__xludf.DUMMYFUNCTION("""COMPUTED_VALUE"""),137.1997)</f>
        <v>137.1997</v>
      </c>
      <c r="M12" s="152">
        <f>IFERROR(__xludf.DUMMYFUNCTION("""COMPUTED_VALUE"""),1308.8)</f>
        <v>1308.8</v>
      </c>
      <c r="N12" s="153">
        <f>IFERROR(__xludf.DUMMYFUNCTION("""COMPUTED_VALUE"""),5570.8)</f>
        <v>5570.8</v>
      </c>
      <c r="O12" s="154">
        <f>IFERROR(__xludf.DUMMYFUNCTION("""COMPUTED_VALUE"""),584745.1214000001)</f>
        <v>584745.1214</v>
      </c>
      <c r="P12" s="154">
        <f>IFERROR(__xludf.DUMMYFUNCTION("""COMPUTED_VALUE"""),1086.0)</f>
        <v>1086</v>
      </c>
      <c r="Q12" s="155">
        <f>IFERROR(__xludf.DUMMYFUNCTION("""COMPUTED_VALUE"""),165.34711543278087)</f>
        <v>165.3471154</v>
      </c>
      <c r="R12" s="154">
        <f>IFERROR(__xludf.DUMMYFUNCTION("""COMPUTED_VALUE"""),179566.96736)</f>
        <v>179566.9674</v>
      </c>
      <c r="S12" s="154">
        <f>IFERROR(__xludf.DUMMYFUNCTION("""COMPUTED_VALUE"""),1465.0)</f>
        <v>1465</v>
      </c>
      <c r="T12" s="154">
        <f>IFERROR(__xludf.DUMMYFUNCTION("""COMPUTED_VALUE"""),307636.5756184604)</f>
        <v>307636.5756</v>
      </c>
      <c r="U12" s="156">
        <f>IFERROR(__xludf.DUMMYFUNCTION("""COMPUTED_VALUE"""),261.76)</f>
        <v>261.76</v>
      </c>
      <c r="V12" s="156">
        <f>IFERROR(__xludf.DUMMYFUNCTION("""COMPUTED_VALUE"""),11.898181818181818)</f>
        <v>11.89818182</v>
      </c>
      <c r="W12" s="157">
        <f>IFERROR(__xludf.DUMMYFUNCTION("""COMPUTED_VALUE"""),0.2349393264881166)</f>
        <v>0.2349393265</v>
      </c>
      <c r="X12" s="154">
        <f>IFERROR(__xludf.DUMMYFUNCTION("""COMPUTED_VALUE"""),764312.0887600001)</f>
        <v>764312.0888</v>
      </c>
      <c r="Y12" s="165"/>
      <c r="Z12" s="187"/>
      <c r="AA12" s="188"/>
      <c r="AB12" s="188"/>
      <c r="AC12" s="202"/>
    </row>
    <row r="13" ht="15.75" customHeight="1">
      <c r="A13" s="167">
        <f>IFERROR(__xludf.DUMMYFUNCTION("""COMPUTED_VALUE"""),45682.0)</f>
        <v>45682</v>
      </c>
      <c r="B13" s="151">
        <f>IFERROR(__xludf.DUMMYFUNCTION("""COMPUTED_VALUE"""),4000681.0)</f>
        <v>4000681</v>
      </c>
      <c r="C13" s="151" t="str">
        <f>IFERROR(__xludf.DUMMYFUNCTION("""COMPUTED_VALUE"""),"O.Domingo-Animana")</f>
        <v>O.Domingo-Animana</v>
      </c>
      <c r="D13" s="152">
        <f>IFERROR(__xludf.DUMMYFUNCTION("""COMPUTED_VALUE"""),0.27)</f>
        <v>0.27</v>
      </c>
      <c r="E13" s="153">
        <f>IFERROR(__xludf.DUMMYFUNCTION("""COMPUTED_VALUE"""),1058.0)</f>
        <v>1058</v>
      </c>
      <c r="F13" s="153">
        <f>IFERROR(__xludf.DUMMYFUNCTION("""COMPUTED_VALUE"""),77.0)</f>
        <v>77</v>
      </c>
      <c r="G13" s="153">
        <f>IFERROR(__xludf.DUMMYFUNCTION("""COMPUTED_VALUE"""),77.0)</f>
        <v>77</v>
      </c>
      <c r="H13" s="153">
        <f>IFERROR(__xludf.DUMMYFUNCTION("""COMPUTED_VALUE"""),904.0)</f>
        <v>904</v>
      </c>
      <c r="I13" s="151" t="str">
        <f>IFERROR(__xludf.DUMMYFUNCTION("""COMPUTED_VALUE"""),"T2-Ba")</f>
        <v>T2-Ba</v>
      </c>
      <c r="J13" s="154">
        <f>IFERROR(__xludf.DUMMYFUNCTION("""COMPUTED_VALUE"""),142.9)</f>
        <v>142.9</v>
      </c>
      <c r="K13" s="154">
        <f>IFERROR(__xludf.DUMMYFUNCTION("""COMPUTED_VALUE"""),142.9)</f>
        <v>142.9</v>
      </c>
      <c r="L13" s="154">
        <f>IFERROR(__xludf.DUMMYFUNCTION("""COMPUTED_VALUE"""),142.9)</f>
        <v>142.9</v>
      </c>
      <c r="M13" s="152">
        <f>IFERROR(__xludf.DUMMYFUNCTION("""COMPUTED_VALUE"""),252.4)</f>
        <v>252.4</v>
      </c>
      <c r="N13" s="153">
        <f>IFERROR(__xludf.DUMMYFUNCTION("""COMPUTED_VALUE"""),1310.4)</f>
        <v>1310.4</v>
      </c>
      <c r="O13" s="154">
        <f>IFERROR(__xludf.DUMMYFUNCTION("""COMPUTED_VALUE"""),151188.2)</f>
        <v>151188.2</v>
      </c>
      <c r="P13" s="154">
        <f>IFERROR(__xludf.DUMMYFUNCTION("""COMPUTED_VALUE"""),1075.5)</f>
        <v>1075.5</v>
      </c>
      <c r="Q13" s="155">
        <f>IFERROR(__xludf.DUMMYFUNCTION("""COMPUTED_VALUE"""),33.53599256159926)</f>
        <v>33.53599256</v>
      </c>
      <c r="R13" s="154">
        <f>IFERROR(__xludf.DUMMYFUNCTION("""COMPUTED_VALUE"""),36067.96)</f>
        <v>36067.96</v>
      </c>
      <c r="S13" s="154">
        <f>IFERROR(__xludf.DUMMYFUNCTION("""COMPUTED_VALUE"""),1465.0)</f>
        <v>1465</v>
      </c>
      <c r="T13" s="154">
        <f>IFERROR(__xludf.DUMMYFUNCTION("""COMPUTED_VALUE"""),62395.390960483506)</f>
        <v>62395.39096</v>
      </c>
      <c r="U13" s="156">
        <f>IFERROR(__xludf.DUMMYFUNCTION("""COMPUTED_VALUE"""),50.480000000000004)</f>
        <v>50.48</v>
      </c>
      <c r="V13" s="156">
        <f>IFERROR(__xludf.DUMMYFUNCTION("""COMPUTED_VALUE"""),2.294545454545455)</f>
        <v>2.294545455</v>
      </c>
      <c r="W13" s="157">
        <f>IFERROR(__xludf.DUMMYFUNCTION("""COMPUTED_VALUE"""),0.19261294261294262)</f>
        <v>0.1926129426</v>
      </c>
      <c r="X13" s="154">
        <f>IFERROR(__xludf.DUMMYFUNCTION("""COMPUTED_VALUE"""),187256.16)</f>
        <v>187256.16</v>
      </c>
      <c r="Y13" s="165"/>
      <c r="Z13" s="187"/>
      <c r="AA13" s="188"/>
      <c r="AB13" s="188"/>
      <c r="AC13" s="202"/>
    </row>
    <row r="14" ht="15.75" customHeight="1">
      <c r="A14" s="167">
        <f>IFERROR(__xludf.DUMMYFUNCTION("""COMPUTED_VALUE"""),45627.0)</f>
        <v>45627</v>
      </c>
      <c r="B14" s="151">
        <f>IFERROR(__xludf.DUMMYFUNCTION("""COMPUTED_VALUE"""),4000681.0)</f>
        <v>4000681</v>
      </c>
      <c r="C14" s="151" t="str">
        <f>IFERROR(__xludf.DUMMYFUNCTION("""COMPUTED_VALUE"""),"O.Domingo-Animana")</f>
        <v>O.Domingo-Animana</v>
      </c>
      <c r="D14" s="152">
        <f>IFERROR(__xludf.DUMMYFUNCTION("""COMPUTED_VALUE"""),0.27)</f>
        <v>0.27</v>
      </c>
      <c r="E14" s="153">
        <f>IFERROR(__xludf.DUMMYFUNCTION("""COMPUTED_VALUE"""),3428.0)</f>
        <v>3428</v>
      </c>
      <c r="F14" s="153">
        <f>IFERROR(__xludf.DUMMYFUNCTION("""COMPUTED_VALUE"""),468.0)</f>
        <v>468</v>
      </c>
      <c r="G14" s="153">
        <f>IFERROR(__xludf.DUMMYFUNCTION("""COMPUTED_VALUE"""),188.0)</f>
        <v>188</v>
      </c>
      <c r="H14" s="153">
        <f>IFERROR(__xludf.DUMMYFUNCTION("""COMPUTED_VALUE"""),2772.0)</f>
        <v>2772</v>
      </c>
      <c r="I14" s="151" t="str">
        <f>IFERROR(__xludf.DUMMYFUNCTION("""COMPUTED_VALUE"""),"T2-Ba")</f>
        <v>T2-Ba</v>
      </c>
      <c r="J14" s="154">
        <f>IFERROR(__xludf.DUMMYFUNCTION("""COMPUTED_VALUE"""),141.2503)</f>
        <v>141.2503</v>
      </c>
      <c r="K14" s="154">
        <f>IFERROR(__xludf.DUMMYFUNCTION("""COMPUTED_VALUE"""),141.2503)</f>
        <v>141.2503</v>
      </c>
      <c r="L14" s="154">
        <f>IFERROR(__xludf.DUMMYFUNCTION("""COMPUTED_VALUE"""),141.2503)</f>
        <v>141.2503</v>
      </c>
      <c r="M14" s="152">
        <f>IFERROR(__xludf.DUMMYFUNCTION("""COMPUTED_VALUE"""),2518.6)</f>
        <v>2518.6</v>
      </c>
      <c r="N14" s="153">
        <f>IFERROR(__xludf.DUMMYFUNCTION("""COMPUTED_VALUE"""),5946.6)</f>
        <v>5946.6</v>
      </c>
      <c r="O14" s="154">
        <f>IFERROR(__xludf.DUMMYFUNCTION("""COMPUTED_VALUE"""),484206.02840000007)</f>
        <v>484206.0284</v>
      </c>
      <c r="P14" s="154">
        <f>IFERROR(__xludf.DUMMYFUNCTION("""COMPUTED_VALUE"""),1055.0)</f>
        <v>1055</v>
      </c>
      <c r="Q14" s="155">
        <f>IFERROR(__xludf.DUMMYFUNCTION("""COMPUTED_VALUE"""),337.20664036018957)</f>
        <v>337.2066404</v>
      </c>
      <c r="R14" s="154">
        <f>IFERROR(__xludf.DUMMYFUNCTION("""COMPUTED_VALUE"""),355753.00558)</f>
        <v>355753.0056</v>
      </c>
      <c r="S14" s="154">
        <f>IFERROR(__xludf.DUMMYFUNCTION("""COMPUTED_VALUE"""),1465.0)</f>
        <v>1465</v>
      </c>
      <c r="T14" s="154">
        <f>IFERROR(__xludf.DUMMYFUNCTION("""COMPUTED_VALUE"""),627389.8147221507)</f>
        <v>627389.8147</v>
      </c>
      <c r="U14" s="156">
        <f>IFERROR(__xludf.DUMMYFUNCTION("""COMPUTED_VALUE"""),503.72)</f>
        <v>503.72</v>
      </c>
      <c r="V14" s="156">
        <f>IFERROR(__xludf.DUMMYFUNCTION("""COMPUTED_VALUE"""),22.89636363636364)</f>
        <v>22.89636364</v>
      </c>
      <c r="W14" s="157">
        <f>IFERROR(__xludf.DUMMYFUNCTION("""COMPUTED_VALUE"""),0.4235361382975145)</f>
        <v>0.4235361383</v>
      </c>
      <c r="X14" s="154">
        <f>IFERROR(__xludf.DUMMYFUNCTION("""COMPUTED_VALUE"""),839959.0339800001)</f>
        <v>839959.034</v>
      </c>
      <c r="Y14" s="165"/>
      <c r="Z14" s="187"/>
      <c r="AA14" s="188"/>
      <c r="AB14" s="188"/>
      <c r="AC14" s="202"/>
    </row>
    <row r="15" ht="15.75" customHeight="1">
      <c r="A15" s="167">
        <f>IFERROR(__xludf.DUMMYFUNCTION("""COMPUTED_VALUE"""),45597.0)</f>
        <v>45597</v>
      </c>
      <c r="B15" s="151">
        <f>IFERROR(__xludf.DUMMYFUNCTION("""COMPUTED_VALUE"""),4000681.0)</f>
        <v>4000681</v>
      </c>
      <c r="C15" s="151" t="str">
        <f>IFERROR(__xludf.DUMMYFUNCTION("""COMPUTED_VALUE"""),"O.Domingo-Animana")</f>
        <v>O.Domingo-Animana</v>
      </c>
      <c r="D15" s="152">
        <f>IFERROR(__xludf.DUMMYFUNCTION("""COMPUTED_VALUE"""),0.27)</f>
        <v>0.27</v>
      </c>
      <c r="E15" s="153">
        <f>IFERROR(__xludf.DUMMYFUNCTION("""COMPUTED_VALUE"""),8059.0)</f>
        <v>8059</v>
      </c>
      <c r="F15" s="153">
        <f>IFERROR(__xludf.DUMMYFUNCTION("""COMPUTED_VALUE"""),2011.0)</f>
        <v>2011</v>
      </c>
      <c r="G15" s="153">
        <f>IFERROR(__xludf.DUMMYFUNCTION("""COMPUTED_VALUE"""),2375.0)</f>
        <v>2375</v>
      </c>
      <c r="H15" s="153">
        <f>IFERROR(__xludf.DUMMYFUNCTION("""COMPUTED_VALUE"""),3673.0)</f>
        <v>3673</v>
      </c>
      <c r="I15" s="151" t="str">
        <f>IFERROR(__xludf.DUMMYFUNCTION("""COMPUTED_VALUE"""),"T2-Ba")</f>
        <v>T2-Ba</v>
      </c>
      <c r="J15" s="154">
        <f>IFERROR(__xludf.DUMMYFUNCTION("""COMPUTED_VALUE"""),139.734)</f>
        <v>139.734</v>
      </c>
      <c r="K15" s="154">
        <f>IFERROR(__xludf.DUMMYFUNCTION("""COMPUTED_VALUE"""),139.734)</f>
        <v>139.734</v>
      </c>
      <c r="L15" s="154">
        <f>IFERROR(__xludf.DUMMYFUNCTION("""COMPUTED_VALUE"""),139.734)</f>
        <v>139.734</v>
      </c>
      <c r="M15" s="152">
        <f>IFERROR(__xludf.DUMMYFUNCTION("""COMPUTED_VALUE"""),2833.4)</f>
        <v>2833.4</v>
      </c>
      <c r="N15" s="153">
        <f>IFERROR(__xludf.DUMMYFUNCTION("""COMPUTED_VALUE"""),10892.4)</f>
        <v>10892.4</v>
      </c>
      <c r="O15" s="154">
        <f>IFERROR(__xludf.DUMMYFUNCTION("""COMPUTED_VALUE"""),1126116.306)</f>
        <v>1126116.306</v>
      </c>
      <c r="P15" s="154">
        <f>IFERROR(__xludf.DUMMYFUNCTION("""COMPUTED_VALUE"""),1035.0)</f>
        <v>1035</v>
      </c>
      <c r="Q15" s="155">
        <f>IFERROR(__xludf.DUMMYFUNCTION("""COMPUTED_VALUE"""),382.5336382608696)</f>
        <v>382.5336383</v>
      </c>
      <c r="R15" s="154">
        <f>IFERROR(__xludf.DUMMYFUNCTION("""COMPUTED_VALUE"""),395922.31560000003)</f>
        <v>395922.3156</v>
      </c>
      <c r="S15" s="154">
        <f>IFERROR(__xludf.DUMMYFUNCTION("""COMPUTED_VALUE"""),1465.0)</f>
        <v>1465</v>
      </c>
      <c r="T15" s="154">
        <f>IFERROR(__xludf.DUMMYFUNCTION("""COMPUTED_VALUE"""),711722.960666261)</f>
        <v>711722.9607</v>
      </c>
      <c r="U15" s="156">
        <f>IFERROR(__xludf.DUMMYFUNCTION("""COMPUTED_VALUE"""),566.6800000000001)</f>
        <v>566.68</v>
      </c>
      <c r="V15" s="156">
        <f>IFERROR(__xludf.DUMMYFUNCTION("""COMPUTED_VALUE"""),25.75818181818182)</f>
        <v>25.75818182</v>
      </c>
      <c r="W15" s="157">
        <f>IFERROR(__xludf.DUMMYFUNCTION("""COMPUTED_VALUE"""),0.2601263266130513)</f>
        <v>0.2601263266</v>
      </c>
      <c r="X15" s="154">
        <f>IFERROR(__xludf.DUMMYFUNCTION("""COMPUTED_VALUE"""),1522038.6216000002)</f>
        <v>1522038.622</v>
      </c>
      <c r="Y15" s="154"/>
    </row>
    <row r="16" ht="15.75" customHeight="1">
      <c r="A16" s="167">
        <f>IFERROR(__xludf.DUMMYFUNCTION("""COMPUTED_VALUE"""),45589.0)</f>
        <v>45589</v>
      </c>
      <c r="B16" s="151">
        <f>IFERROR(__xludf.DUMMYFUNCTION("""COMPUTED_VALUE"""),4000681.0)</f>
        <v>4000681</v>
      </c>
      <c r="C16" s="151" t="str">
        <f>IFERROR(__xludf.DUMMYFUNCTION("""COMPUTED_VALUE"""),"O.Domingo-Animana")</f>
        <v>O.Domingo-Animana</v>
      </c>
      <c r="D16" s="152">
        <f>IFERROR(__xludf.DUMMYFUNCTION("""COMPUTED_VALUE"""),0.27)</f>
        <v>0.27</v>
      </c>
      <c r="E16" s="153">
        <f>IFERROR(__xludf.DUMMYFUNCTION("""COMPUTED_VALUE"""),9397.0)</f>
        <v>9397</v>
      </c>
      <c r="F16" s="153">
        <f>IFERROR(__xludf.DUMMYFUNCTION("""COMPUTED_VALUE"""),2556.0)</f>
        <v>2556</v>
      </c>
      <c r="G16" s="153">
        <f>IFERROR(__xludf.DUMMYFUNCTION("""COMPUTED_VALUE"""),2968.0)</f>
        <v>2968</v>
      </c>
      <c r="H16" s="153">
        <f>IFERROR(__xludf.DUMMYFUNCTION("""COMPUTED_VALUE"""),3873.0)</f>
        <v>3873</v>
      </c>
      <c r="I16" s="151" t="str">
        <f>IFERROR(__xludf.DUMMYFUNCTION("""COMPUTED_VALUE"""),"T2-Ba")</f>
        <v>T2-Ba</v>
      </c>
      <c r="J16" s="154">
        <f>IFERROR(__xludf.DUMMYFUNCTION("""COMPUTED_VALUE"""),137.7794)</f>
        <v>137.7794</v>
      </c>
      <c r="K16" s="154">
        <f>IFERROR(__xludf.DUMMYFUNCTION("""COMPUTED_VALUE"""),137.7794)</f>
        <v>137.7794</v>
      </c>
      <c r="L16" s="154">
        <f>IFERROR(__xludf.DUMMYFUNCTION("""COMPUTED_VALUE"""),137.7794)</f>
        <v>137.7794</v>
      </c>
      <c r="M16" s="152">
        <f>IFERROR(__xludf.DUMMYFUNCTION("""COMPUTED_VALUE"""),3114.8)</f>
        <v>3114.8</v>
      </c>
      <c r="N16" s="153">
        <f>IFERROR(__xludf.DUMMYFUNCTION("""COMPUTED_VALUE"""),12511.8)</f>
        <v>12511.8</v>
      </c>
      <c r="O16" s="154">
        <f>IFERROR(__xludf.DUMMYFUNCTION("""COMPUTED_VALUE"""),1294713.0218000002)</f>
        <v>1294713.022</v>
      </c>
      <c r="P16" s="154">
        <f>IFERROR(__xludf.DUMMYFUNCTION("""COMPUTED_VALUE"""),1016.5)</f>
        <v>1016.5</v>
      </c>
      <c r="Q16" s="155">
        <f>IFERROR(__xludf.DUMMYFUNCTION("""COMPUTED_VALUE"""),422.1891540777177)</f>
        <v>422.1891541</v>
      </c>
      <c r="R16" s="154">
        <f>IFERROR(__xludf.DUMMYFUNCTION("""COMPUTED_VALUE"""),429155.27512000006)</f>
        <v>429155.2751</v>
      </c>
      <c r="S16" s="154">
        <f>IFERROR(__xludf.DUMMYFUNCTION("""COMPUTED_VALUE"""),1465.0)</f>
        <v>1465</v>
      </c>
      <c r="T16" s="154">
        <f>IFERROR(__xludf.DUMMYFUNCTION("""COMPUTED_VALUE"""),785504.0306192978)</f>
        <v>785504.0306</v>
      </c>
      <c r="U16" s="156">
        <f>IFERROR(__xludf.DUMMYFUNCTION("""COMPUTED_VALUE"""),622.96)</f>
        <v>622.96</v>
      </c>
      <c r="V16" s="156">
        <f>IFERROR(__xludf.DUMMYFUNCTION("""COMPUTED_VALUE"""),28.316363636363636)</f>
        <v>28.31636364</v>
      </c>
      <c r="W16" s="157">
        <f>IFERROR(__xludf.DUMMYFUNCTION("""COMPUTED_VALUE"""),0.2489489921514091)</f>
        <v>0.2489489922</v>
      </c>
      <c r="X16" s="154">
        <f>IFERROR(__xludf.DUMMYFUNCTION("""COMPUTED_VALUE"""),1723868.2969200003)</f>
        <v>1723868.297</v>
      </c>
      <c r="Y16" s="154"/>
    </row>
    <row r="17" ht="15.75" customHeight="1">
      <c r="A17" s="167">
        <f>IFERROR(__xludf.DUMMYFUNCTION("""COMPUTED_VALUE"""),45561.0)</f>
        <v>45561</v>
      </c>
      <c r="B17" s="151">
        <f>IFERROR(__xludf.DUMMYFUNCTION("""COMPUTED_VALUE"""),4000681.0)</f>
        <v>4000681</v>
      </c>
      <c r="C17" s="151" t="str">
        <f>IFERROR(__xludf.DUMMYFUNCTION("""COMPUTED_VALUE"""),"O.Domingo-Animana")</f>
        <v>O.Domingo-Animana</v>
      </c>
      <c r="D17" s="152">
        <f>IFERROR(__xludf.DUMMYFUNCTION("""COMPUTED_VALUE"""),0.27)</f>
        <v>0.27</v>
      </c>
      <c r="E17" s="153">
        <f>IFERROR(__xludf.DUMMYFUNCTION("""COMPUTED_VALUE"""),3618.0)</f>
        <v>3618</v>
      </c>
      <c r="F17" s="153">
        <f>IFERROR(__xludf.DUMMYFUNCTION("""COMPUTED_VALUE"""),241.0)</f>
        <v>241</v>
      </c>
      <c r="G17" s="153">
        <f>IFERROR(__xludf.DUMMYFUNCTION("""COMPUTED_VALUE"""),5.0)</f>
        <v>5</v>
      </c>
      <c r="H17" s="153">
        <f>IFERROR(__xludf.DUMMYFUNCTION("""COMPUTED_VALUE"""),3372.0)</f>
        <v>3372</v>
      </c>
      <c r="I17" s="151" t="str">
        <f>IFERROR(__xludf.DUMMYFUNCTION("""COMPUTED_VALUE"""),"T2-Ba")</f>
        <v>T2-Ba</v>
      </c>
      <c r="J17" s="154">
        <f>IFERROR(__xludf.DUMMYFUNCTION("""COMPUTED_VALUE"""),133.9704)</f>
        <v>133.9704</v>
      </c>
      <c r="K17" s="154">
        <f>IFERROR(__xludf.DUMMYFUNCTION("""COMPUTED_VALUE"""),133.9704)</f>
        <v>133.9704</v>
      </c>
      <c r="L17" s="154">
        <f>IFERROR(__xludf.DUMMYFUNCTION("""COMPUTED_VALUE"""),133.9704)</f>
        <v>133.9704</v>
      </c>
      <c r="M17" s="152">
        <f>IFERROR(__xludf.DUMMYFUNCTION("""COMPUTED_VALUE"""),599.6)</f>
        <v>599.6</v>
      </c>
      <c r="N17" s="153">
        <f>IFERROR(__xludf.DUMMYFUNCTION("""COMPUTED_VALUE"""),4217.6)</f>
        <v>4217.6</v>
      </c>
      <c r="O17" s="154">
        <f>IFERROR(__xludf.DUMMYFUNCTION("""COMPUTED_VALUE"""),484704.9072000001)</f>
        <v>484704.9072</v>
      </c>
      <c r="P17" s="154">
        <f>IFERROR(__xludf.DUMMYFUNCTION("""COMPUTED_VALUE"""),993.0)</f>
        <v>993</v>
      </c>
      <c r="Q17" s="155">
        <f>IFERROR(__xludf.DUMMYFUNCTION("""COMPUTED_VALUE"""),80.89491625377644)</f>
        <v>80.89491625</v>
      </c>
      <c r="R17" s="154">
        <f>IFERROR(__xludf.DUMMYFUNCTION("""COMPUTED_VALUE"""),80328.65184)</f>
        <v>80328.65184</v>
      </c>
      <c r="S17" s="154">
        <f>IFERROR(__xludf.DUMMYFUNCTION("""COMPUTED_VALUE"""),1465.0)</f>
        <v>1465</v>
      </c>
      <c r="T17" s="154">
        <f>IFERROR(__xludf.DUMMYFUNCTION("""COMPUTED_VALUE"""),150509.03643596376)</f>
        <v>150509.0364</v>
      </c>
      <c r="U17" s="156">
        <f>IFERROR(__xludf.DUMMYFUNCTION("""COMPUTED_VALUE"""),119.92000000000002)</f>
        <v>119.92</v>
      </c>
      <c r="V17" s="156">
        <f>IFERROR(__xludf.DUMMYFUNCTION("""COMPUTED_VALUE"""),5.450909090909092)</f>
        <v>5.450909091</v>
      </c>
      <c r="W17" s="157">
        <f>IFERROR(__xludf.DUMMYFUNCTION("""COMPUTED_VALUE"""),0.14216616084977238)</f>
        <v>0.1421661608</v>
      </c>
      <c r="X17" s="154">
        <f>IFERROR(__xludf.DUMMYFUNCTION("""COMPUTED_VALUE"""),565033.5590400001)</f>
        <v>565033.559</v>
      </c>
      <c r="Y17" s="154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3.75"/>
    <col customWidth="1" min="6" max="6" width="12.63"/>
    <col customWidth="1" min="8" max="8" width="17.88"/>
    <col customWidth="1" min="9" max="9" width="14.38"/>
    <col customWidth="1" min="12" max="12" width="20.88"/>
    <col customWidth="1" min="13" max="13" width="13.0"/>
    <col customWidth="1" min="14" max="14" width="18.13"/>
    <col customWidth="1" min="15" max="15" width="13.63"/>
    <col customWidth="1" min="16" max="16" width="19.13"/>
    <col customWidth="1" min="17" max="17" width="20.88"/>
    <col customWidth="1" min="20" max="21" width="19.13"/>
    <col customWidth="1" min="24" max="24" width="19.13"/>
  </cols>
  <sheetData>
    <row r="1" ht="15.75" customHeight="1">
      <c r="A1" s="168" t="str">
        <f>Datos!A1</f>
        <v>   Fecha </v>
      </c>
      <c r="B1" s="168" t="str">
        <f>Datos!B1</f>
        <v>NIS</v>
      </c>
      <c r="C1" s="168" t="str">
        <f>Datos!C1</f>
        <v>Cliente</v>
      </c>
      <c r="D1" s="168" t="str">
        <f>Datos!D1</f>
        <v>IVA</v>
      </c>
      <c r="E1" s="168" t="str">
        <f>Datos!E1</f>
        <v>Consumo [kWh]</v>
      </c>
      <c r="F1" s="168" t="str">
        <f>Datos!F1</f>
        <v>Consumo hs punta [kWh]</v>
      </c>
      <c r="G1" s="168" t="str">
        <f>Datos!G1</f>
        <v>Consumo hs valle [kWh]</v>
      </c>
      <c r="H1" s="168" t="str">
        <f>Datos!H1</f>
        <v>Consumo hs resto[kWh]</v>
      </c>
      <c r="I1" s="168" t="str">
        <f>Datos!I1</f>
        <v>Catergoria</v>
      </c>
      <c r="J1" s="168" t="str">
        <f>Datos!J1</f>
        <v>Tarifa punta</v>
      </c>
      <c r="K1" s="168" t="str">
        <f>Datos!K1</f>
        <v>Tarifa valle</v>
      </c>
      <c r="L1" s="168" t="str">
        <f>Datos!L1</f>
        <v>Tarifa resto</v>
      </c>
      <c r="M1" s="168" t="str">
        <f>Datos!M1</f>
        <v>Generacion FV [kWh]</v>
      </c>
      <c r="N1" s="168" t="str">
        <f>Datos!N1</f>
        <v>CONSUMO TOTAL</v>
      </c>
      <c r="O1" s="168" t="str">
        <f>Datos!O1</f>
        <v>Total a pagar S / IVA</v>
      </c>
      <c r="P1" s="168" t="str">
        <f>Datos!P1</f>
        <v>Valor USD</v>
      </c>
      <c r="Q1" s="168" t="str">
        <f>Datos!Q1</f>
        <v>Ahorro (USD)</v>
      </c>
      <c r="R1" s="168" t="str">
        <f>Datos!R1</f>
        <v>Ahorro ($)</v>
      </c>
      <c r="S1" s="168" t="str">
        <f>Datos!S1</f>
        <v>Valor dolar Actual ($)</v>
      </c>
      <c r="T1" s="168" t="str">
        <f>Datos!T1</f>
        <v>Ahorro ($)-A precio actual</v>
      </c>
      <c r="U1" s="168" t="str">
        <f>Datos!U1</f>
        <v>kg CO2e evitados</v>
      </c>
      <c r="V1" s="168" t="str">
        <f>Datos!V1</f>
        <v>Equivalente en árboles</v>
      </c>
      <c r="W1" s="168" t="str">
        <f>Datos!W1</f>
        <v>% de ahorro sobre los consumos</v>
      </c>
      <c r="X1" s="168" t="str">
        <f>Datos!X1</f>
        <v>SIN PANELES S/IVA</v>
      </c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  <c r="AK1" s="180"/>
      <c r="AL1" s="180"/>
      <c r="AM1" s="180"/>
      <c r="AN1" s="180"/>
      <c r="AO1" s="180"/>
      <c r="AP1" s="180"/>
      <c r="AQ1" s="180"/>
      <c r="AR1" s="180"/>
      <c r="AS1" s="180"/>
      <c r="AT1" s="180"/>
      <c r="AU1" s="180"/>
      <c r="AV1" s="180"/>
    </row>
    <row r="2" ht="15.75" customHeight="1">
      <c r="A2" s="192">
        <f>'OD-Animana'!A2</f>
        <v>45992</v>
      </c>
      <c r="B2" s="189">
        <f>'OD-Animana'!B2</f>
        <v>4000681</v>
      </c>
      <c r="C2" s="189" t="str">
        <f>'OD-Animana'!C2</f>
        <v>O.Domingo-Animana</v>
      </c>
      <c r="D2" s="152">
        <f>'OD-Animana'!D2</f>
        <v>0.27</v>
      </c>
      <c r="E2" s="211">
        <f>'OD-Animana'!E2</f>
        <v>8034</v>
      </c>
      <c r="F2" s="211">
        <f>'OD-Animana'!F2</f>
        <v>2164</v>
      </c>
      <c r="G2" s="211">
        <f>'OD-Animana'!G2</f>
        <v>2756</v>
      </c>
      <c r="H2" s="211">
        <f>'OD-Animana'!H2</f>
        <v>3114</v>
      </c>
      <c r="I2" s="212" t="str">
        <f>'OD-Animana'!I2</f>
        <v>T2-Ba</v>
      </c>
      <c r="J2" s="212">
        <f>'OD-Animana'!J2</f>
        <v>148.2814</v>
      </c>
      <c r="K2" s="212">
        <f>'OD-Animana'!K2</f>
        <v>148.2814</v>
      </c>
      <c r="L2" s="154">
        <f>'OD-Animana'!L2</f>
        <v>148.2814</v>
      </c>
      <c r="M2" s="152">
        <f>'OD-Animana'!M2</f>
        <v>2746.1</v>
      </c>
      <c r="N2" s="212">
        <f>'OD-Animana'!N2</f>
        <v>10780.1</v>
      </c>
      <c r="O2" s="213">
        <f>'OD-Animana'!O2</f>
        <v>1191292.768</v>
      </c>
      <c r="P2" s="212">
        <f>'OD-Animana'!P2</f>
        <v>1470</v>
      </c>
      <c r="Q2" s="212">
        <f>'OD-Animana'!Q2</f>
        <v>277.0037772</v>
      </c>
      <c r="R2" s="212">
        <f>'OD-Animana'!R2</f>
        <v>407195.5525</v>
      </c>
      <c r="S2" s="212">
        <f>'OD-Animana'!S2</f>
        <v>1465</v>
      </c>
      <c r="T2" s="154">
        <f>'OD-Animana'!T2</f>
        <v>515379.3777</v>
      </c>
      <c r="U2" s="188">
        <f>'OD-Animana'!U2</f>
        <v>549.22</v>
      </c>
      <c r="V2" s="188">
        <f>'OD-Animana'!V2</f>
        <v>24.96454545</v>
      </c>
      <c r="W2" s="157">
        <f>'OD-Animana'!W2</f>
        <v>0.2547378967</v>
      </c>
      <c r="X2" s="212">
        <f>'OD-Animana'!X2</f>
        <v>1598488.32</v>
      </c>
      <c r="Y2" s="205"/>
      <c r="Z2" s="187"/>
      <c r="AA2" s="188"/>
      <c r="AB2" s="188"/>
      <c r="AC2" s="202"/>
      <c r="AD2" s="189"/>
      <c r="AE2" s="189"/>
      <c r="AF2" s="189"/>
      <c r="AG2" s="189"/>
      <c r="AH2" s="189"/>
      <c r="AI2" s="189"/>
      <c r="AJ2" s="189"/>
      <c r="AK2" s="189"/>
      <c r="AL2" s="189"/>
      <c r="AM2" s="189"/>
      <c r="AN2" s="189"/>
      <c r="AO2" s="189"/>
      <c r="AP2" s="189"/>
      <c r="AQ2" s="189"/>
      <c r="AR2" s="189"/>
      <c r="AS2" s="189"/>
      <c r="AT2" s="189"/>
      <c r="AU2" s="189"/>
      <c r="AV2" s="189"/>
    </row>
    <row r="3" ht="15.75" customHeight="1">
      <c r="A3" s="192">
        <f>'OD-Animana'!A3</f>
        <v>45981</v>
      </c>
      <c r="B3" s="189">
        <f>'OD-Animana'!B3</f>
        <v>4000681</v>
      </c>
      <c r="C3" s="189" t="str">
        <f>'OD-Animana'!C3</f>
        <v>O.Domingo-Animana</v>
      </c>
      <c r="D3" s="152">
        <f>'OD-Animana'!D3</f>
        <v>0.27</v>
      </c>
      <c r="E3" s="211">
        <f>'OD-Animana'!E3</f>
        <v>7741</v>
      </c>
      <c r="F3" s="211">
        <f>'OD-Animana'!F3</f>
        <v>2428</v>
      </c>
      <c r="G3" s="211">
        <f>'OD-Animana'!G3</f>
        <v>2630</v>
      </c>
      <c r="H3" s="211">
        <f>'OD-Animana'!H3</f>
        <v>2683</v>
      </c>
      <c r="I3" s="212" t="str">
        <f>'OD-Animana'!I3</f>
        <v>T2-Ba</v>
      </c>
      <c r="J3" s="212">
        <f>'OD-Animana'!J3</f>
        <v>145.8675</v>
      </c>
      <c r="K3" s="212">
        <f>'OD-Animana'!K3</f>
        <v>145.8675</v>
      </c>
      <c r="L3" s="154">
        <f>'OD-Animana'!L3</f>
        <v>145.8675</v>
      </c>
      <c r="M3" s="152">
        <f>'OD-Animana'!M3</f>
        <v>3084</v>
      </c>
      <c r="N3" s="212">
        <f>'OD-Animana'!N3</f>
        <v>10825</v>
      </c>
      <c r="O3" s="213">
        <f>'OD-Animana'!O3</f>
        <v>1129160.318</v>
      </c>
      <c r="P3" s="212">
        <f>'OD-Animana'!P3</f>
        <v>1470</v>
      </c>
      <c r="Q3" s="212">
        <f>'OD-Animana'!Q3</f>
        <v>306.0240612</v>
      </c>
      <c r="R3" s="212">
        <f>'OD-Animana'!R3</f>
        <v>449855.37</v>
      </c>
      <c r="S3" s="212">
        <f>'OD-Animana'!S3</f>
        <v>1465</v>
      </c>
      <c r="T3" s="154">
        <f>'OD-Animana'!T3</f>
        <v>569373.0671</v>
      </c>
      <c r="U3" s="188">
        <f>'OD-Animana'!U3</f>
        <v>616.8</v>
      </c>
      <c r="V3" s="188">
        <f>'OD-Animana'!V3</f>
        <v>28.03636364</v>
      </c>
      <c r="W3" s="157">
        <f>'OD-Animana'!W3</f>
        <v>0.2848960739</v>
      </c>
      <c r="X3" s="212">
        <f>'OD-Animana'!X3</f>
        <v>1579015.688</v>
      </c>
      <c r="Y3" s="205"/>
      <c r="Z3" s="187"/>
      <c r="AA3" s="188"/>
      <c r="AB3" s="188"/>
      <c r="AC3" s="202"/>
      <c r="AD3" s="189"/>
      <c r="AE3" s="189"/>
      <c r="AF3" s="189"/>
      <c r="AG3" s="189"/>
      <c r="AH3" s="189"/>
      <c r="AI3" s="189"/>
      <c r="AJ3" s="189"/>
      <c r="AK3" s="189"/>
      <c r="AL3" s="189"/>
      <c r="AM3" s="189"/>
      <c r="AN3" s="189"/>
      <c r="AO3" s="189"/>
      <c r="AP3" s="189"/>
      <c r="AQ3" s="189"/>
      <c r="AR3" s="189"/>
      <c r="AS3" s="189"/>
      <c r="AT3" s="189"/>
      <c r="AU3" s="189"/>
      <c r="AV3" s="189"/>
    </row>
    <row r="4" ht="15.75" customHeight="1">
      <c r="A4" s="192">
        <f>'OD-Animana'!A4</f>
        <v>45931</v>
      </c>
      <c r="B4" s="189">
        <f>'OD-Animana'!B4</f>
        <v>4000681</v>
      </c>
      <c r="C4" s="189" t="str">
        <f>'OD-Animana'!C4</f>
        <v>O.Domingo-Animana</v>
      </c>
      <c r="D4" s="152">
        <f>'OD-Animana'!D4</f>
        <v>0.27</v>
      </c>
      <c r="E4" s="211">
        <f>'OD-Animana'!E4</f>
        <v>7285</v>
      </c>
      <c r="F4" s="211">
        <f>'OD-Animana'!F4</f>
        <v>2084</v>
      </c>
      <c r="G4" s="211">
        <f>'OD-Animana'!G4</f>
        <v>2636</v>
      </c>
      <c r="H4" s="211">
        <f>'OD-Animana'!H4</f>
        <v>2565</v>
      </c>
      <c r="I4" s="212" t="str">
        <f>'OD-Animana'!I4</f>
        <v>T2-Ba</v>
      </c>
      <c r="J4" s="212">
        <f>'OD-Animana'!J4</f>
        <v>157.071</v>
      </c>
      <c r="K4" s="212">
        <f>'OD-Animana'!K4</f>
        <v>157.071</v>
      </c>
      <c r="L4" s="154">
        <f>'OD-Animana'!L4</f>
        <v>157.071</v>
      </c>
      <c r="M4" s="152">
        <f>'OD-Animana'!M4</f>
        <v>2567</v>
      </c>
      <c r="N4" s="212">
        <f>'OD-Animana'!N4</f>
        <v>9852</v>
      </c>
      <c r="O4" s="213">
        <f>'OD-Animana'!O4</f>
        <v>1144262.235</v>
      </c>
      <c r="P4" s="212">
        <f>'OD-Animana'!P4</f>
        <v>1450</v>
      </c>
      <c r="Q4" s="212">
        <f>'OD-Animana'!Q4</f>
        <v>278.0698324</v>
      </c>
      <c r="R4" s="212">
        <f>'OD-Animana'!R4</f>
        <v>403201.257</v>
      </c>
      <c r="S4" s="212">
        <f>'OD-Animana'!S4</f>
        <v>1465</v>
      </c>
      <c r="T4" s="154">
        <f>'OD-Animana'!T4</f>
        <v>517362.8267</v>
      </c>
      <c r="U4" s="188">
        <f>'OD-Animana'!U4</f>
        <v>513.4</v>
      </c>
      <c r="V4" s="188">
        <f>'OD-Animana'!V4</f>
        <v>23.33636364</v>
      </c>
      <c r="W4" s="157">
        <f>'OD-Animana'!W4</f>
        <v>0.2605562322</v>
      </c>
      <c r="X4" s="212">
        <f>'OD-Animana'!X4</f>
        <v>1547463.492</v>
      </c>
      <c r="Y4" s="205"/>
      <c r="Z4" s="187"/>
      <c r="AA4" s="188"/>
      <c r="AB4" s="188"/>
      <c r="AC4" s="202"/>
      <c r="AD4" s="189"/>
      <c r="AE4" s="189"/>
      <c r="AF4" s="189"/>
      <c r="AG4" s="189"/>
      <c r="AH4" s="189"/>
      <c r="AI4" s="189"/>
      <c r="AJ4" s="189"/>
      <c r="AK4" s="189"/>
      <c r="AL4" s="189"/>
      <c r="AM4" s="189"/>
      <c r="AN4" s="189"/>
      <c r="AO4" s="189"/>
      <c r="AP4" s="189"/>
      <c r="AQ4" s="189"/>
      <c r="AR4" s="189"/>
      <c r="AS4" s="189"/>
      <c r="AT4" s="189"/>
      <c r="AU4" s="189"/>
      <c r="AV4" s="189"/>
    </row>
    <row r="5" ht="15.75" customHeight="1">
      <c r="A5" s="189"/>
      <c r="B5" s="189"/>
      <c r="C5" s="194"/>
      <c r="T5" s="202"/>
    </row>
    <row r="6" ht="15.75" customHeight="1">
      <c r="A6" s="189"/>
      <c r="B6" s="189"/>
      <c r="C6" s="194"/>
      <c r="T6" s="202"/>
    </row>
    <row r="7" ht="15.75" customHeight="1">
      <c r="A7" s="189"/>
      <c r="B7" s="189"/>
      <c r="C7" s="194"/>
      <c r="T7" s="202"/>
    </row>
    <row r="8" ht="15.75" customHeight="1">
      <c r="A8" s="189"/>
      <c r="B8" s="189"/>
      <c r="C8" s="194"/>
      <c r="T8" s="202"/>
    </row>
    <row r="9" ht="15.75" customHeight="1">
      <c r="A9" s="189"/>
      <c r="B9" s="189"/>
      <c r="C9" s="194"/>
      <c r="T9" s="202"/>
    </row>
    <row r="10" ht="15.75" customHeight="1">
      <c r="A10" s="189"/>
      <c r="B10" s="189"/>
      <c r="C10" s="194"/>
      <c r="T10" s="202"/>
    </row>
    <row r="11" ht="15.75" customHeight="1">
      <c r="A11" s="189"/>
      <c r="B11" s="189"/>
      <c r="C11" s="194"/>
      <c r="T11" s="202"/>
    </row>
    <row r="12" ht="15.75" customHeight="1">
      <c r="A12" s="189"/>
      <c r="B12" s="189"/>
      <c r="C12" s="194"/>
      <c r="T12" s="202"/>
    </row>
    <row r="13" ht="15.75" customHeight="1">
      <c r="A13" s="189"/>
      <c r="B13" s="189"/>
      <c r="C13" s="194"/>
      <c r="T13" s="202"/>
    </row>
    <row r="14" ht="15.75" customHeight="1">
      <c r="A14" s="189"/>
      <c r="B14" s="189"/>
      <c r="C14" s="194"/>
      <c r="T14" s="202"/>
    </row>
    <row r="15" ht="15.75" customHeight="1">
      <c r="A15" s="189"/>
      <c r="B15" s="189"/>
      <c r="C15" s="194"/>
      <c r="T15" s="202"/>
    </row>
    <row r="16" ht="15.75" customHeight="1">
      <c r="A16" s="189"/>
      <c r="B16" s="189"/>
      <c r="C16" s="194"/>
      <c r="T16" s="202"/>
    </row>
    <row r="17" ht="15.75" customHeight="1">
      <c r="A17" s="189"/>
      <c r="B17" s="189"/>
      <c r="C17" s="194"/>
      <c r="T17" s="202"/>
    </row>
    <row r="18" ht="15.75" customHeight="1">
      <c r="A18" s="189"/>
      <c r="B18" s="189"/>
      <c r="C18" s="194"/>
      <c r="T18" s="202"/>
    </row>
    <row r="19" ht="15.75" customHeight="1">
      <c r="A19" s="189"/>
      <c r="B19" s="189"/>
      <c r="C19" s="194"/>
      <c r="T19" s="202"/>
    </row>
    <row r="20" ht="15.75" customHeight="1">
      <c r="A20" s="189"/>
      <c r="B20" s="189"/>
      <c r="C20" s="194"/>
      <c r="T20" s="202"/>
    </row>
    <row r="21" ht="15.75" customHeight="1">
      <c r="A21" s="189"/>
      <c r="B21" s="189"/>
      <c r="C21" s="194"/>
      <c r="T21" s="202"/>
    </row>
    <row r="22" ht="15.75" customHeight="1">
      <c r="A22" s="189"/>
      <c r="B22" s="189"/>
      <c r="C22" s="194"/>
      <c r="T22" s="202"/>
    </row>
    <row r="23" ht="15.75" customHeight="1">
      <c r="A23" s="189"/>
      <c r="B23" s="189"/>
      <c r="C23" s="194"/>
      <c r="T23" s="202"/>
    </row>
    <row r="24" ht="15.75" customHeight="1">
      <c r="A24" s="189"/>
      <c r="B24" s="189"/>
      <c r="C24" s="194"/>
      <c r="T24" s="202"/>
    </row>
    <row r="25" ht="15.75" customHeight="1">
      <c r="A25" s="189"/>
      <c r="B25" s="189"/>
      <c r="C25" s="194"/>
      <c r="T25" s="202"/>
    </row>
    <row r="26" ht="15.75" customHeight="1">
      <c r="A26" s="189"/>
      <c r="B26" s="189"/>
      <c r="C26" s="194"/>
      <c r="T26" s="202"/>
    </row>
    <row r="27" ht="15.75" customHeight="1">
      <c r="A27" s="189"/>
      <c r="B27" s="189"/>
      <c r="C27" s="194"/>
      <c r="T27" s="202"/>
    </row>
    <row r="28" ht="15.75" customHeight="1">
      <c r="A28" s="189"/>
      <c r="B28" s="189"/>
      <c r="C28" s="194"/>
      <c r="T28" s="202"/>
    </row>
    <row r="29" ht="15.75" customHeight="1">
      <c r="A29" s="189"/>
      <c r="B29" s="189"/>
      <c r="C29" s="194"/>
      <c r="T29" s="202"/>
    </row>
    <row r="30" ht="15.75" customHeight="1">
      <c r="A30" s="189"/>
      <c r="B30" s="189"/>
      <c r="C30" s="194"/>
      <c r="T30" s="202"/>
    </row>
    <row r="31" ht="15.75" customHeight="1">
      <c r="A31" s="189"/>
      <c r="B31" s="189"/>
      <c r="C31" s="194"/>
      <c r="T31" s="202"/>
    </row>
    <row r="32" ht="15.75" customHeight="1">
      <c r="A32" s="189"/>
      <c r="B32" s="189"/>
      <c r="C32" s="194"/>
      <c r="T32" s="202"/>
    </row>
    <row r="33" ht="15.75" customHeight="1">
      <c r="A33" s="189"/>
      <c r="B33" s="189"/>
      <c r="C33" s="194"/>
      <c r="T33" s="202"/>
    </row>
    <row r="34" ht="15.75" customHeight="1">
      <c r="A34" s="189"/>
      <c r="B34" s="189"/>
      <c r="C34" s="194"/>
      <c r="T34" s="202"/>
    </row>
    <row r="35" ht="15.75" customHeight="1">
      <c r="A35" s="189"/>
      <c r="B35" s="189"/>
      <c r="C35" s="194"/>
      <c r="T35" s="202"/>
    </row>
    <row r="36" ht="15.75" customHeight="1">
      <c r="A36" s="189"/>
      <c r="B36" s="189"/>
      <c r="C36" s="194"/>
      <c r="T36" s="202"/>
    </row>
    <row r="37" ht="15.75" customHeight="1">
      <c r="A37" s="189"/>
      <c r="B37" s="189"/>
      <c r="C37" s="194"/>
      <c r="T37" s="202"/>
    </row>
    <row r="38" ht="15.75" customHeight="1">
      <c r="A38" s="189"/>
      <c r="B38" s="189"/>
      <c r="C38" s="194"/>
      <c r="T38" s="202"/>
    </row>
    <row r="39" ht="15.75" customHeight="1">
      <c r="A39" s="189"/>
      <c r="B39" s="189"/>
      <c r="C39" s="194"/>
      <c r="T39" s="202"/>
    </row>
    <row r="40" ht="15.75" customHeight="1">
      <c r="A40" s="189"/>
      <c r="B40" s="189"/>
      <c r="C40" s="194"/>
      <c r="T40" s="202"/>
    </row>
    <row r="41" ht="15.75" customHeight="1">
      <c r="A41" s="189"/>
      <c r="B41" s="189"/>
      <c r="C41" s="194"/>
      <c r="T41" s="202"/>
    </row>
    <row r="42" ht="15.75" customHeight="1">
      <c r="A42" s="189"/>
      <c r="B42" s="189"/>
      <c r="C42" s="194"/>
      <c r="T42" s="202"/>
    </row>
    <row r="43" ht="15.75" customHeight="1">
      <c r="A43" s="189"/>
      <c r="B43" s="189"/>
      <c r="C43" s="194"/>
      <c r="T43" s="202"/>
    </row>
    <row r="44" ht="15.75" customHeight="1">
      <c r="A44" s="189"/>
      <c r="B44" s="189"/>
      <c r="C44" s="194"/>
      <c r="T44" s="202"/>
    </row>
    <row r="45" ht="15.75" customHeight="1">
      <c r="A45" s="189"/>
      <c r="B45" s="189"/>
      <c r="C45" s="194"/>
      <c r="T45" s="202"/>
    </row>
    <row r="46" ht="15.75" customHeight="1">
      <c r="A46" s="189"/>
      <c r="B46" s="189"/>
      <c r="C46" s="194"/>
      <c r="T46" s="202"/>
    </row>
    <row r="47" ht="15.75" customHeight="1">
      <c r="A47" s="189"/>
      <c r="B47" s="189"/>
      <c r="C47" s="194"/>
      <c r="T47" s="202"/>
    </row>
    <row r="48" ht="15.75" customHeight="1">
      <c r="A48" s="189"/>
      <c r="B48" s="189"/>
      <c r="C48" s="194"/>
      <c r="T48" s="202"/>
    </row>
    <row r="49" ht="15.75" customHeight="1">
      <c r="A49" s="189"/>
      <c r="B49" s="189"/>
      <c r="C49" s="194"/>
      <c r="T49" s="202"/>
    </row>
    <row r="50" ht="15.75" customHeight="1">
      <c r="A50" s="189"/>
      <c r="B50" s="189"/>
      <c r="C50" s="194"/>
      <c r="T50" s="202"/>
    </row>
    <row r="51" ht="15.75" customHeight="1">
      <c r="A51" s="189"/>
      <c r="B51" s="189"/>
      <c r="C51" s="194"/>
      <c r="T51" s="202"/>
    </row>
    <row r="52" ht="15.75" customHeight="1">
      <c r="A52" s="189"/>
      <c r="B52" s="189"/>
      <c r="C52" s="194"/>
      <c r="T52" s="202"/>
    </row>
    <row r="53" ht="15.75" customHeight="1">
      <c r="A53" s="189"/>
      <c r="B53" s="189"/>
      <c r="C53" s="194"/>
      <c r="T53" s="202"/>
    </row>
    <row r="54" ht="15.75" customHeight="1">
      <c r="A54" s="189"/>
      <c r="B54" s="189"/>
      <c r="C54" s="194"/>
      <c r="T54" s="202"/>
    </row>
    <row r="55" ht="15.75" customHeight="1">
      <c r="A55" s="189"/>
      <c r="B55" s="189"/>
      <c r="C55" s="194"/>
      <c r="T55" s="202"/>
    </row>
    <row r="56" ht="15.75" customHeight="1">
      <c r="A56" s="189"/>
      <c r="B56" s="189"/>
      <c r="C56" s="194"/>
      <c r="T56" s="202"/>
    </row>
    <row r="57" ht="15.75" customHeight="1">
      <c r="A57" s="189"/>
      <c r="B57" s="189"/>
      <c r="C57" s="194"/>
      <c r="T57" s="202"/>
    </row>
    <row r="58" ht="15.75" customHeight="1">
      <c r="A58" s="189"/>
      <c r="B58" s="189"/>
      <c r="C58" s="194"/>
      <c r="T58" s="202"/>
    </row>
    <row r="59" ht="15.75" customHeight="1">
      <c r="A59" s="189"/>
      <c r="B59" s="189"/>
      <c r="C59" s="194"/>
      <c r="T59" s="202"/>
    </row>
    <row r="60" ht="15.75" customHeight="1">
      <c r="A60" s="189"/>
      <c r="B60" s="189"/>
      <c r="C60" s="194"/>
      <c r="T60" s="202"/>
    </row>
    <row r="61" ht="15.75" customHeight="1">
      <c r="A61" s="189"/>
      <c r="B61" s="189"/>
      <c r="C61" s="194"/>
      <c r="T61" s="202"/>
    </row>
    <row r="62" ht="15.75" customHeight="1">
      <c r="A62" s="189"/>
      <c r="B62" s="189"/>
      <c r="C62" s="194"/>
      <c r="T62" s="202"/>
    </row>
    <row r="63" ht="15.75" customHeight="1">
      <c r="A63" s="189"/>
      <c r="B63" s="189"/>
      <c r="C63" s="194"/>
      <c r="T63" s="202"/>
    </row>
    <row r="64" ht="15.75" customHeight="1">
      <c r="A64" s="189"/>
      <c r="B64" s="189"/>
      <c r="C64" s="194"/>
      <c r="T64" s="202"/>
    </row>
    <row r="65" ht="15.75" customHeight="1">
      <c r="A65" s="189"/>
      <c r="B65" s="189"/>
      <c r="C65" s="194"/>
      <c r="T65" s="202"/>
    </row>
    <row r="66" ht="15.75" customHeight="1">
      <c r="A66" s="189"/>
      <c r="B66" s="189"/>
      <c r="C66" s="194"/>
      <c r="T66" s="202"/>
    </row>
    <row r="67" ht="15.75" customHeight="1">
      <c r="A67" s="189"/>
      <c r="B67" s="189"/>
      <c r="C67" s="194"/>
      <c r="T67" s="202"/>
    </row>
    <row r="68" ht="15.75" customHeight="1">
      <c r="A68" s="189"/>
      <c r="B68" s="189"/>
      <c r="C68" s="194"/>
      <c r="T68" s="202"/>
    </row>
    <row r="69" ht="15.75" customHeight="1">
      <c r="A69" s="189"/>
      <c r="B69" s="189"/>
      <c r="C69" s="194"/>
      <c r="T69" s="202"/>
    </row>
    <row r="70" ht="15.75" customHeight="1">
      <c r="A70" s="189"/>
      <c r="B70" s="189"/>
      <c r="C70" s="194"/>
      <c r="T70" s="202"/>
    </row>
    <row r="71" ht="15.75" customHeight="1">
      <c r="A71" s="189"/>
      <c r="B71" s="189"/>
      <c r="C71" s="194"/>
      <c r="T71" s="202"/>
    </row>
    <row r="72" ht="15.75" customHeight="1">
      <c r="A72" s="189"/>
      <c r="B72" s="189"/>
      <c r="C72" s="194"/>
      <c r="T72" s="202"/>
    </row>
    <row r="73" ht="15.75" customHeight="1">
      <c r="A73" s="189"/>
      <c r="B73" s="189"/>
      <c r="C73" s="194"/>
      <c r="T73" s="202"/>
    </row>
    <row r="74" ht="15.75" customHeight="1">
      <c r="A74" s="189"/>
      <c r="B74" s="189"/>
      <c r="C74" s="194"/>
      <c r="T74" s="202"/>
    </row>
    <row r="75" ht="15.75" customHeight="1">
      <c r="A75" s="189"/>
      <c r="B75" s="189"/>
      <c r="C75" s="194"/>
      <c r="T75" s="202"/>
    </row>
    <row r="76" ht="15.75" customHeight="1">
      <c r="A76" s="189"/>
      <c r="B76" s="189"/>
      <c r="C76" s="194"/>
      <c r="T76" s="202"/>
    </row>
    <row r="77" ht="15.75" customHeight="1">
      <c r="A77" s="189"/>
      <c r="B77" s="189"/>
      <c r="C77" s="194"/>
      <c r="T77" s="202"/>
    </row>
    <row r="78" ht="15.75" customHeight="1">
      <c r="A78" s="189"/>
      <c r="B78" s="189"/>
      <c r="C78" s="194"/>
      <c r="T78" s="202"/>
    </row>
    <row r="79" ht="15.75" customHeight="1">
      <c r="A79" s="189"/>
      <c r="B79" s="189"/>
      <c r="C79" s="194"/>
      <c r="T79" s="202"/>
    </row>
    <row r="80" ht="15.75" customHeight="1">
      <c r="A80" s="189"/>
      <c r="B80" s="189"/>
      <c r="C80" s="194"/>
      <c r="T80" s="202"/>
    </row>
    <row r="81" ht="15.75" customHeight="1">
      <c r="A81" s="189"/>
      <c r="B81" s="189"/>
      <c r="C81" s="194"/>
      <c r="T81" s="202"/>
    </row>
    <row r="82" ht="15.75" customHeight="1">
      <c r="A82" s="189"/>
      <c r="B82" s="189"/>
      <c r="C82" s="194"/>
      <c r="T82" s="202"/>
    </row>
    <row r="83" ht="15.75" customHeight="1">
      <c r="A83" s="189"/>
      <c r="B83" s="189"/>
      <c r="C83" s="194"/>
      <c r="T83" s="202"/>
    </row>
    <row r="84" ht="15.75" customHeight="1">
      <c r="A84" s="189"/>
      <c r="B84" s="189"/>
      <c r="C84" s="194"/>
      <c r="T84" s="202"/>
    </row>
    <row r="85" ht="15.75" customHeight="1">
      <c r="A85" s="189"/>
      <c r="B85" s="189"/>
      <c r="C85" s="194"/>
      <c r="T85" s="202"/>
    </row>
    <row r="86" ht="15.75" customHeight="1">
      <c r="A86" s="189"/>
      <c r="B86" s="189"/>
      <c r="C86" s="194"/>
      <c r="T86" s="202"/>
    </row>
    <row r="87" ht="15.75" customHeight="1">
      <c r="A87" s="189"/>
      <c r="B87" s="189"/>
      <c r="C87" s="194"/>
      <c r="T87" s="202"/>
    </row>
    <row r="88" ht="15.75" customHeight="1">
      <c r="A88" s="189"/>
      <c r="B88" s="189"/>
      <c r="C88" s="194"/>
      <c r="T88" s="202"/>
    </row>
    <row r="89" ht="15.75" customHeight="1">
      <c r="A89" s="189"/>
      <c r="B89" s="189"/>
      <c r="C89" s="194"/>
      <c r="T89" s="202"/>
    </row>
    <row r="90" ht="15.75" customHeight="1">
      <c r="A90" s="189"/>
      <c r="B90" s="189"/>
      <c r="C90" s="194"/>
      <c r="T90" s="202"/>
    </row>
    <row r="91" ht="15.75" customHeight="1">
      <c r="A91" s="189"/>
      <c r="B91" s="189"/>
      <c r="C91" s="194"/>
      <c r="T91" s="202"/>
    </row>
    <row r="92" ht="15.75" customHeight="1">
      <c r="A92" s="189"/>
      <c r="B92" s="189"/>
      <c r="C92" s="194"/>
      <c r="T92" s="202"/>
    </row>
    <row r="93" ht="15.75" customHeight="1">
      <c r="A93" s="189"/>
      <c r="B93" s="189"/>
      <c r="C93" s="194"/>
      <c r="T93" s="202"/>
    </row>
    <row r="94" ht="15.75" customHeight="1">
      <c r="A94" s="189"/>
      <c r="B94" s="189"/>
      <c r="C94" s="194"/>
      <c r="T94" s="202"/>
    </row>
    <row r="95" ht="15.75" customHeight="1">
      <c r="A95" s="189"/>
      <c r="B95" s="189"/>
      <c r="C95" s="194"/>
      <c r="T95" s="202"/>
    </row>
    <row r="96" ht="15.75" customHeight="1">
      <c r="A96" s="189"/>
      <c r="B96" s="189"/>
      <c r="C96" s="194"/>
      <c r="T96" s="202"/>
    </row>
    <row r="97" ht="15.75" customHeight="1">
      <c r="A97" s="189"/>
      <c r="B97" s="189"/>
      <c r="C97" s="194"/>
      <c r="T97" s="202"/>
    </row>
    <row r="98" ht="15.75" customHeight="1">
      <c r="A98" s="189"/>
      <c r="B98" s="189"/>
      <c r="C98" s="194"/>
      <c r="T98" s="202"/>
    </row>
    <row r="99" ht="15.75" customHeight="1">
      <c r="A99" s="189"/>
      <c r="B99" s="189"/>
      <c r="C99" s="194"/>
      <c r="T99" s="202"/>
    </row>
    <row r="100" ht="15.75" customHeight="1">
      <c r="A100" s="189"/>
      <c r="B100" s="189"/>
      <c r="C100" s="194"/>
      <c r="T100" s="202"/>
    </row>
    <row r="101" ht="15.75" customHeight="1">
      <c r="A101" s="189"/>
      <c r="B101" s="189"/>
      <c r="C101" s="194"/>
      <c r="T101" s="202"/>
    </row>
    <row r="102" ht="15.75" customHeight="1">
      <c r="A102" s="189"/>
      <c r="B102" s="189"/>
      <c r="C102" s="194"/>
      <c r="T102" s="202"/>
    </row>
    <row r="103" ht="15.75" customHeight="1">
      <c r="A103" s="189"/>
      <c r="B103" s="189"/>
      <c r="C103" s="194"/>
      <c r="T103" s="202"/>
    </row>
    <row r="104" ht="15.75" customHeight="1">
      <c r="A104" s="189"/>
      <c r="B104" s="189"/>
      <c r="C104" s="194"/>
      <c r="T104" s="202"/>
    </row>
    <row r="105" ht="15.75" customHeight="1">
      <c r="A105" s="189"/>
      <c r="B105" s="189"/>
      <c r="C105" s="194"/>
      <c r="T105" s="202"/>
    </row>
    <row r="106" ht="15.75" customHeight="1">
      <c r="A106" s="189"/>
      <c r="B106" s="189"/>
      <c r="C106" s="194"/>
      <c r="T106" s="202"/>
    </row>
    <row r="107" ht="15.75" customHeight="1">
      <c r="A107" s="189"/>
      <c r="B107" s="189"/>
      <c r="C107" s="194"/>
      <c r="T107" s="202"/>
    </row>
    <row r="108" ht="15.75" customHeight="1">
      <c r="A108" s="189"/>
      <c r="B108" s="189"/>
      <c r="C108" s="194"/>
      <c r="T108" s="202"/>
    </row>
    <row r="109" ht="15.75" customHeight="1">
      <c r="A109" s="189"/>
      <c r="B109" s="189"/>
      <c r="C109" s="194"/>
      <c r="T109" s="202"/>
    </row>
    <row r="110" ht="15.75" customHeight="1">
      <c r="A110" s="189"/>
      <c r="B110" s="189"/>
      <c r="C110" s="194"/>
      <c r="T110" s="202"/>
    </row>
    <row r="111" ht="15.75" customHeight="1">
      <c r="A111" s="189"/>
      <c r="B111" s="189"/>
      <c r="C111" s="194"/>
      <c r="T111" s="202"/>
    </row>
    <row r="112" ht="15.75" customHeight="1">
      <c r="A112" s="189"/>
      <c r="B112" s="189"/>
      <c r="C112" s="194"/>
      <c r="T112" s="202"/>
    </row>
    <row r="113" ht="15.75" customHeight="1">
      <c r="A113" s="189"/>
      <c r="B113" s="189"/>
      <c r="C113" s="194"/>
      <c r="T113" s="202"/>
    </row>
    <row r="114" ht="15.75" customHeight="1">
      <c r="A114" s="189"/>
      <c r="B114" s="189"/>
      <c r="C114" s="194"/>
      <c r="T114" s="202"/>
    </row>
    <row r="115" ht="15.75" customHeight="1">
      <c r="A115" s="189"/>
      <c r="B115" s="189"/>
      <c r="C115" s="194"/>
      <c r="T115" s="202"/>
    </row>
    <row r="116" ht="15.75" customHeight="1">
      <c r="A116" s="189"/>
      <c r="B116" s="189"/>
      <c r="C116" s="194"/>
      <c r="T116" s="202"/>
    </row>
    <row r="117" ht="15.75" customHeight="1">
      <c r="A117" s="189"/>
      <c r="B117" s="189"/>
      <c r="C117" s="194"/>
      <c r="T117" s="202"/>
    </row>
    <row r="118" ht="15.75" customHeight="1">
      <c r="A118" s="189"/>
      <c r="B118" s="189"/>
      <c r="C118" s="194"/>
      <c r="T118" s="202"/>
    </row>
    <row r="119" ht="15.75" customHeight="1">
      <c r="A119" s="189"/>
      <c r="B119" s="189"/>
      <c r="C119" s="194"/>
      <c r="T119" s="202"/>
    </row>
    <row r="120" ht="15.75" customHeight="1">
      <c r="A120" s="189"/>
      <c r="B120" s="189"/>
      <c r="C120" s="194"/>
      <c r="T120" s="202"/>
    </row>
    <row r="121" ht="15.75" customHeight="1">
      <c r="A121" s="189"/>
      <c r="B121" s="189"/>
      <c r="C121" s="194"/>
      <c r="T121" s="202"/>
    </row>
    <row r="122" ht="15.75" customHeight="1">
      <c r="A122" s="189"/>
      <c r="B122" s="189"/>
      <c r="C122" s="194"/>
      <c r="T122" s="202"/>
    </row>
    <row r="123" ht="15.75" customHeight="1">
      <c r="A123" s="189"/>
      <c r="B123" s="189"/>
      <c r="C123" s="194"/>
      <c r="T123" s="202"/>
    </row>
    <row r="124" ht="15.75" customHeight="1">
      <c r="A124" s="189"/>
      <c r="B124" s="189"/>
      <c r="C124" s="194"/>
      <c r="T124" s="202"/>
    </row>
    <row r="125" ht="15.75" customHeight="1">
      <c r="A125" s="189"/>
      <c r="B125" s="189"/>
      <c r="C125" s="194"/>
      <c r="T125" s="202"/>
    </row>
    <row r="126" ht="15.75" customHeight="1">
      <c r="A126" s="189"/>
      <c r="B126" s="189"/>
      <c r="C126" s="194"/>
      <c r="T126" s="202"/>
    </row>
    <row r="127" ht="15.75" customHeight="1">
      <c r="A127" s="189"/>
      <c r="B127" s="189"/>
      <c r="C127" s="194"/>
      <c r="T127" s="202"/>
    </row>
    <row r="128" ht="15.75" customHeight="1">
      <c r="A128" s="189"/>
      <c r="B128" s="189"/>
      <c r="C128" s="194"/>
      <c r="T128" s="202"/>
    </row>
    <row r="129" ht="15.75" customHeight="1">
      <c r="A129" s="189"/>
      <c r="B129" s="189"/>
      <c r="C129" s="194"/>
      <c r="T129" s="202"/>
    </row>
    <row r="130" ht="15.75" customHeight="1">
      <c r="A130" s="189"/>
      <c r="B130" s="189"/>
      <c r="C130" s="194"/>
      <c r="T130" s="202"/>
    </row>
    <row r="131" ht="15.75" customHeight="1">
      <c r="A131" s="189"/>
      <c r="B131" s="189"/>
      <c r="C131" s="194"/>
      <c r="T131" s="202"/>
    </row>
    <row r="132" ht="15.75" customHeight="1">
      <c r="A132" s="189"/>
      <c r="B132" s="189"/>
      <c r="C132" s="194"/>
      <c r="T132" s="202"/>
    </row>
    <row r="133" ht="15.75" customHeight="1">
      <c r="A133" s="189"/>
      <c r="B133" s="189"/>
      <c r="C133" s="194"/>
      <c r="T133" s="202"/>
    </row>
    <row r="134" ht="15.75" customHeight="1">
      <c r="A134" s="189"/>
      <c r="B134" s="189"/>
      <c r="C134" s="194"/>
      <c r="T134" s="202"/>
    </row>
    <row r="135" ht="15.75" customHeight="1">
      <c r="A135" s="189"/>
      <c r="B135" s="189"/>
      <c r="C135" s="194"/>
      <c r="T135" s="202"/>
    </row>
    <row r="136" ht="15.75" customHeight="1">
      <c r="A136" s="189"/>
      <c r="B136" s="189"/>
      <c r="C136" s="194"/>
      <c r="T136" s="202"/>
    </row>
    <row r="137" ht="15.75" customHeight="1">
      <c r="A137" s="189"/>
      <c r="B137" s="189"/>
      <c r="C137" s="194"/>
      <c r="T137" s="202"/>
    </row>
    <row r="138" ht="15.75" customHeight="1">
      <c r="A138" s="189"/>
      <c r="B138" s="189"/>
      <c r="C138" s="194"/>
      <c r="T138" s="202"/>
    </row>
    <row r="139" ht="15.75" customHeight="1">
      <c r="A139" s="189"/>
      <c r="B139" s="189"/>
      <c r="C139" s="194"/>
      <c r="T139" s="202"/>
    </row>
    <row r="140" ht="15.75" customHeight="1">
      <c r="A140" s="189"/>
      <c r="B140" s="189"/>
      <c r="C140" s="194"/>
      <c r="T140" s="202"/>
    </row>
    <row r="141" ht="15.75" customHeight="1">
      <c r="A141" s="189"/>
      <c r="B141" s="189"/>
      <c r="C141" s="194"/>
      <c r="T141" s="202"/>
    </row>
    <row r="142" ht="15.75" customHeight="1">
      <c r="A142" s="189"/>
      <c r="B142" s="189"/>
      <c r="C142" s="194"/>
      <c r="T142" s="202"/>
    </row>
    <row r="143" ht="15.75" customHeight="1">
      <c r="A143" s="189"/>
      <c r="B143" s="189"/>
      <c r="C143" s="194"/>
      <c r="T143" s="202"/>
    </row>
    <row r="144" ht="15.75" customHeight="1">
      <c r="A144" s="189"/>
      <c r="B144" s="189"/>
      <c r="C144" s="194"/>
      <c r="T144" s="202"/>
    </row>
    <row r="145" ht="15.75" customHeight="1">
      <c r="A145" s="189"/>
      <c r="B145" s="189"/>
      <c r="C145" s="194"/>
      <c r="T145" s="202"/>
    </row>
    <row r="146" ht="15.75" customHeight="1">
      <c r="A146" s="189"/>
      <c r="B146" s="189"/>
      <c r="C146" s="194"/>
      <c r="T146" s="202"/>
    </row>
    <row r="147" ht="15.75" customHeight="1">
      <c r="A147" s="189"/>
      <c r="B147" s="189"/>
      <c r="C147" s="194"/>
      <c r="T147" s="202"/>
    </row>
    <row r="148" ht="15.75" customHeight="1">
      <c r="A148" s="189"/>
      <c r="B148" s="189"/>
      <c r="C148" s="194"/>
      <c r="T148" s="202"/>
    </row>
    <row r="149" ht="15.75" customHeight="1">
      <c r="A149" s="189"/>
      <c r="B149" s="189"/>
      <c r="C149" s="194"/>
      <c r="T149" s="202"/>
    </row>
    <row r="150" ht="15.75" customHeight="1">
      <c r="A150" s="189"/>
      <c r="B150" s="189"/>
      <c r="C150" s="194"/>
      <c r="T150" s="202"/>
    </row>
    <row r="151" ht="15.75" customHeight="1">
      <c r="A151" s="189"/>
      <c r="B151" s="189"/>
      <c r="C151" s="194"/>
      <c r="T151" s="202"/>
    </row>
    <row r="152" ht="15.75" customHeight="1">
      <c r="A152" s="189"/>
      <c r="B152" s="189"/>
      <c r="C152" s="194"/>
      <c r="T152" s="202"/>
    </row>
    <row r="153" ht="15.75" customHeight="1">
      <c r="A153" s="189"/>
      <c r="B153" s="189"/>
      <c r="C153" s="194"/>
      <c r="T153" s="202"/>
    </row>
    <row r="154" ht="15.75" customHeight="1">
      <c r="A154" s="189"/>
      <c r="B154" s="189"/>
      <c r="C154" s="194"/>
      <c r="T154" s="202"/>
    </row>
    <row r="155" ht="15.75" customHeight="1">
      <c r="A155" s="189"/>
      <c r="B155" s="189"/>
      <c r="C155" s="194"/>
      <c r="T155" s="202"/>
    </row>
    <row r="156" ht="15.75" customHeight="1">
      <c r="A156" s="189"/>
      <c r="B156" s="189"/>
      <c r="C156" s="194"/>
      <c r="T156" s="202"/>
    </row>
    <row r="157" ht="15.75" customHeight="1">
      <c r="A157" s="189"/>
      <c r="B157" s="189"/>
      <c r="C157" s="194"/>
      <c r="T157" s="202"/>
    </row>
    <row r="158" ht="15.75" customHeight="1">
      <c r="A158" s="189"/>
      <c r="B158" s="189"/>
      <c r="C158" s="194"/>
      <c r="T158" s="202"/>
    </row>
    <row r="159" ht="15.75" customHeight="1">
      <c r="A159" s="189"/>
      <c r="B159" s="189"/>
      <c r="C159" s="194"/>
      <c r="T159" s="202"/>
    </row>
    <row r="160" ht="15.75" customHeight="1">
      <c r="A160" s="189"/>
      <c r="B160" s="189"/>
      <c r="C160" s="194"/>
      <c r="T160" s="202"/>
    </row>
    <row r="161" ht="15.75" customHeight="1">
      <c r="A161" s="189"/>
      <c r="B161" s="189"/>
      <c r="C161" s="194"/>
      <c r="T161" s="202"/>
    </row>
    <row r="162" ht="15.75" customHeight="1">
      <c r="A162" s="189"/>
      <c r="B162" s="189"/>
      <c r="C162" s="194"/>
      <c r="T162" s="202"/>
    </row>
    <row r="163" ht="15.75" customHeight="1">
      <c r="A163" s="189"/>
      <c r="B163" s="189"/>
      <c r="C163" s="194"/>
      <c r="T163" s="202"/>
    </row>
    <row r="164" ht="15.75" customHeight="1">
      <c r="A164" s="189"/>
      <c r="B164" s="189"/>
      <c r="C164" s="194"/>
      <c r="T164" s="202"/>
    </row>
    <row r="165" ht="15.75" customHeight="1">
      <c r="A165" s="189"/>
      <c r="B165" s="189"/>
      <c r="C165" s="194"/>
      <c r="T165" s="202"/>
    </row>
    <row r="166" ht="15.75" customHeight="1">
      <c r="A166" s="189"/>
      <c r="B166" s="189"/>
      <c r="C166" s="194"/>
      <c r="T166" s="202"/>
    </row>
    <row r="167" ht="15.75" customHeight="1">
      <c r="A167" s="189"/>
      <c r="B167" s="189"/>
      <c r="C167" s="194"/>
      <c r="T167" s="202"/>
    </row>
    <row r="168" ht="15.75" customHeight="1">
      <c r="A168" s="189"/>
      <c r="B168" s="189"/>
      <c r="C168" s="194"/>
      <c r="T168" s="202"/>
    </row>
    <row r="169" ht="15.75" customHeight="1">
      <c r="A169" s="189"/>
      <c r="B169" s="189"/>
      <c r="C169" s="194"/>
      <c r="T169" s="202"/>
    </row>
    <row r="170" ht="15.75" customHeight="1">
      <c r="A170" s="189"/>
      <c r="B170" s="189"/>
      <c r="C170" s="194"/>
      <c r="T170" s="202"/>
    </row>
    <row r="171" ht="15.75" customHeight="1">
      <c r="A171" s="189"/>
      <c r="B171" s="189"/>
      <c r="C171" s="194"/>
      <c r="T171" s="202"/>
    </row>
    <row r="172" ht="15.75" customHeight="1">
      <c r="A172" s="189"/>
      <c r="B172" s="189"/>
      <c r="C172" s="194"/>
      <c r="T172" s="202"/>
    </row>
    <row r="173" ht="15.75" customHeight="1">
      <c r="A173" s="189"/>
      <c r="B173" s="189"/>
      <c r="C173" s="194"/>
      <c r="T173" s="202"/>
    </row>
    <row r="174" ht="15.75" customHeight="1">
      <c r="A174" s="189"/>
      <c r="B174" s="189"/>
      <c r="C174" s="194"/>
      <c r="T174" s="202"/>
    </row>
    <row r="175" ht="15.75" customHeight="1">
      <c r="A175" s="189"/>
      <c r="B175" s="189"/>
      <c r="C175" s="194"/>
      <c r="T175" s="202"/>
    </row>
    <row r="176" ht="15.75" customHeight="1">
      <c r="A176" s="189"/>
      <c r="B176" s="189"/>
      <c r="C176" s="194"/>
      <c r="T176" s="202"/>
    </row>
    <row r="177" ht="15.75" customHeight="1">
      <c r="A177" s="189"/>
      <c r="B177" s="189"/>
      <c r="C177" s="194"/>
      <c r="T177" s="202"/>
    </row>
    <row r="178" ht="15.75" customHeight="1">
      <c r="A178" s="189"/>
      <c r="B178" s="189"/>
      <c r="C178" s="194"/>
      <c r="T178" s="202"/>
    </row>
    <row r="179" ht="15.75" customHeight="1">
      <c r="A179" s="189"/>
      <c r="B179" s="189"/>
      <c r="C179" s="194"/>
      <c r="T179" s="202"/>
    </row>
    <row r="180" ht="15.75" customHeight="1">
      <c r="A180" s="189"/>
      <c r="B180" s="189"/>
      <c r="C180" s="194"/>
      <c r="T180" s="202"/>
    </row>
    <row r="181" ht="15.75" customHeight="1">
      <c r="A181" s="189"/>
      <c r="B181" s="189"/>
      <c r="C181" s="194"/>
      <c r="T181" s="202"/>
    </row>
    <row r="182" ht="15.75" customHeight="1">
      <c r="A182" s="189"/>
      <c r="B182" s="189"/>
      <c r="C182" s="194"/>
      <c r="T182" s="202"/>
    </row>
    <row r="183" ht="15.75" customHeight="1">
      <c r="A183" s="189"/>
      <c r="B183" s="189"/>
      <c r="C183" s="194"/>
      <c r="T183" s="202"/>
    </row>
    <row r="184" ht="15.75" customHeight="1">
      <c r="A184" s="189"/>
      <c r="B184" s="189"/>
      <c r="C184" s="194"/>
      <c r="T184" s="202"/>
    </row>
    <row r="185" ht="15.75" customHeight="1">
      <c r="A185" s="189"/>
      <c r="B185" s="189"/>
      <c r="C185" s="194"/>
      <c r="T185" s="202"/>
    </row>
    <row r="186" ht="15.75" customHeight="1">
      <c r="A186" s="189"/>
      <c r="B186" s="189"/>
      <c r="C186" s="194"/>
      <c r="T186" s="202"/>
    </row>
    <row r="187" ht="15.75" customHeight="1">
      <c r="A187" s="189"/>
      <c r="B187" s="189"/>
      <c r="C187" s="194"/>
      <c r="T187" s="202"/>
    </row>
    <row r="188" ht="15.75" customHeight="1">
      <c r="A188" s="189"/>
      <c r="B188" s="189"/>
      <c r="C188" s="194"/>
      <c r="T188" s="202"/>
    </row>
    <row r="189" ht="15.75" customHeight="1">
      <c r="A189" s="189"/>
      <c r="B189" s="189"/>
      <c r="C189" s="194"/>
      <c r="T189" s="202"/>
    </row>
    <row r="190" ht="15.75" customHeight="1">
      <c r="A190" s="189"/>
      <c r="B190" s="189"/>
      <c r="C190" s="194"/>
      <c r="T190" s="202"/>
    </row>
    <row r="191" ht="15.75" customHeight="1">
      <c r="A191" s="189"/>
      <c r="B191" s="189"/>
      <c r="C191" s="194"/>
      <c r="T191" s="202"/>
    </row>
    <row r="192" ht="15.75" customHeight="1">
      <c r="A192" s="189"/>
      <c r="B192" s="189"/>
      <c r="C192" s="194"/>
      <c r="T192" s="202"/>
    </row>
    <row r="193" ht="15.75" customHeight="1">
      <c r="A193" s="189"/>
      <c r="B193" s="189"/>
      <c r="C193" s="194"/>
      <c r="T193" s="202"/>
    </row>
    <row r="194" ht="15.75" customHeight="1">
      <c r="A194" s="189"/>
      <c r="B194" s="189"/>
      <c r="C194" s="194"/>
      <c r="T194" s="202"/>
    </row>
    <row r="195" ht="15.75" customHeight="1">
      <c r="A195" s="189"/>
      <c r="B195" s="189"/>
      <c r="C195" s="194"/>
      <c r="T195" s="202"/>
    </row>
    <row r="196" ht="15.75" customHeight="1">
      <c r="A196" s="189"/>
      <c r="B196" s="189"/>
      <c r="C196" s="194"/>
      <c r="T196" s="202"/>
    </row>
    <row r="197" ht="15.75" customHeight="1">
      <c r="A197" s="189"/>
      <c r="B197" s="189"/>
      <c r="C197" s="194"/>
      <c r="T197" s="202"/>
    </row>
    <row r="198" ht="15.75" customHeight="1">
      <c r="A198" s="189"/>
      <c r="B198" s="189"/>
      <c r="C198" s="194"/>
      <c r="T198" s="202"/>
    </row>
    <row r="199" ht="15.75" customHeight="1">
      <c r="A199" s="189"/>
      <c r="B199" s="189"/>
      <c r="C199" s="194"/>
      <c r="T199" s="202"/>
    </row>
    <row r="200" ht="15.75" customHeight="1">
      <c r="A200" s="189"/>
      <c r="B200" s="189"/>
      <c r="C200" s="194"/>
      <c r="T200" s="202"/>
    </row>
    <row r="201" ht="15.75" customHeight="1">
      <c r="A201" s="189"/>
      <c r="B201" s="189"/>
      <c r="C201" s="194"/>
      <c r="T201" s="202"/>
    </row>
    <row r="202" ht="15.75" customHeight="1">
      <c r="A202" s="189"/>
      <c r="B202" s="189"/>
      <c r="C202" s="194"/>
      <c r="T202" s="202"/>
    </row>
    <row r="203" ht="15.75" customHeight="1">
      <c r="A203" s="189"/>
      <c r="B203" s="189"/>
      <c r="C203" s="194"/>
      <c r="T203" s="202"/>
    </row>
    <row r="204" ht="15.75" customHeight="1">
      <c r="A204" s="189"/>
      <c r="B204" s="189"/>
      <c r="C204" s="194"/>
      <c r="T204" s="202"/>
    </row>
    <row r="205" ht="15.75" customHeight="1">
      <c r="A205" s="189"/>
      <c r="B205" s="189"/>
      <c r="C205" s="194"/>
      <c r="T205" s="202"/>
    </row>
    <row r="206" ht="15.75" customHeight="1">
      <c r="A206" s="189"/>
      <c r="B206" s="189"/>
      <c r="C206" s="194"/>
      <c r="T206" s="202"/>
    </row>
    <row r="207" ht="15.75" customHeight="1">
      <c r="A207" s="189"/>
      <c r="B207" s="189"/>
      <c r="C207" s="194"/>
      <c r="T207" s="202"/>
    </row>
    <row r="208" ht="15.75" customHeight="1">
      <c r="A208" s="189"/>
      <c r="B208" s="189"/>
      <c r="C208" s="194"/>
      <c r="T208" s="202"/>
    </row>
    <row r="209" ht="15.75" customHeight="1">
      <c r="A209" s="189"/>
      <c r="B209" s="189"/>
      <c r="C209" s="194"/>
      <c r="T209" s="202"/>
    </row>
    <row r="210" ht="15.75" customHeight="1">
      <c r="A210" s="189"/>
      <c r="B210" s="189"/>
      <c r="C210" s="194"/>
      <c r="T210" s="202"/>
    </row>
    <row r="211" ht="15.75" customHeight="1">
      <c r="A211" s="189"/>
      <c r="B211" s="189"/>
      <c r="C211" s="194"/>
      <c r="T211" s="202"/>
    </row>
    <row r="212" ht="15.75" customHeight="1">
      <c r="A212" s="189"/>
      <c r="B212" s="189"/>
      <c r="C212" s="194"/>
      <c r="T212" s="202"/>
    </row>
    <row r="213" ht="15.75" customHeight="1">
      <c r="A213" s="189"/>
      <c r="B213" s="189"/>
      <c r="C213" s="194"/>
      <c r="T213" s="202"/>
    </row>
    <row r="214" ht="15.75" customHeight="1">
      <c r="A214" s="189"/>
      <c r="B214" s="189"/>
      <c r="C214" s="194"/>
      <c r="T214" s="202"/>
    </row>
    <row r="215" ht="15.75" customHeight="1">
      <c r="A215" s="189"/>
      <c r="B215" s="189"/>
      <c r="C215" s="194"/>
      <c r="T215" s="202"/>
    </row>
    <row r="216" ht="15.75" customHeight="1">
      <c r="A216" s="189"/>
      <c r="B216" s="189"/>
      <c r="C216" s="194"/>
      <c r="T216" s="202"/>
    </row>
    <row r="217" ht="15.75" customHeight="1">
      <c r="A217" s="189"/>
      <c r="B217" s="189"/>
      <c r="C217" s="194"/>
      <c r="T217" s="202"/>
    </row>
    <row r="218" ht="15.75" customHeight="1">
      <c r="A218" s="189"/>
      <c r="B218" s="189"/>
      <c r="C218" s="194"/>
      <c r="T218" s="202"/>
    </row>
    <row r="219" ht="15.75" customHeight="1">
      <c r="A219" s="189"/>
      <c r="B219" s="189"/>
      <c r="C219" s="194"/>
      <c r="T219" s="202"/>
    </row>
    <row r="220" ht="15.75" customHeight="1">
      <c r="A220" s="189"/>
      <c r="B220" s="189"/>
      <c r="C220" s="194"/>
      <c r="T220" s="20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6" width="12.63"/>
    <col customWidth="1" min="8" max="8" width="17.88"/>
    <col customWidth="1" min="9" max="9" width="14.38"/>
    <col customWidth="1" min="10" max="10" width="9.75"/>
    <col customWidth="1" min="20" max="20" width="19.13"/>
    <col customWidth="1" min="23" max="23" width="19.13"/>
  </cols>
  <sheetData>
    <row r="1" ht="15.75" customHeight="1">
      <c r="A1" s="207" t="str">
        <f>Datos!A1</f>
        <v>   Fecha </v>
      </c>
      <c r="B1" s="207" t="str">
        <f>Datos!B1</f>
        <v>NIS</v>
      </c>
      <c r="C1" s="207" t="str">
        <f>Datos!C1</f>
        <v>Cliente</v>
      </c>
      <c r="D1" s="207" t="str">
        <f>Datos!D1</f>
        <v>IVA</v>
      </c>
      <c r="E1" s="207" t="str">
        <f>Datos!E1</f>
        <v>Consumo [kWh]</v>
      </c>
      <c r="F1" s="207" t="str">
        <f>Datos!F1</f>
        <v>Consumo hs punta [kWh]</v>
      </c>
      <c r="G1" s="207" t="str">
        <f>Datos!G1</f>
        <v>Consumo hs valle [kWh]</v>
      </c>
      <c r="H1" s="207" t="str">
        <f>Datos!H1</f>
        <v>Consumo hs resto[kWh]</v>
      </c>
      <c r="I1" s="207" t="str">
        <f>Datos!I1</f>
        <v>Catergoria</v>
      </c>
      <c r="J1" s="207" t="str">
        <f>Datos!J1</f>
        <v>Tarifa punta</v>
      </c>
      <c r="K1" s="207" t="str">
        <f>Datos!K1</f>
        <v>Tarifa valle</v>
      </c>
      <c r="L1" s="207" t="str">
        <f>Datos!L1</f>
        <v>Tarifa resto</v>
      </c>
      <c r="M1" s="207" t="str">
        <f>Datos!M1</f>
        <v>Generacion FV [kWh]</v>
      </c>
      <c r="N1" s="207" t="str">
        <f>Datos!N1</f>
        <v>CONSUMO TOTAL</v>
      </c>
      <c r="O1" s="207" t="str">
        <f>Datos!O1</f>
        <v>Total a pagar S / IVA</v>
      </c>
      <c r="P1" s="207" t="str">
        <f>Datos!P1</f>
        <v>Valor USD</v>
      </c>
      <c r="Q1" s="207" t="str">
        <f>Datos!Q1</f>
        <v>Ahorro (USD)</v>
      </c>
      <c r="R1" s="207" t="str">
        <f>Datos!R1</f>
        <v>Ahorro ($)</v>
      </c>
      <c r="S1" s="207" t="str">
        <f>Datos!S1</f>
        <v>Valor dolar Actual ($)</v>
      </c>
      <c r="T1" s="207" t="str">
        <f>Datos!T1</f>
        <v>Ahorro ($)-A precio actual</v>
      </c>
      <c r="U1" s="207" t="str">
        <f>Datos!U1</f>
        <v>kg CO2e evitados</v>
      </c>
      <c r="V1" s="207" t="str">
        <f>Datos!V1</f>
        <v>Equivalente en árboles</v>
      </c>
      <c r="W1" s="207" t="str">
        <f>Datos!W1</f>
        <v>% de ahorro sobre los consumos</v>
      </c>
      <c r="X1" s="207" t="str">
        <f>Datos!X1</f>
        <v>SIN PANELES S/IVA</v>
      </c>
      <c r="Y1" s="216"/>
      <c r="Z1" s="175"/>
      <c r="AA1" s="176"/>
      <c r="AB1" s="177"/>
      <c r="AC1" s="178"/>
    </row>
    <row r="2" ht="15.75" customHeight="1">
      <c r="A2" s="192">
        <f>IFERROR(__xludf.DUMMYFUNCTION("FILTER(Datos!1:1247,Datos!B:B=5346222)"),45992.0)</f>
        <v>45992</v>
      </c>
      <c r="B2" s="189">
        <f>IFERROR(__xludf.DUMMYFUNCTION("""COMPUTED_VALUE"""),5346222.0)</f>
        <v>5346222</v>
      </c>
      <c r="C2" s="189" t="str">
        <f>IFERROR(__xludf.DUMMYFUNCTION("""COMPUTED_VALUE"""),"O.Domingo-Arenosa")</f>
        <v>O.Domingo-Arenosa</v>
      </c>
      <c r="D2" s="152">
        <f>IFERROR(__xludf.DUMMYFUNCTION("""COMPUTED_VALUE"""),0.27)</f>
        <v>0.27</v>
      </c>
      <c r="E2" s="211">
        <f>IFERROR(__xludf.DUMMYFUNCTION("""COMPUTED_VALUE"""),3833.0)</f>
        <v>3833</v>
      </c>
      <c r="F2" s="211">
        <f>IFERROR(__xludf.DUMMYFUNCTION("""COMPUTED_VALUE"""),998.0)</f>
        <v>998</v>
      </c>
      <c r="G2" s="211">
        <f>IFERROR(__xludf.DUMMYFUNCTION("""COMPUTED_VALUE"""),554.0)</f>
        <v>554</v>
      </c>
      <c r="H2" s="211">
        <f>IFERROR(__xludf.DUMMYFUNCTION("""COMPUTED_VALUE"""),2281.0)</f>
        <v>2281</v>
      </c>
      <c r="I2" s="212" t="str">
        <f>IFERROR(__xludf.DUMMYFUNCTION("""COMPUTED_VALUE"""),"T2-Ba")</f>
        <v>T2-Ba</v>
      </c>
      <c r="J2" s="212">
        <f>IFERROR(__xludf.DUMMYFUNCTION("""COMPUTED_VALUE"""),148.2814)</f>
        <v>148.2814</v>
      </c>
      <c r="K2" s="212">
        <f>IFERROR(__xludf.DUMMYFUNCTION("""COMPUTED_VALUE"""),148.2814)</f>
        <v>148.2814</v>
      </c>
      <c r="L2" s="154">
        <f>IFERROR(__xludf.DUMMYFUNCTION("""COMPUTED_VALUE"""),148.2814)</f>
        <v>148.2814</v>
      </c>
      <c r="M2" s="152">
        <f>IFERROR(__xludf.DUMMYFUNCTION("""COMPUTED_VALUE"""),3122.4)</f>
        <v>3122.4</v>
      </c>
      <c r="N2" s="212">
        <f>IFERROR(__xludf.DUMMYFUNCTION("""COMPUTED_VALUE"""),6955.4)</f>
        <v>6955.4</v>
      </c>
      <c r="O2" s="213">
        <f>IFERROR(__xludf.DUMMYFUNCTION("""COMPUTED_VALUE"""),568362.6061999999)</f>
        <v>568362.6062</v>
      </c>
      <c r="P2" s="212">
        <f>IFERROR(__xludf.DUMMYFUNCTION("""COMPUTED_VALUE"""),1470.0)</f>
        <v>1470</v>
      </c>
      <c r="Q2" s="212">
        <f>IFERROR(__xludf.DUMMYFUNCTION("""COMPUTED_VALUE"""),314.9617982040816)</f>
        <v>314.9617982</v>
      </c>
      <c r="R2" s="212">
        <f>IFERROR(__xludf.DUMMYFUNCTION("""COMPUTED_VALUE"""),462993.84336)</f>
        <v>462993.8434</v>
      </c>
      <c r="S2" s="212">
        <f>IFERROR(__xludf.DUMMYFUNCTION("""COMPUTED_VALUE"""),1465.0)</f>
        <v>1465</v>
      </c>
      <c r="T2" s="154">
        <f>IFERROR(__xludf.DUMMYFUNCTION("""COMPUTED_VALUE"""),586002.1736486041)</f>
        <v>586002.1736</v>
      </c>
      <c r="U2" s="188">
        <f>IFERROR(__xludf.DUMMYFUNCTION("""COMPUTED_VALUE"""),624.48)</f>
        <v>624.48</v>
      </c>
      <c r="V2" s="188">
        <f>IFERROR(__xludf.DUMMYFUNCTION("""COMPUTED_VALUE"""),28.385454545454547)</f>
        <v>28.38545455</v>
      </c>
      <c r="W2" s="157">
        <f>IFERROR(__xludf.DUMMYFUNCTION("""COMPUTED_VALUE"""),0.4489173879288036)</f>
        <v>0.4489173879</v>
      </c>
      <c r="X2" s="212">
        <f>IFERROR(__xludf.DUMMYFUNCTION("""COMPUTED_VALUE"""),1031356.4495599999)</f>
        <v>1031356.45</v>
      </c>
      <c r="Y2" s="217"/>
      <c r="Z2" s="187"/>
      <c r="AA2" s="188"/>
      <c r="AB2" s="188"/>
      <c r="AC2" s="202"/>
      <c r="AD2" s="189"/>
      <c r="AE2" s="189"/>
      <c r="AF2" s="189"/>
      <c r="AG2" s="189"/>
      <c r="AH2" s="189"/>
      <c r="AI2" s="189"/>
      <c r="AJ2" s="189"/>
      <c r="AK2" s="189"/>
      <c r="AL2" s="189"/>
      <c r="AM2" s="189"/>
      <c r="AN2" s="189"/>
      <c r="AO2" s="189"/>
      <c r="AP2" s="189"/>
      <c r="AQ2" s="189"/>
      <c r="AR2" s="189"/>
      <c r="AS2" s="189"/>
      <c r="AT2" s="189"/>
      <c r="AU2" s="189"/>
      <c r="AV2" s="189"/>
      <c r="AW2" s="189"/>
      <c r="AX2" s="189"/>
      <c r="AY2" s="189"/>
      <c r="AZ2" s="189"/>
      <c r="BA2" s="189"/>
      <c r="BB2" s="189"/>
    </row>
    <row r="3" ht="15.75" customHeight="1">
      <c r="A3" s="192">
        <f>IFERROR(__xludf.DUMMYFUNCTION("""COMPUTED_VALUE"""),45962.0)</f>
        <v>45962</v>
      </c>
      <c r="B3" s="189">
        <f>IFERROR(__xludf.DUMMYFUNCTION("""COMPUTED_VALUE"""),5346222.0)</f>
        <v>5346222</v>
      </c>
      <c r="C3" s="189" t="str">
        <f>IFERROR(__xludf.DUMMYFUNCTION("""COMPUTED_VALUE"""),"O.Domingo-Arenosa")</f>
        <v>O.Domingo-Arenosa</v>
      </c>
      <c r="D3" s="152">
        <f>IFERROR(__xludf.DUMMYFUNCTION("""COMPUTED_VALUE"""),0.27)</f>
        <v>0.27</v>
      </c>
      <c r="E3" s="211">
        <f>IFERROR(__xludf.DUMMYFUNCTION("""COMPUTED_VALUE"""),7889.0)</f>
        <v>7889</v>
      </c>
      <c r="F3" s="211">
        <f>IFERROR(__xludf.DUMMYFUNCTION("""COMPUTED_VALUE"""),2248.0)</f>
        <v>2248</v>
      </c>
      <c r="G3" s="211">
        <f>IFERROR(__xludf.DUMMYFUNCTION("""COMPUTED_VALUE"""),2776.0)</f>
        <v>2776</v>
      </c>
      <c r="H3" s="211">
        <f>IFERROR(__xludf.DUMMYFUNCTION("""COMPUTED_VALUE"""),2865.0)</f>
        <v>2865</v>
      </c>
      <c r="I3" s="212" t="str">
        <f>IFERROR(__xludf.DUMMYFUNCTION("""COMPUTED_VALUE"""),"T2-Ba")</f>
        <v>T2-Ba</v>
      </c>
      <c r="J3" s="212">
        <f>IFERROR(__xludf.DUMMYFUNCTION("""COMPUTED_VALUE"""),145.8675)</f>
        <v>145.8675</v>
      </c>
      <c r="K3" s="212">
        <f>IFERROR(__xludf.DUMMYFUNCTION("""COMPUTED_VALUE"""),145.8675)</f>
        <v>145.8675</v>
      </c>
      <c r="L3" s="154">
        <f>IFERROR(__xludf.DUMMYFUNCTION("""COMPUTED_VALUE"""),145.8675)</f>
        <v>145.8675</v>
      </c>
      <c r="M3" s="152">
        <f>IFERROR(__xludf.DUMMYFUNCTION("""COMPUTED_VALUE"""),3476.0)</f>
        <v>3476</v>
      </c>
      <c r="N3" s="212">
        <f>IFERROR(__xludf.DUMMYFUNCTION("""COMPUTED_VALUE"""),11365.0)</f>
        <v>11365</v>
      </c>
      <c r="O3" s="213">
        <f>IFERROR(__xludf.DUMMYFUNCTION("""COMPUTED_VALUE"""),1150748.7075)</f>
        <v>1150748.708</v>
      </c>
      <c r="P3" s="212">
        <f>IFERROR(__xludf.DUMMYFUNCTION("""COMPUTED_VALUE"""),1470.0)</f>
        <v>1470</v>
      </c>
      <c r="Q3" s="212">
        <f>IFERROR(__xludf.DUMMYFUNCTION("""COMPUTED_VALUE"""),344.9220612244898)</f>
        <v>344.9220612</v>
      </c>
      <c r="R3" s="212">
        <f>IFERROR(__xludf.DUMMYFUNCTION("""COMPUTED_VALUE"""),507035.43000000005)</f>
        <v>507035.43</v>
      </c>
      <c r="S3" s="212">
        <f>IFERROR(__xludf.DUMMYFUNCTION("""COMPUTED_VALUE"""),1465.0)</f>
        <v>1465</v>
      </c>
      <c r="T3" s="154">
        <f>IFERROR(__xludf.DUMMYFUNCTION("""COMPUTED_VALUE"""),641744.7410112246)</f>
        <v>641744.741</v>
      </c>
      <c r="U3" s="188">
        <f>IFERROR(__xludf.DUMMYFUNCTION("""COMPUTED_VALUE"""),695.2)</f>
        <v>695.2</v>
      </c>
      <c r="V3" s="188">
        <f>IFERROR(__xludf.DUMMYFUNCTION("""COMPUTED_VALUE"""),31.6)</f>
        <v>31.6</v>
      </c>
      <c r="W3" s="157">
        <f>IFERROR(__xludf.DUMMYFUNCTION("""COMPUTED_VALUE"""),0.3058512978442587)</f>
        <v>0.3058512978</v>
      </c>
      <c r="X3" s="212">
        <f>IFERROR(__xludf.DUMMYFUNCTION("""COMPUTED_VALUE"""),1657784.1375000002)</f>
        <v>1657784.138</v>
      </c>
      <c r="Y3" s="217"/>
      <c r="Z3" s="187"/>
      <c r="AA3" s="188"/>
      <c r="AB3" s="188"/>
      <c r="AC3" s="202"/>
      <c r="AD3" s="189"/>
      <c r="AE3" s="189"/>
      <c r="AF3" s="189"/>
      <c r="AG3" s="189"/>
      <c r="AH3" s="189"/>
      <c r="AI3" s="189"/>
      <c r="AJ3" s="189"/>
      <c r="AK3" s="189"/>
      <c r="AL3" s="189"/>
      <c r="AM3" s="189"/>
      <c r="AN3" s="189"/>
      <c r="AO3" s="189"/>
      <c r="AP3" s="189"/>
      <c r="AQ3" s="189"/>
      <c r="AR3" s="189"/>
      <c r="AS3" s="189"/>
      <c r="AT3" s="189"/>
      <c r="AU3" s="189"/>
      <c r="AV3" s="189"/>
      <c r="AW3" s="189"/>
      <c r="AX3" s="189"/>
      <c r="AY3" s="189"/>
      <c r="AZ3" s="189"/>
      <c r="BA3" s="189"/>
      <c r="BB3" s="189"/>
    </row>
    <row r="4" ht="15.75" customHeight="1">
      <c r="A4" s="192">
        <f>IFERROR(__xludf.DUMMYFUNCTION("""COMPUTED_VALUE"""),45931.0)</f>
        <v>45931</v>
      </c>
      <c r="B4" s="151">
        <f>IFERROR(__xludf.DUMMYFUNCTION("""COMPUTED_VALUE"""),5346222.0)</f>
        <v>5346222</v>
      </c>
      <c r="C4" s="151" t="str">
        <f>IFERROR(__xludf.DUMMYFUNCTION("""COMPUTED_VALUE"""),"O.Domingo-Arenosa")</f>
        <v>O.Domingo-Arenosa</v>
      </c>
      <c r="D4" s="152">
        <f>IFERROR(__xludf.DUMMYFUNCTION("""COMPUTED_VALUE"""),0.27)</f>
        <v>0.27</v>
      </c>
      <c r="E4" s="153">
        <f>IFERROR(__xludf.DUMMYFUNCTION("""COMPUTED_VALUE"""),6096.0)</f>
        <v>6096</v>
      </c>
      <c r="F4" s="153">
        <f>IFERROR(__xludf.DUMMYFUNCTION("""COMPUTED_VALUE"""),1853.0)</f>
        <v>1853</v>
      </c>
      <c r="G4" s="153">
        <f>IFERROR(__xludf.DUMMYFUNCTION("""COMPUTED_VALUE"""),2111.0)</f>
        <v>2111</v>
      </c>
      <c r="H4" s="153">
        <f>IFERROR(__xludf.DUMMYFUNCTION("""COMPUTED_VALUE"""),2132.0)</f>
        <v>2132</v>
      </c>
      <c r="I4" s="151" t="str">
        <f>IFERROR(__xludf.DUMMYFUNCTION("""COMPUTED_VALUE"""),"T2-Ba")</f>
        <v>T2-Ba</v>
      </c>
      <c r="J4" s="154">
        <f>IFERROR(__xludf.DUMMYFUNCTION("""COMPUTED_VALUE"""),157.071)</f>
        <v>157.071</v>
      </c>
      <c r="K4" s="154">
        <f>IFERROR(__xludf.DUMMYFUNCTION("""COMPUTED_VALUE"""),157.071)</f>
        <v>157.071</v>
      </c>
      <c r="L4" s="154">
        <f>IFERROR(__xludf.DUMMYFUNCTION("""COMPUTED_VALUE"""),157.071)</f>
        <v>157.071</v>
      </c>
      <c r="M4" s="152">
        <f>IFERROR(__xludf.DUMMYFUNCTION("""COMPUTED_VALUE"""),2934.2)</f>
        <v>2934.2</v>
      </c>
      <c r="N4" s="212">
        <f>IFERROR(__xludf.DUMMYFUNCTION("""COMPUTED_VALUE"""),9030.2)</f>
        <v>9030.2</v>
      </c>
      <c r="O4" s="154">
        <f>IFERROR(__xludf.DUMMYFUNCTION("""COMPUTED_VALUE"""),957504.816)</f>
        <v>957504.816</v>
      </c>
      <c r="P4" s="154">
        <f>IFERROR(__xludf.DUMMYFUNCTION("""COMPUTED_VALUE"""),1450.0)</f>
        <v>1450</v>
      </c>
      <c r="Q4" s="155">
        <f>IFERROR(__xludf.DUMMYFUNCTION("""COMPUTED_VALUE"""),317.84670910344823)</f>
        <v>317.8467091</v>
      </c>
      <c r="R4" s="154">
        <f>IFERROR(__xludf.DUMMYFUNCTION("""COMPUTED_VALUE"""),460877.72819999995)</f>
        <v>460877.7282</v>
      </c>
      <c r="S4" s="154">
        <f>IFERROR(__xludf.DUMMYFUNCTION("""COMPUTED_VALUE"""),1465.0)</f>
        <v>1465</v>
      </c>
      <c r="T4" s="154">
        <f>IFERROR(__xludf.DUMMYFUNCTION("""COMPUTED_VALUE"""),591369.6946224206)</f>
        <v>591369.6946</v>
      </c>
      <c r="U4" s="156">
        <f>IFERROR(__xludf.DUMMYFUNCTION("""COMPUTED_VALUE"""),586.84)</f>
        <v>586.84</v>
      </c>
      <c r="V4" s="156">
        <f>IFERROR(__xludf.DUMMYFUNCTION("""COMPUTED_VALUE"""),26.674545454545456)</f>
        <v>26.67454545</v>
      </c>
      <c r="W4" s="157">
        <f>IFERROR(__xludf.DUMMYFUNCTION("""COMPUTED_VALUE"""),0.32493189519611965)</f>
        <v>0.3249318952</v>
      </c>
      <c r="X4" s="154">
        <f>IFERROR(__xludf.DUMMYFUNCTION("""COMPUTED_VALUE"""),1418382.5442)</f>
        <v>1418382.544</v>
      </c>
      <c r="Y4" s="154"/>
      <c r="Z4" s="187"/>
      <c r="AA4" s="188"/>
      <c r="AB4" s="188"/>
      <c r="AC4" s="202"/>
    </row>
    <row r="5" ht="15.75" customHeight="1">
      <c r="A5" s="150">
        <f>IFERROR(__xludf.DUMMYFUNCTION("""COMPUTED_VALUE"""),45923.0)</f>
        <v>45923</v>
      </c>
      <c r="B5" s="151">
        <f>IFERROR(__xludf.DUMMYFUNCTION("""COMPUTED_VALUE"""),5346222.0)</f>
        <v>5346222</v>
      </c>
      <c r="C5" s="151" t="str">
        <f>IFERROR(__xludf.DUMMYFUNCTION("""COMPUTED_VALUE"""),"O.Domingo-Arenosa")</f>
        <v>O.Domingo-Arenosa</v>
      </c>
      <c r="D5" s="152">
        <f>IFERROR(__xludf.DUMMYFUNCTION("""COMPUTED_VALUE"""),0.27)</f>
        <v>0.27</v>
      </c>
      <c r="E5" s="153">
        <f>IFERROR(__xludf.DUMMYFUNCTION("""COMPUTED_VALUE"""),1767.0)</f>
        <v>1767</v>
      </c>
      <c r="F5" s="153">
        <f>IFERROR(__xludf.DUMMYFUNCTION("""COMPUTED_VALUE"""),363.0)</f>
        <v>363</v>
      </c>
      <c r="G5" s="153">
        <f>IFERROR(__xludf.DUMMYFUNCTION("""COMPUTED_VALUE"""),7.0)</f>
        <v>7</v>
      </c>
      <c r="H5" s="153">
        <f>IFERROR(__xludf.DUMMYFUNCTION("""COMPUTED_VALUE"""),1397.0)</f>
        <v>1397</v>
      </c>
      <c r="I5" s="151" t="str">
        <f>IFERROR(__xludf.DUMMYFUNCTION("""COMPUTED_VALUE"""),"T2-Ba")</f>
        <v>T2-Ba</v>
      </c>
      <c r="J5" s="154">
        <f>IFERROR(__xludf.DUMMYFUNCTION("""COMPUTED_VALUE"""),156.8264)</f>
        <v>156.8264</v>
      </c>
      <c r="K5" s="154">
        <f>IFERROR(__xludf.DUMMYFUNCTION("""COMPUTED_VALUE"""),156.8264)</f>
        <v>156.8264</v>
      </c>
      <c r="L5" s="154">
        <f>IFERROR(__xludf.DUMMYFUNCTION("""COMPUTED_VALUE"""),156.8264)</f>
        <v>156.8264</v>
      </c>
      <c r="M5" s="152">
        <f>IFERROR(__xludf.DUMMYFUNCTION("""COMPUTED_VALUE"""),3747.6)</f>
        <v>3747.6</v>
      </c>
      <c r="N5" s="212">
        <f>IFERROR(__xludf.DUMMYFUNCTION("""COMPUTED_VALUE"""),5514.6)</f>
        <v>5514.6</v>
      </c>
      <c r="O5" s="154">
        <f>IFERROR(__xludf.DUMMYFUNCTION("""COMPUTED_VALUE"""),277112.2488)</f>
        <v>277112.2488</v>
      </c>
      <c r="P5" s="154">
        <f>IFERROR(__xludf.DUMMYFUNCTION("""COMPUTED_VALUE"""),1425.0)</f>
        <v>1425</v>
      </c>
      <c r="Q5" s="155">
        <f>IFERROR(__xludf.DUMMYFUNCTION("""COMPUTED_VALUE"""),412.43692395789475)</f>
        <v>412.436924</v>
      </c>
      <c r="R5" s="154">
        <f>IFERROR(__xludf.DUMMYFUNCTION("""COMPUTED_VALUE"""),587722.61664)</f>
        <v>587722.6166</v>
      </c>
      <c r="S5" s="154">
        <f>IFERROR(__xludf.DUMMYFUNCTION("""COMPUTED_VALUE"""),1465.0)</f>
        <v>1465</v>
      </c>
      <c r="T5" s="154">
        <f>IFERROR(__xludf.DUMMYFUNCTION("""COMPUTED_VALUE"""),767359.5188698611)</f>
        <v>767359.5189</v>
      </c>
      <c r="U5" s="156">
        <f>IFERROR(__xludf.DUMMYFUNCTION("""COMPUTED_VALUE"""),749.52)</f>
        <v>749.52</v>
      </c>
      <c r="V5" s="156">
        <f>IFERROR(__xludf.DUMMYFUNCTION("""COMPUTED_VALUE"""),34.06909090909091)</f>
        <v>34.06909091</v>
      </c>
      <c r="W5" s="157">
        <f>IFERROR(__xludf.DUMMYFUNCTION("""COMPUTED_VALUE"""),0.6795778478946796)</f>
        <v>0.6795778479</v>
      </c>
      <c r="X5" s="154">
        <f>IFERROR(__xludf.DUMMYFUNCTION("""COMPUTED_VALUE"""),864834.8654400001)</f>
        <v>864834.8654</v>
      </c>
      <c r="Y5" s="154"/>
      <c r="Z5" s="187"/>
      <c r="AA5" s="188"/>
      <c r="AB5" s="188"/>
      <c r="AC5" s="202"/>
    </row>
    <row r="6" ht="15.75" customHeight="1">
      <c r="A6" s="150">
        <f>IFERROR(__xludf.DUMMYFUNCTION("""COMPUTED_VALUE"""),45891.0)</f>
        <v>45891</v>
      </c>
      <c r="B6" s="151">
        <f>IFERROR(__xludf.DUMMYFUNCTION("""COMPUTED_VALUE"""),5346222.0)</f>
        <v>5346222</v>
      </c>
      <c r="C6" s="151" t="str">
        <f>IFERROR(__xludf.DUMMYFUNCTION("""COMPUTED_VALUE"""),"O.Domingo-Arenosa")</f>
        <v>O.Domingo-Arenosa</v>
      </c>
      <c r="D6" s="152">
        <f>IFERROR(__xludf.DUMMYFUNCTION("""COMPUTED_VALUE"""),0.27)</f>
        <v>0.27</v>
      </c>
      <c r="E6" s="153">
        <f>IFERROR(__xludf.DUMMYFUNCTION("""COMPUTED_VALUE"""),1056.0)</f>
        <v>1056</v>
      </c>
      <c r="F6" s="153">
        <f>IFERROR(__xludf.DUMMYFUNCTION("""COMPUTED_VALUE"""),56.0)</f>
        <v>56</v>
      </c>
      <c r="G6" s="153">
        <f>IFERROR(__xludf.DUMMYFUNCTION("""COMPUTED_VALUE"""),6.0)</f>
        <v>6</v>
      </c>
      <c r="H6" s="153">
        <f>IFERROR(__xludf.DUMMYFUNCTION("""COMPUTED_VALUE"""),994.0)</f>
        <v>994</v>
      </c>
      <c r="I6" s="151" t="str">
        <f>IFERROR(__xludf.DUMMYFUNCTION("""COMPUTED_VALUE"""),"T2-Ba")</f>
        <v>T2-Ba</v>
      </c>
      <c r="J6" s="154">
        <f>IFERROR(__xludf.DUMMYFUNCTION("""COMPUTED_VALUE"""),156.5178)</f>
        <v>156.5178</v>
      </c>
      <c r="K6" s="154">
        <f>IFERROR(__xludf.DUMMYFUNCTION("""COMPUTED_VALUE"""),156.5178)</f>
        <v>156.5178</v>
      </c>
      <c r="L6" s="154">
        <f>IFERROR(__xludf.DUMMYFUNCTION("""COMPUTED_VALUE"""),156.5178)</f>
        <v>156.5178</v>
      </c>
      <c r="M6" s="152">
        <f>IFERROR(__xludf.DUMMYFUNCTION("""COMPUTED_VALUE"""),3500.9)</f>
        <v>3500.9</v>
      </c>
      <c r="N6" s="212">
        <f>IFERROR(__xludf.DUMMYFUNCTION("""COMPUTED_VALUE"""),4556.9)</f>
        <v>4556.9</v>
      </c>
      <c r="O6" s="154">
        <f>IFERROR(__xludf.DUMMYFUNCTION("""COMPUTED_VALUE"""),165282.79679999998)</f>
        <v>165282.7968</v>
      </c>
      <c r="P6" s="154">
        <f>IFERROR(__xludf.DUMMYFUNCTION("""COMPUTED_VALUE"""),1340.0)</f>
        <v>1340</v>
      </c>
      <c r="Q6" s="155">
        <f>IFERROR(__xludf.DUMMYFUNCTION("""COMPUTED_VALUE"""),408.9202731492537)</f>
        <v>408.9202731</v>
      </c>
      <c r="R6" s="154">
        <f>IFERROR(__xludf.DUMMYFUNCTION("""COMPUTED_VALUE"""),547953.16602)</f>
        <v>547953.166</v>
      </c>
      <c r="S6" s="154">
        <f>IFERROR(__xludf.DUMMYFUNCTION("""COMPUTED_VALUE"""),1465.0)</f>
        <v>1465</v>
      </c>
      <c r="T6" s="154">
        <f>IFERROR(__xludf.DUMMYFUNCTION("""COMPUTED_VALUE"""),760816.614207844)</f>
        <v>760816.6142</v>
      </c>
      <c r="U6" s="156">
        <f>IFERROR(__xludf.DUMMYFUNCTION("""COMPUTED_VALUE"""),700.1800000000001)</f>
        <v>700.18</v>
      </c>
      <c r="V6" s="156">
        <f>IFERROR(__xludf.DUMMYFUNCTION("""COMPUTED_VALUE"""),31.826363636363638)</f>
        <v>31.82636364</v>
      </c>
      <c r="W6" s="157">
        <f>IFERROR(__xludf.DUMMYFUNCTION("""COMPUTED_VALUE"""),0.7682635124755866)</f>
        <v>0.7682635125</v>
      </c>
      <c r="X6" s="154">
        <f>IFERROR(__xludf.DUMMYFUNCTION("""COMPUTED_VALUE"""),713235.96282)</f>
        <v>713235.9628</v>
      </c>
      <c r="Y6" s="154"/>
      <c r="Z6" s="187"/>
      <c r="AA6" s="188"/>
      <c r="AB6" s="188"/>
      <c r="AC6" s="202"/>
    </row>
    <row r="7" ht="15.75" customHeight="1">
      <c r="A7" s="150">
        <f>IFERROR(__xludf.DUMMYFUNCTION("""COMPUTED_VALUE"""),45839.0)</f>
        <v>45839</v>
      </c>
      <c r="B7" s="151">
        <f>IFERROR(__xludf.DUMMYFUNCTION("""COMPUTED_VALUE"""),5346222.0)</f>
        <v>5346222</v>
      </c>
      <c r="C7" s="151" t="str">
        <f>IFERROR(__xludf.DUMMYFUNCTION("""COMPUTED_VALUE"""),"O.Domingo-Arenosa")</f>
        <v>O.Domingo-Arenosa</v>
      </c>
      <c r="D7" s="152">
        <f>IFERROR(__xludf.DUMMYFUNCTION("""COMPUTED_VALUE"""),0.27)</f>
        <v>0.27</v>
      </c>
      <c r="E7" s="153">
        <f>IFERROR(__xludf.DUMMYFUNCTION("""COMPUTED_VALUE"""),1095.0)</f>
        <v>1095</v>
      </c>
      <c r="F7" s="153">
        <f>IFERROR(__xludf.DUMMYFUNCTION("""COMPUTED_VALUE"""),303.0)</f>
        <v>303</v>
      </c>
      <c r="G7" s="153">
        <f>IFERROR(__xludf.DUMMYFUNCTION("""COMPUTED_VALUE"""),38.0)</f>
        <v>38</v>
      </c>
      <c r="H7" s="153">
        <f>IFERROR(__xludf.DUMMYFUNCTION("""COMPUTED_VALUE"""),754.0)</f>
        <v>754</v>
      </c>
      <c r="I7" s="151" t="str">
        <f>IFERROR(__xludf.DUMMYFUNCTION("""COMPUTED_VALUE"""),"T2-Ba")</f>
        <v>T2-Ba</v>
      </c>
      <c r="J7" s="154">
        <f>IFERROR(__xludf.DUMMYFUNCTION("""COMPUTED_VALUE"""),148.82)</f>
        <v>148.82</v>
      </c>
      <c r="K7" s="154">
        <f>IFERROR(__xludf.DUMMYFUNCTION("""COMPUTED_VALUE"""),148.82)</f>
        <v>148.82</v>
      </c>
      <c r="L7" s="154">
        <f>IFERROR(__xludf.DUMMYFUNCTION("""COMPUTED_VALUE"""),148.82)</f>
        <v>148.82</v>
      </c>
      <c r="M7" s="152">
        <f>IFERROR(__xludf.DUMMYFUNCTION("""COMPUTED_VALUE"""),2299.9)</f>
        <v>2299.9</v>
      </c>
      <c r="N7" s="212">
        <f>IFERROR(__xludf.DUMMYFUNCTION("""COMPUTED_VALUE"""),3394.9)</f>
        <v>3394.9</v>
      </c>
      <c r="O7" s="154">
        <f>IFERROR(__xludf.DUMMYFUNCTION("""COMPUTED_VALUE"""),162957.9)</f>
        <v>162957.9</v>
      </c>
      <c r="P7" s="154">
        <f>IFERROR(__xludf.DUMMYFUNCTION("""COMPUTED_VALUE"""),1280.0)</f>
        <v>1280</v>
      </c>
      <c r="Q7" s="155">
        <f>IFERROR(__xludf.DUMMYFUNCTION("""COMPUTED_VALUE"""),267.3993109375)</f>
        <v>267.3993109</v>
      </c>
      <c r="R7" s="154">
        <f>IFERROR(__xludf.DUMMYFUNCTION("""COMPUTED_VALUE"""),342271.118)</f>
        <v>342271.118</v>
      </c>
      <c r="S7" s="154">
        <f>IFERROR(__xludf.DUMMYFUNCTION("""COMPUTED_VALUE"""),1465.0)</f>
        <v>1465</v>
      </c>
      <c r="T7" s="154">
        <f>IFERROR(__xludf.DUMMYFUNCTION("""COMPUTED_VALUE"""),497509.7879647656)</f>
        <v>497509.788</v>
      </c>
      <c r="U7" s="156">
        <f>IFERROR(__xludf.DUMMYFUNCTION("""COMPUTED_VALUE"""),459.98)</f>
        <v>459.98</v>
      </c>
      <c r="V7" s="156">
        <f>IFERROR(__xludf.DUMMYFUNCTION("""COMPUTED_VALUE"""),20.90818181818182)</f>
        <v>20.90818182</v>
      </c>
      <c r="W7" s="157">
        <f>IFERROR(__xludf.DUMMYFUNCTION("""COMPUTED_VALUE"""),0.6774573625143597)</f>
        <v>0.6774573625</v>
      </c>
      <c r="X7" s="154">
        <f>IFERROR(__xludf.DUMMYFUNCTION("""COMPUTED_VALUE"""),505229.01800000004)</f>
        <v>505229.018</v>
      </c>
      <c r="Y7" s="154"/>
      <c r="Z7" s="187"/>
      <c r="AA7" s="188"/>
      <c r="AB7" s="188"/>
      <c r="AC7" s="202"/>
    </row>
    <row r="8" ht="15.75" customHeight="1">
      <c r="A8" s="150">
        <f>IFERROR(__xludf.DUMMYFUNCTION("""COMPUTED_VALUE"""),45809.0)</f>
        <v>45809</v>
      </c>
      <c r="B8" s="151">
        <f>IFERROR(__xludf.DUMMYFUNCTION("""COMPUTED_VALUE"""),5346222.0)</f>
        <v>5346222</v>
      </c>
      <c r="C8" s="151" t="str">
        <f>IFERROR(__xludf.DUMMYFUNCTION("""COMPUTED_VALUE"""),"O.Domingo-Arenosa")</f>
        <v>O.Domingo-Arenosa</v>
      </c>
      <c r="D8" s="152">
        <f>IFERROR(__xludf.DUMMYFUNCTION("""COMPUTED_VALUE"""),0.27)</f>
        <v>0.27</v>
      </c>
      <c r="E8" s="153">
        <f>IFERROR(__xludf.DUMMYFUNCTION("""COMPUTED_VALUE"""),677.0)</f>
        <v>677</v>
      </c>
      <c r="F8" s="153">
        <f>IFERROR(__xludf.DUMMYFUNCTION("""COMPUTED_VALUE"""),3.0)</f>
        <v>3</v>
      </c>
      <c r="G8" s="153">
        <f>IFERROR(__xludf.DUMMYFUNCTION("""COMPUTED_VALUE"""),4.0)</f>
        <v>4</v>
      </c>
      <c r="H8" s="153">
        <f>IFERROR(__xludf.DUMMYFUNCTION("""COMPUTED_VALUE"""),670.0)</f>
        <v>670</v>
      </c>
      <c r="I8" s="151" t="str">
        <f>IFERROR(__xludf.DUMMYFUNCTION("""COMPUTED_VALUE"""),"T2-Ba")</f>
        <v>T2-Ba</v>
      </c>
      <c r="J8" s="154">
        <f>IFERROR(__xludf.DUMMYFUNCTION("""COMPUTED_VALUE"""),148.2484)</f>
        <v>148.2484</v>
      </c>
      <c r="K8" s="154">
        <f>IFERROR(__xludf.DUMMYFUNCTION("""COMPUTED_VALUE"""),148.2484)</f>
        <v>148.2484</v>
      </c>
      <c r="L8" s="154">
        <f>IFERROR(__xludf.DUMMYFUNCTION("""COMPUTED_VALUE"""),148.2484)</f>
        <v>148.2484</v>
      </c>
      <c r="M8" s="152">
        <f>IFERROR(__xludf.DUMMYFUNCTION("""COMPUTED_VALUE"""),3049.2)</f>
        <v>3049.2</v>
      </c>
      <c r="N8" s="212">
        <f>IFERROR(__xludf.DUMMYFUNCTION("""COMPUTED_VALUE"""),3726.2)</f>
        <v>3726.2</v>
      </c>
      <c r="O8" s="154">
        <f>IFERROR(__xludf.DUMMYFUNCTION("""COMPUTED_VALUE"""),100364.1668)</f>
        <v>100364.1668</v>
      </c>
      <c r="P8" s="154">
        <f>IFERROR(__xludf.DUMMYFUNCTION("""COMPUTED_VALUE"""),1280.0)</f>
        <v>1280</v>
      </c>
      <c r="Q8" s="155">
        <f>IFERROR(__xludf.DUMMYFUNCTION("""COMPUTED_VALUE"""),353.155485375)</f>
        <v>353.1554854</v>
      </c>
      <c r="R8" s="154">
        <f>IFERROR(__xludf.DUMMYFUNCTION("""COMPUTED_VALUE"""),452039.02128)</f>
        <v>452039.0213</v>
      </c>
      <c r="S8" s="154">
        <f>IFERROR(__xludf.DUMMYFUNCTION("""COMPUTED_VALUE"""),1465.0)</f>
        <v>1465</v>
      </c>
      <c r="T8" s="154">
        <f>IFERROR(__xludf.DUMMYFUNCTION("""COMPUTED_VALUE"""),657063.4383144563)</f>
        <v>657063.4383</v>
      </c>
      <c r="U8" s="156">
        <f>IFERROR(__xludf.DUMMYFUNCTION("""COMPUTED_VALUE"""),609.84)</f>
        <v>609.84</v>
      </c>
      <c r="V8" s="156">
        <f>IFERROR(__xludf.DUMMYFUNCTION("""COMPUTED_VALUE"""),27.720000000000002)</f>
        <v>27.72</v>
      </c>
      <c r="W8" s="157">
        <f>IFERROR(__xludf.DUMMYFUNCTION("""COMPUTED_VALUE"""),0.8183135634158123)</f>
        <v>0.8183135634</v>
      </c>
      <c r="X8" s="154">
        <f>IFERROR(__xludf.DUMMYFUNCTION("""COMPUTED_VALUE"""),552403.18808)</f>
        <v>552403.1881</v>
      </c>
      <c r="Y8" s="154"/>
      <c r="Z8" s="187"/>
      <c r="AA8" s="188"/>
      <c r="AB8" s="188"/>
      <c r="AC8" s="202"/>
    </row>
    <row r="9" ht="15.75" customHeight="1">
      <c r="A9" s="150">
        <f>IFERROR(__xludf.DUMMYFUNCTION("""COMPUTED_VALUE"""),45778.0)</f>
        <v>45778</v>
      </c>
      <c r="B9" s="151">
        <f>IFERROR(__xludf.DUMMYFUNCTION("""COMPUTED_VALUE"""),5346222.0)</f>
        <v>5346222</v>
      </c>
      <c r="C9" s="151" t="str">
        <f>IFERROR(__xludf.DUMMYFUNCTION("""COMPUTED_VALUE"""),"O.Domingo-Arenosa")</f>
        <v>O.Domingo-Arenosa</v>
      </c>
      <c r="D9" s="152">
        <f>IFERROR(__xludf.DUMMYFUNCTION("""COMPUTED_VALUE"""),0.27)</f>
        <v>0.27</v>
      </c>
      <c r="E9" s="153">
        <f>IFERROR(__xludf.DUMMYFUNCTION("""COMPUTED_VALUE"""),1118.0)</f>
        <v>1118</v>
      </c>
      <c r="F9" s="153">
        <f>IFERROR(__xludf.DUMMYFUNCTION("""COMPUTED_VALUE"""),3.0)</f>
        <v>3</v>
      </c>
      <c r="G9" s="153">
        <f>IFERROR(__xludf.DUMMYFUNCTION("""COMPUTED_VALUE"""),3.0)</f>
        <v>3</v>
      </c>
      <c r="H9" s="153">
        <f>IFERROR(__xludf.DUMMYFUNCTION("""COMPUTED_VALUE"""),1112.0)</f>
        <v>1112</v>
      </c>
      <c r="I9" s="151" t="str">
        <f>IFERROR(__xludf.DUMMYFUNCTION("""COMPUTED_VALUE"""),"T2-Ba")</f>
        <v>T2-Ba</v>
      </c>
      <c r="J9" s="154">
        <f>IFERROR(__xludf.DUMMYFUNCTION("""COMPUTED_VALUE"""),145.8875)</f>
        <v>145.8875</v>
      </c>
      <c r="K9" s="154">
        <f>IFERROR(__xludf.DUMMYFUNCTION("""COMPUTED_VALUE"""),145.89)</f>
        <v>145.89</v>
      </c>
      <c r="L9" s="154">
        <f>IFERROR(__xludf.DUMMYFUNCTION("""COMPUTED_VALUE"""),145.89)</f>
        <v>145.89</v>
      </c>
      <c r="M9" s="152">
        <f>IFERROR(__xludf.DUMMYFUNCTION("""COMPUTED_VALUE"""),3302.2)</f>
        <v>3302.2</v>
      </c>
      <c r="N9" s="212">
        <f>IFERROR(__xludf.DUMMYFUNCTION("""COMPUTED_VALUE"""),4420.2)</f>
        <v>4420.2</v>
      </c>
      <c r="O9" s="154">
        <f>IFERROR(__xludf.DUMMYFUNCTION("""COMPUTED_VALUE"""),163105.01249999998)</f>
        <v>163105.0125</v>
      </c>
      <c r="P9" s="154">
        <f>IFERROR(__xludf.DUMMYFUNCTION("""COMPUTED_VALUE"""),1200.0)</f>
        <v>1200</v>
      </c>
      <c r="Q9" s="155">
        <f>IFERROR(__xludf.DUMMYFUNCTION("""COMPUTED_VALUE"""),401.46496499999995)</f>
        <v>401.464965</v>
      </c>
      <c r="R9" s="154">
        <f>IFERROR(__xludf.DUMMYFUNCTION("""COMPUTED_VALUE"""),481757.9579999999)</f>
        <v>481757.958</v>
      </c>
      <c r="S9" s="154">
        <f>IFERROR(__xludf.DUMMYFUNCTION("""COMPUTED_VALUE"""),1465.0)</f>
        <v>1465</v>
      </c>
      <c r="T9" s="154">
        <f>IFERROR(__xludf.DUMMYFUNCTION("""COMPUTED_VALUE"""),746945.6406307499)</f>
        <v>746945.6406</v>
      </c>
      <c r="U9" s="156">
        <f>IFERROR(__xludf.DUMMYFUNCTION("""COMPUTED_VALUE"""),660.44)</f>
        <v>660.44</v>
      </c>
      <c r="V9" s="156">
        <f>IFERROR(__xludf.DUMMYFUNCTION("""COMPUTED_VALUE"""),30.020000000000003)</f>
        <v>30.02</v>
      </c>
      <c r="W9" s="157">
        <f>IFERROR(__xludf.DUMMYFUNCTION("""COMPUTED_VALUE"""),0.7470702770023604)</f>
        <v>0.747070277</v>
      </c>
      <c r="X9" s="154">
        <f>IFERROR(__xludf.DUMMYFUNCTION("""COMPUTED_VALUE"""),644862.9704999999)</f>
        <v>644862.9705</v>
      </c>
      <c r="Y9" s="154"/>
      <c r="Z9" s="187"/>
      <c r="AA9" s="188"/>
      <c r="AB9" s="188"/>
      <c r="AC9" s="202"/>
    </row>
    <row r="10" ht="15.75" customHeight="1">
      <c r="A10" s="167">
        <f>IFERROR(__xludf.DUMMYFUNCTION("""COMPUTED_VALUE"""),45748.0)</f>
        <v>45748</v>
      </c>
      <c r="B10" s="151">
        <f>IFERROR(__xludf.DUMMYFUNCTION("""COMPUTED_VALUE"""),5346222.0)</f>
        <v>5346222</v>
      </c>
      <c r="C10" s="151" t="str">
        <f>IFERROR(__xludf.DUMMYFUNCTION("""COMPUTED_VALUE"""),"O.Domingo-Arenosa")</f>
        <v>O.Domingo-Arenosa</v>
      </c>
      <c r="D10" s="152">
        <f>IFERROR(__xludf.DUMMYFUNCTION("""COMPUTED_VALUE"""),0.21)</f>
        <v>0.21</v>
      </c>
      <c r="E10" s="153">
        <f>IFERROR(__xludf.DUMMYFUNCTION("""COMPUTED_VALUE"""),1371.0)</f>
        <v>1371</v>
      </c>
      <c r="F10" s="153">
        <f>IFERROR(__xludf.DUMMYFUNCTION("""COMPUTED_VALUE"""),16.0)</f>
        <v>16</v>
      </c>
      <c r="G10" s="153">
        <f>IFERROR(__xludf.DUMMYFUNCTION("""COMPUTED_VALUE"""),4.0)</f>
        <v>4</v>
      </c>
      <c r="H10" s="153">
        <f>IFERROR(__xludf.DUMMYFUNCTION("""COMPUTED_VALUE"""),1351.0)</f>
        <v>1351</v>
      </c>
      <c r="I10" s="151" t="str">
        <f>IFERROR(__xludf.DUMMYFUNCTION("""COMPUTED_VALUE"""),"T2-Ba")</f>
        <v>T2-Ba</v>
      </c>
      <c r="J10" s="154">
        <f>IFERROR(__xludf.DUMMYFUNCTION("""COMPUTED_VALUE"""),141.2146)</f>
        <v>141.2146</v>
      </c>
      <c r="K10" s="154">
        <f>IFERROR(__xludf.DUMMYFUNCTION("""COMPUTED_VALUE"""),141.21)</f>
        <v>141.21</v>
      </c>
      <c r="L10" s="154">
        <f>IFERROR(__xludf.DUMMYFUNCTION("""COMPUTED_VALUE"""),141.21)</f>
        <v>141.21</v>
      </c>
      <c r="M10" s="152">
        <f>IFERROR(__xludf.DUMMYFUNCTION("""COMPUTED_VALUE"""),3368.5)</f>
        <v>3368.5</v>
      </c>
      <c r="N10" s="212">
        <f>IFERROR(__xludf.DUMMYFUNCTION("""COMPUTED_VALUE"""),4739.5)</f>
        <v>4739.5</v>
      </c>
      <c r="O10" s="154">
        <f>IFERROR(__xludf.DUMMYFUNCTION("""COMPUTED_VALUE"""),193598.9836)</f>
        <v>193598.9836</v>
      </c>
      <c r="P10" s="154">
        <f>IFERROR(__xludf.DUMMYFUNCTION("""COMPUTED_VALUE"""),1140.0)</f>
        <v>1140</v>
      </c>
      <c r="Q10" s="155">
        <f>IFERROR(__xludf.DUMMYFUNCTION("""COMPUTED_VALUE"""),417.2507763157895)</f>
        <v>417.2507763</v>
      </c>
      <c r="R10" s="154">
        <f>IFERROR(__xludf.DUMMYFUNCTION("""COMPUTED_VALUE"""),475665.885)</f>
        <v>475665.885</v>
      </c>
      <c r="S10" s="154">
        <f>IFERROR(__xludf.DUMMYFUNCTION("""COMPUTED_VALUE"""),1465.0)</f>
        <v>1465</v>
      </c>
      <c r="T10" s="154">
        <f>IFERROR(__xludf.DUMMYFUNCTION("""COMPUTED_VALUE"""),739639.5886361842)</f>
        <v>739639.5886</v>
      </c>
      <c r="U10" s="156">
        <f>IFERROR(__xludf.DUMMYFUNCTION("""COMPUTED_VALUE"""),673.7)</f>
        <v>673.7</v>
      </c>
      <c r="V10" s="156">
        <f>IFERROR(__xludf.DUMMYFUNCTION("""COMPUTED_VALUE"""),30.622727272727275)</f>
        <v>30.62272727</v>
      </c>
      <c r="W10" s="157">
        <f>IFERROR(__xludf.DUMMYFUNCTION("""COMPUTED_VALUE"""),0.7107289016903285)</f>
        <v>0.7107289017</v>
      </c>
      <c r="X10" s="154">
        <f>IFERROR(__xludf.DUMMYFUNCTION("""COMPUTED_VALUE"""),669264.8686)</f>
        <v>669264.8686</v>
      </c>
      <c r="Y10" s="154"/>
      <c r="Z10" s="187"/>
      <c r="AA10" s="188"/>
      <c r="AB10" s="188"/>
      <c r="AC10" s="202"/>
    </row>
    <row r="11" ht="15.75" customHeight="1">
      <c r="A11" s="167">
        <f>IFERROR(__xludf.DUMMYFUNCTION("""COMPUTED_VALUE"""),45717.0)</f>
        <v>45717</v>
      </c>
      <c r="B11" s="151">
        <f>IFERROR(__xludf.DUMMYFUNCTION("""COMPUTED_VALUE"""),5346222.0)</f>
        <v>5346222</v>
      </c>
      <c r="C11" s="151" t="str">
        <f>IFERROR(__xludf.DUMMYFUNCTION("""COMPUTED_VALUE"""),"O.Domingo-Arenosa")</f>
        <v>O.Domingo-Arenosa</v>
      </c>
      <c r="D11" s="152">
        <f>IFERROR(__xludf.DUMMYFUNCTION("""COMPUTED_VALUE"""),0.27)</f>
        <v>0.27</v>
      </c>
      <c r="E11" s="153">
        <f>IFERROR(__xludf.DUMMYFUNCTION("""COMPUTED_VALUE"""),1138.0)</f>
        <v>1138</v>
      </c>
      <c r="F11" s="153">
        <f>IFERROR(__xludf.DUMMYFUNCTION("""COMPUTED_VALUE"""),2.0)</f>
        <v>2</v>
      </c>
      <c r="G11" s="153">
        <f>IFERROR(__xludf.DUMMYFUNCTION("""COMPUTED_VALUE"""),3.0)</f>
        <v>3</v>
      </c>
      <c r="H11" s="153">
        <f>IFERROR(__xludf.DUMMYFUNCTION("""COMPUTED_VALUE"""),1133.0)</f>
        <v>1133</v>
      </c>
      <c r="I11" s="151" t="str">
        <f>IFERROR(__xludf.DUMMYFUNCTION("""COMPUTED_VALUE"""),"T2-Ba")</f>
        <v>T2-Ba</v>
      </c>
      <c r="J11" s="154">
        <f>IFERROR(__xludf.DUMMYFUNCTION("""COMPUTED_VALUE"""),140.1738)</f>
        <v>140.1738</v>
      </c>
      <c r="K11" s="154">
        <f>IFERROR(__xludf.DUMMYFUNCTION("""COMPUTED_VALUE"""),140.1738)</f>
        <v>140.1738</v>
      </c>
      <c r="L11" s="154">
        <f>IFERROR(__xludf.DUMMYFUNCTION("""COMPUTED_VALUE"""),140.1738)</f>
        <v>140.1738</v>
      </c>
      <c r="M11" s="152">
        <f>IFERROR(__xludf.DUMMYFUNCTION("""COMPUTED_VALUE"""),1177.6)</f>
        <v>1177.6</v>
      </c>
      <c r="N11" s="212">
        <f>IFERROR(__xludf.DUMMYFUNCTION("""COMPUTED_VALUE"""),2315.6)</f>
        <v>2315.6</v>
      </c>
      <c r="O11" s="154">
        <f>IFERROR(__xludf.DUMMYFUNCTION("""COMPUTED_VALUE"""),159517.7844)</f>
        <v>159517.7844</v>
      </c>
      <c r="P11" s="154">
        <f>IFERROR(__xludf.DUMMYFUNCTION("""COMPUTED_VALUE"""),1095.75)</f>
        <v>1095.75</v>
      </c>
      <c r="Q11" s="155">
        <f>IFERROR(__xludf.DUMMYFUNCTION("""COMPUTED_VALUE"""),150.64445984941818)</f>
        <v>150.6444598</v>
      </c>
      <c r="R11" s="154">
        <f>IFERROR(__xludf.DUMMYFUNCTION("""COMPUTED_VALUE"""),165068.66687999998)</f>
        <v>165068.6669</v>
      </c>
      <c r="S11" s="154">
        <f>IFERROR(__xludf.DUMMYFUNCTION("""COMPUTED_VALUE"""),1465.0)</f>
        <v>1465</v>
      </c>
      <c r="T11" s="154">
        <f>IFERROR(__xludf.DUMMYFUNCTION("""COMPUTED_VALUE"""),280281.549772835)</f>
        <v>280281.5498</v>
      </c>
      <c r="U11" s="156">
        <f>IFERROR(__xludf.DUMMYFUNCTION("""COMPUTED_VALUE"""),235.51999999999998)</f>
        <v>235.52</v>
      </c>
      <c r="V11" s="156">
        <f>IFERROR(__xludf.DUMMYFUNCTION("""COMPUTED_VALUE"""),10.705454545454545)</f>
        <v>10.70545455</v>
      </c>
      <c r="W11" s="157">
        <f>IFERROR(__xludf.DUMMYFUNCTION("""COMPUTED_VALUE"""),0.5085506996026947)</f>
        <v>0.5085506996</v>
      </c>
      <c r="X11" s="154">
        <f>IFERROR(__xludf.DUMMYFUNCTION("""COMPUTED_VALUE"""),324586.45128)</f>
        <v>324586.4513</v>
      </c>
      <c r="Y11" s="154"/>
      <c r="Z11" s="187"/>
      <c r="AA11" s="188"/>
      <c r="AB11" s="188"/>
      <c r="AC11" s="202"/>
      <c r="AE11" s="12"/>
      <c r="AF11" s="28"/>
      <c r="AG11" s="28"/>
      <c r="AH11" s="29"/>
      <c r="AI11" s="17"/>
      <c r="AJ11" s="17"/>
      <c r="AK11" s="17"/>
      <c r="AL11" s="17"/>
      <c r="AM11" s="28"/>
      <c r="AN11" s="30"/>
      <c r="AO11" s="30"/>
      <c r="AP11" s="30"/>
      <c r="AQ11" s="15"/>
      <c r="AR11" s="17"/>
      <c r="AS11" s="31"/>
      <c r="AT11" s="20"/>
      <c r="AU11" s="181"/>
      <c r="AV11" s="32"/>
      <c r="AW11" s="32"/>
      <c r="AX11" s="34"/>
      <c r="AY11" s="35"/>
      <c r="AZ11" s="36"/>
      <c r="BA11" s="37"/>
      <c r="BB11" s="31"/>
    </row>
    <row r="12" ht="15.75" customHeight="1">
      <c r="A12" s="167">
        <f>IFERROR(__xludf.DUMMYFUNCTION("""COMPUTED_VALUE"""),45713.0)</f>
        <v>45713</v>
      </c>
      <c r="B12" s="151">
        <f>IFERROR(__xludf.DUMMYFUNCTION("""COMPUTED_VALUE"""),5346222.0)</f>
        <v>5346222</v>
      </c>
      <c r="C12" s="151" t="str">
        <f>IFERROR(__xludf.DUMMYFUNCTION("""COMPUTED_VALUE"""),"O.Domingo-Arenosa")</f>
        <v>O.Domingo-Arenosa</v>
      </c>
      <c r="D12" s="152">
        <f>IFERROR(__xludf.DUMMYFUNCTION("""COMPUTED_VALUE"""),0.27)</f>
        <v>0.27</v>
      </c>
      <c r="E12" s="153">
        <f>IFERROR(__xludf.DUMMYFUNCTION("""COMPUTED_VALUE"""),617.0)</f>
        <v>617</v>
      </c>
      <c r="F12" s="153">
        <f>IFERROR(__xludf.DUMMYFUNCTION("""COMPUTED_VALUE"""),2.0)</f>
        <v>2</v>
      </c>
      <c r="G12" s="153">
        <f>IFERROR(__xludf.DUMMYFUNCTION("""COMPUTED_VALUE"""),3.0)</f>
        <v>3</v>
      </c>
      <c r="H12" s="153">
        <f>IFERROR(__xludf.DUMMYFUNCTION("""COMPUTED_VALUE"""),612.0)</f>
        <v>612</v>
      </c>
      <c r="I12" s="151" t="str">
        <f>IFERROR(__xludf.DUMMYFUNCTION("""COMPUTED_VALUE"""),"T2-Ba")</f>
        <v>T2-Ba</v>
      </c>
      <c r="J12" s="154">
        <f>IFERROR(__xludf.DUMMYFUNCTION("""COMPUTED_VALUE"""),137.1997)</f>
        <v>137.1997</v>
      </c>
      <c r="K12" s="154">
        <f>IFERROR(__xludf.DUMMYFUNCTION("""COMPUTED_VALUE"""),137.1997)</f>
        <v>137.1997</v>
      </c>
      <c r="L12" s="154">
        <f>IFERROR(__xludf.DUMMYFUNCTION("""COMPUTED_VALUE"""),137.1997)</f>
        <v>137.1997</v>
      </c>
      <c r="M12" s="152">
        <f>IFERROR(__xludf.DUMMYFUNCTION("""COMPUTED_VALUE"""),892.9)</f>
        <v>892.9</v>
      </c>
      <c r="N12" s="153">
        <f>IFERROR(__xludf.DUMMYFUNCTION("""COMPUTED_VALUE"""),1509.9)</f>
        <v>1509.9</v>
      </c>
      <c r="O12" s="154">
        <f>IFERROR(__xludf.DUMMYFUNCTION("""COMPUTED_VALUE"""),84652.2149)</f>
        <v>84652.2149</v>
      </c>
      <c r="P12" s="154">
        <f>IFERROR(__xludf.DUMMYFUNCTION("""COMPUTED_VALUE"""),1086.0)</f>
        <v>1086</v>
      </c>
      <c r="Q12" s="155">
        <f>IFERROR(__xludf.DUMMYFUNCTION("""COMPUTED_VALUE"""),112.80443105893187)</f>
        <v>112.8044311</v>
      </c>
      <c r="R12" s="154">
        <f>IFERROR(__xludf.DUMMYFUNCTION("""COMPUTED_VALUE"""),122505.61213000001)</f>
        <v>122505.6121</v>
      </c>
      <c r="S12" s="154">
        <f>IFERROR(__xludf.DUMMYFUNCTION("""COMPUTED_VALUE"""),1465.0)</f>
        <v>1465</v>
      </c>
      <c r="T12" s="154">
        <f>IFERROR(__xludf.DUMMYFUNCTION("""COMPUTED_VALUE"""),209878.2842066957)</f>
        <v>209878.2842</v>
      </c>
      <c r="U12" s="156">
        <f>IFERROR(__xludf.DUMMYFUNCTION("""COMPUTED_VALUE"""),178.58)</f>
        <v>178.58</v>
      </c>
      <c r="V12" s="156">
        <f>IFERROR(__xludf.DUMMYFUNCTION("""COMPUTED_VALUE"""),8.117272727272727)</f>
        <v>8.117272727</v>
      </c>
      <c r="W12" s="157">
        <f>IFERROR(__xludf.DUMMYFUNCTION("""COMPUTED_VALUE"""),0.5913636664679781)</f>
        <v>0.5913636665</v>
      </c>
      <c r="X12" s="154">
        <f>IFERROR(__xludf.DUMMYFUNCTION("""COMPUTED_VALUE"""),207157.82703000001)</f>
        <v>207157.827</v>
      </c>
      <c r="Y12" s="154"/>
      <c r="Z12" s="187"/>
      <c r="AA12" s="188"/>
      <c r="AB12" s="188"/>
      <c r="AC12" s="202"/>
      <c r="AE12" s="12"/>
      <c r="AF12" s="28"/>
      <c r="AG12" s="28"/>
      <c r="AH12" s="29"/>
      <c r="AI12" s="17"/>
      <c r="AJ12" s="17"/>
      <c r="AK12" s="17"/>
      <c r="AL12" s="17"/>
      <c r="AM12" s="28"/>
      <c r="AN12" s="30"/>
      <c r="AO12" s="30"/>
      <c r="AP12" s="30"/>
      <c r="AQ12" s="15"/>
      <c r="AR12" s="17"/>
      <c r="AS12" s="31"/>
      <c r="AT12" s="20"/>
      <c r="AU12" s="181"/>
      <c r="AV12" s="32"/>
      <c r="AW12" s="32"/>
      <c r="AX12" s="34"/>
      <c r="AY12" s="35"/>
      <c r="AZ12" s="36"/>
      <c r="BA12" s="37"/>
      <c r="BB12" s="31"/>
    </row>
    <row r="13" ht="15.75" customHeight="1">
      <c r="A13" s="167">
        <f>IFERROR(__xludf.DUMMYFUNCTION("""COMPUTED_VALUE"""),45682.0)</f>
        <v>45682</v>
      </c>
      <c r="B13" s="151">
        <f>IFERROR(__xludf.DUMMYFUNCTION("""COMPUTED_VALUE"""),5346222.0)</f>
        <v>5346222</v>
      </c>
      <c r="C13" s="151" t="str">
        <f>IFERROR(__xludf.DUMMYFUNCTION("""COMPUTED_VALUE"""),"O.Domingo-Arenosa")</f>
        <v>O.Domingo-Arenosa</v>
      </c>
      <c r="D13" s="152">
        <f>IFERROR(__xludf.DUMMYFUNCTION("""COMPUTED_VALUE"""),0.27)</f>
        <v>0.27</v>
      </c>
      <c r="E13" s="153">
        <f>IFERROR(__xludf.DUMMYFUNCTION("""COMPUTED_VALUE"""),263.0)</f>
        <v>263</v>
      </c>
      <c r="F13" s="153">
        <f>IFERROR(__xludf.DUMMYFUNCTION("""COMPUTED_VALUE"""),2.0)</f>
        <v>2</v>
      </c>
      <c r="G13" s="153">
        <f>IFERROR(__xludf.DUMMYFUNCTION("""COMPUTED_VALUE"""),3.0)</f>
        <v>3</v>
      </c>
      <c r="H13" s="153">
        <f>IFERROR(__xludf.DUMMYFUNCTION("""COMPUTED_VALUE"""),258.0)</f>
        <v>258</v>
      </c>
      <c r="I13" s="151" t="str">
        <f>IFERROR(__xludf.DUMMYFUNCTION("""COMPUTED_VALUE"""),"T2-Ba")</f>
        <v>T2-Ba</v>
      </c>
      <c r="J13" s="154">
        <f>IFERROR(__xludf.DUMMYFUNCTION("""COMPUTED_VALUE"""),142.3)</f>
        <v>142.3</v>
      </c>
      <c r="K13" s="154">
        <f>IFERROR(__xludf.DUMMYFUNCTION("""COMPUTED_VALUE"""),142.9)</f>
        <v>142.9</v>
      </c>
      <c r="L13" s="154">
        <f>IFERROR(__xludf.DUMMYFUNCTION("""COMPUTED_VALUE"""),142.9)</f>
        <v>142.9</v>
      </c>
      <c r="M13" s="152">
        <f>IFERROR(__xludf.DUMMYFUNCTION("""COMPUTED_VALUE"""),309.5)</f>
        <v>309.5</v>
      </c>
      <c r="N13" s="153">
        <f>IFERROR(__xludf.DUMMYFUNCTION("""COMPUTED_VALUE"""),572.5)</f>
        <v>572.5</v>
      </c>
      <c r="O13" s="154">
        <f>IFERROR(__xludf.DUMMYFUNCTION("""COMPUTED_VALUE"""),37581.50000000001)</f>
        <v>37581.5</v>
      </c>
      <c r="P13" s="154">
        <f>IFERROR(__xludf.DUMMYFUNCTION("""COMPUTED_VALUE"""),1075.5)</f>
        <v>1075.5</v>
      </c>
      <c r="Q13" s="155">
        <f>IFERROR(__xludf.DUMMYFUNCTION("""COMPUTED_VALUE"""),41.122780102278014)</f>
        <v>41.1227801</v>
      </c>
      <c r="R13" s="154">
        <f>IFERROR(__xludf.DUMMYFUNCTION("""COMPUTED_VALUE"""),44227.55)</f>
        <v>44227.55</v>
      </c>
      <c r="S13" s="154">
        <f>IFERROR(__xludf.DUMMYFUNCTION("""COMPUTED_VALUE"""),1465.0)</f>
        <v>1465</v>
      </c>
      <c r="T13" s="154">
        <f>IFERROR(__xludf.DUMMYFUNCTION("""COMPUTED_VALUE"""),76510.98851929336)</f>
        <v>76510.98852</v>
      </c>
      <c r="U13" s="156">
        <f>IFERROR(__xludf.DUMMYFUNCTION("""COMPUTED_VALUE"""),61.900000000000006)</f>
        <v>61.9</v>
      </c>
      <c r="V13" s="156">
        <f>IFERROR(__xludf.DUMMYFUNCTION("""COMPUTED_VALUE"""),2.813636363636364)</f>
        <v>2.813636364</v>
      </c>
      <c r="W13" s="157">
        <f>IFERROR(__xludf.DUMMYFUNCTION("""COMPUTED_VALUE"""),0.5406192835633711)</f>
        <v>0.5406192836</v>
      </c>
      <c r="X13" s="154">
        <f>IFERROR(__xludf.DUMMYFUNCTION("""COMPUTED_VALUE"""),81809.05000000002)</f>
        <v>81809.05</v>
      </c>
      <c r="Y13" s="154"/>
      <c r="Z13" s="187"/>
      <c r="AA13" s="188"/>
      <c r="AB13" s="188"/>
      <c r="AC13" s="202"/>
    </row>
    <row r="14" ht="15.75" customHeight="1">
      <c r="A14" s="167">
        <f>IFERROR(__xludf.DUMMYFUNCTION("""COMPUTED_VALUE"""),45627.0)</f>
        <v>45627</v>
      </c>
      <c r="B14" s="151">
        <f>IFERROR(__xludf.DUMMYFUNCTION("""COMPUTED_VALUE"""),5346222.0)</f>
        <v>5346222</v>
      </c>
      <c r="C14" s="151" t="str">
        <f>IFERROR(__xludf.DUMMYFUNCTION("""COMPUTED_VALUE"""),"O.Domingo-Arenosa")</f>
        <v>O.Domingo-Arenosa</v>
      </c>
      <c r="D14" s="152">
        <f>IFERROR(__xludf.DUMMYFUNCTION("""COMPUTED_VALUE"""),0.27)</f>
        <v>0.27</v>
      </c>
      <c r="E14" s="153">
        <f>IFERROR(__xludf.DUMMYFUNCTION("""COMPUTED_VALUE"""),3166.0)</f>
        <v>3166</v>
      </c>
      <c r="F14" s="153">
        <f>IFERROR(__xludf.DUMMYFUNCTION("""COMPUTED_VALUE"""),572.0)</f>
        <v>572</v>
      </c>
      <c r="G14" s="153">
        <f>IFERROR(__xludf.DUMMYFUNCTION("""COMPUTED_VALUE"""),303.0)</f>
        <v>303</v>
      </c>
      <c r="H14" s="153">
        <f>IFERROR(__xludf.DUMMYFUNCTION("""COMPUTED_VALUE"""),2291.0)</f>
        <v>2291</v>
      </c>
      <c r="I14" s="151" t="str">
        <f>IFERROR(__xludf.DUMMYFUNCTION("""COMPUTED_VALUE"""),"T2-Ba")</f>
        <v>T2-Ba</v>
      </c>
      <c r="J14" s="154">
        <f>IFERROR(__xludf.DUMMYFUNCTION("""COMPUTED_VALUE"""),141.2503)</f>
        <v>141.2503</v>
      </c>
      <c r="K14" s="154">
        <f>IFERROR(__xludf.DUMMYFUNCTION("""COMPUTED_VALUE"""),141.2503)</f>
        <v>141.2503</v>
      </c>
      <c r="L14" s="154">
        <f>IFERROR(__xludf.DUMMYFUNCTION("""COMPUTED_VALUE"""),141.2503)</f>
        <v>141.2503</v>
      </c>
      <c r="M14" s="152">
        <f>IFERROR(__xludf.DUMMYFUNCTION("""COMPUTED_VALUE"""),3096.4)</f>
        <v>3096.4</v>
      </c>
      <c r="N14" s="153">
        <f>IFERROR(__xludf.DUMMYFUNCTION("""COMPUTED_VALUE"""),6262.4)</f>
        <v>6262.4</v>
      </c>
      <c r="O14" s="154">
        <f>IFERROR(__xludf.DUMMYFUNCTION("""COMPUTED_VALUE"""),447198.44980000006)</f>
        <v>447198.4498</v>
      </c>
      <c r="P14" s="154">
        <f>IFERROR(__xludf.DUMMYFUNCTION("""COMPUTED_VALUE"""),1055.0)</f>
        <v>1055</v>
      </c>
      <c r="Q14" s="155">
        <f>IFERROR(__xludf.DUMMYFUNCTION("""COMPUTED_VALUE"""),414.5662833364929)</f>
        <v>414.5662833</v>
      </c>
      <c r="R14" s="154">
        <f>IFERROR(__xludf.DUMMYFUNCTION("""COMPUTED_VALUE"""),437367.42892000003)</f>
        <v>437367.4289</v>
      </c>
      <c r="S14" s="154">
        <f>IFERROR(__xludf.DUMMYFUNCTION("""COMPUTED_VALUE"""),1465.0)</f>
        <v>1465</v>
      </c>
      <c r="T14" s="154">
        <f>IFERROR(__xludf.DUMMYFUNCTION("""COMPUTED_VALUE"""),771321.2984617118)</f>
        <v>771321.2985</v>
      </c>
      <c r="U14" s="156">
        <f>IFERROR(__xludf.DUMMYFUNCTION("""COMPUTED_VALUE"""),619.2800000000001)</f>
        <v>619.28</v>
      </c>
      <c r="V14" s="156">
        <f>IFERROR(__xludf.DUMMYFUNCTION("""COMPUTED_VALUE"""),28.149090909090912)</f>
        <v>28.14909091</v>
      </c>
      <c r="W14" s="157">
        <f>IFERROR(__xludf.DUMMYFUNCTION("""COMPUTED_VALUE"""),0.494443025038324)</f>
        <v>0.494443025</v>
      </c>
      <c r="X14" s="154">
        <f>IFERROR(__xludf.DUMMYFUNCTION("""COMPUTED_VALUE"""),884565.8787200002)</f>
        <v>884565.8787</v>
      </c>
      <c r="Y14" s="154"/>
      <c r="Z14" s="187"/>
      <c r="AA14" s="188"/>
      <c r="AB14" s="188"/>
      <c r="AC14" s="202"/>
    </row>
    <row r="15" ht="15.75" customHeight="1">
      <c r="A15" s="167">
        <f>IFERROR(__xludf.DUMMYFUNCTION("""COMPUTED_VALUE"""),45597.0)</f>
        <v>45597</v>
      </c>
      <c r="B15" s="151">
        <f>IFERROR(__xludf.DUMMYFUNCTION("""COMPUTED_VALUE"""),5346222.0)</f>
        <v>5346222</v>
      </c>
      <c r="C15" s="151" t="str">
        <f>IFERROR(__xludf.DUMMYFUNCTION("""COMPUTED_VALUE"""),"O.Domingo-Arenosa")</f>
        <v>O.Domingo-Arenosa</v>
      </c>
      <c r="D15" s="152">
        <f>IFERROR(__xludf.DUMMYFUNCTION("""COMPUTED_VALUE"""),0.27)</f>
        <v>0.27</v>
      </c>
      <c r="E15" s="153">
        <f>IFERROR(__xludf.DUMMYFUNCTION("""COMPUTED_VALUE"""),6927.0)</f>
        <v>6927</v>
      </c>
      <c r="F15" s="153">
        <f>IFERROR(__xludf.DUMMYFUNCTION("""COMPUTED_VALUE"""),1735.0)</f>
        <v>1735</v>
      </c>
      <c r="G15" s="153">
        <f>IFERROR(__xludf.DUMMYFUNCTION("""COMPUTED_VALUE"""),2063.0)</f>
        <v>2063</v>
      </c>
      <c r="H15" s="153">
        <f>IFERROR(__xludf.DUMMYFUNCTION("""COMPUTED_VALUE"""),3129.0)</f>
        <v>3129</v>
      </c>
      <c r="I15" s="151" t="str">
        <f>IFERROR(__xludf.DUMMYFUNCTION("""COMPUTED_VALUE"""),"T2-Ba")</f>
        <v>T2-Ba</v>
      </c>
      <c r="J15" s="154">
        <f>IFERROR(__xludf.DUMMYFUNCTION("""COMPUTED_VALUE"""),139.734)</f>
        <v>139.734</v>
      </c>
      <c r="K15" s="154">
        <f>IFERROR(__xludf.DUMMYFUNCTION("""COMPUTED_VALUE"""),139.734)</f>
        <v>139.734</v>
      </c>
      <c r="L15" s="154">
        <f>IFERROR(__xludf.DUMMYFUNCTION("""COMPUTED_VALUE"""),139.734)</f>
        <v>139.734</v>
      </c>
      <c r="M15" s="152">
        <f>IFERROR(__xludf.DUMMYFUNCTION("""COMPUTED_VALUE"""),2838.0)</f>
        <v>2838</v>
      </c>
      <c r="N15" s="153">
        <f>IFERROR(__xludf.DUMMYFUNCTION("""COMPUTED_VALUE"""),9765.0)</f>
        <v>9765</v>
      </c>
      <c r="O15" s="154">
        <f>IFERROR(__xludf.DUMMYFUNCTION("""COMPUTED_VALUE"""),967937.4180000001)</f>
        <v>967937.418</v>
      </c>
      <c r="P15" s="154">
        <f>IFERROR(__xludf.DUMMYFUNCTION("""COMPUTED_VALUE"""),1035.0)</f>
        <v>1035</v>
      </c>
      <c r="Q15" s="155">
        <f>IFERROR(__xludf.DUMMYFUNCTION("""COMPUTED_VALUE"""),383.15467826086956)</f>
        <v>383.1546783</v>
      </c>
      <c r="R15" s="154">
        <f>IFERROR(__xludf.DUMMYFUNCTION("""COMPUTED_VALUE"""),396565.092)</f>
        <v>396565.092</v>
      </c>
      <c r="S15" s="154">
        <f>IFERROR(__xludf.DUMMYFUNCTION("""COMPUTED_VALUE"""),1465.0)</f>
        <v>1465</v>
      </c>
      <c r="T15" s="154">
        <f>IFERROR(__xludf.DUMMYFUNCTION("""COMPUTED_VALUE"""),712878.4366382608)</f>
        <v>712878.4366</v>
      </c>
      <c r="U15" s="156">
        <f>IFERROR(__xludf.DUMMYFUNCTION("""COMPUTED_VALUE"""),567.6)</f>
        <v>567.6</v>
      </c>
      <c r="V15" s="156">
        <f>IFERROR(__xludf.DUMMYFUNCTION("""COMPUTED_VALUE"""),25.8)</f>
        <v>25.8</v>
      </c>
      <c r="W15" s="157">
        <f>IFERROR(__xludf.DUMMYFUNCTION("""COMPUTED_VALUE"""),0.2906298003072197)</f>
        <v>0.2906298003</v>
      </c>
      <c r="X15" s="154">
        <f>IFERROR(__xludf.DUMMYFUNCTION("""COMPUTED_VALUE"""),1364502.51)</f>
        <v>1364502.51</v>
      </c>
      <c r="Y15" s="154"/>
    </row>
    <row r="16" ht="15.75" customHeight="1">
      <c r="A16" s="167">
        <f>IFERROR(__xludf.DUMMYFUNCTION("""COMPUTED_VALUE"""),45589.0)</f>
        <v>45589</v>
      </c>
      <c r="B16" s="151">
        <f>IFERROR(__xludf.DUMMYFUNCTION("""COMPUTED_VALUE"""),5346222.0)</f>
        <v>5346222</v>
      </c>
      <c r="C16" s="151" t="str">
        <f>IFERROR(__xludf.DUMMYFUNCTION("""COMPUTED_VALUE"""),"O.Domingo-Arenosa")</f>
        <v>O.Domingo-Arenosa</v>
      </c>
      <c r="D16" s="152">
        <f>IFERROR(__xludf.DUMMYFUNCTION("""COMPUTED_VALUE"""),0.27)</f>
        <v>0.27</v>
      </c>
      <c r="E16" s="153">
        <f>IFERROR(__xludf.DUMMYFUNCTION("""COMPUTED_VALUE"""),6256.0)</f>
        <v>6256</v>
      </c>
      <c r="F16" s="153">
        <f>IFERROR(__xludf.DUMMYFUNCTION("""COMPUTED_VALUE"""),1623.0)</f>
        <v>1623</v>
      </c>
      <c r="G16" s="153">
        <f>IFERROR(__xludf.DUMMYFUNCTION("""COMPUTED_VALUE"""),1801.0)</f>
        <v>1801</v>
      </c>
      <c r="H16" s="153">
        <f>IFERROR(__xludf.DUMMYFUNCTION("""COMPUTED_VALUE"""),2832.0)</f>
        <v>2832</v>
      </c>
      <c r="I16" s="151" t="str">
        <f>IFERROR(__xludf.DUMMYFUNCTION("""COMPUTED_VALUE"""),"T2-Ba")</f>
        <v>T2-Ba</v>
      </c>
      <c r="J16" s="154">
        <f>IFERROR(__xludf.DUMMYFUNCTION("""COMPUTED_VALUE"""),137.7794)</f>
        <v>137.7794</v>
      </c>
      <c r="K16" s="154">
        <f>IFERROR(__xludf.DUMMYFUNCTION("""COMPUTED_VALUE"""),137.7794)</f>
        <v>137.7794</v>
      </c>
      <c r="L16" s="154">
        <f>IFERROR(__xludf.DUMMYFUNCTION("""COMPUTED_VALUE"""),137.7794)</f>
        <v>137.7794</v>
      </c>
      <c r="M16" s="152">
        <f>IFERROR(__xludf.DUMMYFUNCTION("""COMPUTED_VALUE"""),2790.7)</f>
        <v>2790.7</v>
      </c>
      <c r="N16" s="153">
        <f>IFERROR(__xludf.DUMMYFUNCTION("""COMPUTED_VALUE"""),9046.7)</f>
        <v>9046.7</v>
      </c>
      <c r="O16" s="154">
        <f>IFERROR(__xludf.DUMMYFUNCTION("""COMPUTED_VALUE"""),861947.9264000001)</f>
        <v>861947.9264</v>
      </c>
      <c r="P16" s="154">
        <f>IFERROR(__xludf.DUMMYFUNCTION("""COMPUTED_VALUE"""),1016.5)</f>
        <v>1016.5</v>
      </c>
      <c r="Q16" s="155">
        <f>IFERROR(__xludf.DUMMYFUNCTION("""COMPUTED_VALUE"""),378.2596867486473)</f>
        <v>378.2596867</v>
      </c>
      <c r="R16" s="154">
        <f>IFERROR(__xludf.DUMMYFUNCTION("""COMPUTED_VALUE"""),384500.97158)</f>
        <v>384500.9716</v>
      </c>
      <c r="S16" s="154">
        <f>IFERROR(__xludf.DUMMYFUNCTION("""COMPUTED_VALUE"""),1465.0)</f>
        <v>1465</v>
      </c>
      <c r="T16" s="154">
        <f>IFERROR(__xludf.DUMMYFUNCTION("""COMPUTED_VALUE"""),703771.0601801957)</f>
        <v>703771.0602</v>
      </c>
      <c r="U16" s="156">
        <f>IFERROR(__xludf.DUMMYFUNCTION("""COMPUTED_VALUE"""),558.14)</f>
        <v>558.14</v>
      </c>
      <c r="V16" s="156">
        <f>IFERROR(__xludf.DUMMYFUNCTION("""COMPUTED_VALUE"""),25.37)</f>
        <v>25.37</v>
      </c>
      <c r="W16" s="157">
        <f>IFERROR(__xludf.DUMMYFUNCTION("""COMPUTED_VALUE"""),0.30847712425525325)</f>
        <v>0.3084771243</v>
      </c>
      <c r="X16" s="154">
        <f>IFERROR(__xludf.DUMMYFUNCTION("""COMPUTED_VALUE"""),1246448.8979800001)</f>
        <v>1246448.898</v>
      </c>
      <c r="Y16" s="154"/>
    </row>
    <row r="17" ht="15.75" customHeight="1">
      <c r="A17" s="167">
        <f>IFERROR(__xludf.DUMMYFUNCTION("""COMPUTED_VALUE"""),45559.0)</f>
        <v>45559</v>
      </c>
      <c r="B17" s="151">
        <f>IFERROR(__xludf.DUMMYFUNCTION("""COMPUTED_VALUE"""),5346222.0)</f>
        <v>5346222</v>
      </c>
      <c r="C17" s="151" t="str">
        <f>IFERROR(__xludf.DUMMYFUNCTION("""COMPUTED_VALUE"""),"O.Domingo-Arenosa")</f>
        <v>O.Domingo-Arenosa</v>
      </c>
      <c r="D17" s="152">
        <f>IFERROR(__xludf.DUMMYFUNCTION("""COMPUTED_VALUE"""),0.27)</f>
        <v>0.27</v>
      </c>
      <c r="E17" s="153">
        <f>IFERROR(__xludf.DUMMYFUNCTION("""COMPUTED_VALUE"""),1489.0)</f>
        <v>1489</v>
      </c>
      <c r="F17" s="153">
        <f>IFERROR(__xludf.DUMMYFUNCTION("""COMPUTED_VALUE"""),123.0)</f>
        <v>123</v>
      </c>
      <c r="G17" s="153">
        <f>IFERROR(__xludf.DUMMYFUNCTION("""COMPUTED_VALUE"""),2.0)</f>
        <v>2</v>
      </c>
      <c r="H17" s="153">
        <f>IFERROR(__xludf.DUMMYFUNCTION("""COMPUTED_VALUE"""),1364.0)</f>
        <v>1364</v>
      </c>
      <c r="I17" s="151" t="str">
        <f>IFERROR(__xludf.DUMMYFUNCTION("""COMPUTED_VALUE"""),"T2-Ba")</f>
        <v>T2-Ba</v>
      </c>
      <c r="J17" s="154">
        <f>IFERROR(__xludf.DUMMYFUNCTION("""COMPUTED_VALUE"""),133.9704)</f>
        <v>133.9704</v>
      </c>
      <c r="K17" s="154">
        <f>IFERROR(__xludf.DUMMYFUNCTION("""COMPUTED_VALUE"""),133.9704)</f>
        <v>133.9704</v>
      </c>
      <c r="L17" s="154">
        <f>IFERROR(__xludf.DUMMYFUNCTION("""COMPUTED_VALUE"""),133.9704)</f>
        <v>133.9704</v>
      </c>
      <c r="M17" s="152">
        <f>IFERROR(__xludf.DUMMYFUNCTION("""COMPUTED_VALUE"""),2732.7)</f>
        <v>2732.7</v>
      </c>
      <c r="N17" s="153">
        <f>IFERROR(__xludf.DUMMYFUNCTION("""COMPUTED_VALUE"""),4221.7)</f>
        <v>4221.7</v>
      </c>
      <c r="O17" s="154">
        <f>IFERROR(__xludf.DUMMYFUNCTION("""COMPUTED_VALUE"""),199481.92560000002)</f>
        <v>199481.9256</v>
      </c>
      <c r="P17" s="154">
        <f>IFERROR(__xludf.DUMMYFUNCTION("""COMPUTED_VALUE"""),992.5)</f>
        <v>992.5</v>
      </c>
      <c r="Q17" s="155">
        <f>IFERROR(__xludf.DUMMYFUNCTION("""COMPUTED_VALUE"""),368.8674177128463)</f>
        <v>368.8674177</v>
      </c>
      <c r="R17" s="154">
        <f>IFERROR(__xludf.DUMMYFUNCTION("""COMPUTED_VALUE"""),366100.91208)</f>
        <v>366100.9121</v>
      </c>
      <c r="S17" s="154">
        <f>IFERROR(__xludf.DUMMYFUNCTION("""COMPUTED_VALUE"""),1465.0)</f>
        <v>1465</v>
      </c>
      <c r="T17" s="154">
        <f>IFERROR(__xludf.DUMMYFUNCTION("""COMPUTED_VALUE"""),686296.2740256363)</f>
        <v>686296.274</v>
      </c>
      <c r="U17" s="156">
        <f>IFERROR(__xludf.DUMMYFUNCTION("""COMPUTED_VALUE"""),546.54)</f>
        <v>546.54</v>
      </c>
      <c r="V17" s="156">
        <f>IFERROR(__xludf.DUMMYFUNCTION("""COMPUTED_VALUE"""),24.84272727272727)</f>
        <v>24.84272727</v>
      </c>
      <c r="W17" s="157">
        <f>IFERROR(__xludf.DUMMYFUNCTION("""COMPUTED_VALUE"""),0.6472984816543098)</f>
        <v>0.6472984817</v>
      </c>
      <c r="X17" s="154">
        <f>IFERROR(__xludf.DUMMYFUNCTION("""COMPUTED_VALUE"""),565582.83768)</f>
        <v>565582.8377</v>
      </c>
      <c r="Y17" s="154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3.75"/>
    <col customWidth="1" min="6" max="6" width="12.63"/>
    <col customWidth="1" min="8" max="8" width="17.88"/>
    <col customWidth="1" min="9" max="9" width="14.38"/>
    <col customWidth="1" min="12" max="12" width="20.88"/>
    <col customWidth="1" min="13" max="13" width="13.0"/>
    <col customWidth="1" min="14" max="14" width="18.13"/>
    <col customWidth="1" min="15" max="15" width="13.63"/>
    <col customWidth="1" min="16" max="16" width="19.13"/>
    <col customWidth="1" min="17" max="17" width="20.88"/>
    <col customWidth="1" min="20" max="21" width="19.13"/>
    <col customWidth="1" min="24" max="24" width="19.13"/>
  </cols>
  <sheetData>
    <row r="1" ht="15.75" customHeight="1">
      <c r="A1" s="168" t="str">
        <f>Datos!A1</f>
        <v>   Fecha </v>
      </c>
      <c r="B1" s="168" t="str">
        <f>Datos!B1</f>
        <v>NIS</v>
      </c>
      <c r="C1" s="168" t="str">
        <f>Datos!C1</f>
        <v>Cliente</v>
      </c>
      <c r="D1" s="168" t="str">
        <f>Datos!D1</f>
        <v>IVA</v>
      </c>
      <c r="E1" s="168" t="str">
        <f>Datos!E1</f>
        <v>Consumo [kWh]</v>
      </c>
      <c r="F1" s="168" t="str">
        <f>Datos!F1</f>
        <v>Consumo hs punta [kWh]</v>
      </c>
      <c r="G1" s="168" t="str">
        <f>Datos!G1</f>
        <v>Consumo hs valle [kWh]</v>
      </c>
      <c r="H1" s="168" t="str">
        <f>Datos!H1</f>
        <v>Consumo hs resto[kWh]</v>
      </c>
      <c r="I1" s="168" t="str">
        <f>Datos!I1</f>
        <v>Catergoria</v>
      </c>
      <c r="J1" s="168" t="str">
        <f>Datos!J1</f>
        <v>Tarifa punta</v>
      </c>
      <c r="K1" s="168" t="str">
        <f>Datos!K1</f>
        <v>Tarifa valle</v>
      </c>
      <c r="L1" s="168" t="str">
        <f>Datos!L1</f>
        <v>Tarifa resto</v>
      </c>
      <c r="M1" s="168" t="str">
        <f>Datos!M1</f>
        <v>Generacion FV [kWh]</v>
      </c>
      <c r="N1" s="168" t="str">
        <f>Datos!N1</f>
        <v>CONSUMO TOTAL</v>
      </c>
      <c r="O1" s="168" t="str">
        <f>Datos!O1</f>
        <v>Total a pagar S / IVA</v>
      </c>
      <c r="P1" s="168" t="str">
        <f>Datos!P1</f>
        <v>Valor USD</v>
      </c>
      <c r="Q1" s="168" t="str">
        <f>Datos!Q1</f>
        <v>Ahorro (USD)</v>
      </c>
      <c r="R1" s="168" t="str">
        <f>Datos!R1</f>
        <v>Ahorro ($)</v>
      </c>
      <c r="S1" s="168" t="str">
        <f>Datos!S1</f>
        <v>Valor dolar Actual ($)</v>
      </c>
      <c r="T1" s="168" t="str">
        <f>Datos!T1</f>
        <v>Ahorro ($)-A precio actual</v>
      </c>
      <c r="U1" s="168" t="str">
        <f>Datos!U1</f>
        <v>kg CO2e evitados</v>
      </c>
      <c r="V1" s="168" t="str">
        <f>Datos!V1</f>
        <v>Equivalente en árboles</v>
      </c>
      <c r="W1" s="168" t="str">
        <f>Datos!W1</f>
        <v>% de ahorro sobre los consumos</v>
      </c>
      <c r="X1" s="168" t="str">
        <f>Datos!X1</f>
        <v>SIN PANELES S/IVA</v>
      </c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  <c r="AK1" s="180"/>
      <c r="AL1" s="180"/>
      <c r="AM1" s="180"/>
      <c r="AN1" s="180"/>
      <c r="AO1" s="180"/>
      <c r="AP1" s="180"/>
      <c r="AQ1" s="180"/>
      <c r="AR1" s="180"/>
      <c r="AS1" s="180"/>
      <c r="AT1" s="180"/>
      <c r="AU1" s="180"/>
      <c r="AV1" s="180"/>
      <c r="AW1" s="180"/>
      <c r="AX1" s="180"/>
      <c r="AY1" s="180"/>
      <c r="AZ1" s="180"/>
      <c r="BA1" s="180"/>
      <c r="BB1" s="180"/>
    </row>
    <row r="2" ht="15.75" customHeight="1">
      <c r="A2" s="192">
        <f>'OD-Arenosa'!A2</f>
        <v>45992</v>
      </c>
      <c r="B2" s="189">
        <f>'OD-Arenosa'!B2</f>
        <v>5346222</v>
      </c>
      <c r="C2" s="189" t="str">
        <f>'OD-Arenosa'!C2</f>
        <v>O.Domingo-Arenosa</v>
      </c>
      <c r="D2" s="152">
        <f>'OD-Arenosa'!D2</f>
        <v>0.27</v>
      </c>
      <c r="E2" s="211">
        <f>'OD-Arenosa'!E2</f>
        <v>3833</v>
      </c>
      <c r="F2" s="211">
        <f>'OD-Arenosa'!F2</f>
        <v>998</v>
      </c>
      <c r="G2" s="211">
        <f>'OD-Arenosa'!G2</f>
        <v>554</v>
      </c>
      <c r="H2" s="211">
        <f>'OD-Arenosa'!H2</f>
        <v>2281</v>
      </c>
      <c r="I2" s="212" t="str">
        <f>'OD-Arenosa'!I2</f>
        <v>T2-Ba</v>
      </c>
      <c r="J2" s="212">
        <f>'OD-Arenosa'!J2</f>
        <v>148.2814</v>
      </c>
      <c r="K2" s="212">
        <f>'OD-Arenosa'!K2</f>
        <v>148.2814</v>
      </c>
      <c r="L2" s="154">
        <f>'OD-Arenosa'!L2</f>
        <v>148.2814</v>
      </c>
      <c r="M2" s="152">
        <f>'OD-Arenosa'!M2</f>
        <v>3122.4</v>
      </c>
      <c r="N2" s="212">
        <f>'OD-Arenosa'!N2</f>
        <v>6955.4</v>
      </c>
      <c r="O2" s="213">
        <f>'OD-Arenosa'!O2</f>
        <v>568362.6062</v>
      </c>
      <c r="P2" s="212">
        <f>'OD-Arenosa'!P2</f>
        <v>1470</v>
      </c>
      <c r="Q2" s="212">
        <f>'OD-Arenosa'!Q2</f>
        <v>314.9617982</v>
      </c>
      <c r="R2" s="212">
        <f>'OD-Arenosa'!R2</f>
        <v>462993.8434</v>
      </c>
      <c r="S2" s="212">
        <f>'OD-Arenosa'!S2</f>
        <v>1465</v>
      </c>
      <c r="T2" s="154">
        <f>'OD-Arenosa'!T2</f>
        <v>586002.1736</v>
      </c>
      <c r="U2" s="188">
        <f>'OD-Arenosa'!U2</f>
        <v>624.48</v>
      </c>
      <c r="V2" s="188">
        <f>'OD-Arenosa'!V2</f>
        <v>28.38545455</v>
      </c>
      <c r="W2" s="157">
        <f>'OD-Arenosa'!W2</f>
        <v>0.4489173879</v>
      </c>
      <c r="X2" s="212">
        <f>'OD-Arenosa'!X2</f>
        <v>1031356.45</v>
      </c>
      <c r="Y2" s="187"/>
      <c r="Z2" s="187"/>
      <c r="AA2" s="188"/>
      <c r="AB2" s="188"/>
      <c r="AC2" s="202"/>
      <c r="AD2" s="189"/>
      <c r="AE2" s="189"/>
      <c r="AF2" s="189"/>
      <c r="AG2" s="189"/>
      <c r="AH2" s="189"/>
      <c r="AI2" s="189"/>
      <c r="AJ2" s="189"/>
      <c r="AK2" s="189"/>
      <c r="AL2" s="189"/>
      <c r="AM2" s="189"/>
      <c r="AN2" s="189"/>
      <c r="AO2" s="189"/>
      <c r="AP2" s="189"/>
      <c r="AQ2" s="189"/>
      <c r="AR2" s="189"/>
      <c r="AS2" s="189"/>
      <c r="AT2" s="189"/>
      <c r="AU2" s="189"/>
      <c r="AV2" s="189"/>
      <c r="AW2" s="189"/>
      <c r="AX2" s="189"/>
      <c r="AY2" s="189"/>
      <c r="AZ2" s="189"/>
      <c r="BA2" s="189"/>
      <c r="BB2" s="189"/>
    </row>
    <row r="3" ht="15.75" customHeight="1">
      <c r="A3" s="192">
        <f>'OD-Arenosa'!A3</f>
        <v>45962</v>
      </c>
      <c r="B3" s="189">
        <f>'OD-Arenosa'!B3</f>
        <v>5346222</v>
      </c>
      <c r="C3" s="189" t="str">
        <f>'OD-Arenosa'!C3</f>
        <v>O.Domingo-Arenosa</v>
      </c>
      <c r="D3" s="152">
        <f>'OD-Arenosa'!D3</f>
        <v>0.27</v>
      </c>
      <c r="E3" s="211">
        <f>'OD-Arenosa'!E3</f>
        <v>7889</v>
      </c>
      <c r="F3" s="211">
        <f>'OD-Arenosa'!F3</f>
        <v>2248</v>
      </c>
      <c r="G3" s="211">
        <f>'OD-Arenosa'!G3</f>
        <v>2776</v>
      </c>
      <c r="H3" s="211">
        <f>'OD-Arenosa'!H3</f>
        <v>2865</v>
      </c>
      <c r="I3" s="212" t="str">
        <f>'OD-Arenosa'!I3</f>
        <v>T2-Ba</v>
      </c>
      <c r="J3" s="212">
        <f>'OD-Arenosa'!J3</f>
        <v>145.8675</v>
      </c>
      <c r="K3" s="212">
        <f>'OD-Arenosa'!K3</f>
        <v>145.8675</v>
      </c>
      <c r="L3" s="154">
        <f>'OD-Arenosa'!L3</f>
        <v>145.8675</v>
      </c>
      <c r="M3" s="152">
        <f>'OD-Arenosa'!M3</f>
        <v>3476</v>
      </c>
      <c r="N3" s="212">
        <f>'OD-Arenosa'!N3</f>
        <v>11365</v>
      </c>
      <c r="O3" s="213">
        <f>'OD-Arenosa'!O3</f>
        <v>1150748.708</v>
      </c>
      <c r="P3" s="212">
        <f>'OD-Arenosa'!P3</f>
        <v>1470</v>
      </c>
      <c r="Q3" s="212">
        <f>'OD-Arenosa'!Q3</f>
        <v>344.9220612</v>
      </c>
      <c r="R3" s="212">
        <f>'OD-Arenosa'!R3</f>
        <v>507035.43</v>
      </c>
      <c r="S3" s="212">
        <f>'OD-Arenosa'!S3</f>
        <v>1465</v>
      </c>
      <c r="T3" s="154">
        <f>'OD-Arenosa'!T3</f>
        <v>641744.741</v>
      </c>
      <c r="U3" s="188">
        <f>'OD-Arenosa'!U3</f>
        <v>695.2</v>
      </c>
      <c r="V3" s="188">
        <f>'OD-Arenosa'!V3</f>
        <v>31.6</v>
      </c>
      <c r="W3" s="157">
        <f>'OD-Arenosa'!W3</f>
        <v>0.3058512978</v>
      </c>
      <c r="X3" s="212">
        <f>'OD-Arenosa'!X3</f>
        <v>1657784.138</v>
      </c>
      <c r="Y3" s="187"/>
      <c r="Z3" s="187"/>
      <c r="AA3" s="188"/>
      <c r="AB3" s="188"/>
      <c r="AC3" s="202"/>
      <c r="AD3" s="189"/>
      <c r="AE3" s="189"/>
      <c r="AF3" s="189"/>
      <c r="AG3" s="189"/>
      <c r="AH3" s="189"/>
      <c r="AI3" s="189"/>
      <c r="AJ3" s="189"/>
      <c r="AK3" s="189"/>
      <c r="AL3" s="189"/>
      <c r="AM3" s="189"/>
      <c r="AN3" s="189"/>
      <c r="AO3" s="189"/>
      <c r="AP3" s="189"/>
      <c r="AQ3" s="189"/>
      <c r="AR3" s="189"/>
      <c r="AS3" s="189"/>
      <c r="AT3" s="189"/>
      <c r="AU3" s="189"/>
      <c r="AV3" s="189"/>
      <c r="AW3" s="189"/>
      <c r="AX3" s="189"/>
      <c r="AY3" s="189"/>
      <c r="AZ3" s="189"/>
      <c r="BA3" s="189"/>
      <c r="BB3" s="189"/>
    </row>
    <row r="4" ht="15.75" customHeight="1">
      <c r="A4" s="192">
        <f>'OD-Arenosa'!A4</f>
        <v>45931</v>
      </c>
      <c r="B4" s="189">
        <f>'OD-Arenosa'!B4</f>
        <v>5346222</v>
      </c>
      <c r="C4" s="189" t="str">
        <f>'OD-Arenosa'!C4</f>
        <v>O.Domingo-Arenosa</v>
      </c>
      <c r="D4" s="152">
        <f>'OD-Arenosa'!D4</f>
        <v>0.27</v>
      </c>
      <c r="E4" s="211">
        <f>'OD-Arenosa'!E4</f>
        <v>6096</v>
      </c>
      <c r="F4" s="211">
        <f>'OD-Arenosa'!F4</f>
        <v>1853</v>
      </c>
      <c r="G4" s="211">
        <f>'OD-Arenosa'!G4</f>
        <v>2111</v>
      </c>
      <c r="H4" s="211">
        <f>'OD-Arenosa'!H4</f>
        <v>2132</v>
      </c>
      <c r="I4" s="212" t="str">
        <f>'OD-Arenosa'!I4</f>
        <v>T2-Ba</v>
      </c>
      <c r="J4" s="212">
        <f>'OD-Arenosa'!J4</f>
        <v>157.071</v>
      </c>
      <c r="K4" s="212">
        <f>'OD-Arenosa'!K4</f>
        <v>157.071</v>
      </c>
      <c r="L4" s="154">
        <f>'OD-Arenosa'!L4</f>
        <v>157.071</v>
      </c>
      <c r="M4" s="152">
        <f>'OD-Arenosa'!M4</f>
        <v>2934.2</v>
      </c>
      <c r="N4" s="212">
        <f>'OD-Arenosa'!N4</f>
        <v>9030.2</v>
      </c>
      <c r="O4" s="213">
        <f>'OD-Arenosa'!O4</f>
        <v>957504.816</v>
      </c>
      <c r="P4" s="212">
        <f>'OD-Arenosa'!P4</f>
        <v>1450</v>
      </c>
      <c r="Q4" s="212">
        <f>'OD-Arenosa'!Q4</f>
        <v>317.8467091</v>
      </c>
      <c r="R4" s="212">
        <f>'OD-Arenosa'!R4</f>
        <v>460877.7282</v>
      </c>
      <c r="S4" s="212">
        <f>'OD-Arenosa'!S4</f>
        <v>1465</v>
      </c>
      <c r="T4" s="154">
        <f>'OD-Arenosa'!T4</f>
        <v>591369.6946</v>
      </c>
      <c r="U4" s="188">
        <f>'OD-Arenosa'!U4</f>
        <v>586.84</v>
      </c>
      <c r="V4" s="188">
        <f>'OD-Arenosa'!V4</f>
        <v>26.67454545</v>
      </c>
      <c r="W4" s="157">
        <f>'OD-Arenosa'!W4</f>
        <v>0.3249318952</v>
      </c>
      <c r="X4" s="212">
        <f>'OD-Arenosa'!X4</f>
        <v>1418382.544</v>
      </c>
      <c r="Y4" s="187"/>
      <c r="Z4" s="187"/>
      <c r="AA4" s="188"/>
      <c r="AB4" s="188"/>
      <c r="AC4" s="202"/>
      <c r="AD4" s="189"/>
      <c r="AE4" s="189"/>
      <c r="AF4" s="189"/>
      <c r="AG4" s="189"/>
      <c r="AH4" s="189"/>
      <c r="AI4" s="189"/>
      <c r="AJ4" s="189"/>
      <c r="AK4" s="189"/>
      <c r="AL4" s="189"/>
      <c r="AM4" s="189"/>
      <c r="AN4" s="189"/>
      <c r="AO4" s="189"/>
      <c r="AP4" s="189"/>
      <c r="AQ4" s="189"/>
      <c r="AR4" s="189"/>
      <c r="AS4" s="189"/>
      <c r="AT4" s="189"/>
      <c r="AU4" s="189"/>
      <c r="AV4" s="189"/>
      <c r="AW4" s="189"/>
      <c r="AX4" s="189"/>
      <c r="AY4" s="189"/>
      <c r="AZ4" s="189"/>
      <c r="BA4" s="189"/>
      <c r="BB4" s="189"/>
    </row>
    <row r="5" ht="15.75" customHeight="1">
      <c r="A5" s="189"/>
      <c r="B5" s="189"/>
      <c r="C5" s="194"/>
      <c r="T5" s="202"/>
    </row>
    <row r="6" ht="15.75" customHeight="1">
      <c r="A6" s="189"/>
      <c r="B6" s="189"/>
      <c r="C6" s="194"/>
      <c r="T6" s="202"/>
    </row>
    <row r="7" ht="15.75" customHeight="1">
      <c r="A7" s="189"/>
      <c r="B7" s="189"/>
      <c r="C7" s="194"/>
      <c r="T7" s="202"/>
    </row>
    <row r="8" ht="15.75" customHeight="1">
      <c r="A8" s="189"/>
      <c r="B8" s="189"/>
      <c r="C8" s="194"/>
      <c r="T8" s="202"/>
    </row>
    <row r="9" ht="15.75" customHeight="1">
      <c r="A9" s="189"/>
      <c r="B9" s="189"/>
      <c r="C9" s="194"/>
      <c r="T9" s="202"/>
    </row>
    <row r="10" ht="15.75" customHeight="1">
      <c r="A10" s="189"/>
      <c r="B10" s="189"/>
      <c r="C10" s="194"/>
      <c r="T10" s="202"/>
    </row>
    <row r="11" ht="15.75" customHeight="1">
      <c r="A11" s="189"/>
      <c r="B11" s="189"/>
      <c r="C11" s="194"/>
      <c r="T11" s="202"/>
    </row>
    <row r="12" ht="15.75" customHeight="1">
      <c r="A12" s="189"/>
      <c r="B12" s="189"/>
      <c r="C12" s="194"/>
      <c r="T12" s="202"/>
    </row>
    <row r="13" ht="15.75" customHeight="1">
      <c r="A13" s="189"/>
      <c r="B13" s="189"/>
      <c r="C13" s="194"/>
      <c r="T13" s="202"/>
    </row>
    <row r="14" ht="15.75" customHeight="1">
      <c r="A14" s="189"/>
      <c r="B14" s="189"/>
      <c r="C14" s="194"/>
      <c r="T14" s="202"/>
    </row>
    <row r="15" ht="15.75" customHeight="1">
      <c r="A15" s="189"/>
      <c r="B15" s="189"/>
      <c r="C15" s="194"/>
      <c r="T15" s="202"/>
    </row>
    <row r="16" ht="15.75" customHeight="1">
      <c r="A16" s="189"/>
      <c r="B16" s="189"/>
      <c r="C16" s="194"/>
      <c r="T16" s="202"/>
    </row>
    <row r="17" ht="15.75" customHeight="1">
      <c r="A17" s="189"/>
      <c r="B17" s="189"/>
      <c r="C17" s="194"/>
      <c r="T17" s="202"/>
    </row>
    <row r="18" ht="15.75" customHeight="1">
      <c r="A18" s="189"/>
      <c r="B18" s="189"/>
      <c r="C18" s="194"/>
      <c r="T18" s="202"/>
    </row>
    <row r="19" ht="15.75" customHeight="1">
      <c r="A19" s="189"/>
      <c r="B19" s="189"/>
      <c r="C19" s="194"/>
      <c r="T19" s="202"/>
    </row>
    <row r="20" ht="15.75" customHeight="1">
      <c r="A20" s="189"/>
      <c r="B20" s="189"/>
      <c r="C20" s="194"/>
      <c r="T20" s="202"/>
    </row>
    <row r="21" ht="15.75" customHeight="1">
      <c r="A21" s="189"/>
      <c r="B21" s="189"/>
      <c r="C21" s="194"/>
      <c r="T21" s="202"/>
    </row>
    <row r="22" ht="15.75" customHeight="1">
      <c r="A22" s="189"/>
      <c r="B22" s="189"/>
      <c r="C22" s="194"/>
      <c r="T22" s="202"/>
    </row>
    <row r="23" ht="15.75" customHeight="1">
      <c r="A23" s="189"/>
      <c r="B23" s="189"/>
      <c r="C23" s="194"/>
      <c r="T23" s="202"/>
    </row>
    <row r="24" ht="15.75" customHeight="1">
      <c r="A24" s="189"/>
      <c r="B24" s="189"/>
      <c r="C24" s="194"/>
      <c r="T24" s="202"/>
    </row>
    <row r="25" ht="15.75" customHeight="1">
      <c r="A25" s="189"/>
      <c r="B25" s="189"/>
      <c r="C25" s="194"/>
      <c r="T25" s="202"/>
    </row>
    <row r="26" ht="15.75" customHeight="1">
      <c r="A26" s="189"/>
      <c r="B26" s="189"/>
      <c r="C26" s="194"/>
      <c r="T26" s="202"/>
    </row>
    <row r="27" ht="15.75" customHeight="1">
      <c r="A27" s="189"/>
      <c r="B27" s="189"/>
      <c r="C27" s="194"/>
      <c r="T27" s="202"/>
    </row>
    <row r="28" ht="15.75" customHeight="1">
      <c r="A28" s="189"/>
      <c r="B28" s="189"/>
      <c r="C28" s="194"/>
      <c r="T28" s="202"/>
    </row>
    <row r="29" ht="15.75" customHeight="1">
      <c r="A29" s="189"/>
      <c r="B29" s="189"/>
      <c r="C29" s="194"/>
      <c r="T29" s="202"/>
    </row>
    <row r="30" ht="15.75" customHeight="1">
      <c r="A30" s="189"/>
      <c r="B30" s="189"/>
      <c r="C30" s="194"/>
      <c r="T30" s="202"/>
    </row>
    <row r="31" ht="15.75" customHeight="1">
      <c r="A31" s="189"/>
      <c r="B31" s="189"/>
      <c r="C31" s="194"/>
      <c r="T31" s="202"/>
    </row>
    <row r="32" ht="15.75" customHeight="1">
      <c r="A32" s="189"/>
      <c r="B32" s="189"/>
      <c r="C32" s="194"/>
      <c r="T32" s="202"/>
    </row>
    <row r="33" ht="15.75" customHeight="1">
      <c r="A33" s="189"/>
      <c r="B33" s="189"/>
      <c r="C33" s="194"/>
      <c r="T33" s="202"/>
    </row>
    <row r="34" ht="15.75" customHeight="1">
      <c r="A34" s="189"/>
      <c r="B34" s="189"/>
      <c r="C34" s="194"/>
      <c r="T34" s="202"/>
    </row>
    <row r="35" ht="15.75" customHeight="1">
      <c r="A35" s="189"/>
      <c r="B35" s="189"/>
      <c r="C35" s="194"/>
      <c r="T35" s="202"/>
    </row>
    <row r="36" ht="15.75" customHeight="1">
      <c r="A36" s="189"/>
      <c r="B36" s="189"/>
      <c r="C36" s="194"/>
      <c r="T36" s="202"/>
    </row>
    <row r="37" ht="15.75" customHeight="1">
      <c r="A37" s="189"/>
      <c r="B37" s="189"/>
      <c r="C37" s="194"/>
      <c r="T37" s="202"/>
    </row>
    <row r="38" ht="15.75" customHeight="1">
      <c r="A38" s="189"/>
      <c r="B38" s="189"/>
      <c r="C38" s="194"/>
      <c r="T38" s="202"/>
    </row>
    <row r="39" ht="15.75" customHeight="1">
      <c r="A39" s="189"/>
      <c r="B39" s="189"/>
      <c r="C39" s="194"/>
      <c r="T39" s="202"/>
    </row>
    <row r="40" ht="15.75" customHeight="1">
      <c r="A40" s="189"/>
      <c r="B40" s="189"/>
      <c r="C40" s="194"/>
      <c r="T40" s="202"/>
    </row>
    <row r="41" ht="15.75" customHeight="1">
      <c r="A41" s="189"/>
      <c r="B41" s="189"/>
      <c r="C41" s="194"/>
      <c r="T41" s="202"/>
    </row>
    <row r="42" ht="15.75" customHeight="1">
      <c r="A42" s="189"/>
      <c r="B42" s="189"/>
      <c r="C42" s="194"/>
      <c r="T42" s="202"/>
    </row>
    <row r="43" ht="15.75" customHeight="1">
      <c r="A43" s="189"/>
      <c r="B43" s="189"/>
      <c r="C43" s="194"/>
      <c r="T43" s="202"/>
    </row>
    <row r="44" ht="15.75" customHeight="1">
      <c r="A44" s="189"/>
      <c r="B44" s="189"/>
      <c r="C44" s="194"/>
      <c r="T44" s="202"/>
    </row>
    <row r="45" ht="15.75" customHeight="1">
      <c r="A45" s="189"/>
      <c r="B45" s="189"/>
      <c r="C45" s="194"/>
      <c r="T45" s="202"/>
    </row>
    <row r="46" ht="15.75" customHeight="1">
      <c r="A46" s="189"/>
      <c r="B46" s="189"/>
      <c r="C46" s="194"/>
      <c r="T46" s="202"/>
    </row>
    <row r="47" ht="15.75" customHeight="1">
      <c r="A47" s="189"/>
      <c r="B47" s="189"/>
      <c r="C47" s="194"/>
      <c r="T47" s="202"/>
    </row>
    <row r="48" ht="15.75" customHeight="1">
      <c r="A48" s="189"/>
      <c r="B48" s="189"/>
      <c r="C48" s="194"/>
      <c r="T48" s="202"/>
    </row>
    <row r="49" ht="15.75" customHeight="1">
      <c r="A49" s="189"/>
      <c r="B49" s="189"/>
      <c r="C49" s="194"/>
      <c r="T49" s="202"/>
    </row>
    <row r="50" ht="15.75" customHeight="1">
      <c r="A50" s="189"/>
      <c r="B50" s="189"/>
      <c r="C50" s="194"/>
      <c r="T50" s="202"/>
    </row>
    <row r="51" ht="15.75" customHeight="1">
      <c r="A51" s="189"/>
      <c r="B51" s="189"/>
      <c r="C51" s="194"/>
      <c r="T51" s="202"/>
    </row>
    <row r="52" ht="15.75" customHeight="1">
      <c r="A52" s="189"/>
      <c r="B52" s="189"/>
      <c r="C52" s="194"/>
      <c r="T52" s="202"/>
    </row>
    <row r="53" ht="15.75" customHeight="1">
      <c r="A53" s="189"/>
      <c r="B53" s="189"/>
      <c r="C53" s="194"/>
      <c r="T53" s="202"/>
    </row>
    <row r="54" ht="15.75" customHeight="1">
      <c r="A54" s="189"/>
      <c r="B54" s="189"/>
      <c r="C54" s="194"/>
      <c r="T54" s="202"/>
    </row>
    <row r="55" ht="15.75" customHeight="1">
      <c r="A55" s="189"/>
      <c r="B55" s="189"/>
      <c r="C55" s="194"/>
      <c r="T55" s="202"/>
    </row>
    <row r="56" ht="15.75" customHeight="1">
      <c r="A56" s="189"/>
      <c r="B56" s="189"/>
      <c r="C56" s="194"/>
      <c r="T56" s="202"/>
    </row>
    <row r="57" ht="15.75" customHeight="1">
      <c r="A57" s="189"/>
      <c r="B57" s="189"/>
      <c r="C57" s="194"/>
      <c r="T57" s="202"/>
    </row>
    <row r="58" ht="15.75" customHeight="1">
      <c r="A58" s="189"/>
      <c r="B58" s="189"/>
      <c r="C58" s="194"/>
      <c r="T58" s="202"/>
    </row>
    <row r="59" ht="15.75" customHeight="1">
      <c r="A59" s="189"/>
      <c r="B59" s="189"/>
      <c r="C59" s="194"/>
      <c r="T59" s="202"/>
    </row>
    <row r="60" ht="15.75" customHeight="1">
      <c r="A60" s="189"/>
      <c r="B60" s="189"/>
      <c r="C60" s="194"/>
      <c r="T60" s="202"/>
    </row>
    <row r="61" ht="15.75" customHeight="1">
      <c r="A61" s="189"/>
      <c r="B61" s="189"/>
      <c r="C61" s="194"/>
      <c r="T61" s="202"/>
    </row>
    <row r="62" ht="15.75" customHeight="1">
      <c r="A62" s="189"/>
      <c r="B62" s="189"/>
      <c r="C62" s="194"/>
      <c r="T62" s="202"/>
    </row>
    <row r="63" ht="15.75" customHeight="1">
      <c r="A63" s="189"/>
      <c r="B63" s="189"/>
      <c r="C63" s="194"/>
      <c r="T63" s="202"/>
    </row>
    <row r="64" ht="15.75" customHeight="1">
      <c r="A64" s="189"/>
      <c r="B64" s="189"/>
      <c r="C64" s="194"/>
      <c r="T64" s="202"/>
    </row>
    <row r="65" ht="15.75" customHeight="1">
      <c r="A65" s="189"/>
      <c r="B65" s="189"/>
      <c r="C65" s="194"/>
      <c r="T65" s="202"/>
    </row>
    <row r="66" ht="15.75" customHeight="1">
      <c r="A66" s="189"/>
      <c r="B66" s="189"/>
      <c r="C66" s="194"/>
      <c r="T66" s="202"/>
    </row>
    <row r="67" ht="15.75" customHeight="1">
      <c r="A67" s="189"/>
      <c r="B67" s="189"/>
      <c r="C67" s="194"/>
      <c r="T67" s="202"/>
    </row>
    <row r="68" ht="15.75" customHeight="1">
      <c r="A68" s="189"/>
      <c r="B68" s="189"/>
      <c r="C68" s="194"/>
      <c r="T68" s="202"/>
    </row>
    <row r="69" ht="15.75" customHeight="1">
      <c r="A69" s="189"/>
      <c r="B69" s="189"/>
      <c r="C69" s="194"/>
      <c r="T69" s="202"/>
    </row>
    <row r="70" ht="15.75" customHeight="1">
      <c r="A70" s="189"/>
      <c r="B70" s="189"/>
      <c r="C70" s="194"/>
      <c r="T70" s="202"/>
    </row>
    <row r="71" ht="15.75" customHeight="1">
      <c r="A71" s="189"/>
      <c r="B71" s="189"/>
      <c r="C71" s="194"/>
      <c r="T71" s="202"/>
    </row>
    <row r="72" ht="15.75" customHeight="1">
      <c r="A72" s="189"/>
      <c r="B72" s="189"/>
      <c r="C72" s="194"/>
      <c r="T72" s="202"/>
    </row>
    <row r="73" ht="15.75" customHeight="1">
      <c r="A73" s="189"/>
      <c r="B73" s="189"/>
      <c r="C73" s="194"/>
      <c r="T73" s="202"/>
    </row>
    <row r="74" ht="15.75" customHeight="1">
      <c r="A74" s="189"/>
      <c r="B74" s="189"/>
      <c r="C74" s="194"/>
      <c r="T74" s="202"/>
    </row>
    <row r="75" ht="15.75" customHeight="1">
      <c r="A75" s="189"/>
      <c r="B75" s="189"/>
      <c r="C75" s="194"/>
      <c r="T75" s="202"/>
    </row>
    <row r="76" ht="15.75" customHeight="1">
      <c r="A76" s="189"/>
      <c r="B76" s="189"/>
      <c r="C76" s="194"/>
      <c r="T76" s="202"/>
    </row>
    <row r="77" ht="15.75" customHeight="1">
      <c r="A77" s="189"/>
      <c r="B77" s="189"/>
      <c r="C77" s="194"/>
      <c r="T77" s="202"/>
    </row>
    <row r="78" ht="15.75" customHeight="1">
      <c r="A78" s="189"/>
      <c r="B78" s="189"/>
      <c r="C78" s="194"/>
      <c r="T78" s="202"/>
    </row>
    <row r="79" ht="15.75" customHeight="1">
      <c r="A79" s="189"/>
      <c r="B79" s="189"/>
      <c r="C79" s="194"/>
      <c r="T79" s="202"/>
    </row>
    <row r="80" ht="15.75" customHeight="1">
      <c r="A80" s="189"/>
      <c r="B80" s="189"/>
      <c r="C80" s="194"/>
      <c r="T80" s="202"/>
    </row>
    <row r="81" ht="15.75" customHeight="1">
      <c r="A81" s="189"/>
      <c r="B81" s="189"/>
      <c r="C81" s="194"/>
      <c r="T81" s="202"/>
    </row>
    <row r="82" ht="15.75" customHeight="1">
      <c r="A82" s="189"/>
      <c r="B82" s="189"/>
      <c r="C82" s="194"/>
      <c r="T82" s="202"/>
    </row>
    <row r="83" ht="15.75" customHeight="1">
      <c r="A83" s="189"/>
      <c r="B83" s="189"/>
      <c r="C83" s="194"/>
      <c r="T83" s="202"/>
    </row>
    <row r="84" ht="15.75" customHeight="1">
      <c r="A84" s="189"/>
      <c r="B84" s="189"/>
      <c r="C84" s="194"/>
      <c r="T84" s="202"/>
    </row>
    <row r="85" ht="15.75" customHeight="1">
      <c r="A85" s="189"/>
      <c r="B85" s="189"/>
      <c r="C85" s="194"/>
      <c r="T85" s="202"/>
    </row>
    <row r="86" ht="15.75" customHeight="1">
      <c r="A86" s="189"/>
      <c r="B86" s="189"/>
      <c r="C86" s="194"/>
      <c r="T86" s="202"/>
    </row>
    <row r="87" ht="15.75" customHeight="1">
      <c r="A87" s="189"/>
      <c r="B87" s="189"/>
      <c r="C87" s="194"/>
      <c r="T87" s="202"/>
    </row>
    <row r="88" ht="15.75" customHeight="1">
      <c r="A88" s="189"/>
      <c r="B88" s="189"/>
      <c r="C88" s="194"/>
      <c r="T88" s="202"/>
    </row>
    <row r="89" ht="15.75" customHeight="1">
      <c r="A89" s="189"/>
      <c r="B89" s="189"/>
      <c r="C89" s="194"/>
      <c r="T89" s="202"/>
    </row>
    <row r="90" ht="15.75" customHeight="1">
      <c r="A90" s="189"/>
      <c r="B90" s="189"/>
      <c r="C90" s="194"/>
      <c r="T90" s="202"/>
    </row>
    <row r="91" ht="15.75" customHeight="1">
      <c r="A91" s="189"/>
      <c r="B91" s="189"/>
      <c r="C91" s="194"/>
      <c r="T91" s="202"/>
    </row>
    <row r="92" ht="15.75" customHeight="1">
      <c r="A92" s="189"/>
      <c r="B92" s="189"/>
      <c r="C92" s="194"/>
      <c r="T92" s="202"/>
    </row>
    <row r="93" ht="15.75" customHeight="1">
      <c r="A93" s="189"/>
      <c r="B93" s="189"/>
      <c r="C93" s="194"/>
      <c r="T93" s="202"/>
    </row>
    <row r="94" ht="15.75" customHeight="1">
      <c r="A94" s="189"/>
      <c r="B94" s="189"/>
      <c r="C94" s="194"/>
      <c r="T94" s="202"/>
    </row>
    <row r="95" ht="15.75" customHeight="1">
      <c r="A95" s="189"/>
      <c r="B95" s="189"/>
      <c r="C95" s="194"/>
      <c r="T95" s="202"/>
    </row>
    <row r="96" ht="15.75" customHeight="1">
      <c r="A96" s="189"/>
      <c r="B96" s="189"/>
      <c r="C96" s="194"/>
      <c r="T96" s="202"/>
    </row>
    <row r="97" ht="15.75" customHeight="1">
      <c r="A97" s="189"/>
      <c r="B97" s="189"/>
      <c r="C97" s="194"/>
      <c r="T97" s="202"/>
    </row>
    <row r="98" ht="15.75" customHeight="1">
      <c r="A98" s="189"/>
      <c r="B98" s="189"/>
      <c r="C98" s="194"/>
      <c r="T98" s="202"/>
    </row>
    <row r="99" ht="15.75" customHeight="1">
      <c r="A99" s="189"/>
      <c r="B99" s="189"/>
      <c r="C99" s="194"/>
      <c r="T99" s="202"/>
    </row>
    <row r="100" ht="15.75" customHeight="1">
      <c r="A100" s="189"/>
      <c r="B100" s="189"/>
      <c r="C100" s="194"/>
      <c r="T100" s="202"/>
    </row>
    <row r="101" ht="15.75" customHeight="1">
      <c r="A101" s="189"/>
      <c r="B101" s="189"/>
      <c r="C101" s="194"/>
      <c r="T101" s="202"/>
    </row>
    <row r="102" ht="15.75" customHeight="1">
      <c r="A102" s="189"/>
      <c r="B102" s="189"/>
      <c r="C102" s="194"/>
      <c r="T102" s="202"/>
    </row>
    <row r="103" ht="15.75" customHeight="1">
      <c r="A103" s="189"/>
      <c r="B103" s="189"/>
      <c r="C103" s="194"/>
      <c r="T103" s="202"/>
    </row>
    <row r="104" ht="15.75" customHeight="1">
      <c r="A104" s="189"/>
      <c r="B104" s="189"/>
      <c r="C104" s="194"/>
      <c r="T104" s="202"/>
    </row>
    <row r="105" ht="15.75" customHeight="1">
      <c r="A105" s="189"/>
      <c r="B105" s="189"/>
      <c r="C105" s="194"/>
      <c r="T105" s="202"/>
    </row>
    <row r="106" ht="15.75" customHeight="1">
      <c r="A106" s="189"/>
      <c r="B106" s="189"/>
      <c r="C106" s="194"/>
      <c r="T106" s="202"/>
    </row>
    <row r="107" ht="15.75" customHeight="1">
      <c r="A107" s="189"/>
      <c r="B107" s="189"/>
      <c r="C107" s="194"/>
      <c r="T107" s="202"/>
    </row>
    <row r="108" ht="15.75" customHeight="1">
      <c r="A108" s="189"/>
      <c r="B108" s="189"/>
      <c r="C108" s="194"/>
      <c r="T108" s="202"/>
    </row>
    <row r="109" ht="15.75" customHeight="1">
      <c r="A109" s="189"/>
      <c r="B109" s="189"/>
      <c r="C109" s="194"/>
      <c r="T109" s="202"/>
    </row>
    <row r="110" ht="15.75" customHeight="1">
      <c r="A110" s="189"/>
      <c r="B110" s="189"/>
      <c r="C110" s="194"/>
      <c r="T110" s="202"/>
    </row>
    <row r="111" ht="15.75" customHeight="1">
      <c r="A111" s="189"/>
      <c r="B111" s="189"/>
      <c r="C111" s="194"/>
      <c r="T111" s="202"/>
    </row>
    <row r="112" ht="15.75" customHeight="1">
      <c r="A112" s="189"/>
      <c r="B112" s="189"/>
      <c r="C112" s="194"/>
      <c r="T112" s="202"/>
    </row>
    <row r="113" ht="15.75" customHeight="1">
      <c r="A113" s="189"/>
      <c r="B113" s="189"/>
      <c r="C113" s="194"/>
      <c r="T113" s="202"/>
    </row>
    <row r="114" ht="15.75" customHeight="1">
      <c r="A114" s="189"/>
      <c r="B114" s="189"/>
      <c r="C114" s="194"/>
      <c r="T114" s="202"/>
    </row>
    <row r="115" ht="15.75" customHeight="1">
      <c r="A115" s="189"/>
      <c r="B115" s="189"/>
      <c r="C115" s="194"/>
      <c r="T115" s="202"/>
    </row>
    <row r="116" ht="15.75" customHeight="1">
      <c r="A116" s="189"/>
      <c r="B116" s="189"/>
      <c r="C116" s="194"/>
      <c r="T116" s="202"/>
    </row>
    <row r="117" ht="15.75" customHeight="1">
      <c r="A117" s="189"/>
      <c r="B117" s="189"/>
      <c r="C117" s="194"/>
      <c r="T117" s="202"/>
    </row>
    <row r="118" ht="15.75" customHeight="1">
      <c r="A118" s="189"/>
      <c r="B118" s="189"/>
      <c r="C118" s="194"/>
      <c r="T118" s="202"/>
    </row>
    <row r="119" ht="15.75" customHeight="1">
      <c r="A119" s="189"/>
      <c r="B119" s="189"/>
      <c r="C119" s="194"/>
      <c r="T119" s="202"/>
    </row>
    <row r="120" ht="15.75" customHeight="1">
      <c r="A120" s="189"/>
      <c r="B120" s="189"/>
      <c r="C120" s="194"/>
      <c r="T120" s="202"/>
    </row>
    <row r="121" ht="15.75" customHeight="1">
      <c r="A121" s="189"/>
      <c r="B121" s="189"/>
      <c r="C121" s="194"/>
      <c r="T121" s="202"/>
    </row>
    <row r="122" ht="15.75" customHeight="1">
      <c r="A122" s="189"/>
      <c r="B122" s="189"/>
      <c r="C122" s="194"/>
      <c r="T122" s="202"/>
    </row>
    <row r="123" ht="15.75" customHeight="1">
      <c r="A123" s="189"/>
      <c r="B123" s="189"/>
      <c r="C123" s="194"/>
      <c r="T123" s="202"/>
    </row>
    <row r="124" ht="15.75" customHeight="1">
      <c r="A124" s="189"/>
      <c r="B124" s="189"/>
      <c r="C124" s="194"/>
      <c r="T124" s="202"/>
    </row>
    <row r="125" ht="15.75" customHeight="1">
      <c r="A125" s="189"/>
      <c r="B125" s="189"/>
      <c r="C125" s="194"/>
      <c r="T125" s="202"/>
    </row>
    <row r="126" ht="15.75" customHeight="1">
      <c r="A126" s="189"/>
      <c r="B126" s="189"/>
      <c r="C126" s="194"/>
      <c r="T126" s="202"/>
    </row>
    <row r="127" ht="15.75" customHeight="1">
      <c r="A127" s="189"/>
      <c r="B127" s="189"/>
      <c r="C127" s="194"/>
      <c r="T127" s="202"/>
    </row>
    <row r="128" ht="15.75" customHeight="1">
      <c r="A128" s="189"/>
      <c r="B128" s="189"/>
      <c r="C128" s="194"/>
      <c r="T128" s="202"/>
    </row>
    <row r="129" ht="15.75" customHeight="1">
      <c r="A129" s="189"/>
      <c r="B129" s="189"/>
      <c r="C129" s="194"/>
      <c r="T129" s="202"/>
    </row>
    <row r="130" ht="15.75" customHeight="1">
      <c r="A130" s="189"/>
      <c r="B130" s="189"/>
      <c r="C130" s="194"/>
      <c r="T130" s="202"/>
    </row>
    <row r="131" ht="15.75" customHeight="1">
      <c r="A131" s="189"/>
      <c r="B131" s="189"/>
      <c r="C131" s="194"/>
      <c r="T131" s="202"/>
    </row>
    <row r="132" ht="15.75" customHeight="1">
      <c r="A132" s="189"/>
      <c r="B132" s="189"/>
      <c r="C132" s="194"/>
      <c r="T132" s="202"/>
    </row>
    <row r="133" ht="15.75" customHeight="1">
      <c r="A133" s="189"/>
      <c r="B133" s="189"/>
      <c r="C133" s="194"/>
      <c r="T133" s="202"/>
    </row>
    <row r="134" ht="15.75" customHeight="1">
      <c r="A134" s="189"/>
      <c r="B134" s="189"/>
      <c r="C134" s="194"/>
      <c r="T134" s="202"/>
    </row>
    <row r="135" ht="15.75" customHeight="1">
      <c r="A135" s="189"/>
      <c r="B135" s="189"/>
      <c r="C135" s="194"/>
      <c r="T135" s="202"/>
    </row>
    <row r="136" ht="15.75" customHeight="1">
      <c r="A136" s="189"/>
      <c r="B136" s="189"/>
      <c r="C136" s="194"/>
      <c r="T136" s="202"/>
    </row>
    <row r="137" ht="15.75" customHeight="1">
      <c r="A137" s="189"/>
      <c r="B137" s="189"/>
      <c r="C137" s="194"/>
      <c r="T137" s="202"/>
    </row>
    <row r="138" ht="15.75" customHeight="1">
      <c r="A138" s="189"/>
      <c r="B138" s="189"/>
      <c r="C138" s="194"/>
      <c r="T138" s="202"/>
    </row>
    <row r="139" ht="15.75" customHeight="1">
      <c r="A139" s="189"/>
      <c r="B139" s="189"/>
      <c r="C139" s="194"/>
      <c r="T139" s="202"/>
    </row>
    <row r="140" ht="15.75" customHeight="1">
      <c r="A140" s="189"/>
      <c r="B140" s="189"/>
      <c r="C140" s="194"/>
      <c r="T140" s="202"/>
    </row>
    <row r="141" ht="15.75" customHeight="1">
      <c r="A141" s="189"/>
      <c r="B141" s="189"/>
      <c r="C141" s="194"/>
      <c r="T141" s="202"/>
    </row>
    <row r="142" ht="15.75" customHeight="1">
      <c r="A142" s="189"/>
      <c r="B142" s="189"/>
      <c r="C142" s="194"/>
      <c r="T142" s="202"/>
    </row>
    <row r="143" ht="15.75" customHeight="1">
      <c r="A143" s="189"/>
      <c r="B143" s="189"/>
      <c r="C143" s="194"/>
      <c r="T143" s="202"/>
    </row>
    <row r="144" ht="15.75" customHeight="1">
      <c r="A144" s="189"/>
      <c r="B144" s="189"/>
      <c r="C144" s="194"/>
      <c r="T144" s="202"/>
    </row>
    <row r="145" ht="15.75" customHeight="1">
      <c r="A145" s="189"/>
      <c r="B145" s="189"/>
      <c r="C145" s="194"/>
      <c r="T145" s="202"/>
    </row>
    <row r="146" ht="15.75" customHeight="1">
      <c r="A146" s="189"/>
      <c r="B146" s="189"/>
      <c r="C146" s="194"/>
      <c r="T146" s="202"/>
    </row>
    <row r="147" ht="15.75" customHeight="1">
      <c r="A147" s="189"/>
      <c r="B147" s="189"/>
      <c r="C147" s="194"/>
      <c r="T147" s="202"/>
    </row>
    <row r="148" ht="15.75" customHeight="1">
      <c r="A148" s="189"/>
      <c r="B148" s="189"/>
      <c r="C148" s="194"/>
      <c r="T148" s="202"/>
    </row>
    <row r="149" ht="15.75" customHeight="1">
      <c r="A149" s="189"/>
      <c r="B149" s="189"/>
      <c r="C149" s="194"/>
      <c r="T149" s="202"/>
    </row>
    <row r="150" ht="15.75" customHeight="1">
      <c r="A150" s="189"/>
      <c r="B150" s="189"/>
      <c r="C150" s="194"/>
      <c r="T150" s="202"/>
    </row>
    <row r="151" ht="15.75" customHeight="1">
      <c r="A151" s="189"/>
      <c r="B151" s="189"/>
      <c r="C151" s="194"/>
      <c r="T151" s="202"/>
    </row>
    <row r="152" ht="15.75" customHeight="1">
      <c r="A152" s="189"/>
      <c r="B152" s="189"/>
      <c r="C152" s="194"/>
      <c r="T152" s="202"/>
    </row>
    <row r="153" ht="15.75" customHeight="1">
      <c r="A153" s="189"/>
      <c r="B153" s="189"/>
      <c r="C153" s="194"/>
      <c r="T153" s="202"/>
    </row>
    <row r="154" ht="15.75" customHeight="1">
      <c r="A154" s="189"/>
      <c r="B154" s="189"/>
      <c r="C154" s="194"/>
      <c r="T154" s="202"/>
    </row>
    <row r="155" ht="15.75" customHeight="1">
      <c r="A155" s="189"/>
      <c r="B155" s="189"/>
      <c r="C155" s="194"/>
      <c r="T155" s="202"/>
    </row>
    <row r="156" ht="15.75" customHeight="1">
      <c r="A156" s="189"/>
      <c r="B156" s="189"/>
      <c r="C156" s="194"/>
      <c r="T156" s="202"/>
    </row>
    <row r="157" ht="15.75" customHeight="1">
      <c r="A157" s="189"/>
      <c r="B157" s="189"/>
      <c r="C157" s="194"/>
      <c r="T157" s="202"/>
    </row>
    <row r="158" ht="15.75" customHeight="1">
      <c r="A158" s="189"/>
      <c r="B158" s="189"/>
      <c r="C158" s="194"/>
      <c r="T158" s="202"/>
    </row>
    <row r="159" ht="15.75" customHeight="1">
      <c r="A159" s="189"/>
      <c r="B159" s="189"/>
      <c r="C159" s="194"/>
      <c r="T159" s="202"/>
    </row>
    <row r="160" ht="15.75" customHeight="1">
      <c r="A160" s="189"/>
      <c r="B160" s="189"/>
      <c r="C160" s="194"/>
      <c r="T160" s="202"/>
    </row>
    <row r="161" ht="15.75" customHeight="1">
      <c r="A161" s="189"/>
      <c r="B161" s="189"/>
      <c r="C161" s="194"/>
      <c r="T161" s="202"/>
    </row>
    <row r="162" ht="15.75" customHeight="1">
      <c r="A162" s="189"/>
      <c r="B162" s="189"/>
      <c r="C162" s="194"/>
      <c r="T162" s="202"/>
    </row>
    <row r="163" ht="15.75" customHeight="1">
      <c r="A163" s="189"/>
      <c r="B163" s="189"/>
      <c r="C163" s="194"/>
      <c r="T163" s="202"/>
    </row>
    <row r="164" ht="15.75" customHeight="1">
      <c r="A164" s="189"/>
      <c r="B164" s="189"/>
      <c r="C164" s="194"/>
      <c r="T164" s="202"/>
    </row>
    <row r="165" ht="15.75" customHeight="1">
      <c r="A165" s="189"/>
      <c r="B165" s="189"/>
      <c r="C165" s="194"/>
      <c r="T165" s="202"/>
    </row>
    <row r="166" ht="15.75" customHeight="1">
      <c r="A166" s="189"/>
      <c r="B166" s="189"/>
      <c r="C166" s="194"/>
      <c r="T166" s="202"/>
    </row>
    <row r="167" ht="15.75" customHeight="1">
      <c r="A167" s="189"/>
      <c r="B167" s="189"/>
      <c r="C167" s="194"/>
      <c r="T167" s="202"/>
    </row>
    <row r="168" ht="15.75" customHeight="1">
      <c r="A168" s="189"/>
      <c r="B168" s="189"/>
      <c r="C168" s="194"/>
      <c r="T168" s="202"/>
    </row>
    <row r="169" ht="15.75" customHeight="1">
      <c r="A169" s="189"/>
      <c r="B169" s="189"/>
      <c r="C169" s="194"/>
      <c r="T169" s="202"/>
    </row>
    <row r="170" ht="15.75" customHeight="1">
      <c r="A170" s="189"/>
      <c r="B170" s="189"/>
      <c r="C170" s="194"/>
      <c r="T170" s="202"/>
    </row>
    <row r="171" ht="15.75" customHeight="1">
      <c r="A171" s="189"/>
      <c r="B171" s="189"/>
      <c r="C171" s="194"/>
      <c r="T171" s="202"/>
    </row>
    <row r="172" ht="15.75" customHeight="1">
      <c r="A172" s="189"/>
      <c r="B172" s="189"/>
      <c r="C172" s="194"/>
      <c r="T172" s="202"/>
    </row>
    <row r="173" ht="15.75" customHeight="1">
      <c r="A173" s="189"/>
      <c r="B173" s="189"/>
      <c r="C173" s="194"/>
      <c r="T173" s="202"/>
    </row>
    <row r="174" ht="15.75" customHeight="1">
      <c r="A174" s="189"/>
      <c r="B174" s="189"/>
      <c r="C174" s="194"/>
      <c r="T174" s="202"/>
    </row>
    <row r="175" ht="15.75" customHeight="1">
      <c r="A175" s="189"/>
      <c r="B175" s="189"/>
      <c r="C175" s="194"/>
      <c r="T175" s="202"/>
    </row>
    <row r="176" ht="15.75" customHeight="1">
      <c r="A176" s="189"/>
      <c r="B176" s="189"/>
      <c r="C176" s="194"/>
      <c r="T176" s="202"/>
    </row>
    <row r="177" ht="15.75" customHeight="1">
      <c r="A177" s="189"/>
      <c r="B177" s="189"/>
      <c r="C177" s="194"/>
      <c r="T177" s="202"/>
    </row>
    <row r="178" ht="15.75" customHeight="1">
      <c r="A178" s="189"/>
      <c r="B178" s="189"/>
      <c r="C178" s="194"/>
      <c r="T178" s="202"/>
    </row>
    <row r="179" ht="15.75" customHeight="1">
      <c r="A179" s="189"/>
      <c r="B179" s="189"/>
      <c r="C179" s="194"/>
      <c r="T179" s="202"/>
    </row>
    <row r="180" ht="15.75" customHeight="1">
      <c r="A180" s="189"/>
      <c r="B180" s="189"/>
      <c r="C180" s="194"/>
      <c r="T180" s="202"/>
    </row>
    <row r="181" ht="15.75" customHeight="1">
      <c r="A181" s="189"/>
      <c r="B181" s="189"/>
      <c r="C181" s="194"/>
      <c r="T181" s="202"/>
    </row>
    <row r="182" ht="15.75" customHeight="1">
      <c r="A182" s="189"/>
      <c r="B182" s="189"/>
      <c r="C182" s="194"/>
      <c r="T182" s="202"/>
    </row>
    <row r="183" ht="15.75" customHeight="1">
      <c r="A183" s="189"/>
      <c r="B183" s="189"/>
      <c r="C183" s="194"/>
      <c r="T183" s="202"/>
    </row>
    <row r="184" ht="15.75" customHeight="1">
      <c r="A184" s="189"/>
      <c r="B184" s="189"/>
      <c r="C184" s="194"/>
      <c r="T184" s="202"/>
    </row>
    <row r="185" ht="15.75" customHeight="1">
      <c r="A185" s="189"/>
      <c r="B185" s="189"/>
      <c r="C185" s="194"/>
      <c r="T185" s="202"/>
    </row>
    <row r="186" ht="15.75" customHeight="1">
      <c r="A186" s="189"/>
      <c r="B186" s="189"/>
      <c r="C186" s="194"/>
      <c r="T186" s="202"/>
    </row>
    <row r="187" ht="15.75" customHeight="1">
      <c r="A187" s="189"/>
      <c r="B187" s="189"/>
      <c r="C187" s="194"/>
      <c r="T187" s="202"/>
    </row>
    <row r="188" ht="15.75" customHeight="1">
      <c r="A188" s="189"/>
      <c r="B188" s="189"/>
      <c r="C188" s="194"/>
      <c r="T188" s="202"/>
    </row>
    <row r="189" ht="15.75" customHeight="1">
      <c r="A189" s="189"/>
      <c r="B189" s="189"/>
      <c r="C189" s="194"/>
      <c r="T189" s="202"/>
    </row>
    <row r="190" ht="15.75" customHeight="1">
      <c r="A190" s="189"/>
      <c r="B190" s="189"/>
      <c r="C190" s="194"/>
      <c r="T190" s="202"/>
    </row>
    <row r="191" ht="15.75" customHeight="1">
      <c r="A191" s="189"/>
      <c r="B191" s="189"/>
      <c r="C191" s="194"/>
      <c r="T191" s="202"/>
    </row>
    <row r="192" ht="15.75" customHeight="1">
      <c r="A192" s="189"/>
      <c r="B192" s="189"/>
      <c r="C192" s="194"/>
      <c r="T192" s="202"/>
    </row>
    <row r="193" ht="15.75" customHeight="1">
      <c r="A193" s="189"/>
      <c r="B193" s="189"/>
      <c r="C193" s="194"/>
      <c r="T193" s="202"/>
    </row>
    <row r="194" ht="15.75" customHeight="1">
      <c r="A194" s="189"/>
      <c r="B194" s="189"/>
      <c r="C194" s="194"/>
      <c r="T194" s="202"/>
    </row>
    <row r="195" ht="15.75" customHeight="1">
      <c r="A195" s="189"/>
      <c r="B195" s="189"/>
      <c r="C195" s="194"/>
      <c r="T195" s="202"/>
    </row>
    <row r="196" ht="15.75" customHeight="1">
      <c r="A196" s="189"/>
      <c r="B196" s="189"/>
      <c r="C196" s="194"/>
      <c r="T196" s="202"/>
    </row>
    <row r="197" ht="15.75" customHeight="1">
      <c r="A197" s="189"/>
      <c r="B197" s="189"/>
      <c r="C197" s="194"/>
      <c r="T197" s="202"/>
    </row>
    <row r="198" ht="15.75" customHeight="1">
      <c r="A198" s="189"/>
      <c r="B198" s="189"/>
      <c r="C198" s="194"/>
      <c r="T198" s="202"/>
    </row>
    <row r="199" ht="15.75" customHeight="1">
      <c r="A199" s="189"/>
      <c r="B199" s="189"/>
      <c r="C199" s="194"/>
      <c r="T199" s="202"/>
    </row>
    <row r="200" ht="15.75" customHeight="1">
      <c r="A200" s="189"/>
      <c r="B200" s="189"/>
      <c r="C200" s="194"/>
      <c r="T200" s="202"/>
    </row>
    <row r="201" ht="15.75" customHeight="1">
      <c r="A201" s="189"/>
      <c r="B201" s="189"/>
      <c r="C201" s="194"/>
      <c r="T201" s="202"/>
    </row>
    <row r="202" ht="15.75" customHeight="1">
      <c r="A202" s="189"/>
      <c r="B202" s="189"/>
      <c r="C202" s="194"/>
      <c r="T202" s="202"/>
    </row>
    <row r="203" ht="15.75" customHeight="1">
      <c r="A203" s="189"/>
      <c r="B203" s="189"/>
      <c r="C203" s="194"/>
      <c r="T203" s="202"/>
    </row>
    <row r="204" ht="15.75" customHeight="1">
      <c r="A204" s="189"/>
      <c r="B204" s="189"/>
      <c r="C204" s="194"/>
      <c r="T204" s="202"/>
    </row>
    <row r="205" ht="15.75" customHeight="1">
      <c r="A205" s="189"/>
      <c r="B205" s="189"/>
      <c r="C205" s="194"/>
      <c r="T205" s="202"/>
    </row>
    <row r="206" ht="15.75" customHeight="1">
      <c r="A206" s="189"/>
      <c r="B206" s="189"/>
      <c r="C206" s="194"/>
      <c r="T206" s="202"/>
    </row>
    <row r="207" ht="15.75" customHeight="1">
      <c r="A207" s="189"/>
      <c r="B207" s="189"/>
      <c r="C207" s="194"/>
      <c r="T207" s="202"/>
    </row>
    <row r="208" ht="15.75" customHeight="1">
      <c r="A208" s="189"/>
      <c r="B208" s="189"/>
      <c r="C208" s="194"/>
      <c r="T208" s="202"/>
    </row>
    <row r="209" ht="15.75" customHeight="1">
      <c r="A209" s="189"/>
      <c r="B209" s="189"/>
      <c r="C209" s="194"/>
      <c r="T209" s="202"/>
    </row>
    <row r="210" ht="15.75" customHeight="1">
      <c r="A210" s="189"/>
      <c r="B210" s="189"/>
      <c r="C210" s="194"/>
      <c r="T210" s="202"/>
    </row>
    <row r="211" ht="15.75" customHeight="1">
      <c r="A211" s="189"/>
      <c r="B211" s="189"/>
      <c r="C211" s="194"/>
      <c r="T211" s="202"/>
    </row>
    <row r="212" ht="15.75" customHeight="1">
      <c r="A212" s="189"/>
      <c r="B212" s="189"/>
      <c r="C212" s="194"/>
      <c r="T212" s="202"/>
    </row>
    <row r="213" ht="15.75" customHeight="1">
      <c r="A213" s="189"/>
      <c r="B213" s="189"/>
      <c r="C213" s="194"/>
      <c r="T213" s="202"/>
    </row>
    <row r="214" ht="15.75" customHeight="1">
      <c r="A214" s="189"/>
      <c r="B214" s="189"/>
      <c r="C214" s="194"/>
      <c r="T214" s="202"/>
    </row>
    <row r="215" ht="15.75" customHeight="1">
      <c r="A215" s="189"/>
      <c r="B215" s="189"/>
      <c r="C215" s="194"/>
      <c r="T215" s="202"/>
    </row>
    <row r="216" ht="15.75" customHeight="1">
      <c r="A216" s="189"/>
      <c r="B216" s="189"/>
      <c r="C216" s="194"/>
      <c r="T216" s="202"/>
    </row>
    <row r="217" ht="15.75" customHeight="1">
      <c r="A217" s="189"/>
      <c r="B217" s="189"/>
      <c r="C217" s="194"/>
      <c r="T217" s="202"/>
    </row>
    <row r="218" ht="15.75" customHeight="1">
      <c r="A218" s="189"/>
      <c r="B218" s="189"/>
      <c r="C218" s="194"/>
      <c r="T218" s="202"/>
    </row>
    <row r="219" ht="15.75" customHeight="1">
      <c r="A219" s="189"/>
      <c r="B219" s="189"/>
      <c r="C219" s="194"/>
      <c r="T219" s="202"/>
    </row>
    <row r="220" ht="15.75" customHeight="1">
      <c r="A220" s="189"/>
      <c r="B220" s="189"/>
      <c r="C220" s="194"/>
      <c r="T220" s="20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8.38"/>
    <col customWidth="1" min="2" max="2" width="7.5"/>
    <col customWidth="1" min="3" max="3" width="18.88"/>
    <col customWidth="1" min="4" max="4" width="4.25"/>
    <col customWidth="1" min="5" max="5" width="13.75"/>
    <col customWidth="1" min="6" max="6" width="21.13"/>
    <col customWidth="1" min="7" max="7" width="20.38"/>
    <col customWidth="1" min="8" max="8" width="20.25"/>
    <col customWidth="1" min="9" max="9" width="9.38"/>
    <col customWidth="1" min="10" max="10" width="10.38"/>
    <col customWidth="1" min="11" max="11" width="9.63"/>
    <col customWidth="1" min="12" max="12" width="10.0"/>
    <col customWidth="1" min="13" max="13" width="17.88"/>
    <col customWidth="1" min="14" max="14" width="15.63"/>
    <col customWidth="1" min="15" max="15" width="16.88"/>
    <col customWidth="1" min="16" max="16" width="9.0"/>
    <col customWidth="1" min="17" max="17" width="12.5"/>
    <col customWidth="1" min="18" max="18" width="12.13"/>
    <col customWidth="1" min="19" max="19" width="17.63"/>
    <col customWidth="1" min="20" max="20" width="21.5"/>
    <col customWidth="1" min="21" max="21" width="15.0"/>
    <col customWidth="1" min="22" max="22" width="19.13"/>
    <col customWidth="1" min="23" max="23" width="27.25"/>
    <col customWidth="1" min="24" max="24" width="16.63"/>
    <col customWidth="1" min="25" max="25" width="4.38"/>
    <col customWidth="1" min="26" max="26" width="7.38"/>
    <col customWidth="1" min="27" max="27" width="13.0"/>
    <col customWidth="1" min="28" max="28" width="7.0"/>
    <col customWidth="1" min="29" max="29" width="11.38"/>
  </cols>
  <sheetData>
    <row r="1">
      <c r="A1" s="168" t="str">
        <f>Datos!A1</f>
        <v>   Fecha </v>
      </c>
      <c r="B1" s="172" t="str">
        <f>Datos!B1</f>
        <v>NIS</v>
      </c>
      <c r="C1" s="168" t="str">
        <f>Datos!C1</f>
        <v>Cliente</v>
      </c>
      <c r="D1" s="168" t="str">
        <f>Datos!D1</f>
        <v>IVA</v>
      </c>
      <c r="E1" s="168" t="str">
        <f>Datos!E1</f>
        <v>Consumo [kWh]</v>
      </c>
      <c r="F1" s="168" t="str">
        <f>Datos!F1</f>
        <v>Consumo hs punta [kWh]</v>
      </c>
      <c r="G1" s="168" t="str">
        <f>Datos!G1</f>
        <v>Consumo hs valle [kWh]</v>
      </c>
      <c r="H1" s="168" t="str">
        <f>Datos!H1</f>
        <v>Consumo hs resto[kWh]</v>
      </c>
      <c r="I1" s="168" t="str">
        <f>Datos!I1</f>
        <v>Catergoria</v>
      </c>
      <c r="J1" s="168" t="str">
        <f>Datos!J1</f>
        <v>Tarifa punta</v>
      </c>
      <c r="K1" s="168" t="str">
        <f>Datos!K1</f>
        <v>Tarifa valle</v>
      </c>
      <c r="L1" s="168" t="str">
        <f>Datos!L1</f>
        <v>Tarifa resto</v>
      </c>
      <c r="M1" s="168" t="str">
        <f>Datos!M1</f>
        <v>Generacion FV [kWh]</v>
      </c>
      <c r="N1" s="173" t="str">
        <f>Datos!N1</f>
        <v>CONSUMO TOTAL</v>
      </c>
      <c r="O1" s="168" t="str">
        <f>Datos!O1</f>
        <v>Total a pagar S / IVA</v>
      </c>
      <c r="P1" s="168" t="str">
        <f>Datos!P1</f>
        <v>Valor USD</v>
      </c>
      <c r="Q1" s="182" t="str">
        <f>Datos!Q1</f>
        <v>Ahorro (USD)</v>
      </c>
      <c r="R1" s="168" t="str">
        <f>Datos!R1</f>
        <v>Ahorro ($)</v>
      </c>
      <c r="S1" s="183" t="str">
        <f>Datos!S1</f>
        <v>Valor dolar Actual ($)</v>
      </c>
      <c r="T1" s="183" t="str">
        <f>Datos!T1</f>
        <v>Ahorro ($)-A precio actual</v>
      </c>
      <c r="U1" s="173" t="str">
        <f>Datos!U1</f>
        <v>kg CO2e evitados</v>
      </c>
      <c r="V1" s="173" t="str">
        <f>Datos!V1</f>
        <v>Equivalente en árboles</v>
      </c>
      <c r="W1" s="184" t="str">
        <f>Datos!W1</f>
        <v>% de ahorro sobre los consumos</v>
      </c>
      <c r="X1" s="185" t="str">
        <f>Datos!X1</f>
        <v>SIN PANELES S/IVA</v>
      </c>
      <c r="Y1" s="147" t="s">
        <v>78</v>
      </c>
      <c r="Z1" s="175"/>
      <c r="AA1" s="218"/>
      <c r="AB1" s="219"/>
      <c r="AC1" s="175"/>
      <c r="AD1" s="4"/>
      <c r="AE1" s="4"/>
      <c r="AF1" s="4"/>
      <c r="AG1" s="4"/>
      <c r="AH1" s="139"/>
      <c r="AI1" s="139"/>
      <c r="AJ1" s="139"/>
      <c r="AK1" s="139"/>
      <c r="AL1" s="139"/>
      <c r="AM1" s="139"/>
      <c r="AN1" s="139"/>
      <c r="AO1" s="139"/>
      <c r="AP1" s="139"/>
      <c r="AQ1" s="139"/>
      <c r="AR1" s="139"/>
      <c r="AS1" s="139"/>
      <c r="AT1" s="139"/>
      <c r="AU1" s="139"/>
      <c r="AV1" s="139"/>
    </row>
    <row r="2">
      <c r="A2" s="220">
        <f>IFERROR(__xludf.DUMMYFUNCTION("FILTER(Datos!1:1247,Datos!B:B=3025373)"),45992.0)</f>
        <v>45992</v>
      </c>
      <c r="B2" s="107">
        <f>IFERROR(__xludf.DUMMYFUNCTION("""COMPUTED_VALUE"""),3025373.0)</f>
        <v>3025373</v>
      </c>
      <c r="C2" s="107" t="str">
        <f>IFERROR(__xludf.DUMMYFUNCTION("""COMPUTED_VALUE"""),"Agustín Sanz Navamuel")</f>
        <v>Agustín Sanz Navamuel</v>
      </c>
      <c r="D2" s="108">
        <f>IFERROR(__xludf.DUMMYFUNCTION("""COMPUTED_VALUE"""),0.27)</f>
        <v>0.27</v>
      </c>
      <c r="E2" s="142">
        <f>IFERROR(__xludf.DUMMYFUNCTION("""COMPUTED_VALUE"""),37973.0)</f>
        <v>37973</v>
      </c>
      <c r="F2" s="142">
        <f>IFERROR(__xludf.DUMMYFUNCTION("""COMPUTED_VALUE"""),9357.0)</f>
        <v>9357</v>
      </c>
      <c r="G2" s="142">
        <f>IFERROR(__xludf.DUMMYFUNCTION("""COMPUTED_VALUE"""),11035.0)</f>
        <v>11035</v>
      </c>
      <c r="H2" s="142">
        <f>IFERROR(__xludf.DUMMYFUNCTION("""COMPUTED_VALUE"""),17581.0)</f>
        <v>17581</v>
      </c>
      <c r="I2" s="142" t="str">
        <f>IFERROR(__xludf.DUMMYFUNCTION("""COMPUTED_VALUE"""),"T8")</f>
        <v>T8</v>
      </c>
      <c r="J2" s="109">
        <f>IFERROR(__xludf.DUMMYFUNCTION("""COMPUTED_VALUE"""),255.886)</f>
        <v>255.886</v>
      </c>
      <c r="K2" s="109">
        <f>IFERROR(__xludf.DUMMYFUNCTION("""COMPUTED_VALUE"""),253.0963)</f>
        <v>253.0963</v>
      </c>
      <c r="L2" s="109">
        <f>IFERROR(__xludf.DUMMYFUNCTION("""COMPUTED_VALUE"""),253.899)</f>
        <v>253.899</v>
      </c>
      <c r="M2" s="108">
        <f>IFERROR(__xludf.DUMMYFUNCTION("""COMPUTED_VALUE"""),6304.4)</f>
        <v>6304.4</v>
      </c>
      <c r="N2" s="140">
        <f>IFERROR(__xludf.DUMMYFUNCTION("""COMPUTED_VALUE"""),44277.4)</f>
        <v>44277.4</v>
      </c>
      <c r="O2" s="105">
        <f>IFERROR(__xludf.DUMMYFUNCTION("""COMPUTED_VALUE"""),9651041.2915)</f>
        <v>9651041.292</v>
      </c>
      <c r="P2" s="109">
        <f>IFERROR(__xludf.DUMMYFUNCTION("""COMPUTED_VALUE"""),1470.0)</f>
        <v>1470</v>
      </c>
      <c r="Q2" s="221">
        <f>IFERROR(__xludf.DUMMYFUNCTION("""COMPUTED_VALUE"""),1088.8985412244897)</f>
        <v>1088.898541</v>
      </c>
      <c r="R2" s="109">
        <f>IFERROR(__xludf.DUMMYFUNCTION("""COMPUTED_VALUE"""),1600680.8556)</f>
        <v>1600680.856</v>
      </c>
      <c r="S2" s="109">
        <f>IFERROR(__xludf.DUMMYFUNCTION("""COMPUTED_VALUE"""),1465.0)</f>
        <v>1465</v>
      </c>
      <c r="T2" s="105">
        <f>IFERROR(__xludf.DUMMYFUNCTION("""COMPUTED_VALUE"""),2025950.1808752243)</f>
        <v>2025950.181</v>
      </c>
      <c r="U2" s="110">
        <f>IFERROR(__xludf.DUMMYFUNCTION("""COMPUTED_VALUE"""),1260.88)</f>
        <v>1260.88</v>
      </c>
      <c r="V2" s="110">
        <f>IFERROR(__xludf.DUMMYFUNCTION("""COMPUTED_VALUE"""),57.31272727272728)</f>
        <v>57.31272727</v>
      </c>
      <c r="W2" s="222">
        <f>IFERROR(__xludf.DUMMYFUNCTION("""COMPUTED_VALUE"""),0.1422609654480809)</f>
        <v>0.1422609654</v>
      </c>
      <c r="X2" s="105">
        <f>IFERROR(__xludf.DUMMYFUNCTION("""COMPUTED_VALUE"""),1.12517221471E7)</f>
        <v>11251722.15</v>
      </c>
      <c r="Y2" s="108"/>
      <c r="Z2" s="124"/>
      <c r="AA2" s="110"/>
      <c r="AB2" s="110"/>
      <c r="AC2" s="140"/>
      <c r="AD2" s="139"/>
      <c r="AE2" s="139"/>
      <c r="AF2" s="139"/>
      <c r="AG2" s="139"/>
      <c r="AH2" s="139"/>
      <c r="AI2" s="139"/>
      <c r="AJ2" s="139"/>
      <c r="AK2" s="139"/>
      <c r="AL2" s="139"/>
      <c r="AM2" s="139"/>
      <c r="AN2" s="139"/>
      <c r="AO2" s="139"/>
      <c r="AP2" s="139"/>
      <c r="AQ2" s="139"/>
      <c r="AR2" s="139"/>
      <c r="AS2" s="139"/>
      <c r="AT2" s="139"/>
      <c r="AU2" s="139"/>
      <c r="AV2" s="139"/>
    </row>
    <row r="3">
      <c r="A3" s="220">
        <f>IFERROR(__xludf.DUMMYFUNCTION("""COMPUTED_VALUE"""),45985.0)</f>
        <v>45985</v>
      </c>
      <c r="B3" s="107">
        <f>IFERROR(__xludf.DUMMYFUNCTION("""COMPUTED_VALUE"""),3025373.0)</f>
        <v>3025373</v>
      </c>
      <c r="C3" s="107" t="str">
        <f>IFERROR(__xludf.DUMMYFUNCTION("""COMPUTED_VALUE"""),"Agustín Sanz Navamuel")</f>
        <v>Agustín Sanz Navamuel</v>
      </c>
      <c r="D3" s="108">
        <f>IFERROR(__xludf.DUMMYFUNCTION("""COMPUTED_VALUE"""),0.27)</f>
        <v>0.27</v>
      </c>
      <c r="E3" s="142">
        <f>IFERROR(__xludf.DUMMYFUNCTION("""COMPUTED_VALUE"""),8097.0)</f>
        <v>8097</v>
      </c>
      <c r="F3" s="142">
        <f>IFERROR(__xludf.DUMMYFUNCTION("""COMPUTED_VALUE"""),2444.0)</f>
        <v>2444</v>
      </c>
      <c r="G3" s="142">
        <f>IFERROR(__xludf.DUMMYFUNCTION("""COMPUTED_VALUE"""),2347.0)</f>
        <v>2347</v>
      </c>
      <c r="H3" s="142">
        <f>IFERROR(__xludf.DUMMYFUNCTION("""COMPUTED_VALUE"""),3306.0)</f>
        <v>3306</v>
      </c>
      <c r="I3" s="142" t="str">
        <f>IFERROR(__xludf.DUMMYFUNCTION("""COMPUTED_VALUE"""),"T8")</f>
        <v>T8</v>
      </c>
      <c r="J3" s="109">
        <f>IFERROR(__xludf.DUMMYFUNCTION("""COMPUTED_VALUE"""),253.749)</f>
        <v>253.749</v>
      </c>
      <c r="K3" s="109">
        <f>IFERROR(__xludf.DUMMYFUNCTION("""COMPUTED_VALUE"""),251.0043)</f>
        <v>251.0043</v>
      </c>
      <c r="L3" s="109">
        <f>IFERROR(__xludf.DUMMYFUNCTION("""COMPUTED_VALUE"""),251.807)</f>
        <v>251.807</v>
      </c>
      <c r="M3" s="108">
        <f>IFERROR(__xludf.DUMMYFUNCTION("""COMPUTED_VALUE"""),4008.1)</f>
        <v>4008.1</v>
      </c>
      <c r="N3" s="140">
        <f>IFERROR(__xludf.DUMMYFUNCTION("""COMPUTED_VALUE"""),12105.1)</f>
        <v>12105.1</v>
      </c>
      <c r="O3" s="105">
        <f>IFERROR(__xludf.DUMMYFUNCTION("""COMPUTED_VALUE"""),2041743.5900999997)</f>
        <v>2041743.59</v>
      </c>
      <c r="P3" s="109">
        <f>IFERROR(__xludf.DUMMYFUNCTION("""COMPUTED_VALUE"""),1470.0)</f>
        <v>1470</v>
      </c>
      <c r="Q3" s="221">
        <f>IFERROR(__xludf.DUMMYFUNCTION("""COMPUTED_VALUE"""),686.5766236054421)</f>
        <v>686.5766236</v>
      </c>
      <c r="R3" s="109">
        <f>IFERROR(__xludf.DUMMYFUNCTION("""COMPUTED_VALUE"""),1009267.6366999999)</f>
        <v>1009267.637</v>
      </c>
      <c r="S3" s="109">
        <f>IFERROR(__xludf.DUMMYFUNCTION("""COMPUTED_VALUE"""),1465.0)</f>
        <v>1465</v>
      </c>
      <c r="T3" s="105">
        <f>IFERROR(__xludf.DUMMYFUNCTION("""COMPUTED_VALUE"""),1277410.1370491053)</f>
        <v>1277410.137</v>
      </c>
      <c r="U3" s="110">
        <f>IFERROR(__xludf.DUMMYFUNCTION("""COMPUTED_VALUE"""),801.62)</f>
        <v>801.62</v>
      </c>
      <c r="V3" s="110">
        <f>IFERROR(__xludf.DUMMYFUNCTION("""COMPUTED_VALUE"""),36.43727272727273)</f>
        <v>36.43727273</v>
      </c>
      <c r="W3" s="222">
        <f>IFERROR(__xludf.DUMMYFUNCTION("""COMPUTED_VALUE"""),0.3307977459521028)</f>
        <v>0.330797746</v>
      </c>
      <c r="X3" s="105">
        <f>IFERROR(__xludf.DUMMYFUNCTION("""COMPUTED_VALUE"""),3051011.2267999994)</f>
        <v>3051011.227</v>
      </c>
      <c r="Y3" s="108"/>
      <c r="Z3" s="124"/>
      <c r="AA3" s="110"/>
      <c r="AB3" s="110"/>
      <c r="AC3" s="140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39"/>
      <c r="AQ3" s="139"/>
      <c r="AR3" s="139"/>
      <c r="AS3" s="139"/>
      <c r="AT3" s="139"/>
      <c r="AU3" s="139"/>
      <c r="AV3" s="139"/>
    </row>
    <row r="4">
      <c r="A4" s="106">
        <f>IFERROR(__xludf.DUMMYFUNCTION("""COMPUTED_VALUE"""),45931.0)</f>
        <v>45931</v>
      </c>
      <c r="B4" s="107">
        <f>IFERROR(__xludf.DUMMYFUNCTION("""COMPUTED_VALUE"""),3025373.0)</f>
        <v>3025373</v>
      </c>
      <c r="C4" s="107" t="str">
        <f>IFERROR(__xludf.DUMMYFUNCTION("""COMPUTED_VALUE"""),"Agustín Sanz Navamuel")</f>
        <v>Agustín Sanz Navamuel</v>
      </c>
      <c r="D4" s="108">
        <f>IFERROR(__xludf.DUMMYFUNCTION("""COMPUTED_VALUE"""),0.27)</f>
        <v>0.27</v>
      </c>
      <c r="E4" s="142">
        <f>IFERROR(__xludf.DUMMYFUNCTION("""COMPUTED_VALUE"""),15832.0)</f>
        <v>15832</v>
      </c>
      <c r="F4" s="142">
        <f>IFERROR(__xludf.DUMMYFUNCTION("""COMPUTED_VALUE"""),4161.0)</f>
        <v>4161</v>
      </c>
      <c r="G4" s="142">
        <f>IFERROR(__xludf.DUMMYFUNCTION("""COMPUTED_VALUE"""),4704.0)</f>
        <v>4704</v>
      </c>
      <c r="H4" s="142">
        <f>IFERROR(__xludf.DUMMYFUNCTION("""COMPUTED_VALUE"""),6967.0)</f>
        <v>6967</v>
      </c>
      <c r="I4" s="107" t="str">
        <f>IFERROR(__xludf.DUMMYFUNCTION("""COMPUTED_VALUE"""),"T8")</f>
        <v>T8</v>
      </c>
      <c r="J4" s="109">
        <f>IFERROR(__xludf.DUMMYFUNCTION("""COMPUTED_VALUE"""),250.4823)</f>
        <v>250.4823</v>
      </c>
      <c r="K4" s="109">
        <f>IFERROR(__xludf.DUMMYFUNCTION("""COMPUTED_VALUE"""),247.6481)</f>
        <v>247.6481</v>
      </c>
      <c r="L4" s="109">
        <f>IFERROR(__xludf.DUMMYFUNCTION("""COMPUTED_VALUE"""),248.8987)</f>
        <v>248.8987</v>
      </c>
      <c r="M4" s="108">
        <f>IFERROR(__xludf.DUMMYFUNCTION("""COMPUTED_VALUE"""),6657.9)</f>
        <v>6657.9</v>
      </c>
      <c r="N4" s="140">
        <f>IFERROR(__xludf.DUMMYFUNCTION("""COMPUTED_VALUE"""),22489.9)</f>
        <v>22489.9</v>
      </c>
      <c r="O4" s="105">
        <f>IFERROR(__xludf.DUMMYFUNCTION("""COMPUTED_VALUE"""),3941270.7556)</f>
        <v>3941270.756</v>
      </c>
      <c r="P4" s="109">
        <f>IFERROR(__xludf.DUMMYFUNCTION("""COMPUTED_VALUE"""),1450.0)</f>
        <v>1450</v>
      </c>
      <c r="Q4" s="221">
        <f>IFERROR(__xludf.DUMMYFUNCTION("""COMPUTED_VALUE"""),1142.857003262069)</f>
        <v>1142.857003</v>
      </c>
      <c r="R4" s="109">
        <f>IFERROR(__xludf.DUMMYFUNCTION("""COMPUTED_VALUE"""),1657142.6547299998)</f>
        <v>1657142.655</v>
      </c>
      <c r="S4" s="109">
        <f>IFERROR(__xludf.DUMMYFUNCTION("""COMPUTED_VALUE"""),1465.0)</f>
        <v>1465</v>
      </c>
      <c r="T4" s="105">
        <f>IFERROR(__xludf.DUMMYFUNCTION("""COMPUTED_VALUE"""),2126342.5974192424)</f>
        <v>2126342.597</v>
      </c>
      <c r="U4" s="110">
        <f>IFERROR(__xludf.DUMMYFUNCTION("""COMPUTED_VALUE"""),1331.58)</f>
        <v>1331.58</v>
      </c>
      <c r="V4" s="110">
        <f>IFERROR(__xludf.DUMMYFUNCTION("""COMPUTED_VALUE"""),60.526363636363634)</f>
        <v>60.52636364</v>
      </c>
      <c r="W4" s="222">
        <f>IFERROR(__xludf.DUMMYFUNCTION("""COMPUTED_VALUE"""),0.29600219442035086)</f>
        <v>0.2960021944</v>
      </c>
      <c r="X4" s="105">
        <f>IFERROR(__xludf.DUMMYFUNCTION("""COMPUTED_VALUE"""),5598413.410329999)</f>
        <v>5598413.41</v>
      </c>
      <c r="Y4" s="108"/>
      <c r="Z4" s="124"/>
      <c r="AA4" s="110"/>
      <c r="AB4" s="110"/>
      <c r="AC4" s="140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39"/>
      <c r="AT4" s="139"/>
      <c r="AU4" s="139"/>
      <c r="AV4" s="139"/>
    </row>
    <row r="5">
      <c r="A5" s="106">
        <f>IFERROR(__xludf.DUMMYFUNCTION("""COMPUTED_VALUE"""),45924.0)</f>
        <v>45924</v>
      </c>
      <c r="B5" s="107">
        <f>IFERROR(__xludf.DUMMYFUNCTION("""COMPUTED_VALUE"""),3025373.0)</f>
        <v>3025373</v>
      </c>
      <c r="C5" s="107" t="str">
        <f>IFERROR(__xludf.DUMMYFUNCTION("""COMPUTED_VALUE"""),"Agustín Sanz Navamuel")</f>
        <v>Agustín Sanz Navamuel</v>
      </c>
      <c r="D5" s="223">
        <f>IFERROR(__xludf.DUMMYFUNCTION("""COMPUTED_VALUE"""),0.27)</f>
        <v>0.27</v>
      </c>
      <c r="E5" s="224">
        <f>IFERROR(__xludf.DUMMYFUNCTION("""COMPUTED_VALUE"""),18911.0)</f>
        <v>18911</v>
      </c>
      <c r="F5" s="224">
        <f>IFERROR(__xludf.DUMMYFUNCTION("""COMPUTED_VALUE"""),5055.0)</f>
        <v>5055</v>
      </c>
      <c r="G5" s="224">
        <f>IFERROR(__xludf.DUMMYFUNCTION("""COMPUTED_VALUE"""),5695.0)</f>
        <v>5695</v>
      </c>
      <c r="H5" s="224">
        <f>IFERROR(__xludf.DUMMYFUNCTION("""COMPUTED_VALUE"""),8161.0)</f>
        <v>8161</v>
      </c>
      <c r="I5" s="124" t="str">
        <f>IFERROR(__xludf.DUMMYFUNCTION("""COMPUTED_VALUE"""),"T8")</f>
        <v>T8</v>
      </c>
      <c r="J5" s="225">
        <f>IFERROR(__xludf.DUMMYFUNCTION("""COMPUTED_VALUE"""),249.1232)</f>
        <v>249.1232</v>
      </c>
      <c r="K5" s="225">
        <f>IFERROR(__xludf.DUMMYFUNCTION("""COMPUTED_VALUE"""),246.2829)</f>
        <v>246.2829</v>
      </c>
      <c r="L5" s="225">
        <f>IFERROR(__xludf.DUMMYFUNCTION("""COMPUTED_VALUE"""),247.5372)</f>
        <v>247.5372</v>
      </c>
      <c r="M5" s="223">
        <f>IFERROR(__xludf.DUMMYFUNCTION("""COMPUTED_VALUE"""),6486.6)</f>
        <v>6486.6</v>
      </c>
      <c r="N5" s="226">
        <f>IFERROR(__xludf.DUMMYFUNCTION("""COMPUTED_VALUE"""),25397.6)</f>
        <v>25397.6</v>
      </c>
      <c r="O5" s="210">
        <f>IFERROR(__xludf.DUMMYFUNCTION("""COMPUTED_VALUE"""),4682049.9807)</f>
        <v>4682049.981</v>
      </c>
      <c r="P5" s="225">
        <f>IFERROR(__xludf.DUMMYFUNCTION("""COMPUTED_VALUE"""),1425.0)</f>
        <v>1425</v>
      </c>
      <c r="Q5" s="227">
        <f>IFERROR(__xludf.DUMMYFUNCTION("""COMPUTED_VALUE"""),1126.7893344000001)</f>
        <v>1126.789334</v>
      </c>
      <c r="R5" s="225">
        <f>IFERROR(__xludf.DUMMYFUNCTION("""COMPUTED_VALUE"""),1605674.8015200002)</f>
        <v>1605674.802</v>
      </c>
      <c r="S5" s="109">
        <f>IFERROR(__xludf.DUMMYFUNCTION("""COMPUTED_VALUE"""),1465.0)</f>
        <v>1465</v>
      </c>
      <c r="T5" s="105">
        <f>IFERROR(__xludf.DUMMYFUNCTION("""COMPUTED_VALUE"""),2096447.8961179203)</f>
        <v>2096447.896</v>
      </c>
      <c r="U5" s="228">
        <f>IFERROR(__xludf.DUMMYFUNCTION("""COMPUTED_VALUE"""),1297.3200000000002)</f>
        <v>1297.32</v>
      </c>
      <c r="V5" s="228">
        <f>IFERROR(__xludf.DUMMYFUNCTION("""COMPUTED_VALUE"""),58.969090909090916)</f>
        <v>58.96909091</v>
      </c>
      <c r="W5" s="111">
        <f>IFERROR(__xludf.DUMMYFUNCTION("""COMPUTED_VALUE"""),0.2553665844377314)</f>
        <v>0.2553665844</v>
      </c>
      <c r="X5" s="210">
        <f>IFERROR(__xludf.DUMMYFUNCTION("""COMPUTED_VALUE"""),6287724.78222)</f>
        <v>6287724.782</v>
      </c>
      <c r="Y5" s="108"/>
      <c r="Z5" s="124"/>
      <c r="AA5" s="110"/>
      <c r="AB5" s="110"/>
      <c r="AC5" s="140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/>
      <c r="AP5" s="139"/>
      <c r="AQ5" s="139"/>
      <c r="AR5" s="139"/>
      <c r="AS5" s="139"/>
      <c r="AT5" s="139"/>
      <c r="AU5" s="139"/>
      <c r="AV5" s="139"/>
    </row>
    <row r="6">
      <c r="A6" s="106">
        <f>IFERROR(__xludf.DUMMYFUNCTION("""COMPUTED_VALUE"""),45892.0)</f>
        <v>45892</v>
      </c>
      <c r="B6" s="107">
        <f>IFERROR(__xludf.DUMMYFUNCTION("""COMPUTED_VALUE"""),3025373.0)</f>
        <v>3025373</v>
      </c>
      <c r="C6" s="107" t="str">
        <f>IFERROR(__xludf.DUMMYFUNCTION("""COMPUTED_VALUE"""),"Agustín Sanz Navamuel")</f>
        <v>Agustín Sanz Navamuel</v>
      </c>
      <c r="D6" s="223">
        <f>IFERROR(__xludf.DUMMYFUNCTION("""COMPUTED_VALUE"""),0.27)</f>
        <v>0.27</v>
      </c>
      <c r="E6" s="224">
        <f>IFERROR(__xludf.DUMMYFUNCTION("""COMPUTED_VALUE"""),2377.0)</f>
        <v>2377</v>
      </c>
      <c r="F6" s="224">
        <f>IFERROR(__xludf.DUMMYFUNCTION("""COMPUTED_VALUE"""),519.0)</f>
        <v>519</v>
      </c>
      <c r="G6" s="224">
        <f>IFERROR(__xludf.DUMMYFUNCTION("""COMPUTED_VALUE"""),491.0)</f>
        <v>491</v>
      </c>
      <c r="H6" s="224">
        <f>IFERROR(__xludf.DUMMYFUNCTION("""COMPUTED_VALUE"""),1367.0)</f>
        <v>1367</v>
      </c>
      <c r="I6" s="124" t="str">
        <f>IFERROR(__xludf.DUMMYFUNCTION("""COMPUTED_VALUE"""),"T8")</f>
        <v>T8</v>
      </c>
      <c r="J6" s="225">
        <f>IFERROR(__xludf.DUMMYFUNCTION("""COMPUTED_VALUE"""),245.9868)</f>
        <v>245.9868</v>
      </c>
      <c r="K6" s="225">
        <f>IFERROR(__xludf.DUMMYFUNCTION("""COMPUTED_VALUE"""),243.1367)</f>
        <v>243.1367</v>
      </c>
      <c r="L6" s="225">
        <f>IFERROR(__xludf.DUMMYFUNCTION("""COMPUTED_VALUE"""),244.3947)</f>
        <v>244.3947</v>
      </c>
      <c r="M6" s="223">
        <f>IFERROR(__xludf.DUMMYFUNCTION("""COMPUTED_VALUE"""),1476.9)</f>
        <v>1476.9</v>
      </c>
      <c r="N6" s="226">
        <f>IFERROR(__xludf.DUMMYFUNCTION("""COMPUTED_VALUE"""),3853.9)</f>
        <v>3853.9</v>
      </c>
      <c r="O6" s="210">
        <f>IFERROR(__xludf.DUMMYFUNCTION("""COMPUTED_VALUE"""),581134.8238)</f>
        <v>581134.8238</v>
      </c>
      <c r="P6" s="225">
        <f>IFERROR(__xludf.DUMMYFUNCTION("""COMPUTED_VALUE"""),1340.0)</f>
        <v>1340</v>
      </c>
      <c r="Q6" s="227">
        <f>IFERROR(__xludf.DUMMYFUNCTION("""COMPUTED_VALUE"""),269.36308390298507)</f>
        <v>269.3630839</v>
      </c>
      <c r="R6" s="225">
        <f>IFERROR(__xludf.DUMMYFUNCTION("""COMPUTED_VALUE"""),360946.53242999996)</f>
        <v>360946.5324</v>
      </c>
      <c r="S6" s="109">
        <f>IFERROR(__xludf.DUMMYFUNCTION("""COMPUTED_VALUE"""),1465.0)</f>
        <v>1465</v>
      </c>
      <c r="T6" s="105">
        <f>IFERROR(__xludf.DUMMYFUNCTION("""COMPUTED_VALUE"""),501163.4857556989)</f>
        <v>501163.4858</v>
      </c>
      <c r="U6" s="228">
        <f>IFERROR(__xludf.DUMMYFUNCTION("""COMPUTED_VALUE"""),295.38000000000005)</f>
        <v>295.38</v>
      </c>
      <c r="V6" s="228">
        <f>IFERROR(__xludf.DUMMYFUNCTION("""COMPUTED_VALUE"""),13.42636363636364)</f>
        <v>13.42636364</v>
      </c>
      <c r="W6" s="111">
        <f>IFERROR(__xludf.DUMMYFUNCTION("""COMPUTED_VALUE"""),0.3831373267744388)</f>
        <v>0.3831373268</v>
      </c>
      <c r="X6" s="210">
        <f>IFERROR(__xludf.DUMMYFUNCTION("""COMPUTED_VALUE"""),942081.35623)</f>
        <v>942081.3562</v>
      </c>
      <c r="Y6" s="108"/>
      <c r="Z6" s="124"/>
      <c r="AA6" s="110"/>
      <c r="AB6" s="110"/>
      <c r="AC6" s="140"/>
      <c r="AD6" s="139"/>
      <c r="AE6" s="139"/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39"/>
      <c r="AT6" s="139"/>
      <c r="AU6" s="139"/>
      <c r="AV6" s="139"/>
    </row>
    <row r="7">
      <c r="A7" s="106">
        <f>IFERROR(__xludf.DUMMYFUNCTION("""COMPUTED_VALUE"""),45839.0)</f>
        <v>45839</v>
      </c>
      <c r="B7" s="107">
        <f>IFERROR(__xludf.DUMMYFUNCTION("""COMPUTED_VALUE"""),3025373.0)</f>
        <v>3025373</v>
      </c>
      <c r="C7" s="107" t="str">
        <f>IFERROR(__xludf.DUMMYFUNCTION("""COMPUTED_VALUE"""),"Agustín Sanz Navamuel")</f>
        <v>Agustín Sanz Navamuel</v>
      </c>
      <c r="D7" s="223">
        <f>IFERROR(__xludf.DUMMYFUNCTION("""COMPUTED_VALUE"""),0.27)</f>
        <v>0.27</v>
      </c>
      <c r="E7" s="224">
        <f>IFERROR(__xludf.DUMMYFUNCTION("""COMPUTED_VALUE"""),2829.0)</f>
        <v>2829</v>
      </c>
      <c r="F7" s="224">
        <f>IFERROR(__xludf.DUMMYFUNCTION("""COMPUTED_VALUE"""),634.0)</f>
        <v>634</v>
      </c>
      <c r="G7" s="224">
        <f>IFERROR(__xludf.DUMMYFUNCTION("""COMPUTED_VALUE"""),650.0)</f>
        <v>650</v>
      </c>
      <c r="H7" s="224">
        <f>IFERROR(__xludf.DUMMYFUNCTION("""COMPUTED_VALUE"""),1545.0)</f>
        <v>1545</v>
      </c>
      <c r="I7" s="124" t="str">
        <f>IFERROR(__xludf.DUMMYFUNCTION("""COMPUTED_VALUE"""),"T8")</f>
        <v>T8</v>
      </c>
      <c r="J7" s="225">
        <f>IFERROR(__xludf.DUMMYFUNCTION("""COMPUTED_VALUE"""),236.6792)</f>
        <v>236.6792</v>
      </c>
      <c r="K7" s="225">
        <f>IFERROR(__xludf.DUMMYFUNCTION("""COMPUTED_VALUE"""),233.8316)</f>
        <v>233.8316</v>
      </c>
      <c r="L7" s="225">
        <f>IFERROR(__xludf.DUMMYFUNCTION("""COMPUTED_VALUE"""),235.0884)</f>
        <v>235.0884</v>
      </c>
      <c r="M7" s="223">
        <f>IFERROR(__xludf.DUMMYFUNCTION("""COMPUTED_VALUE"""),1304.5)</f>
        <v>1304.5</v>
      </c>
      <c r="N7" s="226">
        <f>IFERROR(__xludf.DUMMYFUNCTION("""COMPUTED_VALUE"""),4133.5)</f>
        <v>4133.5</v>
      </c>
      <c r="O7" s="210">
        <f>IFERROR(__xludf.DUMMYFUNCTION("""COMPUTED_VALUE"""),665256.7308)</f>
        <v>665256.7308</v>
      </c>
      <c r="P7" s="225">
        <f>IFERROR(__xludf.DUMMYFUNCTION("""COMPUTED_VALUE"""),1280.0)</f>
        <v>1280</v>
      </c>
      <c r="Q7" s="227">
        <f>IFERROR(__xludf.DUMMYFUNCTION("""COMPUTED_VALUE"""),239.58813890625)</f>
        <v>239.5881389</v>
      </c>
      <c r="R7" s="225">
        <f>IFERROR(__xludf.DUMMYFUNCTION("""COMPUTED_VALUE"""),306672.8178)</f>
        <v>306672.8178</v>
      </c>
      <c r="S7" s="109">
        <f>IFERROR(__xludf.DUMMYFUNCTION("""COMPUTED_VALUE"""),1465.0)</f>
        <v>1465</v>
      </c>
      <c r="T7" s="105">
        <f>IFERROR(__xludf.DUMMYFUNCTION("""COMPUTED_VALUE"""),445765.7118420235)</f>
        <v>445765.7118</v>
      </c>
      <c r="U7" s="228">
        <f>IFERROR(__xludf.DUMMYFUNCTION("""COMPUTED_VALUE"""),260.90000000000003)</f>
        <v>260.9</v>
      </c>
      <c r="V7" s="228">
        <f>IFERROR(__xludf.DUMMYFUNCTION("""COMPUTED_VALUE"""),11.859090909090911)</f>
        <v>11.85909091</v>
      </c>
      <c r="W7" s="111">
        <f>IFERROR(__xludf.DUMMYFUNCTION("""COMPUTED_VALUE"""),0.31552988407620886)</f>
        <v>0.3155298841</v>
      </c>
      <c r="X7" s="210">
        <f>IFERROR(__xludf.DUMMYFUNCTION("""COMPUTED_VALUE"""),971929.5486000001)</f>
        <v>971929.5486</v>
      </c>
      <c r="Y7" s="140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39"/>
      <c r="AK7" s="139"/>
      <c r="AL7" s="139"/>
      <c r="AM7" s="139"/>
      <c r="AN7" s="139"/>
      <c r="AO7" s="139"/>
      <c r="AP7" s="139"/>
      <c r="AQ7" s="139"/>
      <c r="AR7" s="139"/>
      <c r="AS7" s="139"/>
      <c r="AT7" s="139"/>
      <c r="AU7" s="139"/>
      <c r="AV7" s="139"/>
    </row>
    <row r="8">
      <c r="A8" s="127">
        <f>IFERROR(__xludf.DUMMYFUNCTION("""COMPUTED_VALUE"""),45809.0)</f>
        <v>45809</v>
      </c>
      <c r="B8" s="229">
        <f>IFERROR(__xludf.DUMMYFUNCTION("""COMPUTED_VALUE"""),3025373.0)</f>
        <v>3025373</v>
      </c>
      <c r="C8" s="230" t="str">
        <f>IFERROR(__xludf.DUMMYFUNCTION("""COMPUTED_VALUE"""),"Agustín Sanz Navamuel")</f>
        <v>Agustín Sanz Navamuel</v>
      </c>
      <c r="D8" s="145">
        <f>IFERROR(__xludf.DUMMYFUNCTION("""COMPUTED_VALUE"""),0.27)</f>
        <v>0.27</v>
      </c>
      <c r="E8" s="226">
        <f>IFERROR(__xludf.DUMMYFUNCTION("""COMPUTED_VALUE"""),2657.0)</f>
        <v>2657</v>
      </c>
      <c r="F8" s="226">
        <f>IFERROR(__xludf.DUMMYFUNCTION("""COMPUTED_VALUE"""),701.0)</f>
        <v>701</v>
      </c>
      <c r="G8" s="226">
        <f>IFERROR(__xludf.DUMMYFUNCTION("""COMPUTED_VALUE"""),632.0)</f>
        <v>632</v>
      </c>
      <c r="H8" s="226">
        <f>IFERROR(__xludf.DUMMYFUNCTION("""COMPUTED_VALUE"""),1324.0)</f>
        <v>1324</v>
      </c>
      <c r="I8" s="139" t="str">
        <f>IFERROR(__xludf.DUMMYFUNCTION("""COMPUTED_VALUE"""),"T8")</f>
        <v>T8</v>
      </c>
      <c r="J8" s="210">
        <f>IFERROR(__xludf.DUMMYFUNCTION("""COMPUTED_VALUE"""),232.879)</f>
        <v>232.879</v>
      </c>
      <c r="K8" s="210">
        <f>IFERROR(__xludf.DUMMYFUNCTION("""COMPUTED_VALUE"""),230.0681)</f>
        <v>230.0681</v>
      </c>
      <c r="L8" s="210">
        <f>IFERROR(__xludf.DUMMYFUNCTION("""COMPUTED_VALUE"""),231.309)</f>
        <v>231.309</v>
      </c>
      <c r="M8" s="145">
        <f>IFERROR(__xludf.DUMMYFUNCTION("""COMPUTED_VALUE"""),803.4)</f>
        <v>803.4</v>
      </c>
      <c r="N8" s="145">
        <f>IFERROR(__xludf.DUMMYFUNCTION("""COMPUTED_VALUE"""),3460.4)</f>
        <v>3460.4</v>
      </c>
      <c r="O8" s="210">
        <f>IFERROR(__xludf.DUMMYFUNCTION("""COMPUTED_VALUE"""),614904.3341999999)</f>
        <v>614904.3342</v>
      </c>
      <c r="P8" s="210">
        <f>IFERROR(__xludf.DUMMYFUNCTION("""COMPUTED_VALUE"""),1280.0)</f>
        <v>1280</v>
      </c>
      <c r="Q8" s="231">
        <f>IFERROR(__xludf.DUMMYFUNCTION("""COMPUTED_VALUE"""),145.18253953125)</f>
        <v>145.1825395</v>
      </c>
      <c r="R8" s="210">
        <f>IFERROR(__xludf.DUMMYFUNCTION("""COMPUTED_VALUE"""),185833.6506)</f>
        <v>185833.6506</v>
      </c>
      <c r="S8" s="232">
        <f>IFERROR(__xludf.DUMMYFUNCTION("""COMPUTED_VALUE"""),1465.0)</f>
        <v>1465</v>
      </c>
      <c r="T8" s="232">
        <f>IFERROR(__xludf.DUMMYFUNCTION("""COMPUTED_VALUE"""),270119.3739248672)</f>
        <v>270119.3739</v>
      </c>
      <c r="U8" s="145">
        <f>IFERROR(__xludf.DUMMYFUNCTION("""COMPUTED_VALUE"""),160.68)</f>
        <v>160.68</v>
      </c>
      <c r="V8" s="145">
        <f>IFERROR(__xludf.DUMMYFUNCTION("""COMPUTED_VALUE"""),7.303636363636364)</f>
        <v>7.303636364</v>
      </c>
      <c r="W8" s="111">
        <f>IFERROR(__xludf.DUMMYFUNCTION("""COMPUTED_VALUE"""),0.2320779757268735)</f>
        <v>0.2320779757</v>
      </c>
      <c r="X8" s="233">
        <f>IFERROR(__xludf.DUMMYFUNCTION("""COMPUTED_VALUE"""),800737.9848)</f>
        <v>800737.9848</v>
      </c>
      <c r="Y8" s="141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139"/>
      <c r="AN8" s="139"/>
      <c r="AO8" s="139"/>
      <c r="AP8" s="139"/>
      <c r="AQ8" s="139"/>
      <c r="AR8" s="139"/>
      <c r="AS8" s="139"/>
      <c r="AT8" s="139"/>
      <c r="AU8" s="139"/>
      <c r="AV8" s="139"/>
    </row>
    <row r="9">
      <c r="A9" s="127">
        <f>IFERROR(__xludf.DUMMYFUNCTION("""COMPUTED_VALUE"""),45778.0)</f>
        <v>45778</v>
      </c>
      <c r="B9" s="229">
        <f>IFERROR(__xludf.DUMMYFUNCTION("""COMPUTED_VALUE"""),3025373.0)</f>
        <v>3025373</v>
      </c>
      <c r="C9" s="230" t="str">
        <f>IFERROR(__xludf.DUMMYFUNCTION("""COMPUTED_VALUE"""),"Agustín Sanz Navamuel")</f>
        <v>Agustín Sanz Navamuel</v>
      </c>
      <c r="D9" s="145">
        <f>IFERROR(__xludf.DUMMYFUNCTION("""COMPUTED_VALUE"""),0.27)</f>
        <v>0.27</v>
      </c>
      <c r="E9" s="226">
        <f>IFERROR(__xludf.DUMMYFUNCTION("""COMPUTED_VALUE"""),8922.0)</f>
        <v>8922</v>
      </c>
      <c r="F9" s="226">
        <f>IFERROR(__xludf.DUMMYFUNCTION("""COMPUTED_VALUE"""),2387.0)</f>
        <v>2387</v>
      </c>
      <c r="G9" s="226">
        <f>IFERROR(__xludf.DUMMYFUNCTION("""COMPUTED_VALUE"""),2789.0)</f>
        <v>2789</v>
      </c>
      <c r="H9" s="226">
        <f>IFERROR(__xludf.DUMMYFUNCTION("""COMPUTED_VALUE"""),3746.0)</f>
        <v>3746</v>
      </c>
      <c r="I9" s="139" t="str">
        <f>IFERROR(__xludf.DUMMYFUNCTION("""COMPUTED_VALUE"""),"T8")</f>
        <v>T8</v>
      </c>
      <c r="J9" s="210">
        <f>IFERROR(__xludf.DUMMYFUNCTION("""COMPUTED_VALUE"""),229.0059)</f>
        <v>229.0059</v>
      </c>
      <c r="K9" s="210">
        <f>IFERROR(__xludf.DUMMYFUNCTION("""COMPUTED_VALUE"""),226.2366)</f>
        <v>226.2366</v>
      </c>
      <c r="L9" s="210">
        <f>IFERROR(__xludf.DUMMYFUNCTION("""COMPUTED_VALUE"""),227.4591)</f>
        <v>227.4591</v>
      </c>
      <c r="M9" s="145">
        <f>IFERROR(__xludf.DUMMYFUNCTION("""COMPUTED_VALUE"""),2483.1)</f>
        <v>2483.1</v>
      </c>
      <c r="N9" s="145">
        <f>IFERROR(__xludf.DUMMYFUNCTION("""COMPUTED_VALUE"""),11405.1)</f>
        <v>11405.1</v>
      </c>
      <c r="O9" s="210">
        <f>IFERROR(__xludf.DUMMYFUNCTION("""COMPUTED_VALUE"""),2029672.7492999998)</f>
        <v>2029672.749</v>
      </c>
      <c r="P9" s="210">
        <f>IFERROR(__xludf.DUMMYFUNCTION("""COMPUTED_VALUE"""),1200.0)</f>
        <v>1200</v>
      </c>
      <c r="Q9" s="231">
        <f>IFERROR(__xludf.DUMMYFUNCTION("""COMPUTED_VALUE"""),470.66974267499995)</f>
        <v>470.6697427</v>
      </c>
      <c r="R9" s="210">
        <f>IFERROR(__xludf.DUMMYFUNCTION("""COMPUTED_VALUE"""),564803.69121)</f>
        <v>564803.6912</v>
      </c>
      <c r="S9" s="232">
        <f>IFERROR(__xludf.DUMMYFUNCTION("""COMPUTED_VALUE"""),1465.0)</f>
        <v>1465</v>
      </c>
      <c r="T9" s="232">
        <f>IFERROR(__xludf.DUMMYFUNCTION("""COMPUTED_VALUE"""),875704.5897339712)</f>
        <v>875704.5897</v>
      </c>
      <c r="U9" s="145">
        <f>IFERROR(__xludf.DUMMYFUNCTION("""COMPUTED_VALUE"""),496.62)</f>
        <v>496.62</v>
      </c>
      <c r="V9" s="145">
        <f>IFERROR(__xludf.DUMMYFUNCTION("""COMPUTED_VALUE"""),22.573636363636364)</f>
        <v>22.57363636</v>
      </c>
      <c r="W9" s="111">
        <f>IFERROR(__xludf.DUMMYFUNCTION("""COMPUTED_VALUE"""),0.217694669487527)</f>
        <v>0.2176946695</v>
      </c>
      <c r="X9" s="233">
        <f>IFERROR(__xludf.DUMMYFUNCTION("""COMPUTED_VALUE"""),2594476.4405099996)</f>
        <v>2594476.441</v>
      </c>
      <c r="Y9" s="141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  <c r="AN9" s="139"/>
      <c r="AO9" s="139"/>
      <c r="AP9" s="139"/>
      <c r="AQ9" s="139"/>
      <c r="AR9" s="139"/>
      <c r="AS9" s="139"/>
      <c r="AT9" s="139"/>
      <c r="AU9" s="139"/>
      <c r="AV9" s="139"/>
    </row>
    <row r="10">
      <c r="A10" s="127">
        <f>IFERROR(__xludf.DUMMYFUNCTION("""COMPUTED_VALUE"""),45748.0)</f>
        <v>45748</v>
      </c>
      <c r="B10" s="229">
        <f>IFERROR(__xludf.DUMMYFUNCTION("""COMPUTED_VALUE"""),3025373.0)</f>
        <v>3025373</v>
      </c>
      <c r="C10" s="230" t="str">
        <f>IFERROR(__xludf.DUMMYFUNCTION("""COMPUTED_VALUE"""),"Agustín Sanz Navamuel")</f>
        <v>Agustín Sanz Navamuel</v>
      </c>
      <c r="D10" s="145">
        <f>IFERROR(__xludf.DUMMYFUNCTION("""COMPUTED_VALUE"""),0.27)</f>
        <v>0.27</v>
      </c>
      <c r="E10" s="226">
        <f>IFERROR(__xludf.DUMMYFUNCTION("""COMPUTED_VALUE"""),6653.0)</f>
        <v>6653</v>
      </c>
      <c r="F10" s="226">
        <f>IFERROR(__xludf.DUMMYFUNCTION("""COMPUTED_VALUE"""),1737.0)</f>
        <v>1737</v>
      </c>
      <c r="G10" s="226">
        <f>IFERROR(__xludf.DUMMYFUNCTION("""COMPUTED_VALUE"""),1772.0)</f>
        <v>1772</v>
      </c>
      <c r="H10" s="226">
        <f>IFERROR(__xludf.DUMMYFUNCTION("""COMPUTED_VALUE"""),3144.0)</f>
        <v>3144</v>
      </c>
      <c r="I10" s="139" t="str">
        <f>IFERROR(__xludf.DUMMYFUNCTION("""COMPUTED_VALUE"""),"T8")</f>
        <v>T8</v>
      </c>
      <c r="J10" s="210">
        <f>IFERROR(__xludf.DUMMYFUNCTION("""COMPUTED_VALUE"""),222.4156)</f>
        <v>222.4156</v>
      </c>
      <c r="K10" s="210">
        <f>IFERROR(__xludf.DUMMYFUNCTION("""COMPUTED_VALUE"""),219.7071)</f>
        <v>219.7071</v>
      </c>
      <c r="L10" s="210">
        <f>IFERROR(__xludf.DUMMYFUNCTION("""COMPUTED_VALUE"""),220.9029)</f>
        <v>220.9029</v>
      </c>
      <c r="M10" s="145">
        <f>IFERROR(__xludf.DUMMYFUNCTION("""COMPUTED_VALUE"""),2100.6)</f>
        <v>2100.6</v>
      </c>
      <c r="N10" s="145">
        <f>IFERROR(__xludf.DUMMYFUNCTION("""COMPUTED_VALUE"""),8753.6)</f>
        <v>8753.6</v>
      </c>
      <c r="O10" s="210">
        <f>IFERROR(__xludf.DUMMYFUNCTION("""COMPUTED_VALUE"""),1470175.596)</f>
        <v>1470175.596</v>
      </c>
      <c r="P10" s="210">
        <f>IFERROR(__xludf.DUMMYFUNCTION("""COMPUTED_VALUE"""),1140.0)</f>
        <v>1140</v>
      </c>
      <c r="Q10" s="231">
        <f>IFERROR(__xludf.DUMMYFUNCTION("""COMPUTED_VALUE"""),407.04265942105263)</f>
        <v>407.0426594</v>
      </c>
      <c r="R10" s="210">
        <f>IFERROR(__xludf.DUMMYFUNCTION("""COMPUTED_VALUE"""),464028.63174)</f>
        <v>464028.6317</v>
      </c>
      <c r="S10" s="232">
        <f>IFERROR(__xludf.DUMMYFUNCTION("""COMPUTED_VALUE"""),1465.0)</f>
        <v>1465</v>
      </c>
      <c r="T10" s="232">
        <f>IFERROR(__xludf.DUMMYFUNCTION("""COMPUTED_VALUE"""),757323.2199858394)</f>
        <v>757323.22</v>
      </c>
      <c r="U10" s="145">
        <f>IFERROR(__xludf.DUMMYFUNCTION("""COMPUTED_VALUE"""),420.12)</f>
        <v>420.12</v>
      </c>
      <c r="V10" s="145">
        <f>IFERROR(__xludf.DUMMYFUNCTION("""COMPUTED_VALUE"""),19.096363636363638)</f>
        <v>19.09636364</v>
      </c>
      <c r="W10" s="111">
        <f>IFERROR(__xludf.DUMMYFUNCTION("""COMPUTED_VALUE"""),0.23990674050081526)</f>
        <v>0.2399067405</v>
      </c>
      <c r="X10" s="233">
        <f>IFERROR(__xludf.DUMMYFUNCTION("""COMPUTED_VALUE"""),1934204.22774)</f>
        <v>1934204.228</v>
      </c>
      <c r="Y10" s="141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39"/>
      <c r="AN10" s="139"/>
      <c r="AO10" s="139"/>
      <c r="AP10" s="139"/>
      <c r="AQ10" s="139"/>
      <c r="AR10" s="139"/>
      <c r="AS10" s="139"/>
      <c r="AT10" s="139"/>
      <c r="AU10" s="139"/>
      <c r="AV10" s="139"/>
    </row>
    <row r="11">
      <c r="A11" s="127">
        <f>IFERROR(__xludf.DUMMYFUNCTION("""COMPUTED_VALUE"""),45717.0)</f>
        <v>45717</v>
      </c>
      <c r="B11" s="229">
        <f>IFERROR(__xludf.DUMMYFUNCTION("""COMPUTED_VALUE"""),3025373.0)</f>
        <v>3025373</v>
      </c>
      <c r="C11" s="230" t="str">
        <f>IFERROR(__xludf.DUMMYFUNCTION("""COMPUTED_VALUE"""),"Agustín Sanz Navamuel")</f>
        <v>Agustín Sanz Navamuel</v>
      </c>
      <c r="D11" s="145">
        <f>IFERROR(__xludf.DUMMYFUNCTION("""COMPUTED_VALUE"""),0.27)</f>
        <v>0.27</v>
      </c>
      <c r="E11" s="226">
        <f>IFERROR(__xludf.DUMMYFUNCTION("""COMPUTED_VALUE"""),7171.0)</f>
        <v>7171</v>
      </c>
      <c r="F11" s="226">
        <f>IFERROR(__xludf.DUMMYFUNCTION("""COMPUTED_VALUE"""),1862.0)</f>
        <v>1862</v>
      </c>
      <c r="G11" s="226">
        <f>IFERROR(__xludf.DUMMYFUNCTION("""COMPUTED_VALUE"""),2144.0)</f>
        <v>2144</v>
      </c>
      <c r="H11" s="226">
        <f>IFERROR(__xludf.DUMMYFUNCTION("""COMPUTED_VALUE"""),3165.0)</f>
        <v>3165</v>
      </c>
      <c r="I11" s="139" t="str">
        <f>IFERROR(__xludf.DUMMYFUNCTION("""COMPUTED_VALUE"""),"T8")</f>
        <v>T8</v>
      </c>
      <c r="J11" s="210">
        <f>IFERROR(__xludf.DUMMYFUNCTION("""COMPUTED_VALUE"""),220.0869)</f>
        <v>220.0869</v>
      </c>
      <c r="K11" s="210">
        <f>IFERROR(__xludf.DUMMYFUNCTION("""COMPUTED_VALUE"""),217.3784)</f>
        <v>217.3784</v>
      </c>
      <c r="L11" s="210">
        <f>IFERROR(__xludf.DUMMYFUNCTION("""COMPUTED_VALUE"""),218.5741)</f>
        <v>218.5741</v>
      </c>
      <c r="M11" s="145">
        <f>IFERROR(__xludf.DUMMYFUNCTION("""COMPUTED_VALUE"""),2174.7)</f>
        <v>2174.7</v>
      </c>
      <c r="N11" s="145">
        <f>IFERROR(__xludf.DUMMYFUNCTION("""COMPUTED_VALUE"""),9345.7)</f>
        <v>9345.7</v>
      </c>
      <c r="O11" s="210">
        <f>IFERROR(__xludf.DUMMYFUNCTION("""COMPUTED_VALUE"""),1567648.1239)</f>
        <v>1567648.124</v>
      </c>
      <c r="P11" s="210">
        <f>IFERROR(__xludf.DUMMYFUNCTION("""COMPUTED_VALUE"""),1095.75)</f>
        <v>1095.75</v>
      </c>
      <c r="Q11" s="231">
        <f>IFERROR(__xludf.DUMMYFUNCTION("""COMPUTED_VALUE"""),433.79702967830247)</f>
        <v>433.7970297</v>
      </c>
      <c r="R11" s="210">
        <f>IFERROR(__xludf.DUMMYFUNCTION("""COMPUTED_VALUE"""),475333.09526999993)</f>
        <v>475333.0953</v>
      </c>
      <c r="S11" s="232">
        <f>IFERROR(__xludf.DUMMYFUNCTION("""COMPUTED_VALUE"""),1465.0)</f>
        <v>1465</v>
      </c>
      <c r="T11" s="232">
        <f>IFERROR(__xludf.DUMMYFUNCTION("""COMPUTED_VALUE"""),807101.0635679656)</f>
        <v>807101.0636</v>
      </c>
      <c r="U11" s="145">
        <f>IFERROR(__xludf.DUMMYFUNCTION("""COMPUTED_VALUE"""),434.94)</f>
        <v>434.94</v>
      </c>
      <c r="V11" s="145">
        <f>IFERROR(__xludf.DUMMYFUNCTION("""COMPUTED_VALUE"""),19.77)</f>
        <v>19.77</v>
      </c>
      <c r="W11" s="111">
        <f>IFERROR(__xludf.DUMMYFUNCTION("""COMPUTED_VALUE"""),0.23266640476661507)</f>
        <v>0.2326664048</v>
      </c>
      <c r="X11" s="233">
        <f>IFERROR(__xludf.DUMMYFUNCTION("""COMPUTED_VALUE"""),2042981.21917)</f>
        <v>2042981.219</v>
      </c>
      <c r="Y11" s="226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139"/>
      <c r="AN11" s="139"/>
      <c r="AO11" s="139"/>
      <c r="AP11" s="139"/>
      <c r="AQ11" s="139"/>
      <c r="AR11" s="139"/>
      <c r="AS11" s="139"/>
      <c r="AT11" s="139"/>
      <c r="AU11" s="139"/>
      <c r="AV11" s="139"/>
    </row>
    <row r="12">
      <c r="A12" s="127">
        <f>IFERROR(__xludf.DUMMYFUNCTION("""COMPUTED_VALUE"""),45713.0)</f>
        <v>45713</v>
      </c>
      <c r="B12" s="229">
        <f>IFERROR(__xludf.DUMMYFUNCTION("""COMPUTED_VALUE"""),3025373.0)</f>
        <v>3025373</v>
      </c>
      <c r="C12" s="230" t="str">
        <f>IFERROR(__xludf.DUMMYFUNCTION("""COMPUTED_VALUE"""),"Agustín Sanz Navamuel")</f>
        <v>Agustín Sanz Navamuel</v>
      </c>
      <c r="D12" s="145">
        <f>IFERROR(__xludf.DUMMYFUNCTION("""COMPUTED_VALUE"""),0.27)</f>
        <v>0.27</v>
      </c>
      <c r="E12" s="226">
        <f>IFERROR(__xludf.DUMMYFUNCTION("""COMPUTED_VALUE"""),55837.0)</f>
        <v>55837</v>
      </c>
      <c r="F12" s="226">
        <f>IFERROR(__xludf.DUMMYFUNCTION("""COMPUTED_VALUE"""),13802.0)</f>
        <v>13802</v>
      </c>
      <c r="G12" s="226">
        <f>IFERROR(__xludf.DUMMYFUNCTION("""COMPUTED_VALUE"""),15610.0)</f>
        <v>15610</v>
      </c>
      <c r="H12" s="226">
        <f>IFERROR(__xludf.DUMMYFUNCTION("""COMPUTED_VALUE"""),26425.0)</f>
        <v>26425</v>
      </c>
      <c r="I12" s="139" t="str">
        <f>IFERROR(__xludf.DUMMYFUNCTION("""COMPUTED_VALUE"""),"T8")</f>
        <v>T8</v>
      </c>
      <c r="J12" s="210">
        <f>IFERROR(__xludf.DUMMYFUNCTION("""COMPUTED_VALUE"""),215.1441)</f>
        <v>215.1441</v>
      </c>
      <c r="K12" s="210">
        <f>IFERROR(__xludf.DUMMYFUNCTION("""COMPUTED_VALUE"""),212.5016)</f>
        <v>212.5016</v>
      </c>
      <c r="L12" s="210">
        <f>IFERROR(__xludf.DUMMYFUNCTION("""COMPUTED_VALUE"""),213.668)</f>
        <v>213.668</v>
      </c>
      <c r="M12" s="145">
        <f>IFERROR(__xludf.DUMMYFUNCTION("""COMPUTED_VALUE"""),8267.6)</f>
        <v>8267.6</v>
      </c>
      <c r="N12" s="145">
        <f>IFERROR(__xludf.DUMMYFUNCTION("""COMPUTED_VALUE"""),64104.6)</f>
        <v>64104.6</v>
      </c>
      <c r="O12" s="210">
        <f>IFERROR(__xludf.DUMMYFUNCTION("""COMPUTED_VALUE"""),1.19327457442E7)</f>
        <v>11932745.74</v>
      </c>
      <c r="P12" s="210">
        <f>IFERROR(__xludf.DUMMYFUNCTION("""COMPUTED_VALUE"""),1086.0)</f>
        <v>1086</v>
      </c>
      <c r="Q12" s="231">
        <f>IFERROR(__xludf.DUMMYFUNCTION("""COMPUTED_VALUE"""),1626.6312677716392)</f>
        <v>1626.631268</v>
      </c>
      <c r="R12" s="210">
        <f>IFERROR(__xludf.DUMMYFUNCTION("""COMPUTED_VALUE"""),1766521.5568000001)</f>
        <v>1766521.557</v>
      </c>
      <c r="S12" s="232">
        <f>IFERROR(__xludf.DUMMYFUNCTION("""COMPUTED_VALUE"""),1465.0)</f>
        <v>1465</v>
      </c>
      <c r="T12" s="232">
        <f>IFERROR(__xludf.DUMMYFUNCTION("""COMPUTED_VALUE"""),3026428.805252523)</f>
        <v>3026428.805</v>
      </c>
      <c r="U12" s="145">
        <f>IFERROR(__xludf.DUMMYFUNCTION("""COMPUTED_VALUE"""),1653.5200000000002)</f>
        <v>1653.52</v>
      </c>
      <c r="V12" s="145">
        <f>IFERROR(__xludf.DUMMYFUNCTION("""COMPUTED_VALUE"""),75.16000000000001)</f>
        <v>75.16</v>
      </c>
      <c r="W12" s="111">
        <f>IFERROR(__xludf.DUMMYFUNCTION("""COMPUTED_VALUE"""),0.1289500757950062)</f>
        <v>0.1289500758</v>
      </c>
      <c r="X12" s="233">
        <f>IFERROR(__xludf.DUMMYFUNCTION("""COMPUTED_VALUE"""),1.3699267301E7)</f>
        <v>13699267.3</v>
      </c>
      <c r="Y12" s="226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39"/>
      <c r="AN12" s="139"/>
      <c r="AO12" s="139"/>
      <c r="AP12" s="139"/>
      <c r="AQ12" s="139"/>
      <c r="AR12" s="139"/>
      <c r="AS12" s="139"/>
      <c r="AT12" s="139"/>
      <c r="AU12" s="139"/>
      <c r="AV12" s="139"/>
    </row>
    <row r="13">
      <c r="A13" s="127">
        <f>IFERROR(__xludf.DUMMYFUNCTION("""COMPUTED_VALUE"""),45682.0)</f>
        <v>45682</v>
      </c>
      <c r="B13" s="229">
        <f>IFERROR(__xludf.DUMMYFUNCTION("""COMPUTED_VALUE"""),3025373.0)</f>
        <v>3025373</v>
      </c>
      <c r="C13" s="230" t="str">
        <f>IFERROR(__xludf.DUMMYFUNCTION("""COMPUTED_VALUE"""),"Agustín Sanz Navamuel")</f>
        <v>Agustín Sanz Navamuel</v>
      </c>
      <c r="D13" s="145">
        <f>IFERROR(__xludf.DUMMYFUNCTION("""COMPUTED_VALUE"""),0.27)</f>
        <v>0.27</v>
      </c>
      <c r="E13" s="226">
        <f>IFERROR(__xludf.DUMMYFUNCTION("""COMPUTED_VALUE"""),67620.0)</f>
        <v>67620</v>
      </c>
      <c r="F13" s="226">
        <f>IFERROR(__xludf.DUMMYFUNCTION("""COMPUTED_VALUE"""),15796.0)</f>
        <v>15796</v>
      </c>
      <c r="G13" s="226">
        <f>IFERROR(__xludf.DUMMYFUNCTION("""COMPUTED_VALUE"""),17873.0)</f>
        <v>17873</v>
      </c>
      <c r="H13" s="226">
        <f>IFERROR(__xludf.DUMMYFUNCTION("""COMPUTED_VALUE"""),33951.0)</f>
        <v>33951</v>
      </c>
      <c r="I13" s="139" t="str">
        <f>IFERROR(__xludf.DUMMYFUNCTION("""COMPUTED_VALUE"""),"T8")</f>
        <v>T8</v>
      </c>
      <c r="J13" s="210">
        <f>IFERROR(__xludf.DUMMYFUNCTION("""COMPUTED_VALUE"""),211.0054)</f>
        <v>211.0054</v>
      </c>
      <c r="K13" s="210">
        <f>IFERROR(__xludf.DUMMYFUNCTION("""COMPUTED_VALUE"""),206.4781)</f>
        <v>206.4781</v>
      </c>
      <c r="L13" s="210">
        <f>IFERROR(__xludf.DUMMYFUNCTION("""COMPUTED_VALUE"""),208.1284)</f>
        <v>208.1284</v>
      </c>
      <c r="M13" s="145">
        <f>IFERROR(__xludf.DUMMYFUNCTION("""COMPUTED_VALUE"""),6112.6)</f>
        <v>6112.6</v>
      </c>
      <c r="N13" s="145">
        <f>IFERROR(__xludf.DUMMYFUNCTION("""COMPUTED_VALUE"""),73732.6)</f>
        <v>73732.6</v>
      </c>
      <c r="O13" s="210">
        <f>IFERROR(__xludf.DUMMYFUNCTION("""COMPUTED_VALUE"""),1.4089591688099999E7)</f>
        <v>14089591.69</v>
      </c>
      <c r="P13" s="210">
        <f>IFERROR(__xludf.DUMMYFUNCTION("""COMPUTED_VALUE"""),1075.5)</f>
        <v>1075.5</v>
      </c>
      <c r="Q13" s="231">
        <f>IFERROR(__xludf.DUMMYFUNCTION("""COMPUTED_VALUE"""),1182.8969389493259)</f>
        <v>1182.896939</v>
      </c>
      <c r="R13" s="210">
        <f>IFERROR(__xludf.DUMMYFUNCTION("""COMPUTED_VALUE"""),1272205.65784)</f>
        <v>1272205.658</v>
      </c>
      <c r="S13" s="232">
        <f>IFERROR(__xludf.DUMMYFUNCTION("""COMPUTED_VALUE"""),1465.0)</f>
        <v>1465</v>
      </c>
      <c r="T13" s="232">
        <f>IFERROR(__xludf.DUMMYFUNCTION("""COMPUTED_VALUE"""),2200838.8997621685)</f>
        <v>2200838.9</v>
      </c>
      <c r="U13" s="145">
        <f>IFERROR(__xludf.DUMMYFUNCTION("""COMPUTED_VALUE"""),1222.5200000000002)</f>
        <v>1222.52</v>
      </c>
      <c r="V13" s="145">
        <f>IFERROR(__xludf.DUMMYFUNCTION("""COMPUTED_VALUE"""),55.56909090909092)</f>
        <v>55.56909091</v>
      </c>
      <c r="W13" s="111">
        <f>IFERROR(__xludf.DUMMYFUNCTION("""COMPUTED_VALUE"""),0.08281619846887472)</f>
        <v>0.08281619847</v>
      </c>
      <c r="X13" s="233">
        <f>IFERROR(__xludf.DUMMYFUNCTION("""COMPUTED_VALUE"""),1.536179734594E7)</f>
        <v>15361797.35</v>
      </c>
      <c r="Y13" s="226"/>
      <c r="Z13" s="139"/>
      <c r="AA13" s="139"/>
      <c r="AB13" s="139"/>
      <c r="AC13" s="139"/>
      <c r="AD13" s="139"/>
      <c r="AE13" s="139"/>
      <c r="AF13" s="139"/>
      <c r="AG13" s="139"/>
      <c r="AH13" s="139"/>
      <c r="AI13" s="139"/>
      <c r="AJ13" s="139"/>
      <c r="AK13" s="139"/>
      <c r="AL13" s="139"/>
      <c r="AM13" s="139"/>
      <c r="AN13" s="139"/>
      <c r="AO13" s="139"/>
      <c r="AP13" s="139"/>
      <c r="AQ13" s="139"/>
      <c r="AR13" s="139"/>
      <c r="AS13" s="139"/>
      <c r="AT13" s="139"/>
      <c r="AU13" s="139"/>
      <c r="AV13" s="139"/>
    </row>
    <row r="14">
      <c r="A14" s="127"/>
      <c r="B14" s="229"/>
      <c r="C14" s="230"/>
      <c r="D14" s="145"/>
      <c r="E14" s="226"/>
      <c r="F14" s="226"/>
      <c r="G14" s="226"/>
      <c r="H14" s="226"/>
      <c r="I14" s="139"/>
      <c r="J14" s="210"/>
      <c r="K14" s="210"/>
      <c r="L14" s="210"/>
      <c r="M14" s="145"/>
      <c r="N14" s="145"/>
      <c r="O14" s="210"/>
      <c r="P14" s="210"/>
      <c r="Q14" s="231"/>
      <c r="R14" s="210"/>
      <c r="S14" s="232"/>
      <c r="T14" s="232"/>
      <c r="U14" s="145"/>
      <c r="V14" s="145"/>
      <c r="W14" s="111"/>
      <c r="X14" s="233"/>
      <c r="Y14" s="226"/>
      <c r="Z14" s="139"/>
      <c r="AA14" s="139"/>
      <c r="AB14" s="139"/>
      <c r="AC14" s="139"/>
      <c r="AD14" s="139"/>
      <c r="AE14" s="139"/>
      <c r="AF14" s="139"/>
      <c r="AG14" s="139"/>
      <c r="AH14" s="139"/>
      <c r="AI14" s="139"/>
      <c r="AJ14" s="139"/>
      <c r="AK14" s="139"/>
      <c r="AL14" s="139"/>
      <c r="AM14" s="139"/>
      <c r="AN14" s="139"/>
      <c r="AO14" s="139"/>
      <c r="AP14" s="139"/>
      <c r="AQ14" s="139"/>
      <c r="AR14" s="139"/>
      <c r="AS14" s="139"/>
      <c r="AT14" s="139"/>
      <c r="AU14" s="139"/>
      <c r="AV14" s="139"/>
    </row>
    <row r="15">
      <c r="A15" s="127"/>
      <c r="B15" s="229"/>
      <c r="C15" s="230"/>
      <c r="D15" s="145"/>
      <c r="E15" s="226"/>
      <c r="F15" s="226"/>
      <c r="G15" s="226"/>
      <c r="H15" s="226"/>
      <c r="I15" s="139"/>
      <c r="J15" s="210"/>
      <c r="K15" s="210"/>
      <c r="L15" s="210"/>
      <c r="M15" s="145"/>
      <c r="N15" s="145"/>
      <c r="O15" s="210"/>
      <c r="P15" s="210"/>
      <c r="Q15" s="231"/>
      <c r="R15" s="210"/>
      <c r="S15" s="232"/>
      <c r="T15" s="232"/>
      <c r="U15" s="145"/>
      <c r="V15" s="145"/>
      <c r="W15" s="111"/>
      <c r="X15" s="233"/>
      <c r="Y15" s="226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39"/>
      <c r="AT15" s="139"/>
      <c r="AU15" s="139"/>
      <c r="AV15" s="139"/>
    </row>
    <row r="16">
      <c r="A16" s="127"/>
      <c r="B16" s="229"/>
      <c r="C16" s="230"/>
      <c r="D16" s="145"/>
      <c r="E16" s="226"/>
      <c r="F16" s="226"/>
      <c r="G16" s="226"/>
      <c r="H16" s="226"/>
      <c r="I16" s="139"/>
      <c r="J16" s="210"/>
      <c r="K16" s="210"/>
      <c r="L16" s="210"/>
      <c r="M16" s="145"/>
      <c r="N16" s="145"/>
      <c r="O16" s="210"/>
      <c r="P16" s="210"/>
      <c r="Q16" s="231"/>
      <c r="R16" s="210"/>
      <c r="S16" s="232"/>
      <c r="T16" s="232"/>
      <c r="U16" s="145"/>
      <c r="V16" s="145"/>
      <c r="W16" s="111"/>
      <c r="X16" s="233"/>
      <c r="Y16" s="226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39"/>
      <c r="AO16" s="139"/>
      <c r="AP16" s="139"/>
      <c r="AQ16" s="139"/>
      <c r="AR16" s="139"/>
      <c r="AS16" s="139"/>
      <c r="AT16" s="139"/>
      <c r="AU16" s="139"/>
      <c r="AV16" s="139"/>
    </row>
    <row r="17">
      <c r="A17" s="127"/>
      <c r="B17" s="229"/>
      <c r="C17" s="230"/>
      <c r="D17" s="145"/>
      <c r="E17" s="226"/>
      <c r="F17" s="226"/>
      <c r="G17" s="226"/>
      <c r="H17" s="226"/>
      <c r="I17" s="139"/>
      <c r="J17" s="210"/>
      <c r="K17" s="210"/>
      <c r="L17" s="210"/>
      <c r="M17" s="145"/>
      <c r="N17" s="145"/>
      <c r="O17" s="210"/>
      <c r="P17" s="210"/>
      <c r="Q17" s="231"/>
      <c r="R17" s="210"/>
      <c r="S17" s="232"/>
      <c r="T17" s="232"/>
      <c r="U17" s="145"/>
      <c r="V17" s="145"/>
      <c r="W17" s="111"/>
      <c r="X17" s="233"/>
      <c r="Y17" s="226"/>
      <c r="Z17" s="139"/>
      <c r="AA17" s="139"/>
      <c r="AB17" s="139"/>
      <c r="AC17" s="139"/>
      <c r="AD17" s="139"/>
      <c r="AE17" s="139"/>
      <c r="AF17" s="139"/>
      <c r="AG17" s="139"/>
      <c r="AH17" s="139"/>
      <c r="AI17" s="139"/>
      <c r="AJ17" s="139"/>
      <c r="AK17" s="139"/>
      <c r="AL17" s="139"/>
      <c r="AM17" s="139"/>
      <c r="AN17" s="139"/>
      <c r="AO17" s="139"/>
      <c r="AP17" s="139"/>
      <c r="AQ17" s="139"/>
      <c r="AR17" s="139"/>
      <c r="AS17" s="139"/>
      <c r="AT17" s="139"/>
      <c r="AU17" s="139"/>
      <c r="AV17" s="139"/>
    </row>
    <row r="18">
      <c r="A18" s="127"/>
      <c r="B18" s="229"/>
      <c r="C18" s="230"/>
      <c r="D18" s="145"/>
      <c r="E18" s="226"/>
      <c r="F18" s="226"/>
      <c r="G18" s="226"/>
      <c r="H18" s="226"/>
      <c r="I18" s="139"/>
      <c r="J18" s="210"/>
      <c r="K18" s="210"/>
      <c r="L18" s="210"/>
      <c r="M18" s="145"/>
      <c r="N18" s="145"/>
      <c r="O18" s="210"/>
      <c r="P18" s="210"/>
      <c r="Q18" s="231"/>
      <c r="R18" s="210"/>
      <c r="S18" s="232"/>
      <c r="T18" s="232"/>
      <c r="U18" s="145"/>
      <c r="V18" s="145"/>
      <c r="W18" s="111"/>
      <c r="X18" s="233"/>
      <c r="Y18" s="226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139"/>
      <c r="AN18" s="139"/>
      <c r="AO18" s="139"/>
      <c r="AP18" s="139"/>
      <c r="AQ18" s="139"/>
      <c r="AR18" s="139"/>
      <c r="AS18" s="139"/>
      <c r="AT18" s="139"/>
      <c r="AU18" s="139"/>
      <c r="AV18" s="139"/>
    </row>
    <row r="19">
      <c r="A19" s="112"/>
      <c r="B19" s="229"/>
      <c r="C19" s="230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45"/>
      <c r="O19" s="139"/>
      <c r="P19" s="139"/>
      <c r="Q19" s="231"/>
      <c r="R19" s="139"/>
      <c r="S19" s="232"/>
      <c r="T19" s="232"/>
      <c r="U19" s="145"/>
      <c r="V19" s="145"/>
      <c r="W19" s="111"/>
      <c r="X19" s="233"/>
      <c r="Y19" s="226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139"/>
      <c r="AN19" s="139"/>
      <c r="AO19" s="139"/>
      <c r="AP19" s="139"/>
      <c r="AQ19" s="139"/>
      <c r="AR19" s="139"/>
      <c r="AS19" s="139"/>
      <c r="AT19" s="139"/>
      <c r="AU19" s="139"/>
      <c r="AV19" s="139"/>
    </row>
    <row r="20">
      <c r="A20" s="112"/>
      <c r="B20" s="229"/>
      <c r="C20" s="230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45"/>
      <c r="O20" s="139"/>
      <c r="P20" s="139"/>
      <c r="Q20" s="231"/>
      <c r="R20" s="139"/>
      <c r="S20" s="232"/>
      <c r="T20" s="232"/>
      <c r="U20" s="145"/>
      <c r="V20" s="145"/>
      <c r="W20" s="111"/>
      <c r="X20" s="233"/>
      <c r="Y20" s="226"/>
      <c r="Z20" s="139"/>
      <c r="AA20" s="139"/>
      <c r="AB20" s="139"/>
      <c r="AC20" s="139"/>
      <c r="AD20" s="139"/>
      <c r="AE20" s="139"/>
      <c r="AF20" s="139"/>
      <c r="AG20" s="139"/>
      <c r="AH20" s="139"/>
      <c r="AI20" s="139"/>
      <c r="AJ20" s="139"/>
      <c r="AK20" s="139"/>
      <c r="AL20" s="139"/>
      <c r="AM20" s="139"/>
      <c r="AN20" s="139"/>
      <c r="AO20" s="139"/>
      <c r="AP20" s="139"/>
      <c r="AQ20" s="139"/>
      <c r="AR20" s="139"/>
      <c r="AS20" s="139"/>
      <c r="AT20" s="139"/>
      <c r="AU20" s="139"/>
      <c r="AV20" s="139"/>
    </row>
    <row r="21">
      <c r="A21" s="112"/>
      <c r="B21" s="229"/>
      <c r="C21" s="230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45"/>
      <c r="O21" s="139"/>
      <c r="P21" s="139"/>
      <c r="Q21" s="231"/>
      <c r="R21" s="139"/>
      <c r="S21" s="232"/>
      <c r="T21" s="232"/>
      <c r="U21" s="145"/>
      <c r="V21" s="145"/>
      <c r="W21" s="111"/>
      <c r="X21" s="233"/>
      <c r="Y21" s="226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139"/>
      <c r="AN21" s="139"/>
      <c r="AO21" s="139"/>
      <c r="AP21" s="139"/>
      <c r="AQ21" s="139"/>
      <c r="AR21" s="139"/>
      <c r="AS21" s="139"/>
      <c r="AT21" s="139"/>
      <c r="AU21" s="139"/>
      <c r="AV21" s="139"/>
    </row>
    <row r="22">
      <c r="A22" s="112"/>
      <c r="B22" s="229"/>
      <c r="C22" s="230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45"/>
      <c r="O22" s="139"/>
      <c r="P22" s="139"/>
      <c r="Q22" s="231"/>
      <c r="R22" s="139"/>
      <c r="S22" s="232"/>
      <c r="T22" s="232"/>
      <c r="U22" s="145"/>
      <c r="V22" s="145"/>
      <c r="W22" s="111"/>
      <c r="X22" s="233"/>
      <c r="Y22" s="226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  <c r="AJ22" s="139"/>
      <c r="AK22" s="139"/>
      <c r="AL22" s="139"/>
      <c r="AM22" s="139"/>
      <c r="AN22" s="139"/>
      <c r="AO22" s="139"/>
      <c r="AP22" s="139"/>
      <c r="AQ22" s="139"/>
      <c r="AR22" s="139"/>
      <c r="AS22" s="139"/>
      <c r="AT22" s="139"/>
      <c r="AU22" s="139"/>
      <c r="AV22" s="139"/>
    </row>
    <row r="23">
      <c r="A23" s="112"/>
      <c r="B23" s="229"/>
      <c r="C23" s="230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45"/>
      <c r="O23" s="139"/>
      <c r="P23" s="139"/>
      <c r="Q23" s="231"/>
      <c r="R23" s="139"/>
      <c r="S23" s="232"/>
      <c r="T23" s="232"/>
      <c r="U23" s="145"/>
      <c r="V23" s="145"/>
      <c r="W23" s="111"/>
      <c r="X23" s="233"/>
      <c r="Y23" s="226"/>
      <c r="Z23" s="139"/>
      <c r="AA23" s="139"/>
      <c r="AB23" s="139"/>
      <c r="AC23" s="139"/>
      <c r="AD23" s="139"/>
      <c r="AE23" s="139"/>
      <c r="AF23" s="139"/>
      <c r="AG23" s="139"/>
      <c r="AH23" s="139"/>
      <c r="AI23" s="139"/>
      <c r="AJ23" s="139"/>
      <c r="AK23" s="139"/>
      <c r="AL23" s="139"/>
      <c r="AM23" s="139"/>
      <c r="AN23" s="139"/>
      <c r="AO23" s="139"/>
      <c r="AP23" s="139"/>
      <c r="AQ23" s="139"/>
      <c r="AR23" s="139"/>
      <c r="AS23" s="139"/>
      <c r="AT23" s="139"/>
      <c r="AU23" s="139"/>
      <c r="AV23" s="139"/>
    </row>
    <row r="24">
      <c r="A24" s="112"/>
      <c r="B24" s="229"/>
      <c r="C24" s="230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45"/>
      <c r="O24" s="139"/>
      <c r="P24" s="139"/>
      <c r="Q24" s="231"/>
      <c r="R24" s="139"/>
      <c r="S24" s="232"/>
      <c r="T24" s="232"/>
      <c r="U24" s="145"/>
      <c r="V24" s="145"/>
      <c r="W24" s="111"/>
      <c r="X24" s="233"/>
      <c r="Y24" s="226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139"/>
      <c r="AN24" s="139"/>
      <c r="AO24" s="139"/>
      <c r="AP24" s="139"/>
      <c r="AQ24" s="139"/>
      <c r="AR24" s="139"/>
      <c r="AS24" s="139"/>
      <c r="AT24" s="139"/>
      <c r="AU24" s="139"/>
      <c r="AV24" s="139"/>
    </row>
    <row r="25">
      <c r="A25" s="112"/>
      <c r="B25" s="229"/>
      <c r="C25" s="230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45"/>
      <c r="O25" s="139"/>
      <c r="P25" s="139"/>
      <c r="Q25" s="231"/>
      <c r="R25" s="139"/>
      <c r="S25" s="232"/>
      <c r="T25" s="232"/>
      <c r="U25" s="145"/>
      <c r="V25" s="145"/>
      <c r="W25" s="111"/>
      <c r="X25" s="233"/>
      <c r="Y25" s="226"/>
      <c r="Z25" s="139"/>
      <c r="AA25" s="139"/>
      <c r="AB25" s="139"/>
      <c r="AC25" s="139"/>
      <c r="AD25" s="139"/>
      <c r="AE25" s="139"/>
      <c r="AF25" s="139"/>
      <c r="AG25" s="139"/>
      <c r="AH25" s="139"/>
      <c r="AI25" s="139"/>
      <c r="AJ25" s="139"/>
      <c r="AK25" s="139"/>
      <c r="AL25" s="139"/>
      <c r="AM25" s="139"/>
      <c r="AN25" s="139"/>
      <c r="AO25" s="139"/>
      <c r="AP25" s="139"/>
      <c r="AQ25" s="139"/>
      <c r="AR25" s="139"/>
      <c r="AS25" s="139"/>
      <c r="AT25" s="139"/>
      <c r="AU25" s="139"/>
      <c r="AV25" s="139"/>
    </row>
    <row r="26">
      <c r="A26" s="112"/>
      <c r="B26" s="229"/>
      <c r="C26" s="230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45"/>
      <c r="O26" s="139"/>
      <c r="P26" s="139"/>
      <c r="Q26" s="231"/>
      <c r="R26" s="139"/>
      <c r="S26" s="232"/>
      <c r="T26" s="232"/>
      <c r="U26" s="145"/>
      <c r="V26" s="145"/>
      <c r="W26" s="111"/>
      <c r="X26" s="233"/>
      <c r="Y26" s="226"/>
      <c r="Z26" s="139"/>
      <c r="AA26" s="139"/>
      <c r="AB26" s="139"/>
      <c r="AC26" s="139"/>
      <c r="AD26" s="139"/>
      <c r="AE26" s="139"/>
      <c r="AF26" s="139"/>
      <c r="AG26" s="139"/>
      <c r="AH26" s="139"/>
      <c r="AI26" s="139"/>
      <c r="AJ26" s="139"/>
      <c r="AK26" s="139"/>
      <c r="AL26" s="139"/>
      <c r="AM26" s="139"/>
      <c r="AN26" s="139"/>
      <c r="AO26" s="139"/>
      <c r="AP26" s="139"/>
      <c r="AQ26" s="139"/>
      <c r="AR26" s="139"/>
      <c r="AS26" s="139"/>
      <c r="AT26" s="139"/>
      <c r="AU26" s="139"/>
      <c r="AV26" s="139"/>
    </row>
    <row r="27">
      <c r="A27" s="112"/>
      <c r="B27" s="229"/>
      <c r="C27" s="230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45"/>
      <c r="O27" s="139"/>
      <c r="P27" s="139"/>
      <c r="Q27" s="231"/>
      <c r="R27" s="139"/>
      <c r="S27" s="232"/>
      <c r="T27" s="232"/>
      <c r="U27" s="145"/>
      <c r="V27" s="145"/>
      <c r="W27" s="111"/>
      <c r="X27" s="233"/>
      <c r="Y27" s="226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</row>
    <row r="28">
      <c r="A28" s="112"/>
      <c r="B28" s="229"/>
      <c r="C28" s="230"/>
      <c r="D28" s="139"/>
      <c r="E28" s="139"/>
      <c r="F28" s="139"/>
      <c r="G28" s="139"/>
      <c r="H28" s="139"/>
      <c r="I28" s="139"/>
      <c r="J28" s="139"/>
      <c r="K28" s="139"/>
      <c r="L28" s="139"/>
      <c r="M28" s="139"/>
      <c r="N28" s="145"/>
      <c r="O28" s="139"/>
      <c r="P28" s="139"/>
      <c r="Q28" s="231"/>
      <c r="R28" s="139"/>
      <c r="S28" s="232"/>
      <c r="T28" s="232"/>
      <c r="U28" s="145"/>
      <c r="V28" s="145"/>
      <c r="W28" s="111"/>
      <c r="X28" s="233"/>
      <c r="Y28" s="226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139"/>
      <c r="AN28" s="139"/>
      <c r="AO28" s="139"/>
      <c r="AP28" s="139"/>
      <c r="AQ28" s="139"/>
      <c r="AR28" s="139"/>
      <c r="AS28" s="139"/>
      <c r="AT28" s="139"/>
      <c r="AU28" s="139"/>
      <c r="AV28" s="139"/>
    </row>
    <row r="29">
      <c r="A29" s="112"/>
      <c r="B29" s="229"/>
      <c r="C29" s="230"/>
      <c r="D29" s="139"/>
      <c r="E29" s="139"/>
      <c r="F29" s="139"/>
      <c r="G29" s="139"/>
      <c r="H29" s="139"/>
      <c r="I29" s="139"/>
      <c r="J29" s="139"/>
      <c r="K29" s="139"/>
      <c r="L29" s="139"/>
      <c r="M29" s="139"/>
      <c r="N29" s="145"/>
      <c r="O29" s="139"/>
      <c r="P29" s="139"/>
      <c r="Q29" s="231"/>
      <c r="R29" s="139"/>
      <c r="S29" s="232"/>
      <c r="T29" s="232"/>
      <c r="U29" s="145"/>
      <c r="V29" s="145"/>
      <c r="W29" s="111"/>
      <c r="X29" s="233"/>
      <c r="Y29" s="226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</row>
    <row r="30">
      <c r="A30" s="112"/>
      <c r="B30" s="229"/>
      <c r="C30" s="230"/>
      <c r="D30" s="139"/>
      <c r="E30" s="139"/>
      <c r="F30" s="139"/>
      <c r="G30" s="139"/>
      <c r="H30" s="139"/>
      <c r="I30" s="139"/>
      <c r="J30" s="139"/>
      <c r="K30" s="139"/>
      <c r="L30" s="139"/>
      <c r="M30" s="139"/>
      <c r="N30" s="145"/>
      <c r="O30" s="139"/>
      <c r="P30" s="139"/>
      <c r="Q30" s="231"/>
      <c r="R30" s="139"/>
      <c r="S30" s="232"/>
      <c r="T30" s="232"/>
      <c r="U30" s="145"/>
      <c r="V30" s="145"/>
      <c r="W30" s="111"/>
      <c r="X30" s="233"/>
      <c r="Y30" s="226"/>
      <c r="Z30" s="139"/>
      <c r="AA30" s="139"/>
      <c r="AB30" s="139"/>
      <c r="AC30" s="139"/>
      <c r="AD30" s="139"/>
      <c r="AE30" s="139"/>
      <c r="AF30" s="139"/>
      <c r="AG30" s="139"/>
      <c r="AH30" s="139"/>
      <c r="AI30" s="139"/>
      <c r="AJ30" s="139"/>
      <c r="AK30" s="139"/>
      <c r="AL30" s="139"/>
      <c r="AM30" s="139"/>
      <c r="AN30" s="139"/>
      <c r="AO30" s="139"/>
      <c r="AP30" s="139"/>
      <c r="AQ30" s="139"/>
      <c r="AR30" s="139"/>
      <c r="AS30" s="139"/>
      <c r="AT30" s="139"/>
      <c r="AU30" s="139"/>
      <c r="AV30" s="139"/>
    </row>
    <row r="31">
      <c r="A31" s="112"/>
      <c r="B31" s="229"/>
      <c r="C31" s="230"/>
      <c r="D31" s="139"/>
      <c r="E31" s="139"/>
      <c r="F31" s="139"/>
      <c r="G31" s="139"/>
      <c r="H31" s="139"/>
      <c r="I31" s="139"/>
      <c r="J31" s="139"/>
      <c r="K31" s="139"/>
      <c r="L31" s="139"/>
      <c r="M31" s="139"/>
      <c r="N31" s="145"/>
      <c r="O31" s="139"/>
      <c r="P31" s="139"/>
      <c r="Q31" s="231"/>
      <c r="R31" s="139"/>
      <c r="S31" s="232"/>
      <c r="T31" s="232"/>
      <c r="U31" s="145"/>
      <c r="V31" s="145"/>
      <c r="W31" s="111"/>
      <c r="X31" s="233"/>
      <c r="Y31" s="226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139"/>
      <c r="AN31" s="139"/>
      <c r="AO31" s="139"/>
      <c r="AP31" s="139"/>
      <c r="AQ31" s="139"/>
      <c r="AR31" s="139"/>
      <c r="AS31" s="139"/>
      <c r="AT31" s="139"/>
      <c r="AU31" s="139"/>
      <c r="AV31" s="139"/>
    </row>
    <row r="32">
      <c r="A32" s="112"/>
      <c r="B32" s="229"/>
      <c r="C32" s="230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45"/>
      <c r="O32" s="139"/>
      <c r="P32" s="139"/>
      <c r="Q32" s="231"/>
      <c r="R32" s="139"/>
      <c r="S32" s="232"/>
      <c r="T32" s="232"/>
      <c r="U32" s="145"/>
      <c r="V32" s="145"/>
      <c r="W32" s="111"/>
      <c r="X32" s="233"/>
      <c r="Y32" s="226"/>
      <c r="Z32" s="139"/>
      <c r="AA32" s="139"/>
      <c r="AB32" s="139"/>
      <c r="AC32" s="139"/>
      <c r="AD32" s="139"/>
      <c r="AE32" s="139"/>
      <c r="AF32" s="139"/>
      <c r="AG32" s="139"/>
      <c r="AH32" s="139"/>
      <c r="AI32" s="139"/>
      <c r="AJ32" s="139"/>
      <c r="AK32" s="139"/>
      <c r="AL32" s="139"/>
      <c r="AM32" s="139"/>
      <c r="AN32" s="139"/>
      <c r="AO32" s="139"/>
      <c r="AP32" s="139"/>
      <c r="AQ32" s="139"/>
      <c r="AR32" s="139"/>
      <c r="AS32" s="139"/>
      <c r="AT32" s="139"/>
      <c r="AU32" s="139"/>
      <c r="AV32" s="139"/>
    </row>
    <row r="33">
      <c r="A33" s="112"/>
      <c r="B33" s="229"/>
      <c r="C33" s="230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45"/>
      <c r="O33" s="139"/>
      <c r="P33" s="139"/>
      <c r="Q33" s="231"/>
      <c r="R33" s="139"/>
      <c r="S33" s="232"/>
      <c r="T33" s="232"/>
      <c r="U33" s="145"/>
      <c r="V33" s="145"/>
      <c r="W33" s="111"/>
      <c r="X33" s="233"/>
      <c r="Y33" s="226"/>
      <c r="Z33" s="139"/>
      <c r="AA33" s="139"/>
      <c r="AB33" s="139"/>
      <c r="AC33" s="139"/>
      <c r="AD33" s="139"/>
      <c r="AE33" s="139"/>
      <c r="AF33" s="139"/>
      <c r="AG33" s="139"/>
      <c r="AH33" s="139"/>
      <c r="AI33" s="139"/>
      <c r="AJ33" s="139"/>
      <c r="AK33" s="139"/>
      <c r="AL33" s="139"/>
      <c r="AM33" s="139"/>
      <c r="AN33" s="139"/>
      <c r="AO33" s="139"/>
      <c r="AP33" s="139"/>
      <c r="AQ33" s="139"/>
      <c r="AR33" s="139"/>
      <c r="AS33" s="139"/>
      <c r="AT33" s="139"/>
      <c r="AU33" s="139"/>
      <c r="AV33" s="139"/>
    </row>
    <row r="34">
      <c r="A34" s="112"/>
      <c r="B34" s="229"/>
      <c r="C34" s="230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145"/>
      <c r="O34" s="139"/>
      <c r="P34" s="139"/>
      <c r="Q34" s="231"/>
      <c r="R34" s="139"/>
      <c r="S34" s="232"/>
      <c r="T34" s="232"/>
      <c r="U34" s="145"/>
      <c r="V34" s="145"/>
      <c r="W34" s="111"/>
      <c r="X34" s="233"/>
      <c r="Y34" s="226"/>
      <c r="Z34" s="139"/>
      <c r="AA34" s="139"/>
      <c r="AB34" s="139"/>
      <c r="AC34" s="139"/>
      <c r="AD34" s="139"/>
      <c r="AE34" s="139"/>
      <c r="AF34" s="139"/>
      <c r="AG34" s="139"/>
      <c r="AH34" s="139"/>
      <c r="AI34" s="139"/>
      <c r="AJ34" s="139"/>
      <c r="AK34" s="139"/>
      <c r="AL34" s="139"/>
      <c r="AM34" s="139"/>
      <c r="AN34" s="139"/>
      <c r="AO34" s="139"/>
      <c r="AP34" s="139"/>
      <c r="AQ34" s="139"/>
      <c r="AR34" s="139"/>
      <c r="AS34" s="139"/>
      <c r="AT34" s="139"/>
      <c r="AU34" s="139"/>
      <c r="AV34" s="139"/>
    </row>
    <row r="35">
      <c r="A35" s="112"/>
      <c r="B35" s="229"/>
      <c r="C35" s="230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45"/>
      <c r="O35" s="139"/>
      <c r="P35" s="139"/>
      <c r="Q35" s="231"/>
      <c r="R35" s="139"/>
      <c r="S35" s="232"/>
      <c r="T35" s="232"/>
      <c r="U35" s="145"/>
      <c r="V35" s="145"/>
      <c r="W35" s="111"/>
      <c r="X35" s="233"/>
      <c r="Y35" s="226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139"/>
      <c r="AN35" s="139"/>
      <c r="AO35" s="139"/>
      <c r="AP35" s="139"/>
      <c r="AQ35" s="139"/>
      <c r="AR35" s="139"/>
      <c r="AS35" s="139"/>
      <c r="AT35" s="139"/>
      <c r="AU35" s="139"/>
      <c r="AV35" s="139"/>
    </row>
    <row r="36">
      <c r="A36" s="112"/>
      <c r="B36" s="229"/>
      <c r="C36" s="230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45"/>
      <c r="O36" s="139"/>
      <c r="P36" s="139"/>
      <c r="Q36" s="231"/>
      <c r="R36" s="139"/>
      <c r="S36" s="232"/>
      <c r="T36" s="232"/>
      <c r="U36" s="145"/>
      <c r="V36" s="145"/>
      <c r="W36" s="111"/>
      <c r="X36" s="233"/>
      <c r="Y36" s="226"/>
      <c r="Z36" s="139"/>
      <c r="AA36" s="139"/>
      <c r="AB36" s="139"/>
      <c r="AC36" s="139"/>
      <c r="AD36" s="139"/>
      <c r="AE36" s="139"/>
      <c r="AF36" s="139"/>
      <c r="AG36" s="139"/>
      <c r="AH36" s="139"/>
      <c r="AI36" s="139"/>
      <c r="AJ36" s="139"/>
      <c r="AK36" s="139"/>
      <c r="AL36" s="139"/>
      <c r="AM36" s="139"/>
      <c r="AN36" s="139"/>
      <c r="AO36" s="139"/>
      <c r="AP36" s="139"/>
      <c r="AQ36" s="139"/>
      <c r="AR36" s="139"/>
      <c r="AS36" s="139"/>
      <c r="AT36" s="139"/>
      <c r="AU36" s="139"/>
      <c r="AV36" s="139"/>
    </row>
    <row r="37">
      <c r="A37" s="112"/>
      <c r="B37" s="229"/>
      <c r="C37" s="230"/>
      <c r="D37" s="139"/>
      <c r="E37" s="139"/>
      <c r="F37" s="139"/>
      <c r="G37" s="139"/>
      <c r="H37" s="139"/>
      <c r="I37" s="139"/>
      <c r="J37" s="139"/>
      <c r="K37" s="139"/>
      <c r="L37" s="139"/>
      <c r="M37" s="139"/>
      <c r="N37" s="145"/>
      <c r="O37" s="139"/>
      <c r="P37" s="139"/>
      <c r="Q37" s="231"/>
      <c r="R37" s="139"/>
      <c r="S37" s="232"/>
      <c r="T37" s="232"/>
      <c r="U37" s="145"/>
      <c r="V37" s="145"/>
      <c r="W37" s="111"/>
      <c r="X37" s="233"/>
      <c r="Y37" s="226"/>
      <c r="Z37" s="139"/>
      <c r="AA37" s="139"/>
      <c r="AB37" s="139"/>
      <c r="AC37" s="139"/>
      <c r="AD37" s="139"/>
      <c r="AE37" s="139"/>
      <c r="AF37" s="139"/>
      <c r="AG37" s="139"/>
      <c r="AH37" s="139"/>
      <c r="AI37" s="139"/>
      <c r="AJ37" s="139"/>
      <c r="AK37" s="139"/>
      <c r="AL37" s="139"/>
      <c r="AM37" s="139"/>
      <c r="AN37" s="139"/>
      <c r="AO37" s="139"/>
      <c r="AP37" s="139"/>
      <c r="AQ37" s="139"/>
      <c r="AR37" s="139"/>
      <c r="AS37" s="139"/>
      <c r="AT37" s="139"/>
      <c r="AU37" s="139"/>
      <c r="AV37" s="139"/>
    </row>
    <row r="38">
      <c r="A38" s="112"/>
      <c r="B38" s="229"/>
      <c r="C38" s="230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45"/>
      <c r="O38" s="139"/>
      <c r="P38" s="139"/>
      <c r="Q38" s="231"/>
      <c r="R38" s="139"/>
      <c r="S38" s="232"/>
      <c r="T38" s="232"/>
      <c r="U38" s="145"/>
      <c r="V38" s="145"/>
      <c r="W38" s="111"/>
      <c r="X38" s="233"/>
      <c r="Y38" s="226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139"/>
      <c r="AN38" s="139"/>
      <c r="AO38" s="139"/>
      <c r="AP38" s="139"/>
      <c r="AQ38" s="139"/>
      <c r="AR38" s="139"/>
      <c r="AS38" s="139"/>
      <c r="AT38" s="139"/>
      <c r="AU38" s="139"/>
      <c r="AV38" s="139"/>
    </row>
    <row r="39">
      <c r="A39" s="112"/>
      <c r="B39" s="229"/>
      <c r="C39" s="230"/>
      <c r="D39" s="139"/>
      <c r="E39" s="139"/>
      <c r="F39" s="139"/>
      <c r="G39" s="139"/>
      <c r="H39" s="139"/>
      <c r="I39" s="139"/>
      <c r="J39" s="139"/>
      <c r="K39" s="139"/>
      <c r="L39" s="139"/>
      <c r="M39" s="139"/>
      <c r="N39" s="145"/>
      <c r="O39" s="139"/>
      <c r="P39" s="139"/>
      <c r="Q39" s="231"/>
      <c r="R39" s="139"/>
      <c r="S39" s="232"/>
      <c r="T39" s="232"/>
      <c r="U39" s="145"/>
      <c r="V39" s="145"/>
      <c r="W39" s="111"/>
      <c r="X39" s="233"/>
      <c r="Y39" s="226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139"/>
      <c r="AN39" s="139"/>
      <c r="AO39" s="139"/>
      <c r="AP39" s="139"/>
      <c r="AQ39" s="139"/>
      <c r="AR39" s="139"/>
      <c r="AS39" s="139"/>
      <c r="AT39" s="139"/>
      <c r="AU39" s="139"/>
      <c r="AV39" s="139"/>
    </row>
    <row r="40">
      <c r="A40" s="112"/>
      <c r="B40" s="229"/>
      <c r="C40" s="230"/>
      <c r="D40" s="139"/>
      <c r="E40" s="139"/>
      <c r="F40" s="139"/>
      <c r="G40" s="139"/>
      <c r="H40" s="139"/>
      <c r="I40" s="139"/>
      <c r="J40" s="139"/>
      <c r="K40" s="139"/>
      <c r="L40" s="139"/>
      <c r="M40" s="139"/>
      <c r="N40" s="145"/>
      <c r="O40" s="139"/>
      <c r="P40" s="139"/>
      <c r="Q40" s="231"/>
      <c r="R40" s="139"/>
      <c r="S40" s="232"/>
      <c r="T40" s="232"/>
      <c r="U40" s="145"/>
      <c r="V40" s="145"/>
      <c r="W40" s="111"/>
      <c r="X40" s="233"/>
      <c r="Y40" s="226"/>
      <c r="Z40" s="139"/>
      <c r="AA40" s="139"/>
      <c r="AB40" s="139"/>
      <c r="AC40" s="139"/>
      <c r="AD40" s="139"/>
      <c r="AE40" s="139"/>
      <c r="AF40" s="139"/>
      <c r="AG40" s="139"/>
      <c r="AH40" s="139"/>
      <c r="AI40" s="139"/>
      <c r="AJ40" s="139"/>
      <c r="AK40" s="139"/>
      <c r="AL40" s="139"/>
      <c r="AM40" s="139"/>
      <c r="AN40" s="139"/>
      <c r="AO40" s="139"/>
      <c r="AP40" s="139"/>
      <c r="AQ40" s="139"/>
      <c r="AR40" s="139"/>
      <c r="AS40" s="139"/>
      <c r="AT40" s="139"/>
      <c r="AU40" s="139"/>
      <c r="AV40" s="139"/>
    </row>
    <row r="41">
      <c r="A41" s="112"/>
      <c r="B41" s="229"/>
      <c r="C41" s="230"/>
      <c r="D41" s="139"/>
      <c r="E41" s="139"/>
      <c r="F41" s="139"/>
      <c r="G41" s="139"/>
      <c r="H41" s="139"/>
      <c r="I41" s="139"/>
      <c r="J41" s="139"/>
      <c r="K41" s="139"/>
      <c r="L41" s="139"/>
      <c r="M41" s="139"/>
      <c r="N41" s="145"/>
      <c r="O41" s="139"/>
      <c r="P41" s="139"/>
      <c r="Q41" s="231"/>
      <c r="R41" s="139"/>
      <c r="S41" s="232"/>
      <c r="T41" s="232"/>
      <c r="U41" s="145"/>
      <c r="V41" s="145"/>
      <c r="W41" s="111"/>
      <c r="X41" s="233"/>
      <c r="Y41" s="226"/>
      <c r="Z41" s="139"/>
      <c r="AA41" s="139"/>
      <c r="AB41" s="139"/>
      <c r="AC41" s="139"/>
      <c r="AD41" s="139"/>
      <c r="AE41" s="139"/>
      <c r="AF41" s="139"/>
      <c r="AG41" s="139"/>
      <c r="AH41" s="139"/>
      <c r="AI41" s="139"/>
      <c r="AJ41" s="139"/>
      <c r="AK41" s="139"/>
      <c r="AL41" s="139"/>
      <c r="AM41" s="139"/>
      <c r="AN41" s="139"/>
      <c r="AO41" s="139"/>
      <c r="AP41" s="139"/>
      <c r="AQ41" s="139"/>
      <c r="AR41" s="139"/>
      <c r="AS41" s="139"/>
      <c r="AT41" s="139"/>
      <c r="AU41" s="139"/>
      <c r="AV41" s="139"/>
    </row>
    <row r="42">
      <c r="A42" s="112"/>
      <c r="B42" s="229"/>
      <c r="C42" s="230"/>
      <c r="D42" s="139"/>
      <c r="E42" s="139"/>
      <c r="F42" s="139"/>
      <c r="G42" s="139"/>
      <c r="H42" s="139"/>
      <c r="I42" s="139"/>
      <c r="J42" s="139"/>
      <c r="K42" s="139"/>
      <c r="L42" s="139"/>
      <c r="M42" s="139"/>
      <c r="N42" s="145"/>
      <c r="O42" s="139"/>
      <c r="P42" s="139"/>
      <c r="Q42" s="231"/>
      <c r="R42" s="139"/>
      <c r="S42" s="232"/>
      <c r="T42" s="232"/>
      <c r="U42" s="145"/>
      <c r="V42" s="145"/>
      <c r="W42" s="111"/>
      <c r="X42" s="233"/>
      <c r="Y42" s="226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139"/>
      <c r="AN42" s="139"/>
      <c r="AO42" s="139"/>
      <c r="AP42" s="139"/>
      <c r="AQ42" s="139"/>
      <c r="AR42" s="139"/>
      <c r="AS42" s="139"/>
      <c r="AT42" s="139"/>
      <c r="AU42" s="139"/>
      <c r="AV42" s="139"/>
    </row>
    <row r="43">
      <c r="A43" s="112"/>
      <c r="B43" s="229"/>
      <c r="C43" s="230"/>
      <c r="D43" s="139"/>
      <c r="E43" s="139"/>
      <c r="F43" s="139"/>
      <c r="G43" s="139"/>
      <c r="H43" s="139"/>
      <c r="I43" s="139"/>
      <c r="J43" s="139"/>
      <c r="K43" s="139"/>
      <c r="L43" s="139"/>
      <c r="M43" s="139"/>
      <c r="N43" s="145"/>
      <c r="O43" s="139"/>
      <c r="P43" s="139"/>
      <c r="Q43" s="231"/>
      <c r="R43" s="139"/>
      <c r="S43" s="232"/>
      <c r="T43" s="232"/>
      <c r="U43" s="145"/>
      <c r="V43" s="145"/>
      <c r="W43" s="111"/>
      <c r="X43" s="233"/>
      <c r="Y43" s="226"/>
      <c r="Z43" s="139"/>
      <c r="AA43" s="139"/>
      <c r="AB43" s="139"/>
      <c r="AC43" s="139"/>
      <c r="AD43" s="139"/>
      <c r="AE43" s="139"/>
      <c r="AF43" s="139"/>
      <c r="AG43" s="139"/>
      <c r="AH43" s="139"/>
      <c r="AI43" s="139"/>
      <c r="AJ43" s="139"/>
      <c r="AK43" s="139"/>
      <c r="AL43" s="139"/>
      <c r="AM43" s="139"/>
      <c r="AN43" s="139"/>
      <c r="AO43" s="139"/>
      <c r="AP43" s="139"/>
      <c r="AQ43" s="139"/>
      <c r="AR43" s="139"/>
      <c r="AS43" s="139"/>
      <c r="AT43" s="139"/>
      <c r="AU43" s="139"/>
      <c r="AV43" s="139"/>
    </row>
    <row r="44">
      <c r="A44" s="112"/>
      <c r="B44" s="229"/>
      <c r="C44" s="230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45"/>
      <c r="O44" s="139"/>
      <c r="P44" s="139"/>
      <c r="Q44" s="231"/>
      <c r="R44" s="139"/>
      <c r="S44" s="232"/>
      <c r="T44" s="232"/>
      <c r="U44" s="145"/>
      <c r="V44" s="145"/>
      <c r="W44" s="111"/>
      <c r="X44" s="233"/>
      <c r="Y44" s="226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139"/>
      <c r="AN44" s="139"/>
      <c r="AO44" s="139"/>
      <c r="AP44" s="139"/>
      <c r="AQ44" s="139"/>
      <c r="AR44" s="139"/>
      <c r="AS44" s="139"/>
      <c r="AT44" s="139"/>
      <c r="AU44" s="139"/>
      <c r="AV44" s="139"/>
    </row>
    <row r="45">
      <c r="A45" s="112"/>
      <c r="B45" s="229"/>
      <c r="C45" s="230"/>
      <c r="D45" s="139"/>
      <c r="E45" s="139"/>
      <c r="F45" s="139"/>
      <c r="G45" s="139"/>
      <c r="H45" s="139"/>
      <c r="I45" s="139"/>
      <c r="J45" s="139"/>
      <c r="K45" s="139"/>
      <c r="L45" s="139"/>
      <c r="M45" s="139"/>
      <c r="N45" s="145"/>
      <c r="O45" s="139"/>
      <c r="P45" s="139"/>
      <c r="Q45" s="231"/>
      <c r="R45" s="139"/>
      <c r="S45" s="232"/>
      <c r="T45" s="232"/>
      <c r="U45" s="145"/>
      <c r="V45" s="145"/>
      <c r="W45" s="111"/>
      <c r="X45" s="233"/>
      <c r="Y45" s="226"/>
      <c r="Z45" s="139"/>
      <c r="AA45" s="139"/>
      <c r="AB45" s="139"/>
      <c r="AC45" s="139"/>
      <c r="AD45" s="139"/>
      <c r="AE45" s="139"/>
      <c r="AF45" s="139"/>
      <c r="AG45" s="139"/>
      <c r="AH45" s="139"/>
      <c r="AI45" s="139"/>
      <c r="AJ45" s="139"/>
      <c r="AK45" s="139"/>
      <c r="AL45" s="139"/>
      <c r="AM45" s="139"/>
      <c r="AN45" s="139"/>
      <c r="AO45" s="139"/>
      <c r="AP45" s="139"/>
      <c r="AQ45" s="139"/>
      <c r="AR45" s="139"/>
      <c r="AS45" s="139"/>
      <c r="AT45" s="139"/>
      <c r="AU45" s="139"/>
      <c r="AV45" s="139"/>
    </row>
    <row r="46">
      <c r="A46" s="112"/>
      <c r="B46" s="229"/>
      <c r="C46" s="230"/>
      <c r="D46" s="139"/>
      <c r="E46" s="139"/>
      <c r="F46" s="139"/>
      <c r="G46" s="139"/>
      <c r="H46" s="139"/>
      <c r="I46" s="139"/>
      <c r="J46" s="139"/>
      <c r="K46" s="139"/>
      <c r="L46" s="139"/>
      <c r="M46" s="139"/>
      <c r="N46" s="145"/>
      <c r="O46" s="139"/>
      <c r="P46" s="139"/>
      <c r="Q46" s="231"/>
      <c r="R46" s="139"/>
      <c r="S46" s="232"/>
      <c r="T46" s="232"/>
      <c r="U46" s="145"/>
      <c r="V46" s="145"/>
      <c r="W46" s="111"/>
      <c r="X46" s="233"/>
      <c r="Y46" s="226"/>
      <c r="Z46" s="139"/>
      <c r="AA46" s="139"/>
      <c r="AB46" s="139"/>
      <c r="AC46" s="139"/>
      <c r="AD46" s="139"/>
      <c r="AE46" s="139"/>
      <c r="AF46" s="139"/>
      <c r="AG46" s="139"/>
      <c r="AH46" s="139"/>
      <c r="AI46" s="139"/>
      <c r="AJ46" s="139"/>
      <c r="AK46" s="139"/>
      <c r="AL46" s="139"/>
      <c r="AM46" s="139"/>
      <c r="AN46" s="139"/>
      <c r="AO46" s="139"/>
      <c r="AP46" s="139"/>
      <c r="AQ46" s="139"/>
      <c r="AR46" s="139"/>
      <c r="AS46" s="139"/>
      <c r="AT46" s="139"/>
      <c r="AU46" s="139"/>
      <c r="AV46" s="139"/>
    </row>
    <row r="47">
      <c r="A47" s="112"/>
      <c r="B47" s="229"/>
      <c r="C47" s="230"/>
      <c r="D47" s="139"/>
      <c r="E47" s="139"/>
      <c r="F47" s="139"/>
      <c r="G47" s="139"/>
      <c r="H47" s="139"/>
      <c r="I47" s="139"/>
      <c r="J47" s="139"/>
      <c r="K47" s="139"/>
      <c r="L47" s="139"/>
      <c r="M47" s="139"/>
      <c r="N47" s="145"/>
      <c r="O47" s="139"/>
      <c r="P47" s="139"/>
      <c r="Q47" s="231"/>
      <c r="R47" s="139"/>
      <c r="S47" s="232"/>
      <c r="T47" s="232"/>
      <c r="U47" s="145"/>
      <c r="V47" s="145"/>
      <c r="W47" s="111"/>
      <c r="X47" s="233"/>
      <c r="Y47" s="226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139"/>
      <c r="AN47" s="139"/>
      <c r="AO47" s="139"/>
      <c r="AP47" s="139"/>
      <c r="AQ47" s="139"/>
      <c r="AR47" s="139"/>
      <c r="AS47" s="139"/>
      <c r="AT47" s="139"/>
      <c r="AU47" s="139"/>
      <c r="AV47" s="139"/>
    </row>
    <row r="48">
      <c r="A48" s="112"/>
      <c r="B48" s="229"/>
      <c r="C48" s="230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45"/>
      <c r="O48" s="139"/>
      <c r="P48" s="139"/>
      <c r="Q48" s="231"/>
      <c r="R48" s="139"/>
      <c r="S48" s="232"/>
      <c r="T48" s="232"/>
      <c r="U48" s="145"/>
      <c r="V48" s="145"/>
      <c r="W48" s="111"/>
      <c r="X48" s="233"/>
      <c r="Y48" s="226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139"/>
      <c r="AN48" s="139"/>
      <c r="AO48" s="139"/>
      <c r="AP48" s="139"/>
      <c r="AQ48" s="139"/>
      <c r="AR48" s="139"/>
      <c r="AS48" s="139"/>
      <c r="AT48" s="139"/>
      <c r="AU48" s="139"/>
      <c r="AV48" s="139"/>
    </row>
    <row r="49">
      <c r="A49" s="112"/>
      <c r="B49" s="229"/>
      <c r="C49" s="230"/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45"/>
      <c r="O49" s="139"/>
      <c r="P49" s="139"/>
      <c r="Q49" s="231"/>
      <c r="R49" s="139"/>
      <c r="S49" s="232"/>
      <c r="T49" s="232"/>
      <c r="U49" s="145"/>
      <c r="V49" s="145"/>
      <c r="W49" s="111"/>
      <c r="X49" s="233"/>
      <c r="Y49" s="226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139"/>
      <c r="AN49" s="139"/>
      <c r="AO49" s="139"/>
      <c r="AP49" s="139"/>
      <c r="AQ49" s="139"/>
      <c r="AR49" s="139"/>
      <c r="AS49" s="139"/>
      <c r="AT49" s="139"/>
      <c r="AU49" s="139"/>
      <c r="AV49" s="139"/>
    </row>
    <row r="50">
      <c r="A50" s="112"/>
      <c r="B50" s="229"/>
      <c r="C50" s="230"/>
      <c r="D50" s="139"/>
      <c r="E50" s="139"/>
      <c r="F50" s="139"/>
      <c r="G50" s="139"/>
      <c r="H50" s="139"/>
      <c r="I50" s="139"/>
      <c r="J50" s="139"/>
      <c r="K50" s="139"/>
      <c r="L50" s="139"/>
      <c r="M50" s="139"/>
      <c r="N50" s="145"/>
      <c r="O50" s="139"/>
      <c r="P50" s="139"/>
      <c r="Q50" s="231"/>
      <c r="R50" s="139"/>
      <c r="S50" s="232"/>
      <c r="T50" s="232"/>
      <c r="U50" s="145"/>
      <c r="V50" s="145"/>
      <c r="W50" s="111"/>
      <c r="X50" s="233"/>
      <c r="Y50" s="226"/>
      <c r="Z50" s="139"/>
      <c r="AA50" s="139"/>
      <c r="AB50" s="139"/>
      <c r="AC50" s="139"/>
      <c r="AD50" s="139"/>
      <c r="AE50" s="139"/>
      <c r="AF50" s="139"/>
      <c r="AG50" s="139"/>
      <c r="AH50" s="139"/>
      <c r="AI50" s="139"/>
      <c r="AJ50" s="139"/>
      <c r="AK50" s="139"/>
      <c r="AL50" s="139"/>
      <c r="AM50" s="139"/>
      <c r="AN50" s="139"/>
      <c r="AO50" s="139"/>
      <c r="AP50" s="139"/>
      <c r="AQ50" s="139"/>
      <c r="AR50" s="139"/>
      <c r="AS50" s="139"/>
      <c r="AT50" s="139"/>
      <c r="AU50" s="139"/>
      <c r="AV50" s="139"/>
    </row>
    <row r="51">
      <c r="A51" s="112"/>
      <c r="B51" s="229"/>
      <c r="C51" s="230"/>
      <c r="D51" s="139"/>
      <c r="E51" s="139"/>
      <c r="F51" s="139"/>
      <c r="G51" s="139"/>
      <c r="H51" s="139"/>
      <c r="I51" s="139"/>
      <c r="J51" s="139"/>
      <c r="K51" s="139"/>
      <c r="L51" s="139"/>
      <c r="M51" s="139"/>
      <c r="N51" s="145"/>
      <c r="O51" s="139"/>
      <c r="P51" s="139"/>
      <c r="Q51" s="231"/>
      <c r="R51" s="139"/>
      <c r="S51" s="232"/>
      <c r="T51" s="232"/>
      <c r="U51" s="145"/>
      <c r="V51" s="145"/>
      <c r="W51" s="111"/>
      <c r="X51" s="233"/>
      <c r="Y51" s="226"/>
      <c r="Z51" s="139"/>
      <c r="AA51" s="139"/>
      <c r="AB51" s="139"/>
      <c r="AC51" s="139"/>
      <c r="AD51" s="139"/>
      <c r="AE51" s="139"/>
      <c r="AF51" s="139"/>
      <c r="AG51" s="139"/>
      <c r="AH51" s="139"/>
      <c r="AI51" s="139"/>
      <c r="AJ51" s="139"/>
      <c r="AK51" s="139"/>
      <c r="AL51" s="139"/>
      <c r="AM51" s="139"/>
      <c r="AN51" s="139"/>
      <c r="AO51" s="139"/>
      <c r="AP51" s="139"/>
      <c r="AQ51" s="139"/>
      <c r="AR51" s="139"/>
      <c r="AS51" s="139"/>
      <c r="AT51" s="139"/>
      <c r="AU51" s="139"/>
      <c r="AV51" s="139"/>
    </row>
    <row r="52">
      <c r="A52" s="112"/>
      <c r="B52" s="229"/>
      <c r="C52" s="230"/>
      <c r="D52" s="139"/>
      <c r="E52" s="139"/>
      <c r="F52" s="139"/>
      <c r="G52" s="139"/>
      <c r="H52" s="139"/>
      <c r="I52" s="139"/>
      <c r="J52" s="139"/>
      <c r="K52" s="139"/>
      <c r="L52" s="139"/>
      <c r="M52" s="139"/>
      <c r="N52" s="145"/>
      <c r="O52" s="139"/>
      <c r="P52" s="139"/>
      <c r="Q52" s="231"/>
      <c r="R52" s="139"/>
      <c r="S52" s="232"/>
      <c r="T52" s="232"/>
      <c r="U52" s="145"/>
      <c r="V52" s="145"/>
      <c r="W52" s="111"/>
      <c r="X52" s="233"/>
      <c r="Y52" s="226"/>
      <c r="Z52" s="139"/>
      <c r="AA52" s="139"/>
      <c r="AB52" s="139"/>
      <c r="AC52" s="139"/>
      <c r="AD52" s="139"/>
      <c r="AE52" s="139"/>
      <c r="AF52" s="139"/>
      <c r="AG52" s="139"/>
      <c r="AH52" s="139"/>
      <c r="AI52" s="139"/>
      <c r="AJ52" s="139"/>
      <c r="AK52" s="139"/>
      <c r="AL52" s="139"/>
      <c r="AM52" s="139"/>
      <c r="AN52" s="139"/>
      <c r="AO52" s="139"/>
      <c r="AP52" s="139"/>
      <c r="AQ52" s="139"/>
      <c r="AR52" s="139"/>
      <c r="AS52" s="139"/>
      <c r="AT52" s="139"/>
      <c r="AU52" s="139"/>
      <c r="AV52" s="139"/>
    </row>
    <row r="53">
      <c r="A53" s="112"/>
      <c r="B53" s="229"/>
      <c r="C53" s="230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45"/>
      <c r="O53" s="139"/>
      <c r="P53" s="139"/>
      <c r="Q53" s="231"/>
      <c r="R53" s="139"/>
      <c r="S53" s="232"/>
      <c r="T53" s="232"/>
      <c r="U53" s="145"/>
      <c r="V53" s="145"/>
      <c r="W53" s="111"/>
      <c r="X53" s="233"/>
      <c r="Y53" s="226"/>
      <c r="Z53" s="139"/>
      <c r="AA53" s="139"/>
      <c r="AB53" s="139"/>
      <c r="AC53" s="139"/>
      <c r="AD53" s="139"/>
      <c r="AE53" s="139"/>
      <c r="AF53" s="139"/>
      <c r="AG53" s="139"/>
      <c r="AH53" s="139"/>
      <c r="AI53" s="139"/>
      <c r="AJ53" s="139"/>
      <c r="AK53" s="139"/>
      <c r="AL53" s="139"/>
      <c r="AM53" s="139"/>
      <c r="AN53" s="139"/>
      <c r="AO53" s="139"/>
      <c r="AP53" s="139"/>
      <c r="AQ53" s="139"/>
      <c r="AR53" s="139"/>
      <c r="AS53" s="139"/>
      <c r="AT53" s="139"/>
      <c r="AU53" s="139"/>
      <c r="AV53" s="139"/>
    </row>
    <row r="54">
      <c r="A54" s="112"/>
      <c r="B54" s="229"/>
      <c r="C54" s="230"/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45"/>
      <c r="O54" s="139"/>
      <c r="P54" s="139"/>
      <c r="Q54" s="231"/>
      <c r="R54" s="139"/>
      <c r="S54" s="232"/>
      <c r="T54" s="232"/>
      <c r="U54" s="145"/>
      <c r="V54" s="145"/>
      <c r="W54" s="111"/>
      <c r="X54" s="233"/>
      <c r="Y54" s="226"/>
      <c r="Z54" s="139"/>
      <c r="AA54" s="139"/>
      <c r="AB54" s="139"/>
      <c r="AC54" s="139"/>
      <c r="AD54" s="139"/>
      <c r="AE54" s="139"/>
      <c r="AF54" s="139"/>
      <c r="AG54" s="139"/>
      <c r="AH54" s="139"/>
      <c r="AI54" s="139"/>
      <c r="AJ54" s="139"/>
      <c r="AK54" s="139"/>
      <c r="AL54" s="139"/>
      <c r="AM54" s="139"/>
      <c r="AN54" s="139"/>
      <c r="AO54" s="139"/>
      <c r="AP54" s="139"/>
      <c r="AQ54" s="139"/>
      <c r="AR54" s="139"/>
      <c r="AS54" s="139"/>
      <c r="AT54" s="139"/>
      <c r="AU54" s="139"/>
      <c r="AV54" s="139"/>
    </row>
    <row r="55">
      <c r="A55" s="112"/>
      <c r="B55" s="229"/>
      <c r="C55" s="230"/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45"/>
      <c r="O55" s="139"/>
      <c r="P55" s="139"/>
      <c r="Q55" s="231"/>
      <c r="R55" s="139"/>
      <c r="S55" s="232"/>
      <c r="T55" s="232"/>
      <c r="U55" s="145"/>
      <c r="V55" s="145"/>
      <c r="W55" s="111"/>
      <c r="X55" s="233"/>
      <c r="Y55" s="226"/>
      <c r="Z55" s="139"/>
      <c r="AA55" s="139"/>
      <c r="AB55" s="139"/>
      <c r="AC55" s="139"/>
      <c r="AD55" s="139"/>
      <c r="AE55" s="139"/>
      <c r="AF55" s="139"/>
      <c r="AG55" s="139"/>
      <c r="AH55" s="139"/>
      <c r="AI55" s="139"/>
      <c r="AJ55" s="139"/>
      <c r="AK55" s="139"/>
      <c r="AL55" s="139"/>
      <c r="AM55" s="139"/>
      <c r="AN55" s="139"/>
      <c r="AO55" s="139"/>
      <c r="AP55" s="139"/>
      <c r="AQ55" s="139"/>
      <c r="AR55" s="139"/>
      <c r="AS55" s="139"/>
      <c r="AT55" s="139"/>
      <c r="AU55" s="139"/>
      <c r="AV55" s="139"/>
    </row>
    <row r="56">
      <c r="A56" s="112"/>
      <c r="B56" s="229"/>
      <c r="C56" s="230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45"/>
      <c r="O56" s="139"/>
      <c r="P56" s="139"/>
      <c r="Q56" s="231"/>
      <c r="R56" s="139"/>
      <c r="S56" s="232"/>
      <c r="T56" s="232"/>
      <c r="U56" s="145"/>
      <c r="V56" s="145"/>
      <c r="W56" s="111"/>
      <c r="X56" s="233"/>
      <c r="Y56" s="226"/>
      <c r="Z56" s="139"/>
      <c r="AA56" s="139"/>
      <c r="AB56" s="139"/>
      <c r="AC56" s="139"/>
      <c r="AD56" s="139"/>
      <c r="AE56" s="139"/>
      <c r="AF56" s="139"/>
      <c r="AG56" s="139"/>
      <c r="AH56" s="139"/>
      <c r="AI56" s="139"/>
      <c r="AJ56" s="139"/>
      <c r="AK56" s="139"/>
      <c r="AL56" s="139"/>
      <c r="AM56" s="139"/>
      <c r="AN56" s="139"/>
      <c r="AO56" s="139"/>
      <c r="AP56" s="139"/>
      <c r="AQ56" s="139"/>
      <c r="AR56" s="139"/>
      <c r="AS56" s="139"/>
      <c r="AT56" s="139"/>
      <c r="AU56" s="139"/>
      <c r="AV56" s="139"/>
    </row>
    <row r="57">
      <c r="A57" s="112"/>
      <c r="B57" s="229"/>
      <c r="C57" s="230"/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45"/>
      <c r="O57" s="139"/>
      <c r="P57" s="139"/>
      <c r="Q57" s="231"/>
      <c r="R57" s="139"/>
      <c r="S57" s="232"/>
      <c r="T57" s="232"/>
      <c r="U57" s="145"/>
      <c r="V57" s="145"/>
      <c r="W57" s="111"/>
      <c r="X57" s="233"/>
      <c r="Y57" s="226"/>
      <c r="Z57" s="139"/>
      <c r="AA57" s="139"/>
      <c r="AB57" s="139"/>
      <c r="AC57" s="139"/>
      <c r="AD57" s="139"/>
      <c r="AE57" s="139"/>
      <c r="AF57" s="139"/>
      <c r="AG57" s="139"/>
      <c r="AH57" s="139"/>
      <c r="AI57" s="139"/>
      <c r="AJ57" s="139"/>
      <c r="AK57" s="139"/>
      <c r="AL57" s="139"/>
      <c r="AM57" s="139"/>
      <c r="AN57" s="139"/>
      <c r="AO57" s="139"/>
      <c r="AP57" s="139"/>
      <c r="AQ57" s="139"/>
      <c r="AR57" s="139"/>
      <c r="AS57" s="139"/>
      <c r="AT57" s="139"/>
      <c r="AU57" s="139"/>
      <c r="AV57" s="139"/>
    </row>
    <row r="58">
      <c r="A58" s="112"/>
      <c r="B58" s="229"/>
      <c r="C58" s="230"/>
      <c r="D58" s="139"/>
      <c r="E58" s="139"/>
      <c r="F58" s="139"/>
      <c r="G58" s="139"/>
      <c r="H58" s="139"/>
      <c r="I58" s="139"/>
      <c r="J58" s="139"/>
      <c r="K58" s="139"/>
      <c r="L58" s="139"/>
      <c r="M58" s="139"/>
      <c r="N58" s="145"/>
      <c r="O58" s="139"/>
      <c r="P58" s="139"/>
      <c r="Q58" s="231"/>
      <c r="R58" s="139"/>
      <c r="S58" s="232"/>
      <c r="T58" s="232"/>
      <c r="U58" s="145"/>
      <c r="V58" s="145"/>
      <c r="W58" s="111"/>
      <c r="X58" s="233"/>
      <c r="Y58" s="226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139"/>
      <c r="AN58" s="139"/>
      <c r="AO58" s="139"/>
      <c r="AP58" s="139"/>
      <c r="AQ58" s="139"/>
      <c r="AR58" s="139"/>
      <c r="AS58" s="139"/>
      <c r="AT58" s="139"/>
      <c r="AU58" s="139"/>
      <c r="AV58" s="139"/>
    </row>
    <row r="59">
      <c r="A59" s="112"/>
      <c r="B59" s="229"/>
      <c r="C59" s="230"/>
      <c r="D59" s="139"/>
      <c r="E59" s="139"/>
      <c r="F59" s="139"/>
      <c r="G59" s="139"/>
      <c r="H59" s="139"/>
      <c r="I59" s="139"/>
      <c r="J59" s="139"/>
      <c r="K59" s="139"/>
      <c r="L59" s="139"/>
      <c r="M59" s="139"/>
      <c r="N59" s="145"/>
      <c r="O59" s="139"/>
      <c r="P59" s="139"/>
      <c r="Q59" s="231"/>
      <c r="R59" s="139"/>
      <c r="S59" s="232"/>
      <c r="T59" s="232"/>
      <c r="U59" s="145"/>
      <c r="V59" s="145"/>
      <c r="W59" s="111"/>
      <c r="X59" s="233"/>
      <c r="Y59" s="226"/>
      <c r="Z59" s="139"/>
      <c r="AA59" s="139"/>
      <c r="AB59" s="139"/>
      <c r="AC59" s="139"/>
      <c r="AD59" s="139"/>
      <c r="AE59" s="139"/>
      <c r="AF59" s="139"/>
      <c r="AG59" s="139"/>
      <c r="AH59" s="139"/>
      <c r="AI59" s="139"/>
      <c r="AJ59" s="139"/>
      <c r="AK59" s="139"/>
      <c r="AL59" s="139"/>
      <c r="AM59" s="139"/>
      <c r="AN59" s="139"/>
      <c r="AO59" s="139"/>
      <c r="AP59" s="139"/>
      <c r="AQ59" s="139"/>
      <c r="AR59" s="139"/>
      <c r="AS59" s="139"/>
      <c r="AT59" s="139"/>
      <c r="AU59" s="139"/>
      <c r="AV59" s="139"/>
    </row>
    <row r="60">
      <c r="A60" s="112"/>
      <c r="B60" s="229"/>
      <c r="C60" s="230"/>
      <c r="D60" s="139"/>
      <c r="E60" s="139"/>
      <c r="F60" s="139"/>
      <c r="G60" s="139"/>
      <c r="H60" s="139"/>
      <c r="I60" s="139"/>
      <c r="J60" s="139"/>
      <c r="K60" s="139"/>
      <c r="L60" s="139"/>
      <c r="M60" s="139"/>
      <c r="N60" s="145"/>
      <c r="O60" s="139"/>
      <c r="P60" s="139"/>
      <c r="Q60" s="231"/>
      <c r="R60" s="139"/>
      <c r="S60" s="232"/>
      <c r="T60" s="232"/>
      <c r="U60" s="145"/>
      <c r="V60" s="145"/>
      <c r="W60" s="111"/>
      <c r="X60" s="233"/>
      <c r="Y60" s="226"/>
      <c r="Z60" s="139"/>
      <c r="AA60" s="139"/>
      <c r="AB60" s="139"/>
      <c r="AC60" s="139"/>
      <c r="AD60" s="139"/>
      <c r="AE60" s="139"/>
      <c r="AF60" s="139"/>
      <c r="AG60" s="139"/>
      <c r="AH60" s="139"/>
      <c r="AI60" s="139"/>
      <c r="AJ60" s="139"/>
      <c r="AK60" s="139"/>
      <c r="AL60" s="139"/>
      <c r="AM60" s="139"/>
      <c r="AN60" s="139"/>
      <c r="AO60" s="139"/>
      <c r="AP60" s="139"/>
      <c r="AQ60" s="139"/>
      <c r="AR60" s="139"/>
      <c r="AS60" s="139"/>
      <c r="AT60" s="139"/>
      <c r="AU60" s="139"/>
      <c r="AV60" s="139"/>
    </row>
    <row r="61">
      <c r="A61" s="112"/>
      <c r="B61" s="229"/>
      <c r="C61" s="230"/>
      <c r="D61" s="139"/>
      <c r="E61" s="139"/>
      <c r="F61" s="139"/>
      <c r="G61" s="139"/>
      <c r="H61" s="139"/>
      <c r="I61" s="139"/>
      <c r="J61" s="139"/>
      <c r="K61" s="139"/>
      <c r="L61" s="139"/>
      <c r="M61" s="139"/>
      <c r="N61" s="145"/>
      <c r="O61" s="139"/>
      <c r="P61" s="139"/>
      <c r="Q61" s="231"/>
      <c r="R61" s="139"/>
      <c r="S61" s="232"/>
      <c r="T61" s="232"/>
      <c r="U61" s="145"/>
      <c r="V61" s="145"/>
      <c r="W61" s="111"/>
      <c r="X61" s="233"/>
      <c r="Y61" s="226"/>
      <c r="Z61" s="139"/>
      <c r="AA61" s="139"/>
      <c r="AB61" s="139"/>
      <c r="AC61" s="139"/>
      <c r="AD61" s="139"/>
      <c r="AE61" s="139"/>
      <c r="AF61" s="139"/>
      <c r="AG61" s="139"/>
      <c r="AH61" s="139"/>
      <c r="AI61" s="139"/>
      <c r="AJ61" s="139"/>
      <c r="AK61" s="139"/>
      <c r="AL61" s="139"/>
      <c r="AM61" s="139"/>
      <c r="AN61" s="139"/>
      <c r="AO61" s="139"/>
      <c r="AP61" s="139"/>
      <c r="AQ61" s="139"/>
      <c r="AR61" s="139"/>
      <c r="AS61" s="139"/>
      <c r="AT61" s="139"/>
      <c r="AU61" s="139"/>
      <c r="AV61" s="139"/>
    </row>
    <row r="62">
      <c r="A62" s="112"/>
      <c r="B62" s="229"/>
      <c r="C62" s="230"/>
      <c r="D62" s="139"/>
      <c r="E62" s="139"/>
      <c r="F62" s="139"/>
      <c r="G62" s="139"/>
      <c r="H62" s="139"/>
      <c r="I62" s="139"/>
      <c r="J62" s="139"/>
      <c r="K62" s="139"/>
      <c r="L62" s="139"/>
      <c r="M62" s="139"/>
      <c r="N62" s="145"/>
      <c r="O62" s="139"/>
      <c r="P62" s="139"/>
      <c r="Q62" s="231"/>
      <c r="R62" s="139"/>
      <c r="S62" s="232"/>
      <c r="T62" s="232"/>
      <c r="U62" s="145"/>
      <c r="V62" s="145"/>
      <c r="W62" s="111"/>
      <c r="X62" s="233"/>
      <c r="Y62" s="226"/>
      <c r="Z62" s="139"/>
      <c r="AA62" s="139"/>
      <c r="AB62" s="139"/>
      <c r="AC62" s="139"/>
      <c r="AD62" s="139"/>
      <c r="AE62" s="139"/>
      <c r="AF62" s="139"/>
      <c r="AG62" s="139"/>
      <c r="AH62" s="139"/>
      <c r="AI62" s="139"/>
      <c r="AJ62" s="139"/>
      <c r="AK62" s="139"/>
      <c r="AL62" s="139"/>
      <c r="AM62" s="139"/>
      <c r="AN62" s="139"/>
      <c r="AO62" s="139"/>
      <c r="AP62" s="139"/>
      <c r="AQ62" s="139"/>
      <c r="AR62" s="139"/>
      <c r="AS62" s="139"/>
      <c r="AT62" s="139"/>
      <c r="AU62" s="139"/>
      <c r="AV62" s="139"/>
    </row>
    <row r="63">
      <c r="A63" s="112"/>
      <c r="B63" s="229"/>
      <c r="C63" s="230"/>
      <c r="D63" s="139"/>
      <c r="E63" s="139"/>
      <c r="F63" s="139"/>
      <c r="G63" s="139"/>
      <c r="H63" s="139"/>
      <c r="I63" s="139"/>
      <c r="J63" s="139"/>
      <c r="K63" s="139"/>
      <c r="L63" s="139"/>
      <c r="M63" s="139"/>
      <c r="N63" s="145"/>
      <c r="O63" s="139"/>
      <c r="P63" s="139"/>
      <c r="Q63" s="231"/>
      <c r="R63" s="139"/>
      <c r="S63" s="232"/>
      <c r="T63" s="232"/>
      <c r="U63" s="145"/>
      <c r="V63" s="145"/>
      <c r="W63" s="111"/>
      <c r="X63" s="233"/>
      <c r="Y63" s="226"/>
      <c r="Z63" s="139"/>
      <c r="AA63" s="139"/>
      <c r="AB63" s="139"/>
      <c r="AC63" s="139"/>
      <c r="AD63" s="139"/>
      <c r="AE63" s="139"/>
      <c r="AF63" s="139"/>
      <c r="AG63" s="139"/>
      <c r="AH63" s="139"/>
      <c r="AI63" s="139"/>
      <c r="AJ63" s="139"/>
      <c r="AK63" s="139"/>
      <c r="AL63" s="139"/>
      <c r="AM63" s="139"/>
      <c r="AN63" s="139"/>
      <c r="AO63" s="139"/>
      <c r="AP63" s="139"/>
      <c r="AQ63" s="139"/>
      <c r="AR63" s="139"/>
      <c r="AS63" s="139"/>
      <c r="AT63" s="139"/>
      <c r="AU63" s="139"/>
      <c r="AV63" s="139"/>
    </row>
    <row r="64">
      <c r="A64" s="112"/>
      <c r="B64" s="229"/>
      <c r="C64" s="230"/>
      <c r="D64" s="139"/>
      <c r="E64" s="139"/>
      <c r="F64" s="139"/>
      <c r="G64" s="139"/>
      <c r="H64" s="139"/>
      <c r="I64" s="139"/>
      <c r="J64" s="139"/>
      <c r="K64" s="139"/>
      <c r="L64" s="139"/>
      <c r="M64" s="139"/>
      <c r="N64" s="145"/>
      <c r="O64" s="139"/>
      <c r="P64" s="139"/>
      <c r="Q64" s="231"/>
      <c r="R64" s="139"/>
      <c r="S64" s="232"/>
      <c r="T64" s="232"/>
      <c r="U64" s="145"/>
      <c r="V64" s="145"/>
      <c r="W64" s="111"/>
      <c r="X64" s="233"/>
      <c r="Y64" s="226"/>
      <c r="Z64" s="139"/>
      <c r="AA64" s="139"/>
      <c r="AB64" s="139"/>
      <c r="AC64" s="139"/>
      <c r="AD64" s="139"/>
      <c r="AE64" s="139"/>
      <c r="AF64" s="139"/>
      <c r="AG64" s="139"/>
      <c r="AH64" s="139"/>
      <c r="AI64" s="139"/>
      <c r="AJ64" s="139"/>
      <c r="AK64" s="139"/>
      <c r="AL64" s="139"/>
      <c r="AM64" s="139"/>
      <c r="AN64" s="139"/>
      <c r="AO64" s="139"/>
      <c r="AP64" s="139"/>
      <c r="AQ64" s="139"/>
      <c r="AR64" s="139"/>
      <c r="AS64" s="139"/>
      <c r="AT64" s="139"/>
      <c r="AU64" s="139"/>
      <c r="AV64" s="139"/>
    </row>
    <row r="65">
      <c r="A65" s="112"/>
      <c r="B65" s="229"/>
      <c r="C65" s="230"/>
      <c r="D65" s="139"/>
      <c r="E65" s="139"/>
      <c r="F65" s="139"/>
      <c r="G65" s="139"/>
      <c r="H65" s="139"/>
      <c r="I65" s="139"/>
      <c r="J65" s="139"/>
      <c r="K65" s="139"/>
      <c r="L65" s="139"/>
      <c r="M65" s="139"/>
      <c r="N65" s="145"/>
      <c r="O65" s="139"/>
      <c r="P65" s="139"/>
      <c r="Q65" s="231"/>
      <c r="R65" s="139"/>
      <c r="S65" s="232"/>
      <c r="T65" s="232"/>
      <c r="U65" s="145"/>
      <c r="V65" s="145"/>
      <c r="W65" s="111"/>
      <c r="X65" s="233"/>
      <c r="Y65" s="226"/>
      <c r="Z65" s="139"/>
      <c r="AA65" s="139"/>
      <c r="AB65" s="139"/>
      <c r="AC65" s="139"/>
      <c r="AD65" s="139"/>
      <c r="AE65" s="139"/>
      <c r="AF65" s="139"/>
      <c r="AG65" s="139"/>
      <c r="AH65" s="139"/>
      <c r="AI65" s="139"/>
      <c r="AJ65" s="139"/>
      <c r="AK65" s="139"/>
      <c r="AL65" s="139"/>
      <c r="AM65" s="139"/>
      <c r="AN65" s="139"/>
      <c r="AO65" s="139"/>
      <c r="AP65" s="139"/>
      <c r="AQ65" s="139"/>
      <c r="AR65" s="139"/>
      <c r="AS65" s="139"/>
      <c r="AT65" s="139"/>
      <c r="AU65" s="139"/>
      <c r="AV65" s="139"/>
    </row>
    <row r="66">
      <c r="A66" s="112"/>
      <c r="B66" s="229"/>
      <c r="C66" s="230"/>
      <c r="D66" s="139"/>
      <c r="E66" s="139"/>
      <c r="F66" s="139"/>
      <c r="G66" s="139"/>
      <c r="H66" s="139"/>
      <c r="I66" s="139"/>
      <c r="J66" s="139"/>
      <c r="K66" s="139"/>
      <c r="L66" s="139"/>
      <c r="M66" s="139"/>
      <c r="N66" s="145"/>
      <c r="O66" s="139"/>
      <c r="P66" s="139"/>
      <c r="Q66" s="231"/>
      <c r="R66" s="139"/>
      <c r="S66" s="232"/>
      <c r="T66" s="232"/>
      <c r="U66" s="145"/>
      <c r="V66" s="145"/>
      <c r="W66" s="111"/>
      <c r="X66" s="233"/>
      <c r="Y66" s="226"/>
      <c r="Z66" s="139"/>
      <c r="AA66" s="139"/>
      <c r="AB66" s="139"/>
      <c r="AC66" s="139"/>
      <c r="AD66" s="139"/>
      <c r="AE66" s="139"/>
      <c r="AF66" s="139"/>
      <c r="AG66" s="139"/>
      <c r="AH66" s="139"/>
      <c r="AI66" s="139"/>
      <c r="AJ66" s="139"/>
      <c r="AK66" s="139"/>
      <c r="AL66" s="139"/>
      <c r="AM66" s="139"/>
      <c r="AN66" s="139"/>
      <c r="AO66" s="139"/>
      <c r="AP66" s="139"/>
      <c r="AQ66" s="139"/>
      <c r="AR66" s="139"/>
      <c r="AS66" s="139"/>
      <c r="AT66" s="139"/>
      <c r="AU66" s="139"/>
      <c r="AV66" s="139"/>
    </row>
    <row r="67">
      <c r="A67" s="112"/>
      <c r="B67" s="229"/>
      <c r="C67" s="230"/>
      <c r="D67" s="139"/>
      <c r="E67" s="139"/>
      <c r="F67" s="139"/>
      <c r="G67" s="139"/>
      <c r="H67" s="139"/>
      <c r="I67" s="139"/>
      <c r="J67" s="139"/>
      <c r="K67" s="139"/>
      <c r="L67" s="139"/>
      <c r="M67" s="139"/>
      <c r="N67" s="145"/>
      <c r="O67" s="139"/>
      <c r="P67" s="139"/>
      <c r="Q67" s="231"/>
      <c r="R67" s="139"/>
      <c r="S67" s="232"/>
      <c r="T67" s="232"/>
      <c r="U67" s="145"/>
      <c r="V67" s="145"/>
      <c r="W67" s="111"/>
      <c r="X67" s="233"/>
      <c r="Y67" s="226"/>
      <c r="Z67" s="139"/>
      <c r="AA67" s="139"/>
      <c r="AB67" s="139"/>
      <c r="AC67" s="139"/>
      <c r="AD67" s="139"/>
      <c r="AE67" s="139"/>
      <c r="AF67" s="139"/>
      <c r="AG67" s="139"/>
      <c r="AH67" s="139"/>
      <c r="AI67" s="139"/>
      <c r="AJ67" s="139"/>
      <c r="AK67" s="139"/>
      <c r="AL67" s="139"/>
      <c r="AM67" s="139"/>
      <c r="AN67" s="139"/>
      <c r="AO67" s="139"/>
      <c r="AP67" s="139"/>
      <c r="AQ67" s="139"/>
      <c r="AR67" s="139"/>
      <c r="AS67" s="139"/>
      <c r="AT67" s="139"/>
      <c r="AU67" s="139"/>
      <c r="AV67" s="139"/>
    </row>
    <row r="68">
      <c r="A68" s="112"/>
      <c r="B68" s="229"/>
      <c r="C68" s="230"/>
      <c r="D68" s="139"/>
      <c r="E68" s="139"/>
      <c r="F68" s="139"/>
      <c r="G68" s="139"/>
      <c r="H68" s="139"/>
      <c r="I68" s="139"/>
      <c r="J68" s="139"/>
      <c r="K68" s="139"/>
      <c r="L68" s="139"/>
      <c r="M68" s="139"/>
      <c r="N68" s="145"/>
      <c r="O68" s="139"/>
      <c r="P68" s="139"/>
      <c r="Q68" s="231"/>
      <c r="R68" s="139"/>
      <c r="S68" s="232"/>
      <c r="T68" s="232"/>
      <c r="U68" s="145"/>
      <c r="V68" s="145"/>
      <c r="W68" s="111"/>
      <c r="X68" s="233"/>
      <c r="Y68" s="226"/>
      <c r="Z68" s="139"/>
      <c r="AA68" s="139"/>
      <c r="AB68" s="139"/>
      <c r="AC68" s="139"/>
      <c r="AD68" s="139"/>
      <c r="AE68" s="139"/>
      <c r="AF68" s="139"/>
      <c r="AG68" s="139"/>
      <c r="AH68" s="139"/>
      <c r="AI68" s="139"/>
      <c r="AJ68" s="139"/>
      <c r="AK68" s="139"/>
      <c r="AL68" s="139"/>
      <c r="AM68" s="139"/>
      <c r="AN68" s="139"/>
      <c r="AO68" s="139"/>
      <c r="AP68" s="139"/>
      <c r="AQ68" s="139"/>
      <c r="AR68" s="139"/>
      <c r="AS68" s="139"/>
      <c r="AT68" s="139"/>
      <c r="AU68" s="139"/>
      <c r="AV68" s="139"/>
    </row>
    <row r="69">
      <c r="A69" s="112"/>
      <c r="B69" s="229"/>
      <c r="C69" s="230"/>
      <c r="D69" s="139"/>
      <c r="E69" s="139"/>
      <c r="F69" s="139"/>
      <c r="G69" s="139"/>
      <c r="H69" s="139"/>
      <c r="I69" s="139"/>
      <c r="J69" s="139"/>
      <c r="K69" s="139"/>
      <c r="L69" s="139"/>
      <c r="M69" s="139"/>
      <c r="N69" s="145"/>
      <c r="O69" s="139"/>
      <c r="P69" s="139"/>
      <c r="Q69" s="231"/>
      <c r="R69" s="139"/>
      <c r="S69" s="232"/>
      <c r="T69" s="232"/>
      <c r="U69" s="145"/>
      <c r="V69" s="145"/>
      <c r="W69" s="111"/>
      <c r="X69" s="233"/>
      <c r="Y69" s="226"/>
      <c r="Z69" s="139"/>
      <c r="AA69" s="139"/>
      <c r="AB69" s="139"/>
      <c r="AC69" s="139"/>
      <c r="AD69" s="139"/>
      <c r="AE69" s="139"/>
      <c r="AF69" s="139"/>
      <c r="AG69" s="139"/>
      <c r="AH69" s="139"/>
      <c r="AI69" s="139"/>
      <c r="AJ69" s="139"/>
      <c r="AK69" s="139"/>
      <c r="AL69" s="139"/>
      <c r="AM69" s="139"/>
      <c r="AN69" s="139"/>
      <c r="AO69" s="139"/>
      <c r="AP69" s="139"/>
      <c r="AQ69" s="139"/>
      <c r="AR69" s="139"/>
      <c r="AS69" s="139"/>
      <c r="AT69" s="139"/>
      <c r="AU69" s="139"/>
      <c r="AV69" s="139"/>
    </row>
    <row r="70">
      <c r="A70" s="112"/>
      <c r="B70" s="229"/>
      <c r="C70" s="230"/>
      <c r="D70" s="139"/>
      <c r="E70" s="139"/>
      <c r="F70" s="139"/>
      <c r="G70" s="139"/>
      <c r="H70" s="139"/>
      <c r="I70" s="139"/>
      <c r="J70" s="139"/>
      <c r="K70" s="139"/>
      <c r="L70" s="139"/>
      <c r="M70" s="139"/>
      <c r="N70" s="145"/>
      <c r="O70" s="139"/>
      <c r="P70" s="139"/>
      <c r="Q70" s="231"/>
      <c r="R70" s="139"/>
      <c r="S70" s="232"/>
      <c r="T70" s="232"/>
      <c r="U70" s="145"/>
      <c r="V70" s="145"/>
      <c r="W70" s="111"/>
      <c r="X70" s="233"/>
      <c r="Y70" s="226"/>
      <c r="Z70" s="139"/>
      <c r="AA70" s="139"/>
      <c r="AB70" s="139"/>
      <c r="AC70" s="139"/>
      <c r="AD70" s="139"/>
      <c r="AE70" s="139"/>
      <c r="AF70" s="139"/>
      <c r="AG70" s="139"/>
      <c r="AH70" s="139"/>
      <c r="AI70" s="139"/>
      <c r="AJ70" s="139"/>
      <c r="AK70" s="139"/>
      <c r="AL70" s="139"/>
      <c r="AM70" s="139"/>
      <c r="AN70" s="139"/>
      <c r="AO70" s="139"/>
      <c r="AP70" s="139"/>
      <c r="AQ70" s="139"/>
      <c r="AR70" s="139"/>
      <c r="AS70" s="139"/>
      <c r="AT70" s="139"/>
      <c r="AU70" s="139"/>
      <c r="AV70" s="139"/>
    </row>
    <row r="71">
      <c r="A71" s="112"/>
      <c r="B71" s="229"/>
      <c r="C71" s="230"/>
      <c r="D71" s="139"/>
      <c r="E71" s="139"/>
      <c r="F71" s="139"/>
      <c r="G71" s="139"/>
      <c r="H71" s="139"/>
      <c r="I71" s="139"/>
      <c r="J71" s="139"/>
      <c r="K71" s="139"/>
      <c r="L71" s="139"/>
      <c r="M71" s="139"/>
      <c r="N71" s="145"/>
      <c r="O71" s="139"/>
      <c r="P71" s="139"/>
      <c r="Q71" s="231"/>
      <c r="R71" s="139"/>
      <c r="S71" s="232"/>
      <c r="T71" s="232"/>
      <c r="U71" s="145"/>
      <c r="V71" s="145"/>
      <c r="W71" s="111"/>
      <c r="X71" s="233"/>
      <c r="Y71" s="226"/>
      <c r="Z71" s="139"/>
      <c r="AA71" s="139"/>
      <c r="AB71" s="139"/>
      <c r="AC71" s="139"/>
      <c r="AD71" s="139"/>
      <c r="AE71" s="139"/>
      <c r="AF71" s="139"/>
      <c r="AG71" s="139"/>
      <c r="AH71" s="139"/>
      <c r="AI71" s="139"/>
      <c r="AJ71" s="139"/>
      <c r="AK71" s="139"/>
      <c r="AL71" s="139"/>
      <c r="AM71" s="139"/>
      <c r="AN71" s="139"/>
      <c r="AO71" s="139"/>
      <c r="AP71" s="139"/>
      <c r="AQ71" s="139"/>
      <c r="AR71" s="139"/>
      <c r="AS71" s="139"/>
      <c r="AT71" s="139"/>
      <c r="AU71" s="139"/>
      <c r="AV71" s="139"/>
    </row>
    <row r="72">
      <c r="A72" s="112"/>
      <c r="B72" s="229"/>
      <c r="C72" s="230"/>
      <c r="D72" s="139"/>
      <c r="E72" s="139"/>
      <c r="F72" s="139"/>
      <c r="G72" s="139"/>
      <c r="H72" s="139"/>
      <c r="I72" s="139"/>
      <c r="J72" s="139"/>
      <c r="K72" s="139"/>
      <c r="L72" s="139"/>
      <c r="M72" s="139"/>
      <c r="N72" s="145"/>
      <c r="O72" s="139"/>
      <c r="P72" s="139"/>
      <c r="Q72" s="231"/>
      <c r="R72" s="139"/>
      <c r="S72" s="232"/>
      <c r="T72" s="232"/>
      <c r="U72" s="145"/>
      <c r="V72" s="145"/>
      <c r="W72" s="111"/>
      <c r="X72" s="233"/>
      <c r="Y72" s="226"/>
      <c r="Z72" s="139"/>
      <c r="AA72" s="139"/>
      <c r="AB72" s="139"/>
      <c r="AC72" s="139"/>
      <c r="AD72" s="139"/>
      <c r="AE72" s="139"/>
      <c r="AF72" s="139"/>
      <c r="AG72" s="139"/>
      <c r="AH72" s="139"/>
      <c r="AI72" s="139"/>
      <c r="AJ72" s="139"/>
      <c r="AK72" s="139"/>
      <c r="AL72" s="139"/>
      <c r="AM72" s="139"/>
      <c r="AN72" s="139"/>
      <c r="AO72" s="139"/>
      <c r="AP72" s="139"/>
      <c r="AQ72" s="139"/>
      <c r="AR72" s="139"/>
      <c r="AS72" s="139"/>
      <c r="AT72" s="139"/>
      <c r="AU72" s="139"/>
      <c r="AV72" s="139"/>
    </row>
    <row r="73">
      <c r="A73" s="112"/>
      <c r="B73" s="229"/>
      <c r="C73" s="230"/>
      <c r="D73" s="139"/>
      <c r="E73" s="139"/>
      <c r="F73" s="139"/>
      <c r="G73" s="139"/>
      <c r="H73" s="139"/>
      <c r="I73" s="139"/>
      <c r="J73" s="139"/>
      <c r="K73" s="139"/>
      <c r="L73" s="139"/>
      <c r="M73" s="139"/>
      <c r="N73" s="145"/>
      <c r="O73" s="139"/>
      <c r="P73" s="139"/>
      <c r="Q73" s="231"/>
      <c r="R73" s="139"/>
      <c r="S73" s="232"/>
      <c r="T73" s="232"/>
      <c r="U73" s="145"/>
      <c r="V73" s="145"/>
      <c r="W73" s="111"/>
      <c r="X73" s="233"/>
      <c r="Y73" s="226"/>
      <c r="Z73" s="139"/>
      <c r="AA73" s="139"/>
      <c r="AB73" s="139"/>
      <c r="AC73" s="139"/>
      <c r="AD73" s="139"/>
      <c r="AE73" s="139"/>
      <c r="AF73" s="139"/>
      <c r="AG73" s="139"/>
      <c r="AH73" s="139"/>
      <c r="AI73" s="139"/>
      <c r="AJ73" s="139"/>
      <c r="AK73" s="139"/>
      <c r="AL73" s="139"/>
      <c r="AM73" s="139"/>
      <c r="AN73" s="139"/>
      <c r="AO73" s="139"/>
      <c r="AP73" s="139"/>
      <c r="AQ73" s="139"/>
      <c r="AR73" s="139"/>
      <c r="AS73" s="139"/>
      <c r="AT73" s="139"/>
      <c r="AU73" s="139"/>
      <c r="AV73" s="139"/>
    </row>
    <row r="74">
      <c r="A74" s="112"/>
      <c r="B74" s="229"/>
      <c r="C74" s="230"/>
      <c r="D74" s="139"/>
      <c r="E74" s="139"/>
      <c r="F74" s="139"/>
      <c r="G74" s="139"/>
      <c r="H74" s="139"/>
      <c r="I74" s="139"/>
      <c r="J74" s="139"/>
      <c r="K74" s="139"/>
      <c r="L74" s="139"/>
      <c r="M74" s="139"/>
      <c r="N74" s="145"/>
      <c r="O74" s="139"/>
      <c r="P74" s="139"/>
      <c r="Q74" s="231"/>
      <c r="R74" s="139"/>
      <c r="S74" s="232"/>
      <c r="T74" s="232"/>
      <c r="U74" s="145"/>
      <c r="V74" s="145"/>
      <c r="W74" s="111"/>
      <c r="X74" s="233"/>
      <c r="Y74" s="226"/>
      <c r="Z74" s="139"/>
      <c r="AA74" s="139"/>
      <c r="AB74" s="139"/>
      <c r="AC74" s="139"/>
      <c r="AD74" s="139"/>
      <c r="AE74" s="139"/>
      <c r="AF74" s="139"/>
      <c r="AG74" s="139"/>
      <c r="AH74" s="139"/>
      <c r="AI74" s="139"/>
      <c r="AJ74" s="139"/>
      <c r="AK74" s="139"/>
      <c r="AL74" s="139"/>
      <c r="AM74" s="139"/>
      <c r="AN74" s="139"/>
      <c r="AO74" s="139"/>
      <c r="AP74" s="139"/>
      <c r="AQ74" s="139"/>
      <c r="AR74" s="139"/>
      <c r="AS74" s="139"/>
      <c r="AT74" s="139"/>
      <c r="AU74" s="139"/>
      <c r="AV74" s="139"/>
    </row>
    <row r="75">
      <c r="A75" s="112"/>
      <c r="B75" s="229"/>
      <c r="C75" s="230"/>
      <c r="D75" s="139"/>
      <c r="E75" s="139"/>
      <c r="F75" s="139"/>
      <c r="G75" s="139"/>
      <c r="H75" s="139"/>
      <c r="I75" s="139"/>
      <c r="J75" s="139"/>
      <c r="K75" s="139"/>
      <c r="L75" s="139"/>
      <c r="M75" s="139"/>
      <c r="N75" s="145"/>
      <c r="O75" s="139"/>
      <c r="P75" s="139"/>
      <c r="Q75" s="231"/>
      <c r="R75" s="139"/>
      <c r="S75" s="232"/>
      <c r="T75" s="232"/>
      <c r="U75" s="145"/>
      <c r="V75" s="145"/>
      <c r="W75" s="111"/>
      <c r="X75" s="233"/>
      <c r="Y75" s="226"/>
      <c r="Z75" s="139"/>
      <c r="AA75" s="139"/>
      <c r="AB75" s="139"/>
      <c r="AC75" s="139"/>
      <c r="AD75" s="139"/>
      <c r="AE75" s="139"/>
      <c r="AF75" s="139"/>
      <c r="AG75" s="139"/>
      <c r="AH75" s="139"/>
      <c r="AI75" s="139"/>
      <c r="AJ75" s="139"/>
      <c r="AK75" s="139"/>
      <c r="AL75" s="139"/>
      <c r="AM75" s="139"/>
      <c r="AN75" s="139"/>
      <c r="AO75" s="139"/>
      <c r="AP75" s="139"/>
      <c r="AQ75" s="139"/>
      <c r="AR75" s="139"/>
      <c r="AS75" s="139"/>
      <c r="AT75" s="139"/>
      <c r="AU75" s="139"/>
      <c r="AV75" s="139"/>
    </row>
    <row r="76">
      <c r="A76" s="112"/>
      <c r="B76" s="229"/>
      <c r="C76" s="230"/>
      <c r="D76" s="139"/>
      <c r="E76" s="139"/>
      <c r="F76" s="139"/>
      <c r="G76" s="139"/>
      <c r="H76" s="139"/>
      <c r="I76" s="139"/>
      <c r="J76" s="139"/>
      <c r="K76" s="139"/>
      <c r="L76" s="139"/>
      <c r="M76" s="139"/>
      <c r="N76" s="145"/>
      <c r="O76" s="139"/>
      <c r="P76" s="139"/>
      <c r="Q76" s="231"/>
      <c r="R76" s="139"/>
      <c r="S76" s="232"/>
      <c r="T76" s="232"/>
      <c r="U76" s="145"/>
      <c r="V76" s="145"/>
      <c r="W76" s="111"/>
      <c r="X76" s="233"/>
      <c r="Y76" s="226"/>
      <c r="Z76" s="139"/>
      <c r="AA76" s="139"/>
      <c r="AB76" s="139"/>
      <c r="AC76" s="139"/>
      <c r="AD76" s="139"/>
      <c r="AE76" s="139"/>
      <c r="AF76" s="139"/>
      <c r="AG76" s="139"/>
      <c r="AH76" s="139"/>
      <c r="AI76" s="139"/>
      <c r="AJ76" s="139"/>
      <c r="AK76" s="139"/>
      <c r="AL76" s="139"/>
      <c r="AM76" s="139"/>
      <c r="AN76" s="139"/>
      <c r="AO76" s="139"/>
      <c r="AP76" s="139"/>
      <c r="AQ76" s="139"/>
      <c r="AR76" s="139"/>
      <c r="AS76" s="139"/>
      <c r="AT76" s="139"/>
      <c r="AU76" s="139"/>
      <c r="AV76" s="139"/>
    </row>
    <row r="77">
      <c r="A77" s="112"/>
      <c r="B77" s="229"/>
      <c r="C77" s="230"/>
      <c r="D77" s="139"/>
      <c r="E77" s="139"/>
      <c r="F77" s="139"/>
      <c r="G77" s="139"/>
      <c r="H77" s="139"/>
      <c r="I77" s="139"/>
      <c r="J77" s="139"/>
      <c r="K77" s="139"/>
      <c r="L77" s="139"/>
      <c r="M77" s="139"/>
      <c r="N77" s="145"/>
      <c r="O77" s="139"/>
      <c r="P77" s="139"/>
      <c r="Q77" s="231"/>
      <c r="R77" s="139"/>
      <c r="S77" s="232"/>
      <c r="T77" s="232"/>
      <c r="U77" s="145"/>
      <c r="V77" s="145"/>
      <c r="W77" s="111"/>
      <c r="X77" s="233"/>
      <c r="Y77" s="226"/>
      <c r="Z77" s="139"/>
      <c r="AA77" s="139"/>
      <c r="AB77" s="139"/>
      <c r="AC77" s="139"/>
      <c r="AD77" s="139"/>
      <c r="AE77" s="139"/>
      <c r="AF77" s="139"/>
      <c r="AG77" s="139"/>
      <c r="AH77" s="139"/>
      <c r="AI77" s="139"/>
      <c r="AJ77" s="139"/>
      <c r="AK77" s="139"/>
      <c r="AL77" s="139"/>
      <c r="AM77" s="139"/>
      <c r="AN77" s="139"/>
      <c r="AO77" s="139"/>
      <c r="AP77" s="139"/>
      <c r="AQ77" s="139"/>
      <c r="AR77" s="139"/>
      <c r="AS77" s="139"/>
      <c r="AT77" s="139"/>
      <c r="AU77" s="139"/>
      <c r="AV77" s="139"/>
    </row>
    <row r="78">
      <c r="A78" s="112"/>
      <c r="B78" s="229"/>
      <c r="C78" s="230"/>
      <c r="D78" s="139"/>
      <c r="E78" s="139"/>
      <c r="F78" s="139"/>
      <c r="G78" s="139"/>
      <c r="H78" s="139"/>
      <c r="I78" s="139"/>
      <c r="J78" s="139"/>
      <c r="K78" s="139"/>
      <c r="L78" s="139"/>
      <c r="M78" s="139"/>
      <c r="N78" s="145"/>
      <c r="O78" s="139"/>
      <c r="P78" s="139"/>
      <c r="Q78" s="231"/>
      <c r="R78" s="139"/>
      <c r="S78" s="232"/>
      <c r="T78" s="232"/>
      <c r="U78" s="145"/>
      <c r="V78" s="145"/>
      <c r="W78" s="111"/>
      <c r="X78" s="233"/>
      <c r="Y78" s="226"/>
      <c r="Z78" s="139"/>
      <c r="AA78" s="139"/>
      <c r="AB78" s="139"/>
      <c r="AC78" s="139"/>
      <c r="AD78" s="139"/>
      <c r="AE78" s="139"/>
      <c r="AF78" s="139"/>
      <c r="AG78" s="139"/>
      <c r="AH78" s="139"/>
      <c r="AI78" s="139"/>
      <c r="AJ78" s="139"/>
      <c r="AK78" s="139"/>
      <c r="AL78" s="139"/>
      <c r="AM78" s="139"/>
      <c r="AN78" s="139"/>
      <c r="AO78" s="139"/>
      <c r="AP78" s="139"/>
      <c r="AQ78" s="139"/>
      <c r="AR78" s="139"/>
      <c r="AS78" s="139"/>
      <c r="AT78" s="139"/>
      <c r="AU78" s="139"/>
      <c r="AV78" s="139"/>
    </row>
    <row r="79">
      <c r="A79" s="112"/>
      <c r="B79" s="229"/>
      <c r="C79" s="230"/>
      <c r="D79" s="139"/>
      <c r="E79" s="139"/>
      <c r="F79" s="139"/>
      <c r="G79" s="139"/>
      <c r="H79" s="139"/>
      <c r="I79" s="139"/>
      <c r="J79" s="139"/>
      <c r="K79" s="139"/>
      <c r="L79" s="139"/>
      <c r="M79" s="139"/>
      <c r="N79" s="145"/>
      <c r="O79" s="139"/>
      <c r="P79" s="139"/>
      <c r="Q79" s="231"/>
      <c r="R79" s="139"/>
      <c r="S79" s="232"/>
      <c r="T79" s="232"/>
      <c r="U79" s="145"/>
      <c r="V79" s="145"/>
      <c r="W79" s="111"/>
      <c r="X79" s="233"/>
      <c r="Y79" s="226"/>
      <c r="Z79" s="139"/>
      <c r="AA79" s="139"/>
      <c r="AB79" s="139"/>
      <c r="AC79" s="139"/>
      <c r="AD79" s="139"/>
      <c r="AE79" s="139"/>
      <c r="AF79" s="139"/>
      <c r="AG79" s="139"/>
      <c r="AH79" s="139"/>
      <c r="AI79" s="139"/>
      <c r="AJ79" s="139"/>
      <c r="AK79" s="139"/>
      <c r="AL79" s="139"/>
      <c r="AM79" s="139"/>
      <c r="AN79" s="139"/>
      <c r="AO79" s="139"/>
      <c r="AP79" s="139"/>
      <c r="AQ79" s="139"/>
      <c r="AR79" s="139"/>
      <c r="AS79" s="139"/>
      <c r="AT79" s="139"/>
      <c r="AU79" s="139"/>
      <c r="AV79" s="139"/>
    </row>
    <row r="80">
      <c r="A80" s="112"/>
      <c r="B80" s="229"/>
      <c r="C80" s="230"/>
      <c r="D80" s="139"/>
      <c r="E80" s="139"/>
      <c r="F80" s="139"/>
      <c r="G80" s="139"/>
      <c r="H80" s="139"/>
      <c r="I80" s="139"/>
      <c r="J80" s="139"/>
      <c r="K80" s="139"/>
      <c r="L80" s="139"/>
      <c r="M80" s="139"/>
      <c r="N80" s="145"/>
      <c r="O80" s="139"/>
      <c r="P80" s="139"/>
      <c r="Q80" s="231"/>
      <c r="R80" s="139"/>
      <c r="S80" s="232"/>
      <c r="T80" s="232"/>
      <c r="U80" s="145"/>
      <c r="V80" s="145"/>
      <c r="W80" s="111"/>
      <c r="X80" s="233"/>
      <c r="Y80" s="226"/>
      <c r="Z80" s="139"/>
      <c r="AA80" s="139"/>
      <c r="AB80" s="139"/>
      <c r="AC80" s="139"/>
      <c r="AD80" s="139"/>
      <c r="AE80" s="139"/>
      <c r="AF80" s="139"/>
      <c r="AG80" s="139"/>
      <c r="AH80" s="139"/>
      <c r="AI80" s="139"/>
      <c r="AJ80" s="139"/>
      <c r="AK80" s="139"/>
      <c r="AL80" s="139"/>
      <c r="AM80" s="139"/>
      <c r="AN80" s="139"/>
      <c r="AO80" s="139"/>
      <c r="AP80" s="139"/>
      <c r="AQ80" s="139"/>
      <c r="AR80" s="139"/>
      <c r="AS80" s="139"/>
      <c r="AT80" s="139"/>
      <c r="AU80" s="139"/>
      <c r="AV80" s="139"/>
    </row>
    <row r="81">
      <c r="A81" s="112"/>
      <c r="B81" s="229"/>
      <c r="C81" s="230"/>
      <c r="D81" s="139"/>
      <c r="E81" s="139"/>
      <c r="F81" s="139"/>
      <c r="G81" s="139"/>
      <c r="H81" s="139"/>
      <c r="I81" s="139"/>
      <c r="J81" s="139"/>
      <c r="K81" s="139"/>
      <c r="L81" s="139"/>
      <c r="M81" s="139"/>
      <c r="N81" s="145"/>
      <c r="O81" s="139"/>
      <c r="P81" s="139"/>
      <c r="Q81" s="231"/>
      <c r="R81" s="139"/>
      <c r="S81" s="232"/>
      <c r="T81" s="232"/>
      <c r="U81" s="145"/>
      <c r="V81" s="145"/>
      <c r="W81" s="111"/>
      <c r="X81" s="233"/>
      <c r="Y81" s="226"/>
      <c r="Z81" s="139"/>
      <c r="AA81" s="139"/>
      <c r="AB81" s="139"/>
      <c r="AC81" s="139"/>
      <c r="AD81" s="139"/>
      <c r="AE81" s="139"/>
      <c r="AF81" s="139"/>
      <c r="AG81" s="139"/>
      <c r="AH81" s="139"/>
      <c r="AI81" s="139"/>
      <c r="AJ81" s="139"/>
      <c r="AK81" s="139"/>
      <c r="AL81" s="139"/>
      <c r="AM81" s="139"/>
      <c r="AN81" s="139"/>
      <c r="AO81" s="139"/>
      <c r="AP81" s="139"/>
      <c r="AQ81" s="139"/>
      <c r="AR81" s="139"/>
      <c r="AS81" s="139"/>
      <c r="AT81" s="139"/>
      <c r="AU81" s="139"/>
      <c r="AV81" s="139"/>
    </row>
    <row r="82">
      <c r="A82" s="112"/>
      <c r="B82" s="229"/>
      <c r="C82" s="230"/>
      <c r="D82" s="139"/>
      <c r="E82" s="139"/>
      <c r="F82" s="139"/>
      <c r="G82" s="139"/>
      <c r="H82" s="139"/>
      <c r="I82" s="139"/>
      <c r="J82" s="139"/>
      <c r="K82" s="139"/>
      <c r="L82" s="139"/>
      <c r="M82" s="139"/>
      <c r="N82" s="145"/>
      <c r="O82" s="139"/>
      <c r="P82" s="139"/>
      <c r="Q82" s="231"/>
      <c r="R82" s="139"/>
      <c r="S82" s="232"/>
      <c r="T82" s="232"/>
      <c r="U82" s="145"/>
      <c r="V82" s="145"/>
      <c r="W82" s="111"/>
      <c r="X82" s="233"/>
      <c r="Y82" s="226"/>
      <c r="Z82" s="139"/>
      <c r="AA82" s="139"/>
      <c r="AB82" s="139"/>
      <c r="AC82" s="139"/>
      <c r="AD82" s="139"/>
      <c r="AE82" s="139"/>
      <c r="AF82" s="139"/>
      <c r="AG82" s="139"/>
      <c r="AH82" s="139"/>
      <c r="AI82" s="139"/>
      <c r="AJ82" s="139"/>
      <c r="AK82" s="139"/>
      <c r="AL82" s="139"/>
      <c r="AM82" s="139"/>
      <c r="AN82" s="139"/>
      <c r="AO82" s="139"/>
      <c r="AP82" s="139"/>
      <c r="AQ82" s="139"/>
      <c r="AR82" s="139"/>
      <c r="AS82" s="139"/>
      <c r="AT82" s="139"/>
      <c r="AU82" s="139"/>
      <c r="AV82" s="139"/>
    </row>
    <row r="83">
      <c r="A83" s="112"/>
      <c r="B83" s="229"/>
      <c r="C83" s="230"/>
      <c r="D83" s="139"/>
      <c r="E83" s="139"/>
      <c r="F83" s="139"/>
      <c r="G83" s="139"/>
      <c r="H83" s="139"/>
      <c r="I83" s="139"/>
      <c r="J83" s="139"/>
      <c r="K83" s="139"/>
      <c r="L83" s="139"/>
      <c r="M83" s="139"/>
      <c r="N83" s="145"/>
      <c r="O83" s="139"/>
      <c r="P83" s="139"/>
      <c r="Q83" s="231"/>
      <c r="R83" s="139"/>
      <c r="S83" s="232"/>
      <c r="T83" s="232"/>
      <c r="U83" s="145"/>
      <c r="V83" s="145"/>
      <c r="W83" s="111"/>
      <c r="X83" s="233"/>
      <c r="Y83" s="226"/>
      <c r="Z83" s="139"/>
      <c r="AA83" s="139"/>
      <c r="AB83" s="139"/>
      <c r="AC83" s="139"/>
      <c r="AD83" s="139"/>
      <c r="AE83" s="139"/>
      <c r="AF83" s="139"/>
      <c r="AG83" s="139"/>
      <c r="AH83" s="139"/>
      <c r="AI83" s="139"/>
      <c r="AJ83" s="139"/>
      <c r="AK83" s="139"/>
      <c r="AL83" s="139"/>
      <c r="AM83" s="139"/>
      <c r="AN83" s="139"/>
      <c r="AO83" s="139"/>
      <c r="AP83" s="139"/>
      <c r="AQ83" s="139"/>
      <c r="AR83" s="139"/>
      <c r="AS83" s="139"/>
      <c r="AT83" s="139"/>
      <c r="AU83" s="139"/>
      <c r="AV83" s="139"/>
    </row>
    <row r="84">
      <c r="A84" s="112"/>
      <c r="B84" s="229"/>
      <c r="C84" s="230"/>
      <c r="D84" s="139"/>
      <c r="E84" s="139"/>
      <c r="F84" s="139"/>
      <c r="G84" s="139"/>
      <c r="H84" s="139"/>
      <c r="I84" s="139"/>
      <c r="J84" s="139"/>
      <c r="K84" s="139"/>
      <c r="L84" s="139"/>
      <c r="M84" s="139"/>
      <c r="N84" s="145"/>
      <c r="O84" s="139"/>
      <c r="P84" s="139"/>
      <c r="Q84" s="231"/>
      <c r="R84" s="139"/>
      <c r="S84" s="232"/>
      <c r="T84" s="232"/>
      <c r="U84" s="145"/>
      <c r="V84" s="145"/>
      <c r="W84" s="111"/>
      <c r="X84" s="233"/>
      <c r="Y84" s="226"/>
      <c r="Z84" s="139"/>
      <c r="AA84" s="139"/>
      <c r="AB84" s="139"/>
      <c r="AC84" s="139"/>
      <c r="AD84" s="139"/>
      <c r="AE84" s="139"/>
      <c r="AF84" s="139"/>
      <c r="AG84" s="139"/>
      <c r="AH84" s="139"/>
      <c r="AI84" s="139"/>
      <c r="AJ84" s="139"/>
      <c r="AK84" s="139"/>
      <c r="AL84" s="139"/>
      <c r="AM84" s="139"/>
      <c r="AN84" s="139"/>
      <c r="AO84" s="139"/>
      <c r="AP84" s="139"/>
      <c r="AQ84" s="139"/>
      <c r="AR84" s="139"/>
      <c r="AS84" s="139"/>
      <c r="AT84" s="139"/>
      <c r="AU84" s="139"/>
      <c r="AV84" s="139"/>
    </row>
    <row r="85">
      <c r="A85" s="112"/>
      <c r="B85" s="229"/>
      <c r="C85" s="230"/>
      <c r="D85" s="139"/>
      <c r="E85" s="139"/>
      <c r="F85" s="139"/>
      <c r="G85" s="139"/>
      <c r="H85" s="139"/>
      <c r="I85" s="139"/>
      <c r="J85" s="139"/>
      <c r="K85" s="139"/>
      <c r="L85" s="139"/>
      <c r="M85" s="139"/>
      <c r="N85" s="145"/>
      <c r="O85" s="139"/>
      <c r="P85" s="139"/>
      <c r="Q85" s="231"/>
      <c r="R85" s="139"/>
      <c r="S85" s="232"/>
      <c r="T85" s="232"/>
      <c r="U85" s="145"/>
      <c r="V85" s="145"/>
      <c r="W85" s="111"/>
      <c r="X85" s="233"/>
      <c r="Y85" s="226"/>
      <c r="Z85" s="139"/>
      <c r="AA85" s="139"/>
      <c r="AB85" s="139"/>
      <c r="AC85" s="139"/>
      <c r="AD85" s="139"/>
      <c r="AE85" s="139"/>
      <c r="AF85" s="139"/>
      <c r="AG85" s="139"/>
      <c r="AH85" s="139"/>
      <c r="AI85" s="139"/>
      <c r="AJ85" s="139"/>
      <c r="AK85" s="139"/>
      <c r="AL85" s="139"/>
      <c r="AM85" s="139"/>
      <c r="AN85" s="139"/>
      <c r="AO85" s="139"/>
      <c r="AP85" s="139"/>
      <c r="AQ85" s="139"/>
      <c r="AR85" s="139"/>
      <c r="AS85" s="139"/>
      <c r="AT85" s="139"/>
      <c r="AU85" s="139"/>
      <c r="AV85" s="139"/>
    </row>
    <row r="86">
      <c r="A86" s="112"/>
      <c r="B86" s="229"/>
      <c r="C86" s="230"/>
      <c r="D86" s="139"/>
      <c r="E86" s="139"/>
      <c r="F86" s="139"/>
      <c r="G86" s="139"/>
      <c r="H86" s="139"/>
      <c r="I86" s="139"/>
      <c r="J86" s="139"/>
      <c r="K86" s="139"/>
      <c r="L86" s="139"/>
      <c r="M86" s="139"/>
      <c r="N86" s="145"/>
      <c r="O86" s="139"/>
      <c r="P86" s="139"/>
      <c r="Q86" s="231"/>
      <c r="R86" s="139"/>
      <c r="S86" s="232"/>
      <c r="T86" s="232"/>
      <c r="U86" s="145"/>
      <c r="V86" s="145"/>
      <c r="W86" s="111"/>
      <c r="X86" s="233"/>
      <c r="Y86" s="226"/>
      <c r="Z86" s="139"/>
      <c r="AA86" s="139"/>
      <c r="AB86" s="139"/>
      <c r="AC86" s="139"/>
      <c r="AD86" s="139"/>
      <c r="AE86" s="139"/>
      <c r="AF86" s="139"/>
      <c r="AG86" s="139"/>
      <c r="AH86" s="139"/>
      <c r="AI86" s="139"/>
      <c r="AJ86" s="139"/>
      <c r="AK86" s="139"/>
      <c r="AL86" s="139"/>
      <c r="AM86" s="139"/>
      <c r="AN86" s="139"/>
      <c r="AO86" s="139"/>
      <c r="AP86" s="139"/>
      <c r="AQ86" s="139"/>
      <c r="AR86" s="139"/>
      <c r="AS86" s="139"/>
      <c r="AT86" s="139"/>
      <c r="AU86" s="139"/>
      <c r="AV86" s="139"/>
    </row>
    <row r="87">
      <c r="A87" s="112"/>
      <c r="B87" s="229"/>
      <c r="C87" s="230"/>
      <c r="D87" s="139"/>
      <c r="E87" s="139"/>
      <c r="F87" s="139"/>
      <c r="G87" s="139"/>
      <c r="H87" s="139"/>
      <c r="I87" s="139"/>
      <c r="J87" s="139"/>
      <c r="K87" s="139"/>
      <c r="L87" s="139"/>
      <c r="M87" s="139"/>
      <c r="N87" s="145"/>
      <c r="O87" s="139"/>
      <c r="P87" s="139"/>
      <c r="Q87" s="231"/>
      <c r="R87" s="139"/>
      <c r="S87" s="232"/>
      <c r="T87" s="232"/>
      <c r="U87" s="145"/>
      <c r="V87" s="145"/>
      <c r="W87" s="111"/>
      <c r="X87" s="233"/>
      <c r="Y87" s="226"/>
      <c r="Z87" s="139"/>
      <c r="AA87" s="139"/>
      <c r="AB87" s="139"/>
      <c r="AC87" s="139"/>
      <c r="AD87" s="139"/>
      <c r="AE87" s="139"/>
      <c r="AF87" s="139"/>
      <c r="AG87" s="139"/>
      <c r="AH87" s="139"/>
      <c r="AI87" s="139"/>
      <c r="AJ87" s="139"/>
      <c r="AK87" s="139"/>
      <c r="AL87" s="139"/>
      <c r="AM87" s="139"/>
      <c r="AN87" s="139"/>
      <c r="AO87" s="139"/>
      <c r="AP87" s="139"/>
      <c r="AQ87" s="139"/>
      <c r="AR87" s="139"/>
      <c r="AS87" s="139"/>
      <c r="AT87" s="139"/>
      <c r="AU87" s="139"/>
      <c r="AV87" s="139"/>
    </row>
    <row r="88">
      <c r="A88" s="112"/>
      <c r="B88" s="229"/>
      <c r="C88" s="230"/>
      <c r="D88" s="139"/>
      <c r="E88" s="139"/>
      <c r="F88" s="139"/>
      <c r="G88" s="139"/>
      <c r="H88" s="139"/>
      <c r="I88" s="139"/>
      <c r="J88" s="139"/>
      <c r="K88" s="139"/>
      <c r="L88" s="139"/>
      <c r="M88" s="139"/>
      <c r="N88" s="145"/>
      <c r="O88" s="139"/>
      <c r="P88" s="139"/>
      <c r="Q88" s="231"/>
      <c r="R88" s="139"/>
      <c r="S88" s="232"/>
      <c r="T88" s="232"/>
      <c r="U88" s="145"/>
      <c r="V88" s="145"/>
      <c r="W88" s="111"/>
      <c r="X88" s="233"/>
      <c r="Y88" s="226"/>
      <c r="Z88" s="139"/>
      <c r="AA88" s="139"/>
      <c r="AB88" s="139"/>
      <c r="AC88" s="139"/>
      <c r="AD88" s="139"/>
      <c r="AE88" s="139"/>
      <c r="AF88" s="139"/>
      <c r="AG88" s="139"/>
      <c r="AH88" s="139"/>
      <c r="AI88" s="139"/>
      <c r="AJ88" s="139"/>
      <c r="AK88" s="139"/>
      <c r="AL88" s="139"/>
      <c r="AM88" s="139"/>
      <c r="AN88" s="139"/>
      <c r="AO88" s="139"/>
      <c r="AP88" s="139"/>
      <c r="AQ88" s="139"/>
      <c r="AR88" s="139"/>
      <c r="AS88" s="139"/>
      <c r="AT88" s="139"/>
      <c r="AU88" s="139"/>
      <c r="AV88" s="139"/>
    </row>
    <row r="89">
      <c r="A89" s="112"/>
      <c r="B89" s="229"/>
      <c r="C89" s="230"/>
      <c r="D89" s="139"/>
      <c r="E89" s="139"/>
      <c r="F89" s="139"/>
      <c r="G89" s="139"/>
      <c r="H89" s="139"/>
      <c r="I89" s="139"/>
      <c r="J89" s="139"/>
      <c r="K89" s="139"/>
      <c r="L89" s="139"/>
      <c r="M89" s="139"/>
      <c r="N89" s="145"/>
      <c r="O89" s="139"/>
      <c r="P89" s="139"/>
      <c r="Q89" s="231"/>
      <c r="R89" s="139"/>
      <c r="S89" s="232"/>
      <c r="T89" s="232"/>
      <c r="U89" s="145"/>
      <c r="V89" s="145"/>
      <c r="W89" s="111"/>
      <c r="X89" s="233"/>
      <c r="Y89" s="226"/>
      <c r="Z89" s="139"/>
      <c r="AA89" s="139"/>
      <c r="AB89" s="139"/>
      <c r="AC89" s="139"/>
      <c r="AD89" s="139"/>
      <c r="AE89" s="139"/>
      <c r="AF89" s="139"/>
      <c r="AG89" s="139"/>
      <c r="AH89" s="139"/>
      <c r="AI89" s="139"/>
      <c r="AJ89" s="139"/>
      <c r="AK89" s="139"/>
      <c r="AL89" s="139"/>
      <c r="AM89" s="139"/>
      <c r="AN89" s="139"/>
      <c r="AO89" s="139"/>
      <c r="AP89" s="139"/>
      <c r="AQ89" s="139"/>
      <c r="AR89" s="139"/>
      <c r="AS89" s="139"/>
      <c r="AT89" s="139"/>
      <c r="AU89" s="139"/>
      <c r="AV89" s="139"/>
    </row>
    <row r="90">
      <c r="A90" s="112"/>
      <c r="B90" s="229"/>
      <c r="C90" s="230"/>
      <c r="D90" s="139"/>
      <c r="E90" s="139"/>
      <c r="F90" s="139"/>
      <c r="G90" s="139"/>
      <c r="H90" s="139"/>
      <c r="I90" s="139"/>
      <c r="J90" s="139"/>
      <c r="K90" s="139"/>
      <c r="L90" s="139"/>
      <c r="M90" s="139"/>
      <c r="N90" s="145"/>
      <c r="O90" s="139"/>
      <c r="P90" s="139"/>
      <c r="Q90" s="231"/>
      <c r="R90" s="139"/>
      <c r="S90" s="232"/>
      <c r="T90" s="232"/>
      <c r="U90" s="145"/>
      <c r="V90" s="145"/>
      <c r="W90" s="111"/>
      <c r="X90" s="233"/>
      <c r="Y90" s="226"/>
      <c r="Z90" s="139"/>
      <c r="AA90" s="139"/>
      <c r="AB90" s="139"/>
      <c r="AC90" s="139"/>
      <c r="AD90" s="139"/>
      <c r="AE90" s="139"/>
      <c r="AF90" s="139"/>
      <c r="AG90" s="139"/>
      <c r="AH90" s="139"/>
      <c r="AI90" s="139"/>
      <c r="AJ90" s="139"/>
      <c r="AK90" s="139"/>
      <c r="AL90" s="139"/>
      <c r="AM90" s="139"/>
      <c r="AN90" s="139"/>
      <c r="AO90" s="139"/>
      <c r="AP90" s="139"/>
      <c r="AQ90" s="139"/>
      <c r="AR90" s="139"/>
      <c r="AS90" s="139"/>
      <c r="AT90" s="139"/>
      <c r="AU90" s="139"/>
      <c r="AV90" s="139"/>
    </row>
    <row r="91">
      <c r="A91" s="112"/>
      <c r="B91" s="229"/>
      <c r="C91" s="230"/>
      <c r="D91" s="139"/>
      <c r="E91" s="139"/>
      <c r="F91" s="139"/>
      <c r="G91" s="139"/>
      <c r="H91" s="139"/>
      <c r="I91" s="139"/>
      <c r="J91" s="139"/>
      <c r="K91" s="139"/>
      <c r="L91" s="139"/>
      <c r="M91" s="139"/>
      <c r="N91" s="145"/>
      <c r="O91" s="139"/>
      <c r="P91" s="139"/>
      <c r="Q91" s="231"/>
      <c r="R91" s="139"/>
      <c r="S91" s="232"/>
      <c r="T91" s="232"/>
      <c r="U91" s="145"/>
      <c r="V91" s="145"/>
      <c r="W91" s="111"/>
      <c r="X91" s="233"/>
      <c r="Y91" s="226"/>
      <c r="Z91" s="139"/>
      <c r="AA91" s="139"/>
      <c r="AB91" s="139"/>
      <c r="AC91" s="139"/>
      <c r="AD91" s="139"/>
      <c r="AE91" s="139"/>
      <c r="AF91" s="139"/>
      <c r="AG91" s="139"/>
      <c r="AH91" s="139"/>
      <c r="AI91" s="139"/>
      <c r="AJ91" s="139"/>
      <c r="AK91" s="139"/>
      <c r="AL91" s="139"/>
      <c r="AM91" s="139"/>
      <c r="AN91" s="139"/>
      <c r="AO91" s="139"/>
      <c r="AP91" s="139"/>
      <c r="AQ91" s="139"/>
      <c r="AR91" s="139"/>
      <c r="AS91" s="139"/>
      <c r="AT91" s="139"/>
      <c r="AU91" s="139"/>
      <c r="AV91" s="139"/>
    </row>
    <row r="92">
      <c r="A92" s="112"/>
      <c r="B92" s="229"/>
      <c r="C92" s="230"/>
      <c r="D92" s="139"/>
      <c r="E92" s="139"/>
      <c r="F92" s="139"/>
      <c r="G92" s="139"/>
      <c r="H92" s="139"/>
      <c r="I92" s="139"/>
      <c r="J92" s="139"/>
      <c r="K92" s="139"/>
      <c r="L92" s="139"/>
      <c r="M92" s="139"/>
      <c r="N92" s="145"/>
      <c r="O92" s="139"/>
      <c r="P92" s="139"/>
      <c r="Q92" s="231"/>
      <c r="R92" s="139"/>
      <c r="S92" s="232"/>
      <c r="T92" s="232"/>
      <c r="U92" s="145"/>
      <c r="V92" s="145"/>
      <c r="W92" s="111"/>
      <c r="X92" s="233"/>
      <c r="Y92" s="226"/>
      <c r="Z92" s="139"/>
      <c r="AA92" s="139"/>
      <c r="AB92" s="139"/>
      <c r="AC92" s="139"/>
      <c r="AD92" s="139"/>
      <c r="AE92" s="139"/>
      <c r="AF92" s="139"/>
      <c r="AG92" s="139"/>
      <c r="AH92" s="139"/>
      <c r="AI92" s="139"/>
      <c r="AJ92" s="139"/>
      <c r="AK92" s="139"/>
      <c r="AL92" s="139"/>
      <c r="AM92" s="139"/>
      <c r="AN92" s="139"/>
      <c r="AO92" s="139"/>
      <c r="AP92" s="139"/>
      <c r="AQ92" s="139"/>
      <c r="AR92" s="139"/>
      <c r="AS92" s="139"/>
      <c r="AT92" s="139"/>
      <c r="AU92" s="139"/>
      <c r="AV92" s="139"/>
    </row>
    <row r="93">
      <c r="A93" s="112"/>
      <c r="B93" s="229"/>
      <c r="C93" s="230"/>
      <c r="D93" s="139"/>
      <c r="E93" s="139"/>
      <c r="F93" s="139"/>
      <c r="G93" s="139"/>
      <c r="H93" s="139"/>
      <c r="I93" s="139"/>
      <c r="J93" s="139"/>
      <c r="K93" s="139"/>
      <c r="L93" s="139"/>
      <c r="M93" s="139"/>
      <c r="N93" s="145"/>
      <c r="O93" s="139"/>
      <c r="P93" s="139"/>
      <c r="Q93" s="231"/>
      <c r="R93" s="139"/>
      <c r="S93" s="232"/>
      <c r="T93" s="232"/>
      <c r="U93" s="145"/>
      <c r="V93" s="145"/>
      <c r="W93" s="111"/>
      <c r="X93" s="233"/>
      <c r="Y93" s="226"/>
      <c r="Z93" s="139"/>
      <c r="AA93" s="139"/>
      <c r="AB93" s="139"/>
      <c r="AC93" s="139"/>
      <c r="AD93" s="139"/>
      <c r="AE93" s="139"/>
      <c r="AF93" s="139"/>
      <c r="AG93" s="139"/>
      <c r="AH93" s="139"/>
      <c r="AI93" s="139"/>
      <c r="AJ93" s="139"/>
      <c r="AK93" s="139"/>
      <c r="AL93" s="139"/>
      <c r="AM93" s="139"/>
      <c r="AN93" s="139"/>
      <c r="AO93" s="139"/>
      <c r="AP93" s="139"/>
      <c r="AQ93" s="139"/>
      <c r="AR93" s="139"/>
      <c r="AS93" s="139"/>
      <c r="AT93" s="139"/>
      <c r="AU93" s="139"/>
      <c r="AV93" s="139"/>
    </row>
    <row r="94">
      <c r="A94" s="112"/>
      <c r="B94" s="229"/>
      <c r="C94" s="230"/>
      <c r="D94" s="139"/>
      <c r="E94" s="139"/>
      <c r="F94" s="139"/>
      <c r="G94" s="139"/>
      <c r="H94" s="139"/>
      <c r="I94" s="139"/>
      <c r="J94" s="139"/>
      <c r="K94" s="139"/>
      <c r="L94" s="139"/>
      <c r="M94" s="139"/>
      <c r="N94" s="145"/>
      <c r="O94" s="139"/>
      <c r="P94" s="139"/>
      <c r="Q94" s="231"/>
      <c r="R94" s="139"/>
      <c r="S94" s="232"/>
      <c r="T94" s="232"/>
      <c r="U94" s="145"/>
      <c r="V94" s="145"/>
      <c r="W94" s="111"/>
      <c r="X94" s="233"/>
      <c r="Y94" s="226"/>
      <c r="Z94" s="139"/>
      <c r="AA94" s="139"/>
      <c r="AB94" s="139"/>
      <c r="AC94" s="139"/>
      <c r="AD94" s="139"/>
      <c r="AE94" s="139"/>
      <c r="AF94" s="139"/>
      <c r="AG94" s="139"/>
      <c r="AH94" s="139"/>
      <c r="AI94" s="139"/>
      <c r="AJ94" s="139"/>
      <c r="AK94" s="139"/>
      <c r="AL94" s="139"/>
      <c r="AM94" s="139"/>
      <c r="AN94" s="139"/>
      <c r="AO94" s="139"/>
      <c r="AP94" s="139"/>
      <c r="AQ94" s="139"/>
      <c r="AR94" s="139"/>
      <c r="AS94" s="139"/>
      <c r="AT94" s="139"/>
      <c r="AU94" s="139"/>
      <c r="AV94" s="139"/>
    </row>
    <row r="95">
      <c r="A95" s="112"/>
      <c r="B95" s="229"/>
      <c r="C95" s="230"/>
      <c r="D95" s="139"/>
      <c r="E95" s="139"/>
      <c r="F95" s="139"/>
      <c r="G95" s="139"/>
      <c r="H95" s="139"/>
      <c r="I95" s="139"/>
      <c r="J95" s="139"/>
      <c r="K95" s="139"/>
      <c r="L95" s="139"/>
      <c r="M95" s="139"/>
      <c r="N95" s="145"/>
      <c r="O95" s="139"/>
      <c r="P95" s="139"/>
      <c r="Q95" s="231"/>
      <c r="R95" s="139"/>
      <c r="S95" s="232"/>
      <c r="T95" s="232"/>
      <c r="U95" s="145"/>
      <c r="V95" s="145"/>
      <c r="W95" s="111"/>
      <c r="X95" s="233"/>
      <c r="Y95" s="226"/>
      <c r="Z95" s="139"/>
      <c r="AA95" s="139"/>
      <c r="AB95" s="139"/>
      <c r="AC95" s="139"/>
      <c r="AD95" s="139"/>
      <c r="AE95" s="139"/>
      <c r="AF95" s="139"/>
      <c r="AG95" s="139"/>
      <c r="AH95" s="139"/>
      <c r="AI95" s="139"/>
      <c r="AJ95" s="139"/>
      <c r="AK95" s="139"/>
      <c r="AL95" s="139"/>
      <c r="AM95" s="139"/>
      <c r="AN95" s="139"/>
      <c r="AO95" s="139"/>
      <c r="AP95" s="139"/>
      <c r="AQ95" s="139"/>
      <c r="AR95" s="139"/>
      <c r="AS95" s="139"/>
      <c r="AT95" s="139"/>
      <c r="AU95" s="139"/>
      <c r="AV95" s="139"/>
    </row>
    <row r="96">
      <c r="A96" s="112"/>
      <c r="B96" s="229"/>
      <c r="C96" s="230"/>
      <c r="D96" s="139"/>
      <c r="E96" s="139"/>
      <c r="F96" s="139"/>
      <c r="G96" s="139"/>
      <c r="H96" s="139"/>
      <c r="I96" s="139"/>
      <c r="J96" s="139"/>
      <c r="K96" s="139"/>
      <c r="L96" s="139"/>
      <c r="M96" s="139"/>
      <c r="N96" s="145"/>
      <c r="O96" s="139"/>
      <c r="P96" s="139"/>
      <c r="Q96" s="231"/>
      <c r="R96" s="139"/>
      <c r="S96" s="232"/>
      <c r="T96" s="232"/>
      <c r="U96" s="145"/>
      <c r="V96" s="145"/>
      <c r="W96" s="111"/>
      <c r="X96" s="233"/>
      <c r="Y96" s="226"/>
      <c r="Z96" s="139"/>
      <c r="AA96" s="139"/>
      <c r="AB96" s="139"/>
      <c r="AC96" s="139"/>
      <c r="AD96" s="139"/>
      <c r="AE96" s="139"/>
      <c r="AF96" s="139"/>
      <c r="AG96" s="139"/>
      <c r="AH96" s="139"/>
      <c r="AI96" s="139"/>
      <c r="AJ96" s="139"/>
      <c r="AK96" s="139"/>
      <c r="AL96" s="139"/>
      <c r="AM96" s="139"/>
      <c r="AN96" s="139"/>
      <c r="AO96" s="139"/>
      <c r="AP96" s="139"/>
      <c r="AQ96" s="139"/>
      <c r="AR96" s="139"/>
      <c r="AS96" s="139"/>
      <c r="AT96" s="139"/>
      <c r="AU96" s="139"/>
      <c r="AV96" s="139"/>
    </row>
    <row r="97">
      <c r="A97" s="112"/>
      <c r="B97" s="229"/>
      <c r="C97" s="230"/>
      <c r="D97" s="139"/>
      <c r="E97" s="139"/>
      <c r="F97" s="139"/>
      <c r="G97" s="139"/>
      <c r="H97" s="139"/>
      <c r="I97" s="139"/>
      <c r="J97" s="139"/>
      <c r="K97" s="139"/>
      <c r="L97" s="139"/>
      <c r="M97" s="139"/>
      <c r="N97" s="145"/>
      <c r="O97" s="139"/>
      <c r="P97" s="139"/>
      <c r="Q97" s="231"/>
      <c r="R97" s="139"/>
      <c r="S97" s="232"/>
      <c r="T97" s="232"/>
      <c r="U97" s="145"/>
      <c r="V97" s="145"/>
      <c r="W97" s="111"/>
      <c r="X97" s="233"/>
      <c r="Y97" s="226"/>
      <c r="Z97" s="139"/>
      <c r="AA97" s="139"/>
      <c r="AB97" s="139"/>
      <c r="AC97" s="139"/>
      <c r="AD97" s="139"/>
      <c r="AE97" s="139"/>
      <c r="AF97" s="139"/>
      <c r="AG97" s="139"/>
      <c r="AH97" s="139"/>
      <c r="AI97" s="139"/>
      <c r="AJ97" s="139"/>
      <c r="AK97" s="139"/>
      <c r="AL97" s="139"/>
      <c r="AM97" s="139"/>
      <c r="AN97" s="139"/>
      <c r="AO97" s="139"/>
      <c r="AP97" s="139"/>
      <c r="AQ97" s="139"/>
      <c r="AR97" s="139"/>
      <c r="AS97" s="139"/>
      <c r="AT97" s="139"/>
      <c r="AU97" s="139"/>
      <c r="AV97" s="139"/>
    </row>
    <row r="98">
      <c r="A98" s="112"/>
      <c r="B98" s="229"/>
      <c r="C98" s="230"/>
      <c r="D98" s="139"/>
      <c r="E98" s="139"/>
      <c r="F98" s="139"/>
      <c r="G98" s="139"/>
      <c r="H98" s="139"/>
      <c r="I98" s="139"/>
      <c r="J98" s="139"/>
      <c r="K98" s="139"/>
      <c r="L98" s="139"/>
      <c r="M98" s="139"/>
      <c r="N98" s="145"/>
      <c r="O98" s="139"/>
      <c r="P98" s="139"/>
      <c r="Q98" s="231"/>
      <c r="R98" s="139"/>
      <c r="S98" s="232"/>
      <c r="T98" s="232"/>
      <c r="U98" s="145"/>
      <c r="V98" s="145"/>
      <c r="W98" s="111"/>
      <c r="X98" s="233"/>
      <c r="Y98" s="226"/>
      <c r="Z98" s="139"/>
      <c r="AA98" s="139"/>
      <c r="AB98" s="139"/>
      <c r="AC98" s="139"/>
      <c r="AD98" s="139"/>
      <c r="AE98" s="139"/>
      <c r="AF98" s="139"/>
      <c r="AG98" s="139"/>
      <c r="AH98" s="139"/>
      <c r="AI98" s="139"/>
      <c r="AJ98" s="139"/>
      <c r="AK98" s="139"/>
      <c r="AL98" s="139"/>
      <c r="AM98" s="139"/>
      <c r="AN98" s="139"/>
      <c r="AO98" s="139"/>
      <c r="AP98" s="139"/>
      <c r="AQ98" s="139"/>
      <c r="AR98" s="139"/>
      <c r="AS98" s="139"/>
      <c r="AT98" s="139"/>
      <c r="AU98" s="139"/>
      <c r="AV98" s="139"/>
    </row>
    <row r="99">
      <c r="A99" s="112"/>
      <c r="B99" s="229"/>
      <c r="C99" s="230"/>
      <c r="D99" s="139"/>
      <c r="E99" s="139"/>
      <c r="F99" s="139"/>
      <c r="G99" s="139"/>
      <c r="H99" s="139"/>
      <c r="I99" s="139"/>
      <c r="J99" s="139"/>
      <c r="K99" s="139"/>
      <c r="L99" s="139"/>
      <c r="M99" s="139"/>
      <c r="N99" s="145"/>
      <c r="O99" s="139"/>
      <c r="P99" s="139"/>
      <c r="Q99" s="231"/>
      <c r="R99" s="139"/>
      <c r="S99" s="232"/>
      <c r="T99" s="232"/>
      <c r="U99" s="145"/>
      <c r="V99" s="145"/>
      <c r="W99" s="111"/>
      <c r="X99" s="233"/>
      <c r="Y99" s="226"/>
      <c r="Z99" s="139"/>
      <c r="AA99" s="139"/>
      <c r="AB99" s="139"/>
      <c r="AC99" s="139"/>
      <c r="AD99" s="139"/>
      <c r="AE99" s="139"/>
      <c r="AF99" s="139"/>
      <c r="AG99" s="139"/>
      <c r="AH99" s="139"/>
      <c r="AI99" s="139"/>
      <c r="AJ99" s="139"/>
      <c r="AK99" s="139"/>
      <c r="AL99" s="139"/>
      <c r="AM99" s="139"/>
      <c r="AN99" s="139"/>
      <c r="AO99" s="139"/>
      <c r="AP99" s="139"/>
      <c r="AQ99" s="139"/>
      <c r="AR99" s="139"/>
      <c r="AS99" s="139"/>
      <c r="AT99" s="139"/>
      <c r="AU99" s="139"/>
      <c r="AV99" s="139"/>
    </row>
    <row r="100">
      <c r="A100" s="112"/>
      <c r="B100" s="229"/>
      <c r="C100" s="230"/>
      <c r="D100" s="139"/>
      <c r="E100" s="139"/>
      <c r="F100" s="139"/>
      <c r="G100" s="139"/>
      <c r="H100" s="139"/>
      <c r="I100" s="139"/>
      <c r="J100" s="139"/>
      <c r="K100" s="139"/>
      <c r="L100" s="139"/>
      <c r="M100" s="139"/>
      <c r="N100" s="145"/>
      <c r="O100" s="139"/>
      <c r="P100" s="139"/>
      <c r="Q100" s="231"/>
      <c r="R100" s="139"/>
      <c r="S100" s="232"/>
      <c r="T100" s="232"/>
      <c r="U100" s="145"/>
      <c r="V100" s="145"/>
      <c r="W100" s="111"/>
      <c r="X100" s="233"/>
      <c r="Y100" s="226"/>
      <c r="Z100" s="139"/>
      <c r="AA100" s="139"/>
      <c r="AB100" s="139"/>
      <c r="AC100" s="139"/>
      <c r="AD100" s="139"/>
      <c r="AE100" s="139"/>
      <c r="AF100" s="139"/>
      <c r="AG100" s="139"/>
      <c r="AH100" s="139"/>
      <c r="AI100" s="139"/>
      <c r="AJ100" s="139"/>
      <c r="AK100" s="139"/>
      <c r="AL100" s="139"/>
      <c r="AM100" s="139"/>
      <c r="AN100" s="139"/>
      <c r="AO100" s="139"/>
      <c r="AP100" s="139"/>
      <c r="AQ100" s="139"/>
      <c r="AR100" s="139"/>
      <c r="AS100" s="139"/>
      <c r="AT100" s="139"/>
      <c r="AU100" s="139"/>
      <c r="AV100" s="139"/>
    </row>
    <row r="101">
      <c r="A101" s="112"/>
      <c r="B101" s="229"/>
      <c r="C101" s="230"/>
      <c r="D101" s="139"/>
      <c r="E101" s="139"/>
      <c r="F101" s="139"/>
      <c r="G101" s="139"/>
      <c r="H101" s="139"/>
      <c r="I101" s="139"/>
      <c r="J101" s="139"/>
      <c r="K101" s="139"/>
      <c r="L101" s="139"/>
      <c r="M101" s="139"/>
      <c r="N101" s="145"/>
      <c r="O101" s="139"/>
      <c r="P101" s="139"/>
      <c r="Q101" s="231"/>
      <c r="R101" s="139"/>
      <c r="S101" s="232"/>
      <c r="T101" s="232"/>
      <c r="U101" s="145"/>
      <c r="V101" s="145"/>
      <c r="W101" s="111"/>
      <c r="X101" s="233"/>
      <c r="Y101" s="226"/>
      <c r="Z101" s="139"/>
      <c r="AA101" s="139"/>
      <c r="AB101" s="139"/>
      <c r="AC101" s="139"/>
      <c r="AD101" s="139"/>
      <c r="AE101" s="139"/>
      <c r="AF101" s="139"/>
      <c r="AG101" s="139"/>
      <c r="AH101" s="139"/>
      <c r="AI101" s="139"/>
      <c r="AJ101" s="139"/>
      <c r="AK101" s="139"/>
      <c r="AL101" s="139"/>
      <c r="AM101" s="139"/>
      <c r="AN101" s="139"/>
      <c r="AO101" s="139"/>
      <c r="AP101" s="139"/>
      <c r="AQ101" s="139"/>
      <c r="AR101" s="139"/>
      <c r="AS101" s="139"/>
      <c r="AT101" s="139"/>
      <c r="AU101" s="139"/>
      <c r="AV101" s="139"/>
    </row>
    <row r="102">
      <c r="A102" s="112"/>
      <c r="B102" s="229"/>
      <c r="C102" s="230"/>
      <c r="D102" s="139"/>
      <c r="E102" s="139"/>
      <c r="F102" s="139"/>
      <c r="G102" s="139"/>
      <c r="H102" s="139"/>
      <c r="I102" s="139"/>
      <c r="J102" s="139"/>
      <c r="K102" s="139"/>
      <c r="L102" s="139"/>
      <c r="M102" s="139"/>
      <c r="N102" s="145"/>
      <c r="O102" s="139"/>
      <c r="P102" s="139"/>
      <c r="Q102" s="231"/>
      <c r="R102" s="139"/>
      <c r="S102" s="232"/>
      <c r="T102" s="232"/>
      <c r="U102" s="145"/>
      <c r="V102" s="145"/>
      <c r="W102" s="111"/>
      <c r="X102" s="233"/>
      <c r="Y102" s="226"/>
      <c r="Z102" s="139"/>
      <c r="AA102" s="139"/>
      <c r="AB102" s="139"/>
      <c r="AC102" s="139"/>
      <c r="AD102" s="139"/>
      <c r="AE102" s="139"/>
      <c r="AF102" s="139"/>
      <c r="AG102" s="139"/>
      <c r="AH102" s="139"/>
      <c r="AI102" s="139"/>
      <c r="AJ102" s="139"/>
      <c r="AK102" s="139"/>
      <c r="AL102" s="139"/>
      <c r="AM102" s="139"/>
      <c r="AN102" s="139"/>
      <c r="AO102" s="139"/>
      <c r="AP102" s="139"/>
      <c r="AQ102" s="139"/>
      <c r="AR102" s="139"/>
      <c r="AS102" s="139"/>
      <c r="AT102" s="139"/>
      <c r="AU102" s="139"/>
      <c r="AV102" s="139"/>
    </row>
    <row r="103">
      <c r="A103" s="112"/>
      <c r="B103" s="229"/>
      <c r="C103" s="230"/>
      <c r="D103" s="139"/>
      <c r="E103" s="139"/>
      <c r="F103" s="139"/>
      <c r="G103" s="139"/>
      <c r="H103" s="139"/>
      <c r="I103" s="139"/>
      <c r="J103" s="139"/>
      <c r="K103" s="139"/>
      <c r="L103" s="139"/>
      <c r="M103" s="139"/>
      <c r="N103" s="145"/>
      <c r="O103" s="139"/>
      <c r="P103" s="139"/>
      <c r="Q103" s="231"/>
      <c r="R103" s="139"/>
      <c r="S103" s="232"/>
      <c r="T103" s="232"/>
      <c r="U103" s="145"/>
      <c r="V103" s="145"/>
      <c r="W103" s="111"/>
      <c r="X103" s="233"/>
      <c r="Y103" s="226"/>
      <c r="Z103" s="139"/>
      <c r="AA103" s="139"/>
      <c r="AB103" s="139"/>
      <c r="AC103" s="139"/>
      <c r="AD103" s="139"/>
      <c r="AE103" s="139"/>
      <c r="AF103" s="139"/>
      <c r="AG103" s="139"/>
      <c r="AH103" s="139"/>
      <c r="AI103" s="139"/>
      <c r="AJ103" s="139"/>
      <c r="AK103" s="139"/>
      <c r="AL103" s="139"/>
      <c r="AM103" s="139"/>
      <c r="AN103" s="139"/>
      <c r="AO103" s="139"/>
      <c r="AP103" s="139"/>
      <c r="AQ103" s="139"/>
      <c r="AR103" s="139"/>
      <c r="AS103" s="139"/>
      <c r="AT103" s="139"/>
      <c r="AU103" s="139"/>
      <c r="AV103" s="139"/>
    </row>
    <row r="104">
      <c r="A104" s="112"/>
      <c r="B104" s="229"/>
      <c r="C104" s="230"/>
      <c r="D104" s="139"/>
      <c r="E104" s="139"/>
      <c r="F104" s="139"/>
      <c r="G104" s="139"/>
      <c r="H104" s="139"/>
      <c r="I104" s="139"/>
      <c r="J104" s="139"/>
      <c r="K104" s="139"/>
      <c r="L104" s="139"/>
      <c r="M104" s="139"/>
      <c r="N104" s="145"/>
      <c r="O104" s="139"/>
      <c r="P104" s="139"/>
      <c r="Q104" s="231"/>
      <c r="R104" s="139"/>
      <c r="S104" s="232"/>
      <c r="T104" s="232"/>
      <c r="U104" s="145"/>
      <c r="V104" s="145"/>
      <c r="W104" s="111"/>
      <c r="X104" s="233"/>
      <c r="Y104" s="226"/>
      <c r="Z104" s="139"/>
      <c r="AA104" s="139"/>
      <c r="AB104" s="139"/>
      <c r="AC104" s="139"/>
      <c r="AD104" s="139"/>
      <c r="AE104" s="139"/>
      <c r="AF104" s="139"/>
      <c r="AG104" s="139"/>
      <c r="AH104" s="139"/>
      <c r="AI104" s="139"/>
      <c r="AJ104" s="139"/>
      <c r="AK104" s="139"/>
      <c r="AL104" s="139"/>
      <c r="AM104" s="139"/>
      <c r="AN104" s="139"/>
      <c r="AO104" s="139"/>
      <c r="AP104" s="139"/>
      <c r="AQ104" s="139"/>
      <c r="AR104" s="139"/>
      <c r="AS104" s="139"/>
      <c r="AT104" s="139"/>
      <c r="AU104" s="139"/>
      <c r="AV104" s="139"/>
    </row>
    <row r="105">
      <c r="A105" s="112"/>
      <c r="B105" s="229"/>
      <c r="C105" s="230"/>
      <c r="D105" s="139"/>
      <c r="E105" s="139"/>
      <c r="F105" s="139"/>
      <c r="G105" s="139"/>
      <c r="H105" s="139"/>
      <c r="I105" s="139"/>
      <c r="J105" s="139"/>
      <c r="K105" s="139"/>
      <c r="L105" s="139"/>
      <c r="M105" s="139"/>
      <c r="N105" s="145"/>
      <c r="O105" s="139"/>
      <c r="P105" s="139"/>
      <c r="Q105" s="231"/>
      <c r="R105" s="139"/>
      <c r="S105" s="232"/>
      <c r="T105" s="232"/>
      <c r="U105" s="145"/>
      <c r="V105" s="145"/>
      <c r="W105" s="111"/>
      <c r="X105" s="233"/>
      <c r="Y105" s="226"/>
      <c r="Z105" s="139"/>
      <c r="AA105" s="139"/>
      <c r="AB105" s="139"/>
      <c r="AC105" s="139"/>
      <c r="AD105" s="139"/>
      <c r="AE105" s="139"/>
      <c r="AF105" s="139"/>
      <c r="AG105" s="139"/>
      <c r="AH105" s="139"/>
      <c r="AI105" s="139"/>
      <c r="AJ105" s="139"/>
      <c r="AK105" s="139"/>
      <c r="AL105" s="139"/>
      <c r="AM105" s="139"/>
      <c r="AN105" s="139"/>
      <c r="AO105" s="139"/>
      <c r="AP105" s="139"/>
      <c r="AQ105" s="139"/>
      <c r="AR105" s="139"/>
      <c r="AS105" s="139"/>
      <c r="AT105" s="139"/>
      <c r="AU105" s="139"/>
      <c r="AV105" s="139"/>
    </row>
    <row r="106">
      <c r="A106" s="112"/>
      <c r="B106" s="229"/>
      <c r="C106" s="230"/>
      <c r="D106" s="139"/>
      <c r="E106" s="139"/>
      <c r="F106" s="139"/>
      <c r="G106" s="139"/>
      <c r="H106" s="139"/>
      <c r="I106" s="139"/>
      <c r="J106" s="139"/>
      <c r="K106" s="139"/>
      <c r="L106" s="139"/>
      <c r="M106" s="139"/>
      <c r="N106" s="145"/>
      <c r="O106" s="139"/>
      <c r="P106" s="139"/>
      <c r="Q106" s="231"/>
      <c r="R106" s="139"/>
      <c r="S106" s="232"/>
      <c r="T106" s="232"/>
      <c r="U106" s="145"/>
      <c r="V106" s="145"/>
      <c r="W106" s="111"/>
      <c r="X106" s="233"/>
      <c r="Y106" s="226"/>
      <c r="Z106" s="139"/>
      <c r="AA106" s="139"/>
      <c r="AB106" s="139"/>
      <c r="AC106" s="139"/>
      <c r="AD106" s="139"/>
      <c r="AE106" s="139"/>
      <c r="AF106" s="139"/>
      <c r="AG106" s="139"/>
      <c r="AH106" s="139"/>
      <c r="AI106" s="139"/>
      <c r="AJ106" s="139"/>
      <c r="AK106" s="139"/>
      <c r="AL106" s="139"/>
      <c r="AM106" s="139"/>
      <c r="AN106" s="139"/>
      <c r="AO106" s="139"/>
      <c r="AP106" s="139"/>
      <c r="AQ106" s="139"/>
      <c r="AR106" s="139"/>
      <c r="AS106" s="139"/>
      <c r="AT106" s="139"/>
      <c r="AU106" s="139"/>
      <c r="AV106" s="139"/>
    </row>
    <row r="107">
      <c r="A107" s="112"/>
      <c r="B107" s="229"/>
      <c r="C107" s="230"/>
      <c r="D107" s="139"/>
      <c r="E107" s="139"/>
      <c r="F107" s="139"/>
      <c r="G107" s="139"/>
      <c r="H107" s="139"/>
      <c r="I107" s="139"/>
      <c r="J107" s="139"/>
      <c r="K107" s="139"/>
      <c r="L107" s="139"/>
      <c r="M107" s="139"/>
      <c r="N107" s="145"/>
      <c r="O107" s="139"/>
      <c r="P107" s="139"/>
      <c r="Q107" s="231"/>
      <c r="R107" s="139"/>
      <c r="S107" s="232"/>
      <c r="T107" s="232"/>
      <c r="U107" s="145"/>
      <c r="V107" s="145"/>
      <c r="W107" s="111"/>
      <c r="X107" s="233"/>
      <c r="Y107" s="226"/>
      <c r="Z107" s="139"/>
      <c r="AA107" s="139"/>
      <c r="AB107" s="139"/>
      <c r="AC107" s="139"/>
      <c r="AD107" s="139"/>
      <c r="AE107" s="139"/>
      <c r="AF107" s="139"/>
      <c r="AG107" s="139"/>
      <c r="AH107" s="139"/>
      <c r="AI107" s="139"/>
      <c r="AJ107" s="139"/>
      <c r="AK107" s="139"/>
      <c r="AL107" s="139"/>
      <c r="AM107" s="139"/>
      <c r="AN107" s="139"/>
      <c r="AO107" s="139"/>
      <c r="AP107" s="139"/>
      <c r="AQ107" s="139"/>
      <c r="AR107" s="139"/>
      <c r="AS107" s="139"/>
      <c r="AT107" s="139"/>
      <c r="AU107" s="139"/>
      <c r="AV107" s="139"/>
    </row>
    <row r="108">
      <c r="A108" s="112"/>
      <c r="B108" s="229"/>
      <c r="C108" s="230"/>
      <c r="D108" s="139"/>
      <c r="E108" s="139"/>
      <c r="F108" s="139"/>
      <c r="G108" s="139"/>
      <c r="H108" s="139"/>
      <c r="I108" s="139"/>
      <c r="J108" s="139"/>
      <c r="K108" s="139"/>
      <c r="L108" s="139"/>
      <c r="M108" s="139"/>
      <c r="N108" s="145"/>
      <c r="O108" s="139"/>
      <c r="P108" s="139"/>
      <c r="Q108" s="231"/>
      <c r="R108" s="139"/>
      <c r="S108" s="232"/>
      <c r="T108" s="232"/>
      <c r="U108" s="145"/>
      <c r="V108" s="145"/>
      <c r="W108" s="111"/>
      <c r="X108" s="233"/>
      <c r="Y108" s="226"/>
      <c r="Z108" s="139"/>
      <c r="AA108" s="139"/>
      <c r="AB108" s="139"/>
      <c r="AC108" s="139"/>
      <c r="AD108" s="139"/>
      <c r="AE108" s="139"/>
      <c r="AF108" s="139"/>
      <c r="AG108" s="139"/>
      <c r="AH108" s="139"/>
      <c r="AI108" s="139"/>
      <c r="AJ108" s="139"/>
      <c r="AK108" s="139"/>
      <c r="AL108" s="139"/>
      <c r="AM108" s="139"/>
      <c r="AN108" s="139"/>
      <c r="AO108" s="139"/>
      <c r="AP108" s="139"/>
      <c r="AQ108" s="139"/>
      <c r="AR108" s="139"/>
      <c r="AS108" s="139"/>
      <c r="AT108" s="139"/>
      <c r="AU108" s="139"/>
      <c r="AV108" s="139"/>
    </row>
    <row r="109">
      <c r="A109" s="112"/>
      <c r="B109" s="229"/>
      <c r="C109" s="230"/>
      <c r="D109" s="139"/>
      <c r="E109" s="139"/>
      <c r="F109" s="139"/>
      <c r="G109" s="139"/>
      <c r="H109" s="139"/>
      <c r="I109" s="139"/>
      <c r="J109" s="139"/>
      <c r="K109" s="139"/>
      <c r="L109" s="139"/>
      <c r="M109" s="139"/>
      <c r="N109" s="145"/>
      <c r="O109" s="139"/>
      <c r="P109" s="139"/>
      <c r="Q109" s="231"/>
      <c r="R109" s="139"/>
      <c r="S109" s="232"/>
      <c r="T109" s="232"/>
      <c r="U109" s="145"/>
      <c r="V109" s="145"/>
      <c r="W109" s="111"/>
      <c r="X109" s="233"/>
      <c r="Y109" s="226"/>
      <c r="Z109" s="139"/>
      <c r="AA109" s="139"/>
      <c r="AB109" s="139"/>
      <c r="AC109" s="139"/>
      <c r="AD109" s="139"/>
      <c r="AE109" s="139"/>
      <c r="AF109" s="139"/>
      <c r="AG109" s="139"/>
      <c r="AH109" s="139"/>
      <c r="AI109" s="139"/>
      <c r="AJ109" s="139"/>
      <c r="AK109" s="139"/>
      <c r="AL109" s="139"/>
      <c r="AM109" s="139"/>
      <c r="AN109" s="139"/>
      <c r="AO109" s="139"/>
      <c r="AP109" s="139"/>
      <c r="AQ109" s="139"/>
      <c r="AR109" s="139"/>
      <c r="AS109" s="139"/>
      <c r="AT109" s="139"/>
      <c r="AU109" s="139"/>
      <c r="AV109" s="139"/>
    </row>
    <row r="110">
      <c r="A110" s="112"/>
      <c r="B110" s="229"/>
      <c r="C110" s="230"/>
      <c r="D110" s="139"/>
      <c r="E110" s="139"/>
      <c r="F110" s="139"/>
      <c r="G110" s="139"/>
      <c r="H110" s="139"/>
      <c r="I110" s="139"/>
      <c r="J110" s="139"/>
      <c r="K110" s="139"/>
      <c r="L110" s="139"/>
      <c r="M110" s="139"/>
      <c r="N110" s="145"/>
      <c r="O110" s="139"/>
      <c r="P110" s="139"/>
      <c r="Q110" s="231"/>
      <c r="R110" s="139"/>
      <c r="S110" s="232"/>
      <c r="T110" s="232"/>
      <c r="U110" s="145"/>
      <c r="V110" s="145"/>
      <c r="W110" s="111"/>
      <c r="X110" s="233"/>
      <c r="Y110" s="226"/>
      <c r="Z110" s="139"/>
      <c r="AA110" s="139"/>
      <c r="AB110" s="139"/>
      <c r="AC110" s="139"/>
      <c r="AD110" s="139"/>
      <c r="AE110" s="139"/>
      <c r="AF110" s="139"/>
      <c r="AG110" s="139"/>
      <c r="AH110" s="139"/>
      <c r="AI110" s="139"/>
      <c r="AJ110" s="139"/>
      <c r="AK110" s="139"/>
      <c r="AL110" s="139"/>
      <c r="AM110" s="139"/>
      <c r="AN110" s="139"/>
      <c r="AO110" s="139"/>
      <c r="AP110" s="139"/>
      <c r="AQ110" s="139"/>
      <c r="AR110" s="139"/>
      <c r="AS110" s="139"/>
      <c r="AT110" s="139"/>
      <c r="AU110" s="139"/>
      <c r="AV110" s="139"/>
    </row>
    <row r="111">
      <c r="A111" s="112"/>
      <c r="B111" s="229"/>
      <c r="C111" s="230"/>
      <c r="D111" s="139"/>
      <c r="E111" s="139"/>
      <c r="F111" s="139"/>
      <c r="G111" s="139"/>
      <c r="H111" s="139"/>
      <c r="I111" s="139"/>
      <c r="J111" s="139"/>
      <c r="K111" s="139"/>
      <c r="L111" s="139"/>
      <c r="M111" s="139"/>
      <c r="N111" s="145"/>
      <c r="O111" s="139"/>
      <c r="P111" s="139"/>
      <c r="Q111" s="231"/>
      <c r="R111" s="139"/>
      <c r="S111" s="232"/>
      <c r="T111" s="232"/>
      <c r="U111" s="145"/>
      <c r="V111" s="145"/>
      <c r="W111" s="111"/>
      <c r="X111" s="233"/>
      <c r="Y111" s="226"/>
      <c r="Z111" s="139"/>
      <c r="AA111" s="139"/>
      <c r="AB111" s="139"/>
      <c r="AC111" s="139"/>
      <c r="AD111" s="139"/>
      <c r="AE111" s="139"/>
      <c r="AF111" s="139"/>
      <c r="AG111" s="139"/>
      <c r="AH111" s="139"/>
      <c r="AI111" s="139"/>
      <c r="AJ111" s="139"/>
      <c r="AK111" s="139"/>
      <c r="AL111" s="139"/>
      <c r="AM111" s="139"/>
      <c r="AN111" s="139"/>
      <c r="AO111" s="139"/>
      <c r="AP111" s="139"/>
      <c r="AQ111" s="139"/>
      <c r="AR111" s="139"/>
      <c r="AS111" s="139"/>
      <c r="AT111" s="139"/>
      <c r="AU111" s="139"/>
      <c r="AV111" s="139"/>
    </row>
    <row r="112">
      <c r="A112" s="112"/>
      <c r="B112" s="229"/>
      <c r="C112" s="230"/>
      <c r="D112" s="139"/>
      <c r="E112" s="139"/>
      <c r="F112" s="139"/>
      <c r="G112" s="139"/>
      <c r="H112" s="139"/>
      <c r="I112" s="139"/>
      <c r="J112" s="139"/>
      <c r="K112" s="139"/>
      <c r="L112" s="139"/>
      <c r="M112" s="139"/>
      <c r="N112" s="145"/>
      <c r="O112" s="139"/>
      <c r="P112" s="139"/>
      <c r="Q112" s="231"/>
      <c r="R112" s="139"/>
      <c r="S112" s="232"/>
      <c r="T112" s="232"/>
      <c r="U112" s="145"/>
      <c r="V112" s="145"/>
      <c r="W112" s="111"/>
      <c r="X112" s="233"/>
      <c r="Y112" s="226"/>
      <c r="Z112" s="139"/>
      <c r="AA112" s="139"/>
      <c r="AB112" s="139"/>
      <c r="AC112" s="139"/>
      <c r="AD112" s="139"/>
      <c r="AE112" s="139"/>
      <c r="AF112" s="139"/>
      <c r="AG112" s="139"/>
      <c r="AH112" s="139"/>
      <c r="AI112" s="139"/>
      <c r="AJ112" s="139"/>
      <c r="AK112" s="139"/>
      <c r="AL112" s="139"/>
      <c r="AM112" s="139"/>
      <c r="AN112" s="139"/>
      <c r="AO112" s="139"/>
      <c r="AP112" s="139"/>
      <c r="AQ112" s="139"/>
      <c r="AR112" s="139"/>
      <c r="AS112" s="139"/>
      <c r="AT112" s="139"/>
      <c r="AU112" s="139"/>
      <c r="AV112" s="139"/>
    </row>
    <row r="113">
      <c r="A113" s="112"/>
      <c r="B113" s="229"/>
      <c r="C113" s="230"/>
      <c r="D113" s="139"/>
      <c r="E113" s="139"/>
      <c r="F113" s="139"/>
      <c r="G113" s="139"/>
      <c r="H113" s="139"/>
      <c r="I113" s="139"/>
      <c r="J113" s="139"/>
      <c r="K113" s="139"/>
      <c r="L113" s="139"/>
      <c r="M113" s="139"/>
      <c r="N113" s="145"/>
      <c r="O113" s="139"/>
      <c r="P113" s="139"/>
      <c r="Q113" s="231"/>
      <c r="R113" s="139"/>
      <c r="S113" s="232"/>
      <c r="T113" s="232"/>
      <c r="U113" s="145"/>
      <c r="V113" s="145"/>
      <c r="W113" s="111"/>
      <c r="X113" s="233"/>
      <c r="Y113" s="226"/>
      <c r="Z113" s="139"/>
      <c r="AA113" s="139"/>
      <c r="AB113" s="139"/>
      <c r="AC113" s="139"/>
      <c r="AD113" s="139"/>
      <c r="AE113" s="139"/>
      <c r="AF113" s="139"/>
      <c r="AG113" s="139"/>
      <c r="AH113" s="139"/>
      <c r="AI113" s="139"/>
      <c r="AJ113" s="139"/>
      <c r="AK113" s="139"/>
      <c r="AL113" s="139"/>
      <c r="AM113" s="139"/>
      <c r="AN113" s="139"/>
      <c r="AO113" s="139"/>
      <c r="AP113" s="139"/>
      <c r="AQ113" s="139"/>
      <c r="AR113" s="139"/>
      <c r="AS113" s="139"/>
      <c r="AT113" s="139"/>
      <c r="AU113" s="139"/>
      <c r="AV113" s="139"/>
    </row>
    <row r="114">
      <c r="A114" s="112"/>
      <c r="B114" s="229"/>
      <c r="C114" s="230"/>
      <c r="D114" s="139"/>
      <c r="E114" s="139"/>
      <c r="F114" s="139"/>
      <c r="G114" s="139"/>
      <c r="H114" s="139"/>
      <c r="I114" s="139"/>
      <c r="J114" s="139"/>
      <c r="K114" s="139"/>
      <c r="L114" s="139"/>
      <c r="M114" s="139"/>
      <c r="N114" s="145"/>
      <c r="O114" s="139"/>
      <c r="P114" s="139"/>
      <c r="Q114" s="231"/>
      <c r="R114" s="139"/>
      <c r="S114" s="232"/>
      <c r="T114" s="232"/>
      <c r="U114" s="145"/>
      <c r="V114" s="145"/>
      <c r="W114" s="111"/>
      <c r="X114" s="233"/>
      <c r="Y114" s="226"/>
      <c r="Z114" s="139"/>
      <c r="AA114" s="139"/>
      <c r="AB114" s="139"/>
      <c r="AC114" s="139"/>
      <c r="AD114" s="139"/>
      <c r="AE114" s="139"/>
      <c r="AF114" s="139"/>
      <c r="AG114" s="139"/>
      <c r="AH114" s="139"/>
      <c r="AI114" s="139"/>
      <c r="AJ114" s="139"/>
      <c r="AK114" s="139"/>
      <c r="AL114" s="139"/>
      <c r="AM114" s="139"/>
      <c r="AN114" s="139"/>
      <c r="AO114" s="139"/>
      <c r="AP114" s="139"/>
      <c r="AQ114" s="139"/>
      <c r="AR114" s="139"/>
      <c r="AS114" s="139"/>
      <c r="AT114" s="139"/>
      <c r="AU114" s="139"/>
      <c r="AV114" s="139"/>
    </row>
    <row r="115">
      <c r="A115" s="112"/>
      <c r="B115" s="229"/>
      <c r="C115" s="230"/>
      <c r="D115" s="139"/>
      <c r="E115" s="139"/>
      <c r="F115" s="139"/>
      <c r="G115" s="139"/>
      <c r="H115" s="139"/>
      <c r="I115" s="139"/>
      <c r="J115" s="139"/>
      <c r="K115" s="139"/>
      <c r="L115" s="139"/>
      <c r="M115" s="139"/>
      <c r="N115" s="145"/>
      <c r="O115" s="139"/>
      <c r="P115" s="139"/>
      <c r="Q115" s="231"/>
      <c r="R115" s="139"/>
      <c r="S115" s="232"/>
      <c r="T115" s="232"/>
      <c r="U115" s="145"/>
      <c r="V115" s="145"/>
      <c r="W115" s="111"/>
      <c r="X115" s="233"/>
      <c r="Y115" s="226"/>
      <c r="Z115" s="139"/>
      <c r="AA115" s="139"/>
      <c r="AB115" s="139"/>
      <c r="AC115" s="139"/>
      <c r="AD115" s="139"/>
      <c r="AE115" s="139"/>
      <c r="AF115" s="139"/>
      <c r="AG115" s="139"/>
      <c r="AH115" s="139"/>
      <c r="AI115" s="139"/>
      <c r="AJ115" s="139"/>
      <c r="AK115" s="139"/>
      <c r="AL115" s="139"/>
      <c r="AM115" s="139"/>
      <c r="AN115" s="139"/>
      <c r="AO115" s="139"/>
      <c r="AP115" s="139"/>
      <c r="AQ115" s="139"/>
      <c r="AR115" s="139"/>
      <c r="AS115" s="139"/>
      <c r="AT115" s="139"/>
      <c r="AU115" s="139"/>
      <c r="AV115" s="139"/>
    </row>
    <row r="116">
      <c r="A116" s="112"/>
      <c r="B116" s="229"/>
      <c r="C116" s="230"/>
      <c r="D116" s="139"/>
      <c r="E116" s="139"/>
      <c r="F116" s="139"/>
      <c r="G116" s="139"/>
      <c r="H116" s="139"/>
      <c r="I116" s="139"/>
      <c r="J116" s="139"/>
      <c r="K116" s="139"/>
      <c r="L116" s="139"/>
      <c r="M116" s="139"/>
      <c r="N116" s="145"/>
      <c r="O116" s="139"/>
      <c r="P116" s="139"/>
      <c r="Q116" s="231"/>
      <c r="R116" s="139"/>
      <c r="S116" s="232"/>
      <c r="T116" s="232"/>
      <c r="U116" s="145"/>
      <c r="V116" s="145"/>
      <c r="W116" s="111"/>
      <c r="X116" s="233"/>
      <c r="Y116" s="226"/>
      <c r="Z116" s="139"/>
      <c r="AA116" s="139"/>
      <c r="AB116" s="139"/>
      <c r="AC116" s="139"/>
      <c r="AD116" s="139"/>
      <c r="AE116" s="139"/>
      <c r="AF116" s="139"/>
      <c r="AG116" s="139"/>
      <c r="AH116" s="139"/>
      <c r="AI116" s="139"/>
      <c r="AJ116" s="139"/>
      <c r="AK116" s="139"/>
      <c r="AL116" s="139"/>
      <c r="AM116" s="139"/>
      <c r="AN116" s="139"/>
      <c r="AO116" s="139"/>
      <c r="AP116" s="139"/>
      <c r="AQ116" s="139"/>
      <c r="AR116" s="139"/>
      <c r="AS116" s="139"/>
      <c r="AT116" s="139"/>
      <c r="AU116" s="139"/>
      <c r="AV116" s="139"/>
    </row>
    <row r="117">
      <c r="A117" s="112"/>
      <c r="B117" s="229"/>
      <c r="C117" s="230"/>
      <c r="D117" s="139"/>
      <c r="E117" s="139"/>
      <c r="F117" s="139"/>
      <c r="G117" s="139"/>
      <c r="H117" s="139"/>
      <c r="I117" s="139"/>
      <c r="J117" s="139"/>
      <c r="K117" s="139"/>
      <c r="L117" s="139"/>
      <c r="M117" s="139"/>
      <c r="N117" s="145"/>
      <c r="O117" s="139"/>
      <c r="P117" s="139"/>
      <c r="Q117" s="231"/>
      <c r="R117" s="139"/>
      <c r="S117" s="232"/>
      <c r="T117" s="232"/>
      <c r="U117" s="145"/>
      <c r="V117" s="145"/>
      <c r="W117" s="111"/>
      <c r="X117" s="233"/>
      <c r="Y117" s="226"/>
      <c r="Z117" s="139"/>
      <c r="AA117" s="139"/>
      <c r="AB117" s="139"/>
      <c r="AC117" s="139"/>
      <c r="AD117" s="139"/>
      <c r="AE117" s="139"/>
      <c r="AF117" s="139"/>
      <c r="AG117" s="139"/>
      <c r="AH117" s="139"/>
      <c r="AI117" s="139"/>
      <c r="AJ117" s="139"/>
      <c r="AK117" s="139"/>
      <c r="AL117" s="139"/>
      <c r="AM117" s="139"/>
      <c r="AN117" s="139"/>
      <c r="AO117" s="139"/>
      <c r="AP117" s="139"/>
      <c r="AQ117" s="139"/>
      <c r="AR117" s="139"/>
      <c r="AS117" s="139"/>
      <c r="AT117" s="139"/>
      <c r="AU117" s="139"/>
      <c r="AV117" s="139"/>
    </row>
    <row r="118">
      <c r="A118" s="112"/>
      <c r="B118" s="229"/>
      <c r="C118" s="230"/>
      <c r="D118" s="139"/>
      <c r="E118" s="139"/>
      <c r="F118" s="139"/>
      <c r="G118" s="139"/>
      <c r="H118" s="139"/>
      <c r="I118" s="139"/>
      <c r="J118" s="139"/>
      <c r="K118" s="139"/>
      <c r="L118" s="139"/>
      <c r="M118" s="139"/>
      <c r="N118" s="145"/>
      <c r="O118" s="139"/>
      <c r="P118" s="139"/>
      <c r="Q118" s="231"/>
      <c r="R118" s="139"/>
      <c r="S118" s="232"/>
      <c r="T118" s="232"/>
      <c r="U118" s="145"/>
      <c r="V118" s="145"/>
      <c r="W118" s="111"/>
      <c r="X118" s="233"/>
      <c r="Y118" s="226"/>
      <c r="Z118" s="139"/>
      <c r="AA118" s="139"/>
      <c r="AB118" s="139"/>
      <c r="AC118" s="139"/>
      <c r="AD118" s="139"/>
      <c r="AE118" s="139"/>
      <c r="AF118" s="139"/>
      <c r="AG118" s="139"/>
      <c r="AH118" s="139"/>
      <c r="AI118" s="139"/>
      <c r="AJ118" s="139"/>
      <c r="AK118" s="139"/>
      <c r="AL118" s="139"/>
      <c r="AM118" s="139"/>
      <c r="AN118" s="139"/>
      <c r="AO118" s="139"/>
      <c r="AP118" s="139"/>
      <c r="AQ118" s="139"/>
      <c r="AR118" s="139"/>
      <c r="AS118" s="139"/>
      <c r="AT118" s="139"/>
      <c r="AU118" s="139"/>
      <c r="AV118" s="139"/>
    </row>
    <row r="119">
      <c r="A119" s="112"/>
      <c r="B119" s="229"/>
      <c r="C119" s="230"/>
      <c r="D119" s="139"/>
      <c r="E119" s="139"/>
      <c r="F119" s="139"/>
      <c r="G119" s="139"/>
      <c r="H119" s="139"/>
      <c r="I119" s="139"/>
      <c r="J119" s="139"/>
      <c r="K119" s="139"/>
      <c r="L119" s="139"/>
      <c r="M119" s="139"/>
      <c r="N119" s="145"/>
      <c r="O119" s="139"/>
      <c r="P119" s="139"/>
      <c r="Q119" s="231"/>
      <c r="R119" s="139"/>
      <c r="S119" s="232"/>
      <c r="T119" s="232"/>
      <c r="U119" s="145"/>
      <c r="V119" s="145"/>
      <c r="W119" s="111"/>
      <c r="X119" s="233"/>
      <c r="Y119" s="226"/>
      <c r="Z119" s="139"/>
      <c r="AA119" s="139"/>
      <c r="AB119" s="139"/>
      <c r="AC119" s="139"/>
      <c r="AD119" s="139"/>
      <c r="AE119" s="139"/>
      <c r="AF119" s="139"/>
      <c r="AG119" s="139"/>
      <c r="AH119" s="139"/>
      <c r="AI119" s="139"/>
      <c r="AJ119" s="139"/>
      <c r="AK119" s="139"/>
      <c r="AL119" s="139"/>
      <c r="AM119" s="139"/>
      <c r="AN119" s="139"/>
      <c r="AO119" s="139"/>
      <c r="AP119" s="139"/>
      <c r="AQ119" s="139"/>
      <c r="AR119" s="139"/>
      <c r="AS119" s="139"/>
      <c r="AT119" s="139"/>
      <c r="AU119" s="139"/>
      <c r="AV119" s="139"/>
    </row>
    <row r="120">
      <c r="A120" s="112"/>
      <c r="B120" s="229"/>
      <c r="C120" s="230"/>
      <c r="D120" s="139"/>
      <c r="E120" s="139"/>
      <c r="F120" s="139"/>
      <c r="G120" s="139"/>
      <c r="H120" s="139"/>
      <c r="I120" s="139"/>
      <c r="J120" s="139"/>
      <c r="K120" s="139"/>
      <c r="L120" s="139"/>
      <c r="M120" s="139"/>
      <c r="N120" s="145"/>
      <c r="O120" s="139"/>
      <c r="P120" s="139"/>
      <c r="Q120" s="231"/>
      <c r="R120" s="139"/>
      <c r="S120" s="232"/>
      <c r="T120" s="232"/>
      <c r="U120" s="145"/>
      <c r="V120" s="145"/>
      <c r="W120" s="111"/>
      <c r="X120" s="233"/>
      <c r="Y120" s="226"/>
      <c r="Z120" s="139"/>
      <c r="AA120" s="139"/>
      <c r="AB120" s="139"/>
      <c r="AC120" s="139"/>
      <c r="AD120" s="139"/>
      <c r="AE120" s="139"/>
      <c r="AF120" s="139"/>
      <c r="AG120" s="139"/>
      <c r="AH120" s="139"/>
      <c r="AI120" s="139"/>
      <c r="AJ120" s="139"/>
      <c r="AK120" s="139"/>
      <c r="AL120" s="139"/>
      <c r="AM120" s="139"/>
      <c r="AN120" s="139"/>
      <c r="AO120" s="139"/>
      <c r="AP120" s="139"/>
      <c r="AQ120" s="139"/>
      <c r="AR120" s="139"/>
      <c r="AS120" s="139"/>
      <c r="AT120" s="139"/>
      <c r="AU120" s="139"/>
      <c r="AV120" s="139"/>
    </row>
    <row r="121">
      <c r="A121" s="112"/>
      <c r="B121" s="229"/>
      <c r="C121" s="230"/>
      <c r="D121" s="139"/>
      <c r="E121" s="139"/>
      <c r="F121" s="139"/>
      <c r="G121" s="139"/>
      <c r="H121" s="139"/>
      <c r="I121" s="139"/>
      <c r="J121" s="139"/>
      <c r="K121" s="139"/>
      <c r="L121" s="139"/>
      <c r="M121" s="139"/>
      <c r="N121" s="145"/>
      <c r="O121" s="139"/>
      <c r="P121" s="139"/>
      <c r="Q121" s="231"/>
      <c r="R121" s="139"/>
      <c r="S121" s="232"/>
      <c r="T121" s="232"/>
      <c r="U121" s="145"/>
      <c r="V121" s="145"/>
      <c r="W121" s="111"/>
      <c r="X121" s="233"/>
      <c r="Y121" s="226"/>
      <c r="Z121" s="139"/>
      <c r="AA121" s="139"/>
      <c r="AB121" s="139"/>
      <c r="AC121" s="139"/>
      <c r="AD121" s="139"/>
      <c r="AE121" s="139"/>
      <c r="AF121" s="139"/>
      <c r="AG121" s="139"/>
      <c r="AH121" s="139"/>
      <c r="AI121" s="139"/>
      <c r="AJ121" s="139"/>
      <c r="AK121" s="139"/>
      <c r="AL121" s="139"/>
      <c r="AM121" s="139"/>
      <c r="AN121" s="139"/>
      <c r="AO121" s="139"/>
      <c r="AP121" s="139"/>
      <c r="AQ121" s="139"/>
      <c r="AR121" s="139"/>
      <c r="AS121" s="139"/>
      <c r="AT121" s="139"/>
      <c r="AU121" s="139"/>
      <c r="AV121" s="139"/>
    </row>
    <row r="122">
      <c r="A122" s="112"/>
      <c r="B122" s="229"/>
      <c r="C122" s="230"/>
      <c r="D122" s="139"/>
      <c r="E122" s="139"/>
      <c r="F122" s="139"/>
      <c r="G122" s="139"/>
      <c r="H122" s="139"/>
      <c r="I122" s="139"/>
      <c r="J122" s="139"/>
      <c r="K122" s="139"/>
      <c r="L122" s="139"/>
      <c r="M122" s="139"/>
      <c r="N122" s="145"/>
      <c r="O122" s="139"/>
      <c r="P122" s="139"/>
      <c r="Q122" s="231"/>
      <c r="R122" s="139"/>
      <c r="S122" s="232"/>
      <c r="T122" s="232"/>
      <c r="U122" s="145"/>
      <c r="V122" s="145"/>
      <c r="W122" s="111"/>
      <c r="X122" s="233"/>
      <c r="Y122" s="226"/>
      <c r="Z122" s="139"/>
      <c r="AA122" s="139"/>
      <c r="AB122" s="139"/>
      <c r="AC122" s="139"/>
      <c r="AD122" s="139"/>
      <c r="AE122" s="139"/>
      <c r="AF122" s="139"/>
      <c r="AG122" s="139"/>
      <c r="AH122" s="139"/>
      <c r="AI122" s="139"/>
      <c r="AJ122" s="139"/>
      <c r="AK122" s="139"/>
      <c r="AL122" s="139"/>
      <c r="AM122" s="139"/>
      <c r="AN122" s="139"/>
      <c r="AO122" s="139"/>
      <c r="AP122" s="139"/>
      <c r="AQ122" s="139"/>
      <c r="AR122" s="139"/>
      <c r="AS122" s="139"/>
      <c r="AT122" s="139"/>
      <c r="AU122" s="139"/>
      <c r="AV122" s="139"/>
    </row>
    <row r="123">
      <c r="A123" s="112"/>
      <c r="B123" s="229"/>
      <c r="C123" s="230"/>
      <c r="D123" s="139"/>
      <c r="E123" s="139"/>
      <c r="F123" s="139"/>
      <c r="G123" s="139"/>
      <c r="H123" s="139"/>
      <c r="I123" s="139"/>
      <c r="J123" s="139"/>
      <c r="K123" s="139"/>
      <c r="L123" s="139"/>
      <c r="M123" s="139"/>
      <c r="N123" s="145"/>
      <c r="O123" s="139"/>
      <c r="P123" s="139"/>
      <c r="Q123" s="231"/>
      <c r="R123" s="139"/>
      <c r="S123" s="232"/>
      <c r="T123" s="232"/>
      <c r="U123" s="145"/>
      <c r="V123" s="145"/>
      <c r="W123" s="111"/>
      <c r="X123" s="233"/>
      <c r="Y123" s="226"/>
      <c r="Z123" s="139"/>
      <c r="AA123" s="139"/>
      <c r="AB123" s="139"/>
      <c r="AC123" s="139"/>
      <c r="AD123" s="139"/>
      <c r="AE123" s="139"/>
      <c r="AF123" s="139"/>
      <c r="AG123" s="139"/>
      <c r="AH123" s="139"/>
      <c r="AI123" s="139"/>
      <c r="AJ123" s="139"/>
      <c r="AK123" s="139"/>
      <c r="AL123" s="139"/>
      <c r="AM123" s="139"/>
      <c r="AN123" s="139"/>
      <c r="AO123" s="139"/>
      <c r="AP123" s="139"/>
      <c r="AQ123" s="139"/>
      <c r="AR123" s="139"/>
      <c r="AS123" s="139"/>
      <c r="AT123" s="139"/>
      <c r="AU123" s="139"/>
      <c r="AV123" s="139"/>
    </row>
    <row r="124">
      <c r="A124" s="112"/>
      <c r="B124" s="229"/>
      <c r="C124" s="230"/>
      <c r="D124" s="139"/>
      <c r="E124" s="139"/>
      <c r="F124" s="139"/>
      <c r="G124" s="139"/>
      <c r="H124" s="139"/>
      <c r="I124" s="139"/>
      <c r="J124" s="139"/>
      <c r="K124" s="139"/>
      <c r="L124" s="139"/>
      <c r="M124" s="139"/>
      <c r="N124" s="145"/>
      <c r="O124" s="139"/>
      <c r="P124" s="139"/>
      <c r="Q124" s="231"/>
      <c r="R124" s="139"/>
      <c r="S124" s="232"/>
      <c r="T124" s="232"/>
      <c r="U124" s="145"/>
      <c r="V124" s="145"/>
      <c r="W124" s="111"/>
      <c r="X124" s="233"/>
      <c r="Y124" s="226"/>
      <c r="Z124" s="139"/>
      <c r="AA124" s="139"/>
      <c r="AB124" s="139"/>
      <c r="AC124" s="139"/>
      <c r="AD124" s="139"/>
      <c r="AE124" s="139"/>
      <c r="AF124" s="139"/>
      <c r="AG124" s="139"/>
      <c r="AH124" s="139"/>
      <c r="AI124" s="139"/>
      <c r="AJ124" s="139"/>
      <c r="AK124" s="139"/>
      <c r="AL124" s="139"/>
      <c r="AM124" s="139"/>
      <c r="AN124" s="139"/>
      <c r="AO124" s="139"/>
      <c r="AP124" s="139"/>
      <c r="AQ124" s="139"/>
      <c r="AR124" s="139"/>
      <c r="AS124" s="139"/>
      <c r="AT124" s="139"/>
      <c r="AU124" s="139"/>
      <c r="AV124" s="139"/>
    </row>
    <row r="125">
      <c r="A125" s="112"/>
      <c r="B125" s="229"/>
      <c r="C125" s="230"/>
      <c r="D125" s="139"/>
      <c r="E125" s="139"/>
      <c r="F125" s="139"/>
      <c r="G125" s="139"/>
      <c r="H125" s="139"/>
      <c r="I125" s="139"/>
      <c r="J125" s="139"/>
      <c r="K125" s="139"/>
      <c r="L125" s="139"/>
      <c r="M125" s="139"/>
      <c r="N125" s="145"/>
      <c r="O125" s="139"/>
      <c r="P125" s="139"/>
      <c r="Q125" s="231"/>
      <c r="R125" s="139"/>
      <c r="S125" s="232"/>
      <c r="T125" s="232"/>
      <c r="U125" s="145"/>
      <c r="V125" s="145"/>
      <c r="W125" s="111"/>
      <c r="X125" s="233"/>
      <c r="Y125" s="226"/>
      <c r="Z125" s="139"/>
      <c r="AA125" s="139"/>
      <c r="AB125" s="139"/>
      <c r="AC125" s="139"/>
      <c r="AD125" s="139"/>
      <c r="AE125" s="139"/>
      <c r="AF125" s="139"/>
      <c r="AG125" s="139"/>
      <c r="AH125" s="139"/>
      <c r="AI125" s="139"/>
      <c r="AJ125" s="139"/>
      <c r="AK125" s="139"/>
      <c r="AL125" s="139"/>
      <c r="AM125" s="139"/>
      <c r="AN125" s="139"/>
      <c r="AO125" s="139"/>
      <c r="AP125" s="139"/>
      <c r="AQ125" s="139"/>
      <c r="AR125" s="139"/>
      <c r="AS125" s="139"/>
      <c r="AT125" s="139"/>
      <c r="AU125" s="139"/>
      <c r="AV125" s="139"/>
    </row>
    <row r="126">
      <c r="A126" s="112"/>
      <c r="B126" s="229"/>
      <c r="C126" s="230"/>
      <c r="D126" s="139"/>
      <c r="E126" s="139"/>
      <c r="F126" s="139"/>
      <c r="G126" s="139"/>
      <c r="H126" s="139"/>
      <c r="I126" s="139"/>
      <c r="J126" s="139"/>
      <c r="K126" s="139"/>
      <c r="L126" s="139"/>
      <c r="M126" s="139"/>
      <c r="N126" s="145"/>
      <c r="O126" s="139"/>
      <c r="P126" s="139"/>
      <c r="Q126" s="231"/>
      <c r="R126" s="139"/>
      <c r="S126" s="232"/>
      <c r="T126" s="232"/>
      <c r="U126" s="145"/>
      <c r="V126" s="145"/>
      <c r="W126" s="111"/>
      <c r="X126" s="233"/>
      <c r="Y126" s="226"/>
      <c r="Z126" s="139"/>
      <c r="AA126" s="139"/>
      <c r="AB126" s="139"/>
      <c r="AC126" s="139"/>
      <c r="AD126" s="139"/>
      <c r="AE126" s="139"/>
      <c r="AF126" s="139"/>
      <c r="AG126" s="139"/>
      <c r="AH126" s="139"/>
      <c r="AI126" s="139"/>
      <c r="AJ126" s="139"/>
      <c r="AK126" s="139"/>
      <c r="AL126" s="139"/>
      <c r="AM126" s="139"/>
      <c r="AN126" s="139"/>
      <c r="AO126" s="139"/>
      <c r="AP126" s="139"/>
      <c r="AQ126" s="139"/>
      <c r="AR126" s="139"/>
      <c r="AS126" s="139"/>
      <c r="AT126" s="139"/>
      <c r="AU126" s="139"/>
      <c r="AV126" s="139"/>
    </row>
    <row r="127">
      <c r="A127" s="112"/>
      <c r="B127" s="229"/>
      <c r="C127" s="230"/>
      <c r="D127" s="139"/>
      <c r="E127" s="139"/>
      <c r="F127" s="139"/>
      <c r="G127" s="139"/>
      <c r="H127" s="139"/>
      <c r="I127" s="139"/>
      <c r="J127" s="139"/>
      <c r="K127" s="139"/>
      <c r="L127" s="139"/>
      <c r="M127" s="139"/>
      <c r="N127" s="145"/>
      <c r="O127" s="139"/>
      <c r="P127" s="139"/>
      <c r="Q127" s="231"/>
      <c r="R127" s="139"/>
      <c r="S127" s="232"/>
      <c r="T127" s="232"/>
      <c r="U127" s="145"/>
      <c r="V127" s="145"/>
      <c r="W127" s="111"/>
      <c r="X127" s="233"/>
      <c r="Y127" s="226"/>
      <c r="Z127" s="139"/>
      <c r="AA127" s="139"/>
      <c r="AB127" s="139"/>
      <c r="AC127" s="139"/>
      <c r="AD127" s="139"/>
      <c r="AE127" s="139"/>
      <c r="AF127" s="139"/>
      <c r="AG127" s="139"/>
      <c r="AH127" s="139"/>
      <c r="AI127" s="139"/>
      <c r="AJ127" s="139"/>
      <c r="AK127" s="139"/>
      <c r="AL127" s="139"/>
      <c r="AM127" s="139"/>
      <c r="AN127" s="139"/>
      <c r="AO127" s="139"/>
      <c r="AP127" s="139"/>
      <c r="AQ127" s="139"/>
      <c r="AR127" s="139"/>
      <c r="AS127" s="139"/>
      <c r="AT127" s="139"/>
      <c r="AU127" s="139"/>
      <c r="AV127" s="139"/>
    </row>
    <row r="128">
      <c r="A128" s="112"/>
      <c r="B128" s="229"/>
      <c r="C128" s="230"/>
      <c r="D128" s="139"/>
      <c r="E128" s="139"/>
      <c r="F128" s="139"/>
      <c r="G128" s="139"/>
      <c r="H128" s="139"/>
      <c r="I128" s="139"/>
      <c r="J128" s="139"/>
      <c r="K128" s="139"/>
      <c r="L128" s="139"/>
      <c r="M128" s="139"/>
      <c r="N128" s="145"/>
      <c r="O128" s="139"/>
      <c r="P128" s="139"/>
      <c r="Q128" s="231"/>
      <c r="R128" s="139"/>
      <c r="S128" s="232"/>
      <c r="T128" s="232"/>
      <c r="U128" s="145"/>
      <c r="V128" s="145"/>
      <c r="W128" s="111"/>
      <c r="X128" s="233"/>
      <c r="Y128" s="226"/>
      <c r="Z128" s="139"/>
      <c r="AA128" s="139"/>
      <c r="AB128" s="139"/>
      <c r="AC128" s="139"/>
      <c r="AD128" s="139"/>
      <c r="AE128" s="139"/>
      <c r="AF128" s="139"/>
      <c r="AG128" s="139"/>
      <c r="AH128" s="139"/>
      <c r="AI128" s="139"/>
      <c r="AJ128" s="139"/>
      <c r="AK128" s="139"/>
      <c r="AL128" s="139"/>
      <c r="AM128" s="139"/>
      <c r="AN128" s="139"/>
      <c r="AO128" s="139"/>
      <c r="AP128" s="139"/>
      <c r="AQ128" s="139"/>
      <c r="AR128" s="139"/>
      <c r="AS128" s="139"/>
      <c r="AT128" s="139"/>
      <c r="AU128" s="139"/>
      <c r="AV128" s="139"/>
    </row>
    <row r="129">
      <c r="A129" s="112"/>
      <c r="B129" s="229"/>
      <c r="C129" s="230"/>
      <c r="D129" s="139"/>
      <c r="E129" s="139"/>
      <c r="F129" s="139"/>
      <c r="G129" s="139"/>
      <c r="H129" s="139"/>
      <c r="I129" s="139"/>
      <c r="J129" s="139"/>
      <c r="K129" s="139"/>
      <c r="L129" s="139"/>
      <c r="M129" s="139"/>
      <c r="N129" s="145"/>
      <c r="O129" s="139"/>
      <c r="P129" s="139"/>
      <c r="Q129" s="231"/>
      <c r="R129" s="139"/>
      <c r="S129" s="232"/>
      <c r="T129" s="232"/>
      <c r="U129" s="145"/>
      <c r="V129" s="145"/>
      <c r="W129" s="111"/>
      <c r="X129" s="233"/>
      <c r="Y129" s="226"/>
      <c r="Z129" s="139"/>
      <c r="AA129" s="139"/>
      <c r="AB129" s="139"/>
      <c r="AC129" s="139"/>
      <c r="AD129" s="139"/>
      <c r="AE129" s="139"/>
      <c r="AF129" s="139"/>
      <c r="AG129" s="139"/>
      <c r="AH129" s="139"/>
      <c r="AI129" s="139"/>
      <c r="AJ129" s="139"/>
      <c r="AK129" s="139"/>
      <c r="AL129" s="139"/>
      <c r="AM129" s="139"/>
      <c r="AN129" s="139"/>
      <c r="AO129" s="139"/>
      <c r="AP129" s="139"/>
      <c r="AQ129" s="139"/>
      <c r="AR129" s="139"/>
      <c r="AS129" s="139"/>
      <c r="AT129" s="139"/>
      <c r="AU129" s="139"/>
      <c r="AV129" s="139"/>
    </row>
    <row r="130">
      <c r="A130" s="112"/>
      <c r="B130" s="229"/>
      <c r="C130" s="230"/>
      <c r="D130" s="139"/>
      <c r="E130" s="139"/>
      <c r="F130" s="139"/>
      <c r="G130" s="139"/>
      <c r="H130" s="139"/>
      <c r="I130" s="139"/>
      <c r="J130" s="139"/>
      <c r="K130" s="139"/>
      <c r="L130" s="139"/>
      <c r="M130" s="139"/>
      <c r="N130" s="145"/>
      <c r="O130" s="139"/>
      <c r="P130" s="139"/>
      <c r="Q130" s="231"/>
      <c r="R130" s="139"/>
      <c r="S130" s="232"/>
      <c r="T130" s="232"/>
      <c r="U130" s="145"/>
      <c r="V130" s="145"/>
      <c r="W130" s="111"/>
      <c r="X130" s="233"/>
      <c r="Y130" s="226"/>
      <c r="Z130" s="139"/>
      <c r="AA130" s="139"/>
      <c r="AB130" s="139"/>
      <c r="AC130" s="139"/>
      <c r="AD130" s="139"/>
      <c r="AE130" s="139"/>
      <c r="AF130" s="139"/>
      <c r="AG130" s="139"/>
      <c r="AH130" s="139"/>
      <c r="AI130" s="139"/>
      <c r="AJ130" s="139"/>
      <c r="AK130" s="139"/>
      <c r="AL130" s="139"/>
      <c r="AM130" s="139"/>
      <c r="AN130" s="139"/>
      <c r="AO130" s="139"/>
      <c r="AP130" s="139"/>
      <c r="AQ130" s="139"/>
      <c r="AR130" s="139"/>
      <c r="AS130" s="139"/>
      <c r="AT130" s="139"/>
      <c r="AU130" s="139"/>
      <c r="AV130" s="139"/>
    </row>
    <row r="131">
      <c r="A131" s="112"/>
      <c r="B131" s="229"/>
      <c r="C131" s="230"/>
      <c r="D131" s="139"/>
      <c r="E131" s="139"/>
      <c r="F131" s="139"/>
      <c r="G131" s="139"/>
      <c r="H131" s="139"/>
      <c r="I131" s="139"/>
      <c r="J131" s="139"/>
      <c r="K131" s="139"/>
      <c r="L131" s="139"/>
      <c r="M131" s="139"/>
      <c r="N131" s="145"/>
      <c r="O131" s="139"/>
      <c r="P131" s="139"/>
      <c r="Q131" s="231"/>
      <c r="R131" s="139"/>
      <c r="S131" s="232"/>
      <c r="T131" s="232"/>
      <c r="U131" s="145"/>
      <c r="V131" s="145"/>
      <c r="W131" s="111"/>
      <c r="X131" s="233"/>
      <c r="Y131" s="226"/>
      <c r="Z131" s="139"/>
      <c r="AA131" s="139"/>
      <c r="AB131" s="139"/>
      <c r="AC131" s="139"/>
      <c r="AD131" s="139"/>
      <c r="AE131" s="139"/>
      <c r="AF131" s="139"/>
      <c r="AG131" s="139"/>
      <c r="AH131" s="139"/>
      <c r="AI131" s="139"/>
      <c r="AJ131" s="139"/>
      <c r="AK131" s="139"/>
      <c r="AL131" s="139"/>
      <c r="AM131" s="139"/>
      <c r="AN131" s="139"/>
      <c r="AO131" s="139"/>
      <c r="AP131" s="139"/>
      <c r="AQ131" s="139"/>
      <c r="AR131" s="139"/>
      <c r="AS131" s="139"/>
      <c r="AT131" s="139"/>
      <c r="AU131" s="139"/>
      <c r="AV131" s="139"/>
    </row>
    <row r="132">
      <c r="A132" s="112"/>
      <c r="B132" s="229"/>
      <c r="C132" s="230"/>
      <c r="D132" s="139"/>
      <c r="E132" s="139"/>
      <c r="F132" s="139"/>
      <c r="G132" s="139"/>
      <c r="H132" s="139"/>
      <c r="I132" s="139"/>
      <c r="J132" s="139"/>
      <c r="K132" s="139"/>
      <c r="L132" s="139"/>
      <c r="M132" s="139"/>
      <c r="N132" s="145"/>
      <c r="O132" s="139"/>
      <c r="P132" s="139"/>
      <c r="Q132" s="231"/>
      <c r="R132" s="139"/>
      <c r="S132" s="232"/>
      <c r="T132" s="232"/>
      <c r="U132" s="145"/>
      <c r="V132" s="145"/>
      <c r="W132" s="111"/>
      <c r="X132" s="233"/>
      <c r="Y132" s="226"/>
      <c r="Z132" s="139"/>
      <c r="AA132" s="139"/>
      <c r="AB132" s="139"/>
      <c r="AC132" s="139"/>
      <c r="AD132" s="139"/>
      <c r="AE132" s="139"/>
      <c r="AF132" s="139"/>
      <c r="AG132" s="139"/>
      <c r="AH132" s="139"/>
      <c r="AI132" s="139"/>
      <c r="AJ132" s="139"/>
      <c r="AK132" s="139"/>
      <c r="AL132" s="139"/>
      <c r="AM132" s="139"/>
      <c r="AN132" s="139"/>
      <c r="AO132" s="139"/>
      <c r="AP132" s="139"/>
      <c r="AQ132" s="139"/>
      <c r="AR132" s="139"/>
      <c r="AS132" s="139"/>
      <c r="AT132" s="139"/>
      <c r="AU132" s="139"/>
      <c r="AV132" s="139"/>
    </row>
    <row r="133">
      <c r="A133" s="112"/>
      <c r="B133" s="229"/>
      <c r="C133" s="230"/>
      <c r="D133" s="139"/>
      <c r="E133" s="139"/>
      <c r="F133" s="139"/>
      <c r="G133" s="139"/>
      <c r="H133" s="139"/>
      <c r="I133" s="139"/>
      <c r="J133" s="139"/>
      <c r="K133" s="139"/>
      <c r="L133" s="139"/>
      <c r="M133" s="139"/>
      <c r="N133" s="145"/>
      <c r="O133" s="139"/>
      <c r="P133" s="139"/>
      <c r="Q133" s="231"/>
      <c r="R133" s="139"/>
      <c r="S133" s="232"/>
      <c r="T133" s="232"/>
      <c r="U133" s="145"/>
      <c r="V133" s="145"/>
      <c r="W133" s="111"/>
      <c r="X133" s="233"/>
      <c r="Y133" s="226"/>
      <c r="Z133" s="139"/>
      <c r="AA133" s="139"/>
      <c r="AB133" s="139"/>
      <c r="AC133" s="139"/>
      <c r="AD133" s="139"/>
      <c r="AE133" s="139"/>
      <c r="AF133" s="139"/>
      <c r="AG133" s="139"/>
      <c r="AH133" s="139"/>
      <c r="AI133" s="139"/>
      <c r="AJ133" s="139"/>
      <c r="AK133" s="139"/>
      <c r="AL133" s="139"/>
      <c r="AM133" s="139"/>
      <c r="AN133" s="139"/>
      <c r="AO133" s="139"/>
      <c r="AP133" s="139"/>
      <c r="AQ133" s="139"/>
      <c r="AR133" s="139"/>
      <c r="AS133" s="139"/>
      <c r="AT133" s="139"/>
      <c r="AU133" s="139"/>
      <c r="AV133" s="139"/>
    </row>
    <row r="134">
      <c r="A134" s="112"/>
      <c r="B134" s="229"/>
      <c r="C134" s="230"/>
      <c r="D134" s="139"/>
      <c r="E134" s="139"/>
      <c r="F134" s="139"/>
      <c r="G134" s="139"/>
      <c r="H134" s="139"/>
      <c r="I134" s="139"/>
      <c r="J134" s="139"/>
      <c r="K134" s="139"/>
      <c r="L134" s="139"/>
      <c r="M134" s="139"/>
      <c r="N134" s="145"/>
      <c r="O134" s="139"/>
      <c r="P134" s="139"/>
      <c r="Q134" s="231"/>
      <c r="R134" s="139"/>
      <c r="S134" s="232"/>
      <c r="T134" s="232"/>
      <c r="U134" s="145"/>
      <c r="V134" s="145"/>
      <c r="W134" s="111"/>
      <c r="X134" s="233"/>
      <c r="Y134" s="226"/>
      <c r="Z134" s="139"/>
      <c r="AA134" s="139"/>
      <c r="AB134" s="139"/>
      <c r="AC134" s="139"/>
      <c r="AD134" s="139"/>
      <c r="AE134" s="139"/>
      <c r="AF134" s="139"/>
      <c r="AG134" s="139"/>
      <c r="AH134" s="139"/>
      <c r="AI134" s="139"/>
      <c r="AJ134" s="139"/>
      <c r="AK134" s="139"/>
      <c r="AL134" s="139"/>
      <c r="AM134" s="139"/>
      <c r="AN134" s="139"/>
      <c r="AO134" s="139"/>
      <c r="AP134" s="139"/>
      <c r="AQ134" s="139"/>
      <c r="AR134" s="139"/>
      <c r="AS134" s="139"/>
      <c r="AT134" s="139"/>
      <c r="AU134" s="139"/>
      <c r="AV134" s="139"/>
    </row>
    <row r="135">
      <c r="A135" s="112"/>
      <c r="B135" s="229"/>
      <c r="C135" s="230"/>
      <c r="D135" s="139"/>
      <c r="E135" s="139"/>
      <c r="F135" s="139"/>
      <c r="G135" s="139"/>
      <c r="H135" s="139"/>
      <c r="I135" s="139"/>
      <c r="J135" s="139"/>
      <c r="K135" s="139"/>
      <c r="L135" s="139"/>
      <c r="M135" s="139"/>
      <c r="N135" s="145"/>
      <c r="O135" s="139"/>
      <c r="P135" s="139"/>
      <c r="Q135" s="231"/>
      <c r="R135" s="139"/>
      <c r="S135" s="232"/>
      <c r="T135" s="232"/>
      <c r="U135" s="145"/>
      <c r="V135" s="145"/>
      <c r="W135" s="111"/>
      <c r="X135" s="233"/>
      <c r="Y135" s="226"/>
      <c r="Z135" s="139"/>
      <c r="AA135" s="139"/>
      <c r="AB135" s="139"/>
      <c r="AC135" s="139"/>
      <c r="AD135" s="139"/>
      <c r="AE135" s="139"/>
      <c r="AF135" s="139"/>
      <c r="AG135" s="139"/>
      <c r="AH135" s="139"/>
      <c r="AI135" s="139"/>
      <c r="AJ135" s="139"/>
      <c r="AK135" s="139"/>
      <c r="AL135" s="139"/>
      <c r="AM135" s="139"/>
      <c r="AN135" s="139"/>
      <c r="AO135" s="139"/>
      <c r="AP135" s="139"/>
      <c r="AQ135" s="139"/>
      <c r="AR135" s="139"/>
      <c r="AS135" s="139"/>
      <c r="AT135" s="139"/>
      <c r="AU135" s="139"/>
      <c r="AV135" s="139"/>
    </row>
    <row r="136">
      <c r="A136" s="112"/>
      <c r="B136" s="229"/>
      <c r="C136" s="230"/>
      <c r="D136" s="139"/>
      <c r="E136" s="139"/>
      <c r="F136" s="139"/>
      <c r="G136" s="139"/>
      <c r="H136" s="139"/>
      <c r="I136" s="139"/>
      <c r="J136" s="139"/>
      <c r="K136" s="139"/>
      <c r="L136" s="139"/>
      <c r="M136" s="139"/>
      <c r="N136" s="145"/>
      <c r="O136" s="139"/>
      <c r="P136" s="139"/>
      <c r="Q136" s="231"/>
      <c r="R136" s="139"/>
      <c r="S136" s="232"/>
      <c r="T136" s="232"/>
      <c r="U136" s="145"/>
      <c r="V136" s="145"/>
      <c r="W136" s="111"/>
      <c r="X136" s="233"/>
      <c r="Y136" s="226"/>
      <c r="Z136" s="139"/>
      <c r="AA136" s="139"/>
      <c r="AB136" s="139"/>
      <c r="AC136" s="139"/>
      <c r="AD136" s="139"/>
      <c r="AE136" s="139"/>
      <c r="AF136" s="139"/>
      <c r="AG136" s="139"/>
      <c r="AH136" s="139"/>
      <c r="AI136" s="139"/>
      <c r="AJ136" s="139"/>
      <c r="AK136" s="139"/>
      <c r="AL136" s="139"/>
      <c r="AM136" s="139"/>
      <c r="AN136" s="139"/>
      <c r="AO136" s="139"/>
      <c r="AP136" s="139"/>
      <c r="AQ136" s="139"/>
      <c r="AR136" s="139"/>
      <c r="AS136" s="139"/>
      <c r="AT136" s="139"/>
      <c r="AU136" s="139"/>
      <c r="AV136" s="139"/>
    </row>
    <row r="137">
      <c r="A137" s="112"/>
      <c r="B137" s="229"/>
      <c r="C137" s="230"/>
      <c r="D137" s="139"/>
      <c r="E137" s="139"/>
      <c r="F137" s="139"/>
      <c r="G137" s="139"/>
      <c r="H137" s="139"/>
      <c r="I137" s="139"/>
      <c r="J137" s="139"/>
      <c r="K137" s="139"/>
      <c r="L137" s="139"/>
      <c r="M137" s="139"/>
      <c r="N137" s="145"/>
      <c r="O137" s="139"/>
      <c r="P137" s="139"/>
      <c r="Q137" s="231"/>
      <c r="R137" s="139"/>
      <c r="S137" s="232"/>
      <c r="T137" s="232"/>
      <c r="U137" s="145"/>
      <c r="V137" s="145"/>
      <c r="W137" s="111"/>
      <c r="X137" s="233"/>
      <c r="Y137" s="226"/>
      <c r="Z137" s="139"/>
      <c r="AA137" s="139"/>
      <c r="AB137" s="139"/>
      <c r="AC137" s="139"/>
      <c r="AD137" s="139"/>
      <c r="AE137" s="139"/>
      <c r="AF137" s="139"/>
      <c r="AG137" s="139"/>
      <c r="AH137" s="139"/>
      <c r="AI137" s="139"/>
      <c r="AJ137" s="139"/>
      <c r="AK137" s="139"/>
      <c r="AL137" s="139"/>
      <c r="AM137" s="139"/>
      <c r="AN137" s="139"/>
      <c r="AO137" s="139"/>
      <c r="AP137" s="139"/>
      <c r="AQ137" s="139"/>
      <c r="AR137" s="139"/>
      <c r="AS137" s="139"/>
      <c r="AT137" s="139"/>
      <c r="AU137" s="139"/>
      <c r="AV137" s="139"/>
    </row>
    <row r="138">
      <c r="A138" s="112"/>
      <c r="B138" s="229"/>
      <c r="C138" s="230"/>
      <c r="D138" s="139"/>
      <c r="E138" s="139"/>
      <c r="F138" s="139"/>
      <c r="G138" s="139"/>
      <c r="H138" s="139"/>
      <c r="I138" s="139"/>
      <c r="J138" s="139"/>
      <c r="K138" s="139"/>
      <c r="L138" s="139"/>
      <c r="M138" s="139"/>
      <c r="N138" s="145"/>
      <c r="O138" s="139"/>
      <c r="P138" s="139"/>
      <c r="Q138" s="231"/>
      <c r="R138" s="139"/>
      <c r="S138" s="232"/>
      <c r="T138" s="232"/>
      <c r="U138" s="145"/>
      <c r="V138" s="145"/>
      <c r="W138" s="111"/>
      <c r="X138" s="233"/>
      <c r="Y138" s="226"/>
      <c r="Z138" s="139"/>
      <c r="AA138" s="139"/>
      <c r="AB138" s="139"/>
      <c r="AC138" s="139"/>
      <c r="AD138" s="139"/>
      <c r="AE138" s="139"/>
      <c r="AF138" s="139"/>
      <c r="AG138" s="139"/>
      <c r="AH138" s="139"/>
      <c r="AI138" s="139"/>
      <c r="AJ138" s="139"/>
      <c r="AK138" s="139"/>
      <c r="AL138" s="139"/>
      <c r="AM138" s="139"/>
      <c r="AN138" s="139"/>
      <c r="AO138" s="139"/>
      <c r="AP138" s="139"/>
      <c r="AQ138" s="139"/>
      <c r="AR138" s="139"/>
      <c r="AS138" s="139"/>
      <c r="AT138" s="139"/>
      <c r="AU138" s="139"/>
      <c r="AV138" s="139"/>
    </row>
    <row r="139">
      <c r="A139" s="112"/>
      <c r="B139" s="229"/>
      <c r="C139" s="230"/>
      <c r="D139" s="139"/>
      <c r="E139" s="139"/>
      <c r="F139" s="139"/>
      <c r="G139" s="139"/>
      <c r="H139" s="139"/>
      <c r="I139" s="139"/>
      <c r="J139" s="139"/>
      <c r="K139" s="139"/>
      <c r="L139" s="139"/>
      <c r="M139" s="139"/>
      <c r="N139" s="145"/>
      <c r="O139" s="139"/>
      <c r="P139" s="139"/>
      <c r="Q139" s="231"/>
      <c r="R139" s="139"/>
      <c r="S139" s="232"/>
      <c r="T139" s="232"/>
      <c r="U139" s="145"/>
      <c r="V139" s="145"/>
      <c r="W139" s="111"/>
      <c r="X139" s="233"/>
      <c r="Y139" s="226"/>
      <c r="Z139" s="139"/>
      <c r="AA139" s="139"/>
      <c r="AB139" s="139"/>
      <c r="AC139" s="139"/>
      <c r="AD139" s="139"/>
      <c r="AE139" s="139"/>
      <c r="AF139" s="139"/>
      <c r="AG139" s="139"/>
      <c r="AH139" s="139"/>
      <c r="AI139" s="139"/>
      <c r="AJ139" s="139"/>
      <c r="AK139" s="139"/>
      <c r="AL139" s="139"/>
      <c r="AM139" s="139"/>
      <c r="AN139" s="139"/>
      <c r="AO139" s="139"/>
      <c r="AP139" s="139"/>
      <c r="AQ139" s="139"/>
      <c r="AR139" s="139"/>
      <c r="AS139" s="139"/>
      <c r="AT139" s="139"/>
      <c r="AU139" s="139"/>
      <c r="AV139" s="139"/>
    </row>
    <row r="140">
      <c r="A140" s="112"/>
      <c r="B140" s="229"/>
      <c r="C140" s="230"/>
      <c r="D140" s="139"/>
      <c r="E140" s="139"/>
      <c r="F140" s="139"/>
      <c r="G140" s="139"/>
      <c r="H140" s="139"/>
      <c r="I140" s="139"/>
      <c r="J140" s="139"/>
      <c r="K140" s="139"/>
      <c r="L140" s="139"/>
      <c r="M140" s="139"/>
      <c r="N140" s="145"/>
      <c r="O140" s="139"/>
      <c r="P140" s="139"/>
      <c r="Q140" s="231"/>
      <c r="R140" s="139"/>
      <c r="S140" s="232"/>
      <c r="T140" s="232"/>
      <c r="U140" s="145"/>
      <c r="V140" s="145"/>
      <c r="W140" s="111"/>
      <c r="X140" s="233"/>
      <c r="Y140" s="226"/>
      <c r="Z140" s="139"/>
      <c r="AA140" s="139"/>
      <c r="AB140" s="139"/>
      <c r="AC140" s="139"/>
      <c r="AD140" s="139"/>
      <c r="AE140" s="139"/>
      <c r="AF140" s="139"/>
      <c r="AG140" s="139"/>
      <c r="AH140" s="139"/>
      <c r="AI140" s="139"/>
      <c r="AJ140" s="139"/>
      <c r="AK140" s="139"/>
      <c r="AL140" s="139"/>
      <c r="AM140" s="139"/>
      <c r="AN140" s="139"/>
      <c r="AO140" s="139"/>
      <c r="AP140" s="139"/>
      <c r="AQ140" s="139"/>
      <c r="AR140" s="139"/>
      <c r="AS140" s="139"/>
      <c r="AT140" s="139"/>
      <c r="AU140" s="139"/>
      <c r="AV140" s="139"/>
    </row>
    <row r="141">
      <c r="A141" s="112"/>
      <c r="B141" s="229"/>
      <c r="C141" s="230"/>
      <c r="D141" s="139"/>
      <c r="E141" s="139"/>
      <c r="F141" s="139"/>
      <c r="G141" s="139"/>
      <c r="H141" s="139"/>
      <c r="I141" s="139"/>
      <c r="J141" s="139"/>
      <c r="K141" s="139"/>
      <c r="L141" s="139"/>
      <c r="M141" s="139"/>
      <c r="N141" s="145"/>
      <c r="O141" s="139"/>
      <c r="P141" s="139"/>
      <c r="Q141" s="231"/>
      <c r="R141" s="139"/>
      <c r="S141" s="232"/>
      <c r="T141" s="232"/>
      <c r="U141" s="145"/>
      <c r="V141" s="145"/>
      <c r="W141" s="111"/>
      <c r="X141" s="233"/>
      <c r="Y141" s="226"/>
      <c r="Z141" s="139"/>
      <c r="AA141" s="139"/>
      <c r="AB141" s="139"/>
      <c r="AC141" s="139"/>
      <c r="AD141" s="139"/>
      <c r="AE141" s="139"/>
      <c r="AF141" s="139"/>
      <c r="AG141" s="139"/>
      <c r="AH141" s="139"/>
      <c r="AI141" s="139"/>
      <c r="AJ141" s="139"/>
      <c r="AK141" s="139"/>
      <c r="AL141" s="139"/>
      <c r="AM141" s="139"/>
      <c r="AN141" s="139"/>
      <c r="AO141" s="139"/>
      <c r="AP141" s="139"/>
      <c r="AQ141" s="139"/>
      <c r="AR141" s="139"/>
      <c r="AS141" s="139"/>
      <c r="AT141" s="139"/>
      <c r="AU141" s="139"/>
      <c r="AV141" s="139"/>
    </row>
    <row r="142">
      <c r="A142" s="112"/>
      <c r="B142" s="229"/>
      <c r="C142" s="230"/>
      <c r="D142" s="139"/>
      <c r="E142" s="139"/>
      <c r="F142" s="139"/>
      <c r="G142" s="139"/>
      <c r="H142" s="139"/>
      <c r="I142" s="139"/>
      <c r="J142" s="139"/>
      <c r="K142" s="139"/>
      <c r="L142" s="139"/>
      <c r="M142" s="139"/>
      <c r="N142" s="145"/>
      <c r="O142" s="139"/>
      <c r="P142" s="139"/>
      <c r="Q142" s="231"/>
      <c r="R142" s="139"/>
      <c r="S142" s="232"/>
      <c r="T142" s="232"/>
      <c r="U142" s="145"/>
      <c r="V142" s="145"/>
      <c r="W142" s="111"/>
      <c r="X142" s="233"/>
      <c r="Y142" s="226"/>
      <c r="Z142" s="139"/>
      <c r="AA142" s="139"/>
      <c r="AB142" s="139"/>
      <c r="AC142" s="139"/>
      <c r="AD142" s="139"/>
      <c r="AE142" s="139"/>
      <c r="AF142" s="139"/>
      <c r="AG142" s="139"/>
      <c r="AH142" s="139"/>
      <c r="AI142" s="139"/>
      <c r="AJ142" s="139"/>
      <c r="AK142" s="139"/>
      <c r="AL142" s="139"/>
      <c r="AM142" s="139"/>
      <c r="AN142" s="139"/>
      <c r="AO142" s="139"/>
      <c r="AP142" s="139"/>
      <c r="AQ142" s="139"/>
      <c r="AR142" s="139"/>
      <c r="AS142" s="139"/>
      <c r="AT142" s="139"/>
      <c r="AU142" s="139"/>
      <c r="AV142" s="139"/>
    </row>
    <row r="143">
      <c r="A143" s="112"/>
      <c r="B143" s="229"/>
      <c r="C143" s="230"/>
      <c r="D143" s="139"/>
      <c r="E143" s="139"/>
      <c r="F143" s="139"/>
      <c r="G143" s="139"/>
      <c r="H143" s="139"/>
      <c r="I143" s="139"/>
      <c r="J143" s="139"/>
      <c r="K143" s="139"/>
      <c r="L143" s="139"/>
      <c r="M143" s="139"/>
      <c r="N143" s="145"/>
      <c r="O143" s="139"/>
      <c r="P143" s="139"/>
      <c r="Q143" s="231"/>
      <c r="R143" s="139"/>
      <c r="S143" s="232"/>
      <c r="T143" s="232"/>
      <c r="U143" s="145"/>
      <c r="V143" s="145"/>
      <c r="W143" s="111"/>
      <c r="X143" s="233"/>
      <c r="Y143" s="226"/>
      <c r="Z143" s="139"/>
      <c r="AA143" s="139"/>
      <c r="AB143" s="139"/>
      <c r="AC143" s="139"/>
      <c r="AD143" s="139"/>
      <c r="AE143" s="139"/>
      <c r="AF143" s="139"/>
      <c r="AG143" s="139"/>
      <c r="AH143" s="139"/>
      <c r="AI143" s="139"/>
      <c r="AJ143" s="139"/>
      <c r="AK143" s="139"/>
      <c r="AL143" s="139"/>
      <c r="AM143" s="139"/>
      <c r="AN143" s="139"/>
      <c r="AO143" s="139"/>
      <c r="AP143" s="139"/>
      <c r="AQ143" s="139"/>
      <c r="AR143" s="139"/>
      <c r="AS143" s="139"/>
      <c r="AT143" s="139"/>
      <c r="AU143" s="139"/>
      <c r="AV143" s="139"/>
    </row>
    <row r="144">
      <c r="A144" s="112"/>
      <c r="B144" s="229"/>
      <c r="C144" s="230"/>
      <c r="D144" s="139"/>
      <c r="E144" s="139"/>
      <c r="F144" s="139"/>
      <c r="G144" s="139"/>
      <c r="H144" s="139"/>
      <c r="I144" s="139"/>
      <c r="J144" s="139"/>
      <c r="K144" s="139"/>
      <c r="L144" s="139"/>
      <c r="M144" s="139"/>
      <c r="N144" s="145"/>
      <c r="O144" s="139"/>
      <c r="P144" s="139"/>
      <c r="Q144" s="231"/>
      <c r="R144" s="139"/>
      <c r="S144" s="232"/>
      <c r="T144" s="232"/>
      <c r="U144" s="145"/>
      <c r="V144" s="145"/>
      <c r="W144" s="111"/>
      <c r="X144" s="233"/>
      <c r="Y144" s="226"/>
      <c r="Z144" s="139"/>
      <c r="AA144" s="139"/>
      <c r="AB144" s="139"/>
      <c r="AC144" s="139"/>
      <c r="AD144" s="139"/>
      <c r="AE144" s="139"/>
      <c r="AF144" s="139"/>
      <c r="AG144" s="139"/>
      <c r="AH144" s="139"/>
      <c r="AI144" s="139"/>
      <c r="AJ144" s="139"/>
      <c r="AK144" s="139"/>
      <c r="AL144" s="139"/>
      <c r="AM144" s="139"/>
      <c r="AN144" s="139"/>
      <c r="AO144" s="139"/>
      <c r="AP144" s="139"/>
      <c r="AQ144" s="139"/>
      <c r="AR144" s="139"/>
      <c r="AS144" s="139"/>
      <c r="AT144" s="139"/>
      <c r="AU144" s="139"/>
      <c r="AV144" s="139"/>
    </row>
    <row r="145">
      <c r="A145" s="112"/>
      <c r="B145" s="229"/>
      <c r="C145" s="230"/>
      <c r="D145" s="139"/>
      <c r="E145" s="139"/>
      <c r="F145" s="139"/>
      <c r="G145" s="139"/>
      <c r="H145" s="139"/>
      <c r="I145" s="139"/>
      <c r="J145" s="139"/>
      <c r="K145" s="139"/>
      <c r="L145" s="139"/>
      <c r="M145" s="139"/>
      <c r="N145" s="145"/>
      <c r="O145" s="139"/>
      <c r="P145" s="139"/>
      <c r="Q145" s="231"/>
      <c r="R145" s="139"/>
      <c r="S145" s="232"/>
      <c r="T145" s="232"/>
      <c r="U145" s="145"/>
      <c r="V145" s="145"/>
      <c r="W145" s="111"/>
      <c r="X145" s="233"/>
      <c r="Y145" s="226"/>
      <c r="Z145" s="139"/>
      <c r="AA145" s="139"/>
      <c r="AB145" s="139"/>
      <c r="AC145" s="139"/>
      <c r="AD145" s="139"/>
      <c r="AE145" s="139"/>
      <c r="AF145" s="139"/>
      <c r="AG145" s="139"/>
      <c r="AH145" s="139"/>
      <c r="AI145" s="139"/>
      <c r="AJ145" s="139"/>
      <c r="AK145" s="139"/>
      <c r="AL145" s="139"/>
      <c r="AM145" s="139"/>
      <c r="AN145" s="139"/>
      <c r="AO145" s="139"/>
      <c r="AP145" s="139"/>
      <c r="AQ145" s="139"/>
      <c r="AR145" s="139"/>
      <c r="AS145" s="139"/>
      <c r="AT145" s="139"/>
      <c r="AU145" s="139"/>
      <c r="AV145" s="139"/>
    </row>
    <row r="146">
      <c r="A146" s="112"/>
      <c r="B146" s="229"/>
      <c r="C146" s="230"/>
      <c r="D146" s="139"/>
      <c r="E146" s="139"/>
      <c r="F146" s="139"/>
      <c r="G146" s="139"/>
      <c r="H146" s="139"/>
      <c r="I146" s="139"/>
      <c r="J146" s="139"/>
      <c r="K146" s="139"/>
      <c r="L146" s="139"/>
      <c r="M146" s="139"/>
      <c r="N146" s="145"/>
      <c r="O146" s="139"/>
      <c r="P146" s="139"/>
      <c r="Q146" s="231"/>
      <c r="R146" s="139"/>
      <c r="S146" s="232"/>
      <c r="T146" s="232"/>
      <c r="U146" s="145"/>
      <c r="V146" s="145"/>
      <c r="W146" s="111"/>
      <c r="X146" s="233"/>
      <c r="Y146" s="226"/>
      <c r="Z146" s="139"/>
      <c r="AA146" s="139"/>
      <c r="AB146" s="139"/>
      <c r="AC146" s="139"/>
      <c r="AD146" s="139"/>
      <c r="AE146" s="139"/>
      <c r="AF146" s="139"/>
      <c r="AG146" s="139"/>
      <c r="AH146" s="139"/>
      <c r="AI146" s="139"/>
      <c r="AJ146" s="139"/>
      <c r="AK146" s="139"/>
      <c r="AL146" s="139"/>
      <c r="AM146" s="139"/>
      <c r="AN146" s="139"/>
      <c r="AO146" s="139"/>
      <c r="AP146" s="139"/>
      <c r="AQ146" s="139"/>
      <c r="AR146" s="139"/>
      <c r="AS146" s="139"/>
      <c r="AT146" s="139"/>
      <c r="AU146" s="139"/>
      <c r="AV146" s="139"/>
    </row>
    <row r="147">
      <c r="A147" s="112"/>
      <c r="B147" s="229"/>
      <c r="C147" s="230"/>
      <c r="D147" s="139"/>
      <c r="E147" s="139"/>
      <c r="F147" s="139"/>
      <c r="G147" s="139"/>
      <c r="H147" s="139"/>
      <c r="I147" s="139"/>
      <c r="J147" s="139"/>
      <c r="K147" s="139"/>
      <c r="L147" s="139"/>
      <c r="M147" s="139"/>
      <c r="N147" s="145"/>
      <c r="O147" s="139"/>
      <c r="P147" s="139"/>
      <c r="Q147" s="231"/>
      <c r="R147" s="139"/>
      <c r="S147" s="232"/>
      <c r="T147" s="232"/>
      <c r="U147" s="145"/>
      <c r="V147" s="145"/>
      <c r="W147" s="111"/>
      <c r="X147" s="233"/>
      <c r="Y147" s="226"/>
      <c r="Z147" s="139"/>
      <c r="AA147" s="139"/>
      <c r="AB147" s="139"/>
      <c r="AC147" s="139"/>
      <c r="AD147" s="139"/>
      <c r="AE147" s="139"/>
      <c r="AF147" s="139"/>
      <c r="AG147" s="139"/>
      <c r="AH147" s="139"/>
      <c r="AI147" s="139"/>
      <c r="AJ147" s="139"/>
      <c r="AK147" s="139"/>
      <c r="AL147" s="139"/>
      <c r="AM147" s="139"/>
      <c r="AN147" s="139"/>
      <c r="AO147" s="139"/>
      <c r="AP147" s="139"/>
      <c r="AQ147" s="139"/>
      <c r="AR147" s="139"/>
      <c r="AS147" s="139"/>
      <c r="AT147" s="139"/>
      <c r="AU147" s="139"/>
      <c r="AV147" s="139"/>
    </row>
    <row r="148">
      <c r="A148" s="112"/>
      <c r="B148" s="229"/>
      <c r="C148" s="230"/>
      <c r="D148" s="139"/>
      <c r="E148" s="139"/>
      <c r="F148" s="139"/>
      <c r="G148" s="139"/>
      <c r="H148" s="139"/>
      <c r="I148" s="139"/>
      <c r="J148" s="139"/>
      <c r="K148" s="139"/>
      <c r="L148" s="139"/>
      <c r="M148" s="139"/>
      <c r="N148" s="145"/>
      <c r="O148" s="139"/>
      <c r="P148" s="139"/>
      <c r="Q148" s="231"/>
      <c r="R148" s="139"/>
      <c r="S148" s="232"/>
      <c r="T148" s="232"/>
      <c r="U148" s="145"/>
      <c r="V148" s="145"/>
      <c r="W148" s="111"/>
      <c r="X148" s="233"/>
      <c r="Y148" s="226"/>
      <c r="Z148" s="139"/>
      <c r="AA148" s="139"/>
      <c r="AB148" s="139"/>
      <c r="AC148" s="139"/>
      <c r="AD148" s="139"/>
      <c r="AE148" s="139"/>
      <c r="AF148" s="139"/>
      <c r="AG148" s="139"/>
      <c r="AH148" s="139"/>
      <c r="AI148" s="139"/>
      <c r="AJ148" s="139"/>
      <c r="AK148" s="139"/>
      <c r="AL148" s="139"/>
      <c r="AM148" s="139"/>
      <c r="AN148" s="139"/>
      <c r="AO148" s="139"/>
      <c r="AP148" s="139"/>
      <c r="AQ148" s="139"/>
      <c r="AR148" s="139"/>
      <c r="AS148" s="139"/>
      <c r="AT148" s="139"/>
      <c r="AU148" s="139"/>
      <c r="AV148" s="139"/>
    </row>
    <row r="149">
      <c r="A149" s="112"/>
      <c r="B149" s="229"/>
      <c r="C149" s="230"/>
      <c r="D149" s="139"/>
      <c r="E149" s="139"/>
      <c r="F149" s="139"/>
      <c r="G149" s="139"/>
      <c r="H149" s="139"/>
      <c r="I149" s="139"/>
      <c r="J149" s="139"/>
      <c r="K149" s="139"/>
      <c r="L149" s="139"/>
      <c r="M149" s="139"/>
      <c r="N149" s="145"/>
      <c r="O149" s="139"/>
      <c r="P149" s="139"/>
      <c r="Q149" s="231"/>
      <c r="R149" s="139"/>
      <c r="S149" s="232"/>
      <c r="T149" s="232"/>
      <c r="U149" s="145"/>
      <c r="V149" s="145"/>
      <c r="W149" s="111"/>
      <c r="X149" s="233"/>
      <c r="Y149" s="226"/>
      <c r="Z149" s="139"/>
      <c r="AA149" s="139"/>
      <c r="AB149" s="139"/>
      <c r="AC149" s="139"/>
      <c r="AD149" s="139"/>
      <c r="AE149" s="139"/>
      <c r="AF149" s="139"/>
      <c r="AG149" s="139"/>
      <c r="AH149" s="139"/>
      <c r="AI149" s="139"/>
      <c r="AJ149" s="139"/>
      <c r="AK149" s="139"/>
      <c r="AL149" s="139"/>
      <c r="AM149" s="139"/>
      <c r="AN149" s="139"/>
      <c r="AO149" s="139"/>
      <c r="AP149" s="139"/>
      <c r="AQ149" s="139"/>
      <c r="AR149" s="139"/>
      <c r="AS149" s="139"/>
      <c r="AT149" s="139"/>
      <c r="AU149" s="139"/>
      <c r="AV149" s="139"/>
    </row>
    <row r="150">
      <c r="A150" s="112"/>
      <c r="B150" s="229"/>
      <c r="C150" s="230"/>
      <c r="D150" s="139"/>
      <c r="E150" s="139"/>
      <c r="F150" s="139"/>
      <c r="G150" s="139"/>
      <c r="H150" s="139"/>
      <c r="I150" s="139"/>
      <c r="J150" s="139"/>
      <c r="K150" s="139"/>
      <c r="L150" s="139"/>
      <c r="M150" s="139"/>
      <c r="N150" s="145"/>
      <c r="O150" s="139"/>
      <c r="P150" s="139"/>
      <c r="Q150" s="231"/>
      <c r="R150" s="139"/>
      <c r="S150" s="232"/>
      <c r="T150" s="232"/>
      <c r="U150" s="145"/>
      <c r="V150" s="145"/>
      <c r="W150" s="111"/>
      <c r="X150" s="233"/>
      <c r="Y150" s="226"/>
      <c r="Z150" s="139"/>
      <c r="AA150" s="139"/>
      <c r="AB150" s="139"/>
      <c r="AC150" s="139"/>
      <c r="AD150" s="139"/>
      <c r="AE150" s="139"/>
      <c r="AF150" s="139"/>
      <c r="AG150" s="139"/>
      <c r="AH150" s="139"/>
      <c r="AI150" s="139"/>
      <c r="AJ150" s="139"/>
      <c r="AK150" s="139"/>
      <c r="AL150" s="139"/>
      <c r="AM150" s="139"/>
      <c r="AN150" s="139"/>
      <c r="AO150" s="139"/>
      <c r="AP150" s="139"/>
      <c r="AQ150" s="139"/>
      <c r="AR150" s="139"/>
      <c r="AS150" s="139"/>
      <c r="AT150" s="139"/>
      <c r="AU150" s="139"/>
      <c r="AV150" s="139"/>
    </row>
    <row r="151">
      <c r="A151" s="112"/>
      <c r="B151" s="229"/>
      <c r="C151" s="230"/>
      <c r="D151" s="139"/>
      <c r="E151" s="139"/>
      <c r="F151" s="139"/>
      <c r="G151" s="139"/>
      <c r="H151" s="139"/>
      <c r="I151" s="139"/>
      <c r="J151" s="139"/>
      <c r="K151" s="139"/>
      <c r="L151" s="139"/>
      <c r="M151" s="139"/>
      <c r="N151" s="145"/>
      <c r="O151" s="139"/>
      <c r="P151" s="139"/>
      <c r="Q151" s="231"/>
      <c r="R151" s="139"/>
      <c r="S151" s="232"/>
      <c r="T151" s="232"/>
      <c r="U151" s="145"/>
      <c r="V151" s="145"/>
      <c r="W151" s="111"/>
      <c r="X151" s="233"/>
      <c r="Y151" s="226"/>
      <c r="Z151" s="139"/>
      <c r="AA151" s="139"/>
      <c r="AB151" s="139"/>
      <c r="AC151" s="139"/>
      <c r="AD151" s="139"/>
      <c r="AE151" s="139"/>
      <c r="AF151" s="139"/>
      <c r="AG151" s="139"/>
      <c r="AH151" s="139"/>
      <c r="AI151" s="139"/>
      <c r="AJ151" s="139"/>
      <c r="AK151" s="139"/>
      <c r="AL151" s="139"/>
      <c r="AM151" s="139"/>
      <c r="AN151" s="139"/>
      <c r="AO151" s="139"/>
      <c r="AP151" s="139"/>
      <c r="AQ151" s="139"/>
      <c r="AR151" s="139"/>
      <c r="AS151" s="139"/>
      <c r="AT151" s="139"/>
      <c r="AU151" s="139"/>
      <c r="AV151" s="139"/>
    </row>
    <row r="152">
      <c r="A152" s="112"/>
      <c r="B152" s="229"/>
      <c r="C152" s="230"/>
      <c r="D152" s="139"/>
      <c r="E152" s="139"/>
      <c r="F152" s="139"/>
      <c r="G152" s="139"/>
      <c r="H152" s="139"/>
      <c r="I152" s="139"/>
      <c r="J152" s="139"/>
      <c r="K152" s="139"/>
      <c r="L152" s="139"/>
      <c r="M152" s="139"/>
      <c r="N152" s="145"/>
      <c r="O152" s="139"/>
      <c r="P152" s="139"/>
      <c r="Q152" s="231"/>
      <c r="R152" s="139"/>
      <c r="S152" s="232"/>
      <c r="T152" s="232"/>
      <c r="U152" s="145"/>
      <c r="V152" s="145"/>
      <c r="W152" s="111"/>
      <c r="X152" s="233"/>
      <c r="Y152" s="226"/>
      <c r="Z152" s="139"/>
      <c r="AA152" s="139"/>
      <c r="AB152" s="139"/>
      <c r="AC152" s="139"/>
      <c r="AD152" s="139"/>
      <c r="AE152" s="139"/>
      <c r="AF152" s="139"/>
      <c r="AG152" s="139"/>
      <c r="AH152" s="139"/>
      <c r="AI152" s="139"/>
      <c r="AJ152" s="139"/>
      <c r="AK152" s="139"/>
      <c r="AL152" s="139"/>
      <c r="AM152" s="139"/>
      <c r="AN152" s="139"/>
      <c r="AO152" s="139"/>
      <c r="AP152" s="139"/>
      <c r="AQ152" s="139"/>
      <c r="AR152" s="139"/>
      <c r="AS152" s="139"/>
      <c r="AT152" s="139"/>
      <c r="AU152" s="139"/>
      <c r="AV152" s="139"/>
    </row>
    <row r="153">
      <c r="A153" s="112"/>
      <c r="B153" s="229"/>
      <c r="C153" s="230"/>
      <c r="D153" s="139"/>
      <c r="E153" s="139"/>
      <c r="F153" s="139"/>
      <c r="G153" s="139"/>
      <c r="H153" s="139"/>
      <c r="I153" s="139"/>
      <c r="J153" s="139"/>
      <c r="K153" s="139"/>
      <c r="L153" s="139"/>
      <c r="M153" s="139"/>
      <c r="N153" s="145"/>
      <c r="O153" s="139"/>
      <c r="P153" s="139"/>
      <c r="Q153" s="231"/>
      <c r="R153" s="139"/>
      <c r="S153" s="232"/>
      <c r="T153" s="232"/>
      <c r="U153" s="145"/>
      <c r="V153" s="145"/>
      <c r="W153" s="111"/>
      <c r="X153" s="233"/>
      <c r="Y153" s="226"/>
      <c r="Z153" s="139"/>
      <c r="AA153" s="139"/>
      <c r="AB153" s="139"/>
      <c r="AC153" s="139"/>
      <c r="AD153" s="139"/>
      <c r="AE153" s="139"/>
      <c r="AF153" s="139"/>
      <c r="AG153" s="139"/>
      <c r="AH153" s="139"/>
      <c r="AI153" s="139"/>
      <c r="AJ153" s="139"/>
      <c r="AK153" s="139"/>
      <c r="AL153" s="139"/>
      <c r="AM153" s="139"/>
      <c r="AN153" s="139"/>
      <c r="AO153" s="139"/>
      <c r="AP153" s="139"/>
      <c r="AQ153" s="139"/>
      <c r="AR153" s="139"/>
      <c r="AS153" s="139"/>
      <c r="AT153" s="139"/>
      <c r="AU153" s="139"/>
      <c r="AV153" s="139"/>
    </row>
    <row r="154">
      <c r="A154" s="112"/>
      <c r="B154" s="229"/>
      <c r="C154" s="230"/>
      <c r="D154" s="139"/>
      <c r="E154" s="139"/>
      <c r="F154" s="139"/>
      <c r="G154" s="139"/>
      <c r="H154" s="139"/>
      <c r="I154" s="139"/>
      <c r="J154" s="139"/>
      <c r="K154" s="139"/>
      <c r="L154" s="139"/>
      <c r="M154" s="139"/>
      <c r="N154" s="145"/>
      <c r="O154" s="139"/>
      <c r="P154" s="139"/>
      <c r="Q154" s="231"/>
      <c r="R154" s="139"/>
      <c r="S154" s="232"/>
      <c r="T154" s="232"/>
      <c r="U154" s="145"/>
      <c r="V154" s="145"/>
      <c r="W154" s="111"/>
      <c r="X154" s="233"/>
      <c r="Y154" s="226"/>
      <c r="Z154" s="139"/>
      <c r="AA154" s="139"/>
      <c r="AB154" s="139"/>
      <c r="AC154" s="139"/>
      <c r="AD154" s="139"/>
      <c r="AE154" s="139"/>
      <c r="AF154" s="139"/>
      <c r="AG154" s="139"/>
      <c r="AH154" s="139"/>
      <c r="AI154" s="139"/>
      <c r="AJ154" s="139"/>
      <c r="AK154" s="139"/>
      <c r="AL154" s="139"/>
      <c r="AM154" s="139"/>
      <c r="AN154" s="139"/>
      <c r="AO154" s="139"/>
      <c r="AP154" s="139"/>
      <c r="AQ154" s="139"/>
      <c r="AR154" s="139"/>
      <c r="AS154" s="139"/>
      <c r="AT154" s="139"/>
      <c r="AU154" s="139"/>
      <c r="AV154" s="139"/>
    </row>
    <row r="155">
      <c r="A155" s="112"/>
      <c r="B155" s="229"/>
      <c r="C155" s="230"/>
      <c r="D155" s="139"/>
      <c r="E155" s="139"/>
      <c r="F155" s="139"/>
      <c r="G155" s="139"/>
      <c r="H155" s="139"/>
      <c r="I155" s="139"/>
      <c r="J155" s="139"/>
      <c r="K155" s="139"/>
      <c r="L155" s="139"/>
      <c r="M155" s="139"/>
      <c r="N155" s="145"/>
      <c r="O155" s="139"/>
      <c r="P155" s="139"/>
      <c r="Q155" s="231"/>
      <c r="R155" s="139"/>
      <c r="S155" s="232"/>
      <c r="T155" s="232"/>
      <c r="U155" s="145"/>
      <c r="V155" s="145"/>
      <c r="W155" s="111"/>
      <c r="X155" s="233"/>
      <c r="Y155" s="226"/>
      <c r="Z155" s="139"/>
      <c r="AA155" s="139"/>
      <c r="AB155" s="139"/>
      <c r="AC155" s="139"/>
      <c r="AD155" s="139"/>
      <c r="AE155" s="139"/>
      <c r="AF155" s="139"/>
      <c r="AG155" s="139"/>
      <c r="AH155" s="139"/>
      <c r="AI155" s="139"/>
      <c r="AJ155" s="139"/>
      <c r="AK155" s="139"/>
      <c r="AL155" s="139"/>
      <c r="AM155" s="139"/>
      <c r="AN155" s="139"/>
      <c r="AO155" s="139"/>
      <c r="AP155" s="139"/>
      <c r="AQ155" s="139"/>
      <c r="AR155" s="139"/>
      <c r="AS155" s="139"/>
      <c r="AT155" s="139"/>
      <c r="AU155" s="139"/>
      <c r="AV155" s="139"/>
    </row>
    <row r="156">
      <c r="A156" s="112"/>
      <c r="B156" s="229"/>
      <c r="C156" s="230"/>
      <c r="D156" s="139"/>
      <c r="E156" s="139"/>
      <c r="F156" s="139"/>
      <c r="G156" s="139"/>
      <c r="H156" s="139"/>
      <c r="I156" s="139"/>
      <c r="J156" s="139"/>
      <c r="K156" s="139"/>
      <c r="L156" s="139"/>
      <c r="M156" s="139"/>
      <c r="N156" s="145"/>
      <c r="O156" s="139"/>
      <c r="P156" s="139"/>
      <c r="Q156" s="231"/>
      <c r="R156" s="139"/>
      <c r="S156" s="232"/>
      <c r="T156" s="232"/>
      <c r="U156" s="145"/>
      <c r="V156" s="145"/>
      <c r="W156" s="111"/>
      <c r="X156" s="233"/>
      <c r="Y156" s="226"/>
      <c r="Z156" s="139"/>
      <c r="AA156" s="139"/>
      <c r="AB156" s="139"/>
      <c r="AC156" s="139"/>
      <c r="AD156" s="139"/>
      <c r="AE156" s="139"/>
      <c r="AF156" s="139"/>
      <c r="AG156" s="139"/>
      <c r="AH156" s="139"/>
      <c r="AI156" s="139"/>
      <c r="AJ156" s="139"/>
      <c r="AK156" s="139"/>
      <c r="AL156" s="139"/>
      <c r="AM156" s="139"/>
      <c r="AN156" s="139"/>
      <c r="AO156" s="139"/>
      <c r="AP156" s="139"/>
      <c r="AQ156" s="139"/>
      <c r="AR156" s="139"/>
      <c r="AS156" s="139"/>
      <c r="AT156" s="139"/>
      <c r="AU156" s="139"/>
      <c r="AV156" s="139"/>
    </row>
    <row r="157">
      <c r="A157" s="112"/>
      <c r="B157" s="229"/>
      <c r="C157" s="230"/>
      <c r="D157" s="139"/>
      <c r="E157" s="139"/>
      <c r="F157" s="139"/>
      <c r="G157" s="139"/>
      <c r="H157" s="139"/>
      <c r="I157" s="139"/>
      <c r="J157" s="139"/>
      <c r="K157" s="139"/>
      <c r="L157" s="139"/>
      <c r="M157" s="139"/>
      <c r="N157" s="145"/>
      <c r="O157" s="139"/>
      <c r="P157" s="139"/>
      <c r="Q157" s="231"/>
      <c r="R157" s="139"/>
      <c r="S157" s="232"/>
      <c r="T157" s="232"/>
      <c r="U157" s="145"/>
      <c r="V157" s="145"/>
      <c r="W157" s="111"/>
      <c r="X157" s="233"/>
      <c r="Y157" s="226"/>
      <c r="Z157" s="139"/>
      <c r="AA157" s="139"/>
      <c r="AB157" s="139"/>
      <c r="AC157" s="139"/>
      <c r="AD157" s="139"/>
      <c r="AE157" s="139"/>
      <c r="AF157" s="139"/>
      <c r="AG157" s="139"/>
      <c r="AH157" s="139"/>
      <c r="AI157" s="139"/>
      <c r="AJ157" s="139"/>
      <c r="AK157" s="139"/>
      <c r="AL157" s="139"/>
      <c r="AM157" s="139"/>
      <c r="AN157" s="139"/>
      <c r="AO157" s="139"/>
      <c r="AP157" s="139"/>
      <c r="AQ157" s="139"/>
      <c r="AR157" s="139"/>
      <c r="AS157" s="139"/>
      <c r="AT157" s="139"/>
      <c r="AU157" s="139"/>
      <c r="AV157" s="139"/>
    </row>
    <row r="158">
      <c r="A158" s="112"/>
      <c r="B158" s="229"/>
      <c r="C158" s="230"/>
      <c r="D158" s="139"/>
      <c r="E158" s="139"/>
      <c r="F158" s="139"/>
      <c r="G158" s="139"/>
      <c r="H158" s="139"/>
      <c r="I158" s="139"/>
      <c r="J158" s="139"/>
      <c r="K158" s="139"/>
      <c r="L158" s="139"/>
      <c r="M158" s="139"/>
      <c r="N158" s="145"/>
      <c r="O158" s="139"/>
      <c r="P158" s="139"/>
      <c r="Q158" s="231"/>
      <c r="R158" s="139"/>
      <c r="S158" s="232"/>
      <c r="T158" s="232"/>
      <c r="U158" s="145"/>
      <c r="V158" s="145"/>
      <c r="W158" s="111"/>
      <c r="X158" s="233"/>
      <c r="Y158" s="226"/>
      <c r="Z158" s="139"/>
      <c r="AA158" s="139"/>
      <c r="AB158" s="139"/>
      <c r="AC158" s="139"/>
      <c r="AD158" s="139"/>
      <c r="AE158" s="139"/>
      <c r="AF158" s="139"/>
      <c r="AG158" s="139"/>
      <c r="AH158" s="139"/>
      <c r="AI158" s="139"/>
      <c r="AJ158" s="139"/>
      <c r="AK158" s="139"/>
      <c r="AL158" s="139"/>
      <c r="AM158" s="139"/>
      <c r="AN158" s="139"/>
      <c r="AO158" s="139"/>
      <c r="AP158" s="139"/>
      <c r="AQ158" s="139"/>
      <c r="AR158" s="139"/>
      <c r="AS158" s="139"/>
      <c r="AT158" s="139"/>
      <c r="AU158" s="139"/>
      <c r="AV158" s="139"/>
    </row>
    <row r="159">
      <c r="A159" s="112"/>
      <c r="B159" s="229"/>
      <c r="C159" s="230"/>
      <c r="D159" s="139"/>
      <c r="E159" s="139"/>
      <c r="F159" s="139"/>
      <c r="G159" s="139"/>
      <c r="H159" s="139"/>
      <c r="I159" s="139"/>
      <c r="J159" s="139"/>
      <c r="K159" s="139"/>
      <c r="L159" s="139"/>
      <c r="M159" s="139"/>
      <c r="N159" s="145"/>
      <c r="O159" s="139"/>
      <c r="P159" s="139"/>
      <c r="Q159" s="231"/>
      <c r="R159" s="139"/>
      <c r="S159" s="232"/>
      <c r="T159" s="232"/>
      <c r="U159" s="145"/>
      <c r="V159" s="145"/>
      <c r="W159" s="111"/>
      <c r="X159" s="233"/>
      <c r="Y159" s="226"/>
      <c r="Z159" s="139"/>
      <c r="AA159" s="139"/>
      <c r="AB159" s="139"/>
      <c r="AC159" s="139"/>
      <c r="AD159" s="139"/>
      <c r="AE159" s="139"/>
      <c r="AF159" s="139"/>
      <c r="AG159" s="139"/>
      <c r="AH159" s="139"/>
      <c r="AI159" s="139"/>
      <c r="AJ159" s="139"/>
      <c r="AK159" s="139"/>
      <c r="AL159" s="139"/>
      <c r="AM159" s="139"/>
      <c r="AN159" s="139"/>
      <c r="AO159" s="139"/>
      <c r="AP159" s="139"/>
      <c r="AQ159" s="139"/>
      <c r="AR159" s="139"/>
      <c r="AS159" s="139"/>
      <c r="AT159" s="139"/>
      <c r="AU159" s="139"/>
      <c r="AV159" s="139"/>
    </row>
    <row r="160">
      <c r="A160" s="112"/>
      <c r="B160" s="229"/>
      <c r="C160" s="230"/>
      <c r="D160" s="139"/>
      <c r="E160" s="139"/>
      <c r="F160" s="139"/>
      <c r="G160" s="139"/>
      <c r="H160" s="139"/>
      <c r="I160" s="139"/>
      <c r="J160" s="139"/>
      <c r="K160" s="139"/>
      <c r="L160" s="139"/>
      <c r="M160" s="139"/>
      <c r="N160" s="145"/>
      <c r="O160" s="139"/>
      <c r="P160" s="139"/>
      <c r="Q160" s="231"/>
      <c r="R160" s="139"/>
      <c r="S160" s="232"/>
      <c r="T160" s="232"/>
      <c r="U160" s="145"/>
      <c r="V160" s="145"/>
      <c r="W160" s="111"/>
      <c r="X160" s="233"/>
      <c r="Y160" s="226"/>
      <c r="Z160" s="139"/>
      <c r="AA160" s="139"/>
      <c r="AB160" s="139"/>
      <c r="AC160" s="139"/>
      <c r="AD160" s="139"/>
      <c r="AE160" s="139"/>
      <c r="AF160" s="139"/>
      <c r="AG160" s="139"/>
      <c r="AH160" s="139"/>
      <c r="AI160" s="139"/>
      <c r="AJ160" s="139"/>
      <c r="AK160" s="139"/>
      <c r="AL160" s="139"/>
      <c r="AM160" s="139"/>
      <c r="AN160" s="139"/>
      <c r="AO160" s="139"/>
      <c r="AP160" s="139"/>
      <c r="AQ160" s="139"/>
      <c r="AR160" s="139"/>
      <c r="AS160" s="139"/>
      <c r="AT160" s="139"/>
      <c r="AU160" s="139"/>
      <c r="AV160" s="139"/>
    </row>
    <row r="161">
      <c r="A161" s="112"/>
      <c r="B161" s="229"/>
      <c r="C161" s="230"/>
      <c r="D161" s="139"/>
      <c r="E161" s="139"/>
      <c r="F161" s="139"/>
      <c r="G161" s="139"/>
      <c r="H161" s="139"/>
      <c r="I161" s="139"/>
      <c r="J161" s="139"/>
      <c r="K161" s="139"/>
      <c r="L161" s="139"/>
      <c r="M161" s="139"/>
      <c r="N161" s="145"/>
      <c r="O161" s="139"/>
      <c r="P161" s="139"/>
      <c r="Q161" s="231"/>
      <c r="R161" s="139"/>
      <c r="S161" s="232"/>
      <c r="T161" s="232"/>
      <c r="U161" s="145"/>
      <c r="V161" s="145"/>
      <c r="W161" s="111"/>
      <c r="X161" s="233"/>
      <c r="Y161" s="226"/>
      <c r="Z161" s="139"/>
      <c r="AA161" s="139"/>
      <c r="AB161" s="139"/>
      <c r="AC161" s="139"/>
      <c r="AD161" s="139"/>
      <c r="AE161" s="139"/>
      <c r="AF161" s="139"/>
      <c r="AG161" s="139"/>
      <c r="AH161" s="139"/>
      <c r="AI161" s="139"/>
      <c r="AJ161" s="139"/>
      <c r="AK161" s="139"/>
      <c r="AL161" s="139"/>
      <c r="AM161" s="139"/>
      <c r="AN161" s="139"/>
      <c r="AO161" s="139"/>
      <c r="AP161" s="139"/>
      <c r="AQ161" s="139"/>
      <c r="AR161" s="139"/>
      <c r="AS161" s="139"/>
      <c r="AT161" s="139"/>
      <c r="AU161" s="139"/>
      <c r="AV161" s="139"/>
    </row>
    <row r="162">
      <c r="A162" s="112"/>
      <c r="B162" s="229"/>
      <c r="C162" s="230"/>
      <c r="D162" s="139"/>
      <c r="E162" s="139"/>
      <c r="F162" s="139"/>
      <c r="G162" s="139"/>
      <c r="H162" s="139"/>
      <c r="I162" s="139"/>
      <c r="J162" s="139"/>
      <c r="K162" s="139"/>
      <c r="L162" s="139"/>
      <c r="M162" s="139"/>
      <c r="N162" s="145"/>
      <c r="O162" s="139"/>
      <c r="P162" s="139"/>
      <c r="Q162" s="231"/>
      <c r="R162" s="139"/>
      <c r="S162" s="232"/>
      <c r="T162" s="232"/>
      <c r="U162" s="145"/>
      <c r="V162" s="145"/>
      <c r="W162" s="111"/>
      <c r="X162" s="233"/>
      <c r="Y162" s="226"/>
      <c r="Z162" s="139"/>
      <c r="AA162" s="139"/>
      <c r="AB162" s="139"/>
      <c r="AC162" s="139"/>
      <c r="AD162" s="139"/>
      <c r="AE162" s="139"/>
      <c r="AF162" s="139"/>
      <c r="AG162" s="139"/>
      <c r="AH162" s="139"/>
      <c r="AI162" s="139"/>
      <c r="AJ162" s="139"/>
      <c r="AK162" s="139"/>
      <c r="AL162" s="139"/>
      <c r="AM162" s="139"/>
      <c r="AN162" s="139"/>
      <c r="AO162" s="139"/>
      <c r="AP162" s="139"/>
      <c r="AQ162" s="139"/>
      <c r="AR162" s="139"/>
      <c r="AS162" s="139"/>
      <c r="AT162" s="139"/>
      <c r="AU162" s="139"/>
      <c r="AV162" s="139"/>
    </row>
    <row r="163">
      <c r="A163" s="112"/>
      <c r="B163" s="229"/>
      <c r="C163" s="230"/>
      <c r="D163" s="139"/>
      <c r="E163" s="139"/>
      <c r="F163" s="139"/>
      <c r="G163" s="139"/>
      <c r="H163" s="139"/>
      <c r="I163" s="139"/>
      <c r="J163" s="139"/>
      <c r="K163" s="139"/>
      <c r="L163" s="139"/>
      <c r="M163" s="139"/>
      <c r="N163" s="145"/>
      <c r="O163" s="139"/>
      <c r="P163" s="139"/>
      <c r="Q163" s="231"/>
      <c r="R163" s="139"/>
      <c r="S163" s="232"/>
      <c r="T163" s="232"/>
      <c r="U163" s="145"/>
      <c r="V163" s="145"/>
      <c r="W163" s="111"/>
      <c r="X163" s="233"/>
      <c r="Y163" s="226"/>
      <c r="Z163" s="139"/>
      <c r="AA163" s="139"/>
      <c r="AB163" s="139"/>
      <c r="AC163" s="139"/>
      <c r="AD163" s="139"/>
      <c r="AE163" s="139"/>
      <c r="AF163" s="139"/>
      <c r="AG163" s="139"/>
      <c r="AH163" s="139"/>
      <c r="AI163" s="139"/>
      <c r="AJ163" s="139"/>
      <c r="AK163" s="139"/>
      <c r="AL163" s="139"/>
      <c r="AM163" s="139"/>
      <c r="AN163" s="139"/>
      <c r="AO163" s="139"/>
      <c r="AP163" s="139"/>
      <c r="AQ163" s="139"/>
      <c r="AR163" s="139"/>
      <c r="AS163" s="139"/>
      <c r="AT163" s="139"/>
      <c r="AU163" s="139"/>
      <c r="AV163" s="139"/>
    </row>
    <row r="164">
      <c r="A164" s="112"/>
      <c r="B164" s="229"/>
      <c r="C164" s="230"/>
      <c r="D164" s="139"/>
      <c r="E164" s="139"/>
      <c r="F164" s="139"/>
      <c r="G164" s="139"/>
      <c r="H164" s="139"/>
      <c r="I164" s="139"/>
      <c r="J164" s="139"/>
      <c r="K164" s="139"/>
      <c r="L164" s="139"/>
      <c r="M164" s="139"/>
      <c r="N164" s="145"/>
      <c r="O164" s="139"/>
      <c r="P164" s="139"/>
      <c r="Q164" s="231"/>
      <c r="R164" s="139"/>
      <c r="S164" s="232"/>
      <c r="T164" s="232"/>
      <c r="U164" s="145"/>
      <c r="V164" s="145"/>
      <c r="W164" s="111"/>
      <c r="X164" s="233"/>
      <c r="Y164" s="226"/>
      <c r="Z164" s="139"/>
      <c r="AA164" s="139"/>
      <c r="AB164" s="139"/>
      <c r="AC164" s="139"/>
      <c r="AD164" s="139"/>
      <c r="AE164" s="139"/>
      <c r="AF164" s="139"/>
      <c r="AG164" s="139"/>
      <c r="AH164" s="139"/>
      <c r="AI164" s="139"/>
      <c r="AJ164" s="139"/>
      <c r="AK164" s="139"/>
      <c r="AL164" s="139"/>
      <c r="AM164" s="139"/>
      <c r="AN164" s="139"/>
      <c r="AO164" s="139"/>
      <c r="AP164" s="139"/>
      <c r="AQ164" s="139"/>
      <c r="AR164" s="139"/>
      <c r="AS164" s="139"/>
      <c r="AT164" s="139"/>
      <c r="AU164" s="139"/>
      <c r="AV164" s="139"/>
    </row>
    <row r="165">
      <c r="A165" s="112"/>
      <c r="B165" s="229"/>
      <c r="C165" s="230"/>
      <c r="D165" s="139"/>
      <c r="E165" s="139"/>
      <c r="F165" s="139"/>
      <c r="G165" s="139"/>
      <c r="H165" s="139"/>
      <c r="I165" s="139"/>
      <c r="J165" s="139"/>
      <c r="K165" s="139"/>
      <c r="L165" s="139"/>
      <c r="M165" s="139"/>
      <c r="N165" s="145"/>
      <c r="O165" s="139"/>
      <c r="P165" s="139"/>
      <c r="Q165" s="231"/>
      <c r="R165" s="139"/>
      <c r="S165" s="232"/>
      <c r="T165" s="232"/>
      <c r="U165" s="145"/>
      <c r="V165" s="145"/>
      <c r="W165" s="111"/>
      <c r="X165" s="233"/>
      <c r="Y165" s="226"/>
      <c r="Z165" s="139"/>
      <c r="AA165" s="139"/>
      <c r="AB165" s="139"/>
      <c r="AC165" s="139"/>
      <c r="AD165" s="139"/>
      <c r="AE165" s="139"/>
      <c r="AF165" s="139"/>
      <c r="AG165" s="139"/>
      <c r="AH165" s="139"/>
      <c r="AI165" s="139"/>
      <c r="AJ165" s="139"/>
      <c r="AK165" s="139"/>
      <c r="AL165" s="139"/>
      <c r="AM165" s="139"/>
      <c r="AN165" s="139"/>
      <c r="AO165" s="139"/>
      <c r="AP165" s="139"/>
      <c r="AQ165" s="139"/>
      <c r="AR165" s="139"/>
      <c r="AS165" s="139"/>
      <c r="AT165" s="139"/>
      <c r="AU165" s="139"/>
      <c r="AV165" s="139"/>
    </row>
    <row r="166">
      <c r="A166" s="112"/>
      <c r="B166" s="229"/>
      <c r="C166" s="230"/>
      <c r="D166" s="139"/>
      <c r="E166" s="139"/>
      <c r="F166" s="139"/>
      <c r="G166" s="139"/>
      <c r="H166" s="139"/>
      <c r="I166" s="139"/>
      <c r="J166" s="139"/>
      <c r="K166" s="139"/>
      <c r="L166" s="139"/>
      <c r="M166" s="139"/>
      <c r="N166" s="145"/>
      <c r="O166" s="139"/>
      <c r="P166" s="139"/>
      <c r="Q166" s="231"/>
      <c r="R166" s="139"/>
      <c r="S166" s="232"/>
      <c r="T166" s="232"/>
      <c r="U166" s="145"/>
      <c r="V166" s="145"/>
      <c r="W166" s="111"/>
      <c r="X166" s="233"/>
      <c r="Y166" s="226"/>
      <c r="Z166" s="139"/>
      <c r="AA166" s="139"/>
      <c r="AB166" s="139"/>
      <c r="AC166" s="139"/>
      <c r="AD166" s="139"/>
      <c r="AE166" s="139"/>
      <c r="AF166" s="139"/>
      <c r="AG166" s="139"/>
      <c r="AH166" s="139"/>
      <c r="AI166" s="139"/>
      <c r="AJ166" s="139"/>
      <c r="AK166" s="139"/>
      <c r="AL166" s="139"/>
      <c r="AM166" s="139"/>
      <c r="AN166" s="139"/>
      <c r="AO166" s="139"/>
      <c r="AP166" s="139"/>
      <c r="AQ166" s="139"/>
      <c r="AR166" s="139"/>
      <c r="AS166" s="139"/>
      <c r="AT166" s="139"/>
      <c r="AU166" s="139"/>
      <c r="AV166" s="139"/>
    </row>
    <row r="167">
      <c r="A167" s="112"/>
      <c r="B167" s="229"/>
      <c r="C167" s="230"/>
      <c r="D167" s="139"/>
      <c r="E167" s="139"/>
      <c r="F167" s="139"/>
      <c r="G167" s="139"/>
      <c r="H167" s="139"/>
      <c r="I167" s="139"/>
      <c r="J167" s="139"/>
      <c r="K167" s="139"/>
      <c r="L167" s="139"/>
      <c r="M167" s="139"/>
      <c r="N167" s="145"/>
      <c r="O167" s="139"/>
      <c r="P167" s="139"/>
      <c r="Q167" s="231"/>
      <c r="R167" s="139"/>
      <c r="S167" s="232"/>
      <c r="T167" s="232"/>
      <c r="U167" s="145"/>
      <c r="V167" s="145"/>
      <c r="W167" s="111"/>
      <c r="X167" s="233"/>
      <c r="Y167" s="226"/>
      <c r="Z167" s="139"/>
      <c r="AA167" s="139"/>
      <c r="AB167" s="139"/>
      <c r="AC167" s="139"/>
      <c r="AD167" s="139"/>
      <c r="AE167" s="139"/>
      <c r="AF167" s="139"/>
      <c r="AG167" s="139"/>
      <c r="AH167" s="139"/>
      <c r="AI167" s="139"/>
      <c r="AJ167" s="139"/>
      <c r="AK167" s="139"/>
      <c r="AL167" s="139"/>
      <c r="AM167" s="139"/>
      <c r="AN167" s="139"/>
      <c r="AO167" s="139"/>
      <c r="AP167" s="139"/>
      <c r="AQ167" s="139"/>
      <c r="AR167" s="139"/>
      <c r="AS167" s="139"/>
      <c r="AT167" s="139"/>
      <c r="AU167" s="139"/>
      <c r="AV167" s="139"/>
    </row>
    <row r="168">
      <c r="A168" s="112"/>
      <c r="B168" s="229"/>
      <c r="C168" s="230"/>
      <c r="D168" s="139"/>
      <c r="E168" s="139"/>
      <c r="F168" s="139"/>
      <c r="G168" s="139"/>
      <c r="H168" s="139"/>
      <c r="I168" s="139"/>
      <c r="J168" s="139"/>
      <c r="K168" s="139"/>
      <c r="L168" s="139"/>
      <c r="M168" s="139"/>
      <c r="N168" s="145"/>
      <c r="O168" s="139"/>
      <c r="P168" s="139"/>
      <c r="Q168" s="231"/>
      <c r="R168" s="139"/>
      <c r="S168" s="232"/>
      <c r="T168" s="232"/>
      <c r="U168" s="145"/>
      <c r="V168" s="145"/>
      <c r="W168" s="111"/>
      <c r="X168" s="233"/>
      <c r="Y168" s="226"/>
      <c r="Z168" s="139"/>
      <c r="AA168" s="139"/>
      <c r="AB168" s="139"/>
      <c r="AC168" s="139"/>
      <c r="AD168" s="139"/>
      <c r="AE168" s="139"/>
      <c r="AF168" s="139"/>
      <c r="AG168" s="139"/>
      <c r="AH168" s="139"/>
      <c r="AI168" s="139"/>
      <c r="AJ168" s="139"/>
      <c r="AK168" s="139"/>
      <c r="AL168" s="139"/>
      <c r="AM168" s="139"/>
      <c r="AN168" s="139"/>
      <c r="AO168" s="139"/>
      <c r="AP168" s="139"/>
      <c r="AQ168" s="139"/>
      <c r="AR168" s="139"/>
      <c r="AS168" s="139"/>
      <c r="AT168" s="139"/>
      <c r="AU168" s="139"/>
      <c r="AV168" s="139"/>
    </row>
    <row r="169">
      <c r="A169" s="112"/>
      <c r="B169" s="229"/>
      <c r="C169" s="230"/>
      <c r="D169" s="139"/>
      <c r="E169" s="139"/>
      <c r="F169" s="139"/>
      <c r="G169" s="139"/>
      <c r="H169" s="139"/>
      <c r="I169" s="139"/>
      <c r="J169" s="139"/>
      <c r="K169" s="139"/>
      <c r="L169" s="139"/>
      <c r="M169" s="139"/>
      <c r="N169" s="145"/>
      <c r="O169" s="139"/>
      <c r="P169" s="139"/>
      <c r="Q169" s="231"/>
      <c r="R169" s="139"/>
      <c r="S169" s="232"/>
      <c r="T169" s="232"/>
      <c r="U169" s="145"/>
      <c r="V169" s="145"/>
      <c r="W169" s="111"/>
      <c r="X169" s="233"/>
      <c r="Y169" s="226"/>
      <c r="Z169" s="139"/>
      <c r="AA169" s="139"/>
      <c r="AB169" s="139"/>
      <c r="AC169" s="139"/>
      <c r="AD169" s="139"/>
      <c r="AE169" s="139"/>
      <c r="AF169" s="139"/>
      <c r="AG169" s="139"/>
      <c r="AH169" s="139"/>
      <c r="AI169" s="139"/>
      <c r="AJ169" s="139"/>
      <c r="AK169" s="139"/>
      <c r="AL169" s="139"/>
      <c r="AM169" s="139"/>
      <c r="AN169" s="139"/>
      <c r="AO169" s="139"/>
      <c r="AP169" s="139"/>
      <c r="AQ169" s="139"/>
      <c r="AR169" s="139"/>
      <c r="AS169" s="139"/>
      <c r="AT169" s="139"/>
      <c r="AU169" s="139"/>
      <c r="AV169" s="139"/>
    </row>
    <row r="170">
      <c r="A170" s="112"/>
      <c r="B170" s="229"/>
      <c r="C170" s="230"/>
      <c r="D170" s="139"/>
      <c r="E170" s="139"/>
      <c r="F170" s="139"/>
      <c r="G170" s="139"/>
      <c r="H170" s="139"/>
      <c r="I170" s="139"/>
      <c r="J170" s="139"/>
      <c r="K170" s="139"/>
      <c r="L170" s="139"/>
      <c r="M170" s="139"/>
      <c r="N170" s="145"/>
      <c r="O170" s="139"/>
      <c r="P170" s="139"/>
      <c r="Q170" s="231"/>
      <c r="R170" s="139"/>
      <c r="S170" s="232"/>
      <c r="T170" s="232"/>
      <c r="U170" s="145"/>
      <c r="V170" s="145"/>
      <c r="W170" s="111"/>
      <c r="X170" s="233"/>
      <c r="Y170" s="226"/>
      <c r="Z170" s="139"/>
      <c r="AA170" s="139"/>
      <c r="AB170" s="139"/>
      <c r="AC170" s="139"/>
      <c r="AD170" s="139"/>
      <c r="AE170" s="139"/>
      <c r="AF170" s="139"/>
      <c r="AG170" s="139"/>
      <c r="AH170" s="139"/>
      <c r="AI170" s="139"/>
      <c r="AJ170" s="139"/>
      <c r="AK170" s="139"/>
      <c r="AL170" s="139"/>
      <c r="AM170" s="139"/>
      <c r="AN170" s="139"/>
      <c r="AO170" s="139"/>
      <c r="AP170" s="139"/>
      <c r="AQ170" s="139"/>
      <c r="AR170" s="139"/>
      <c r="AS170" s="139"/>
      <c r="AT170" s="139"/>
      <c r="AU170" s="139"/>
      <c r="AV170" s="139"/>
    </row>
    <row r="171">
      <c r="A171" s="112"/>
      <c r="B171" s="229"/>
      <c r="C171" s="230"/>
      <c r="D171" s="139"/>
      <c r="E171" s="139"/>
      <c r="F171" s="139"/>
      <c r="G171" s="139"/>
      <c r="H171" s="139"/>
      <c r="I171" s="139"/>
      <c r="J171" s="139"/>
      <c r="K171" s="139"/>
      <c r="L171" s="139"/>
      <c r="M171" s="139"/>
      <c r="N171" s="145"/>
      <c r="O171" s="139"/>
      <c r="P171" s="139"/>
      <c r="Q171" s="231"/>
      <c r="R171" s="139"/>
      <c r="S171" s="232"/>
      <c r="T171" s="232"/>
      <c r="U171" s="145"/>
      <c r="V171" s="145"/>
      <c r="W171" s="111"/>
      <c r="X171" s="233"/>
      <c r="Y171" s="226"/>
      <c r="Z171" s="139"/>
      <c r="AA171" s="139"/>
      <c r="AB171" s="139"/>
      <c r="AC171" s="139"/>
      <c r="AD171" s="139"/>
      <c r="AE171" s="139"/>
      <c r="AF171" s="139"/>
      <c r="AG171" s="139"/>
      <c r="AH171" s="139"/>
      <c r="AI171" s="139"/>
      <c r="AJ171" s="139"/>
      <c r="AK171" s="139"/>
      <c r="AL171" s="139"/>
      <c r="AM171" s="139"/>
      <c r="AN171" s="139"/>
      <c r="AO171" s="139"/>
      <c r="AP171" s="139"/>
      <c r="AQ171" s="139"/>
      <c r="AR171" s="139"/>
      <c r="AS171" s="139"/>
      <c r="AT171" s="139"/>
      <c r="AU171" s="139"/>
      <c r="AV171" s="139"/>
    </row>
    <row r="172">
      <c r="A172" s="112"/>
      <c r="B172" s="229"/>
      <c r="C172" s="230"/>
      <c r="D172" s="139"/>
      <c r="E172" s="139"/>
      <c r="F172" s="139"/>
      <c r="G172" s="139"/>
      <c r="H172" s="139"/>
      <c r="I172" s="139"/>
      <c r="J172" s="139"/>
      <c r="K172" s="139"/>
      <c r="L172" s="139"/>
      <c r="M172" s="139"/>
      <c r="N172" s="145"/>
      <c r="O172" s="139"/>
      <c r="P172" s="139"/>
      <c r="Q172" s="231"/>
      <c r="R172" s="139"/>
      <c r="S172" s="232"/>
      <c r="T172" s="232"/>
      <c r="U172" s="145"/>
      <c r="V172" s="145"/>
      <c r="W172" s="111"/>
      <c r="X172" s="233"/>
      <c r="Y172" s="226"/>
      <c r="Z172" s="139"/>
      <c r="AA172" s="139"/>
      <c r="AB172" s="139"/>
      <c r="AC172" s="139"/>
      <c r="AD172" s="139"/>
      <c r="AE172" s="139"/>
      <c r="AF172" s="139"/>
      <c r="AG172" s="139"/>
      <c r="AH172" s="139"/>
      <c r="AI172" s="139"/>
      <c r="AJ172" s="139"/>
      <c r="AK172" s="139"/>
      <c r="AL172" s="139"/>
      <c r="AM172" s="139"/>
      <c r="AN172" s="139"/>
      <c r="AO172" s="139"/>
      <c r="AP172" s="139"/>
      <c r="AQ172" s="139"/>
      <c r="AR172" s="139"/>
      <c r="AS172" s="139"/>
      <c r="AT172" s="139"/>
      <c r="AU172" s="139"/>
      <c r="AV172" s="139"/>
    </row>
    <row r="173">
      <c r="A173" s="112"/>
      <c r="B173" s="229"/>
      <c r="C173" s="230"/>
      <c r="D173" s="139"/>
      <c r="E173" s="139"/>
      <c r="F173" s="139"/>
      <c r="G173" s="139"/>
      <c r="H173" s="139"/>
      <c r="I173" s="139"/>
      <c r="J173" s="139"/>
      <c r="K173" s="139"/>
      <c r="L173" s="139"/>
      <c r="M173" s="139"/>
      <c r="N173" s="145"/>
      <c r="O173" s="139"/>
      <c r="P173" s="139"/>
      <c r="Q173" s="231"/>
      <c r="R173" s="139"/>
      <c r="S173" s="232"/>
      <c r="T173" s="232"/>
      <c r="U173" s="145"/>
      <c r="V173" s="145"/>
      <c r="W173" s="111"/>
      <c r="X173" s="233"/>
      <c r="Y173" s="226"/>
      <c r="Z173" s="139"/>
      <c r="AA173" s="139"/>
      <c r="AB173" s="139"/>
      <c r="AC173" s="139"/>
      <c r="AD173" s="139"/>
      <c r="AE173" s="139"/>
      <c r="AF173" s="139"/>
      <c r="AG173" s="139"/>
      <c r="AH173" s="139"/>
      <c r="AI173" s="139"/>
      <c r="AJ173" s="139"/>
      <c r="AK173" s="139"/>
      <c r="AL173" s="139"/>
      <c r="AM173" s="139"/>
      <c r="AN173" s="139"/>
      <c r="AO173" s="139"/>
      <c r="AP173" s="139"/>
      <c r="AQ173" s="139"/>
      <c r="AR173" s="139"/>
      <c r="AS173" s="139"/>
      <c r="AT173" s="139"/>
      <c r="AU173" s="139"/>
      <c r="AV173" s="139"/>
    </row>
    <row r="174">
      <c r="A174" s="112"/>
      <c r="B174" s="229"/>
      <c r="C174" s="230"/>
      <c r="D174" s="139"/>
      <c r="E174" s="139"/>
      <c r="F174" s="139"/>
      <c r="G174" s="139"/>
      <c r="H174" s="139"/>
      <c r="I174" s="139"/>
      <c r="J174" s="139"/>
      <c r="K174" s="139"/>
      <c r="L174" s="139"/>
      <c r="M174" s="139"/>
      <c r="N174" s="145"/>
      <c r="O174" s="139"/>
      <c r="P174" s="139"/>
      <c r="Q174" s="231"/>
      <c r="R174" s="139"/>
      <c r="S174" s="232"/>
      <c r="T174" s="232"/>
      <c r="U174" s="145"/>
      <c r="V174" s="145"/>
      <c r="W174" s="111"/>
      <c r="X174" s="233"/>
      <c r="Y174" s="226"/>
      <c r="Z174" s="139"/>
      <c r="AA174" s="139"/>
      <c r="AB174" s="139"/>
      <c r="AC174" s="139"/>
      <c r="AD174" s="139"/>
      <c r="AE174" s="139"/>
      <c r="AF174" s="139"/>
      <c r="AG174" s="139"/>
      <c r="AH174" s="139"/>
      <c r="AI174" s="139"/>
      <c r="AJ174" s="139"/>
      <c r="AK174" s="139"/>
      <c r="AL174" s="139"/>
      <c r="AM174" s="139"/>
      <c r="AN174" s="139"/>
      <c r="AO174" s="139"/>
      <c r="AP174" s="139"/>
      <c r="AQ174" s="139"/>
      <c r="AR174" s="139"/>
      <c r="AS174" s="139"/>
      <c r="AT174" s="139"/>
      <c r="AU174" s="139"/>
      <c r="AV174" s="139"/>
    </row>
    <row r="175">
      <c r="A175" s="112"/>
      <c r="B175" s="229"/>
      <c r="C175" s="230"/>
      <c r="D175" s="139"/>
      <c r="E175" s="139"/>
      <c r="F175" s="139"/>
      <c r="G175" s="139"/>
      <c r="H175" s="139"/>
      <c r="I175" s="139"/>
      <c r="J175" s="139"/>
      <c r="K175" s="139"/>
      <c r="L175" s="139"/>
      <c r="M175" s="139"/>
      <c r="N175" s="145"/>
      <c r="O175" s="139"/>
      <c r="P175" s="139"/>
      <c r="Q175" s="231"/>
      <c r="R175" s="139"/>
      <c r="S175" s="232"/>
      <c r="T175" s="232"/>
      <c r="U175" s="145"/>
      <c r="V175" s="145"/>
      <c r="W175" s="111"/>
      <c r="X175" s="233"/>
      <c r="Y175" s="226"/>
      <c r="Z175" s="139"/>
      <c r="AA175" s="139"/>
      <c r="AB175" s="139"/>
      <c r="AC175" s="139"/>
      <c r="AD175" s="139"/>
      <c r="AE175" s="139"/>
      <c r="AF175" s="139"/>
      <c r="AG175" s="139"/>
      <c r="AH175" s="139"/>
      <c r="AI175" s="139"/>
      <c r="AJ175" s="139"/>
      <c r="AK175" s="139"/>
      <c r="AL175" s="139"/>
      <c r="AM175" s="139"/>
      <c r="AN175" s="139"/>
      <c r="AO175" s="139"/>
      <c r="AP175" s="139"/>
      <c r="AQ175" s="139"/>
      <c r="AR175" s="139"/>
      <c r="AS175" s="139"/>
      <c r="AT175" s="139"/>
      <c r="AU175" s="139"/>
      <c r="AV175" s="139"/>
    </row>
    <row r="176">
      <c r="A176" s="112"/>
      <c r="B176" s="229"/>
      <c r="C176" s="230"/>
      <c r="D176" s="139"/>
      <c r="E176" s="139"/>
      <c r="F176" s="139"/>
      <c r="G176" s="139"/>
      <c r="H176" s="139"/>
      <c r="I176" s="139"/>
      <c r="J176" s="139"/>
      <c r="K176" s="139"/>
      <c r="L176" s="139"/>
      <c r="M176" s="139"/>
      <c r="N176" s="145"/>
      <c r="O176" s="139"/>
      <c r="P176" s="139"/>
      <c r="Q176" s="231"/>
      <c r="R176" s="139"/>
      <c r="S176" s="232"/>
      <c r="T176" s="232"/>
      <c r="U176" s="145"/>
      <c r="V176" s="145"/>
      <c r="W176" s="111"/>
      <c r="X176" s="233"/>
      <c r="Y176" s="226"/>
      <c r="Z176" s="139"/>
      <c r="AA176" s="139"/>
      <c r="AB176" s="139"/>
      <c r="AC176" s="139"/>
      <c r="AD176" s="139"/>
      <c r="AE176" s="139"/>
      <c r="AF176" s="139"/>
      <c r="AG176" s="139"/>
      <c r="AH176" s="139"/>
      <c r="AI176" s="139"/>
      <c r="AJ176" s="139"/>
      <c r="AK176" s="139"/>
      <c r="AL176" s="139"/>
      <c r="AM176" s="139"/>
      <c r="AN176" s="139"/>
      <c r="AO176" s="139"/>
      <c r="AP176" s="139"/>
      <c r="AQ176" s="139"/>
      <c r="AR176" s="139"/>
      <c r="AS176" s="139"/>
      <c r="AT176" s="139"/>
      <c r="AU176" s="139"/>
      <c r="AV176" s="139"/>
    </row>
    <row r="177">
      <c r="A177" s="112"/>
      <c r="B177" s="229"/>
      <c r="C177" s="230"/>
      <c r="D177" s="139"/>
      <c r="E177" s="139"/>
      <c r="F177" s="139"/>
      <c r="G177" s="139"/>
      <c r="H177" s="139"/>
      <c r="I177" s="139"/>
      <c r="J177" s="139"/>
      <c r="K177" s="139"/>
      <c r="L177" s="139"/>
      <c r="M177" s="139"/>
      <c r="N177" s="145"/>
      <c r="O177" s="139"/>
      <c r="P177" s="139"/>
      <c r="Q177" s="231"/>
      <c r="R177" s="139"/>
      <c r="S177" s="232"/>
      <c r="T177" s="232"/>
      <c r="U177" s="145"/>
      <c r="V177" s="145"/>
      <c r="W177" s="111"/>
      <c r="X177" s="233"/>
      <c r="Y177" s="226"/>
      <c r="Z177" s="139"/>
      <c r="AA177" s="139"/>
      <c r="AB177" s="139"/>
      <c r="AC177" s="139"/>
      <c r="AD177" s="139"/>
      <c r="AE177" s="139"/>
      <c r="AF177" s="139"/>
      <c r="AG177" s="139"/>
      <c r="AH177" s="139"/>
      <c r="AI177" s="139"/>
      <c r="AJ177" s="139"/>
      <c r="AK177" s="139"/>
      <c r="AL177" s="139"/>
      <c r="AM177" s="139"/>
      <c r="AN177" s="139"/>
      <c r="AO177" s="139"/>
      <c r="AP177" s="139"/>
      <c r="AQ177" s="139"/>
      <c r="AR177" s="139"/>
      <c r="AS177" s="139"/>
      <c r="AT177" s="139"/>
      <c r="AU177" s="139"/>
      <c r="AV177" s="139"/>
    </row>
    <row r="178">
      <c r="A178" s="112"/>
      <c r="B178" s="229"/>
      <c r="C178" s="230"/>
      <c r="D178" s="139"/>
      <c r="E178" s="139"/>
      <c r="F178" s="139"/>
      <c r="G178" s="139"/>
      <c r="H178" s="139"/>
      <c r="I178" s="139"/>
      <c r="J178" s="139"/>
      <c r="K178" s="139"/>
      <c r="L178" s="139"/>
      <c r="M178" s="139"/>
      <c r="N178" s="145"/>
      <c r="O178" s="139"/>
      <c r="P178" s="139"/>
      <c r="Q178" s="231"/>
      <c r="R178" s="139"/>
      <c r="S178" s="232"/>
      <c r="T178" s="232"/>
      <c r="U178" s="145"/>
      <c r="V178" s="145"/>
      <c r="W178" s="111"/>
      <c r="X178" s="233"/>
      <c r="Y178" s="226"/>
      <c r="Z178" s="139"/>
      <c r="AA178" s="139"/>
      <c r="AB178" s="139"/>
      <c r="AC178" s="139"/>
      <c r="AD178" s="139"/>
      <c r="AE178" s="139"/>
      <c r="AF178" s="139"/>
      <c r="AG178" s="139"/>
      <c r="AH178" s="139"/>
      <c r="AI178" s="139"/>
      <c r="AJ178" s="139"/>
      <c r="AK178" s="139"/>
      <c r="AL178" s="139"/>
      <c r="AM178" s="139"/>
      <c r="AN178" s="139"/>
      <c r="AO178" s="139"/>
      <c r="AP178" s="139"/>
      <c r="AQ178" s="139"/>
      <c r="AR178" s="139"/>
      <c r="AS178" s="139"/>
      <c r="AT178" s="139"/>
      <c r="AU178" s="139"/>
      <c r="AV178" s="139"/>
    </row>
    <row r="179">
      <c r="A179" s="112"/>
      <c r="B179" s="229"/>
      <c r="C179" s="230"/>
      <c r="D179" s="139"/>
      <c r="E179" s="139"/>
      <c r="F179" s="139"/>
      <c r="G179" s="139"/>
      <c r="H179" s="139"/>
      <c r="I179" s="139"/>
      <c r="J179" s="139"/>
      <c r="K179" s="139"/>
      <c r="L179" s="139"/>
      <c r="M179" s="139"/>
      <c r="N179" s="145"/>
      <c r="O179" s="139"/>
      <c r="P179" s="139"/>
      <c r="Q179" s="231"/>
      <c r="R179" s="139"/>
      <c r="S179" s="232"/>
      <c r="T179" s="232"/>
      <c r="U179" s="145"/>
      <c r="V179" s="145"/>
      <c r="W179" s="111"/>
      <c r="X179" s="233"/>
      <c r="Y179" s="226"/>
      <c r="Z179" s="139"/>
      <c r="AA179" s="139"/>
      <c r="AB179" s="139"/>
      <c r="AC179" s="139"/>
      <c r="AD179" s="139"/>
      <c r="AE179" s="139"/>
      <c r="AF179" s="139"/>
      <c r="AG179" s="139"/>
      <c r="AH179" s="139"/>
      <c r="AI179" s="139"/>
      <c r="AJ179" s="139"/>
      <c r="AK179" s="139"/>
      <c r="AL179" s="139"/>
      <c r="AM179" s="139"/>
      <c r="AN179" s="139"/>
      <c r="AO179" s="139"/>
      <c r="AP179" s="139"/>
      <c r="AQ179" s="139"/>
      <c r="AR179" s="139"/>
      <c r="AS179" s="139"/>
      <c r="AT179" s="139"/>
      <c r="AU179" s="139"/>
      <c r="AV179" s="139"/>
    </row>
    <row r="180">
      <c r="A180" s="112"/>
      <c r="B180" s="229"/>
      <c r="C180" s="230"/>
      <c r="D180" s="139"/>
      <c r="E180" s="139"/>
      <c r="F180" s="139"/>
      <c r="G180" s="139"/>
      <c r="H180" s="139"/>
      <c r="I180" s="139"/>
      <c r="J180" s="139"/>
      <c r="K180" s="139"/>
      <c r="L180" s="139"/>
      <c r="M180" s="139"/>
      <c r="N180" s="145"/>
      <c r="O180" s="139"/>
      <c r="P180" s="139"/>
      <c r="Q180" s="231"/>
      <c r="R180" s="139"/>
      <c r="S180" s="232"/>
      <c r="T180" s="232"/>
      <c r="U180" s="145"/>
      <c r="V180" s="145"/>
      <c r="W180" s="111"/>
      <c r="X180" s="233"/>
      <c r="Y180" s="226"/>
      <c r="Z180" s="139"/>
      <c r="AA180" s="139"/>
      <c r="AB180" s="139"/>
      <c r="AC180" s="139"/>
      <c r="AD180" s="139"/>
      <c r="AE180" s="139"/>
      <c r="AF180" s="139"/>
      <c r="AG180" s="139"/>
      <c r="AH180" s="139"/>
      <c r="AI180" s="139"/>
      <c r="AJ180" s="139"/>
      <c r="AK180" s="139"/>
      <c r="AL180" s="139"/>
      <c r="AM180" s="139"/>
      <c r="AN180" s="139"/>
      <c r="AO180" s="139"/>
      <c r="AP180" s="139"/>
      <c r="AQ180" s="139"/>
      <c r="AR180" s="139"/>
      <c r="AS180" s="139"/>
      <c r="AT180" s="139"/>
      <c r="AU180" s="139"/>
      <c r="AV180" s="139"/>
    </row>
    <row r="181">
      <c r="A181" s="112"/>
      <c r="B181" s="229"/>
      <c r="C181" s="230"/>
      <c r="D181" s="139"/>
      <c r="E181" s="139"/>
      <c r="F181" s="139"/>
      <c r="G181" s="139"/>
      <c r="H181" s="139"/>
      <c r="I181" s="139"/>
      <c r="J181" s="139"/>
      <c r="K181" s="139"/>
      <c r="L181" s="139"/>
      <c r="M181" s="139"/>
      <c r="N181" s="145"/>
      <c r="O181" s="139"/>
      <c r="P181" s="139"/>
      <c r="Q181" s="231"/>
      <c r="R181" s="139"/>
      <c r="S181" s="232"/>
      <c r="T181" s="232"/>
      <c r="U181" s="145"/>
      <c r="V181" s="145"/>
      <c r="W181" s="111"/>
      <c r="X181" s="233"/>
      <c r="Y181" s="226"/>
      <c r="Z181" s="139"/>
      <c r="AA181" s="139"/>
      <c r="AB181" s="139"/>
      <c r="AC181" s="139"/>
      <c r="AD181" s="139"/>
      <c r="AE181" s="139"/>
      <c r="AF181" s="139"/>
      <c r="AG181" s="139"/>
      <c r="AH181" s="139"/>
      <c r="AI181" s="139"/>
      <c r="AJ181" s="139"/>
      <c r="AK181" s="139"/>
      <c r="AL181" s="139"/>
      <c r="AM181" s="139"/>
      <c r="AN181" s="139"/>
      <c r="AO181" s="139"/>
      <c r="AP181" s="139"/>
      <c r="AQ181" s="139"/>
      <c r="AR181" s="139"/>
      <c r="AS181" s="139"/>
      <c r="AT181" s="139"/>
      <c r="AU181" s="139"/>
      <c r="AV181" s="139"/>
    </row>
    <row r="182">
      <c r="A182" s="112"/>
      <c r="B182" s="229"/>
      <c r="C182" s="230"/>
      <c r="D182" s="139"/>
      <c r="E182" s="139"/>
      <c r="F182" s="139"/>
      <c r="G182" s="139"/>
      <c r="H182" s="139"/>
      <c r="I182" s="139"/>
      <c r="J182" s="139"/>
      <c r="K182" s="139"/>
      <c r="L182" s="139"/>
      <c r="M182" s="139"/>
      <c r="N182" s="145"/>
      <c r="O182" s="139"/>
      <c r="P182" s="139"/>
      <c r="Q182" s="231"/>
      <c r="R182" s="139"/>
      <c r="S182" s="232"/>
      <c r="T182" s="232"/>
      <c r="U182" s="145"/>
      <c r="V182" s="145"/>
      <c r="W182" s="111"/>
      <c r="X182" s="233"/>
      <c r="Y182" s="226"/>
      <c r="Z182" s="139"/>
      <c r="AA182" s="139"/>
      <c r="AB182" s="139"/>
      <c r="AC182" s="139"/>
      <c r="AD182" s="139"/>
      <c r="AE182" s="139"/>
      <c r="AF182" s="139"/>
      <c r="AG182" s="139"/>
      <c r="AH182" s="139"/>
      <c r="AI182" s="139"/>
      <c r="AJ182" s="139"/>
      <c r="AK182" s="139"/>
      <c r="AL182" s="139"/>
      <c r="AM182" s="139"/>
      <c r="AN182" s="139"/>
      <c r="AO182" s="139"/>
      <c r="AP182" s="139"/>
      <c r="AQ182" s="139"/>
      <c r="AR182" s="139"/>
      <c r="AS182" s="139"/>
      <c r="AT182" s="139"/>
      <c r="AU182" s="139"/>
      <c r="AV182" s="139"/>
    </row>
    <row r="183">
      <c r="A183" s="112"/>
      <c r="B183" s="229"/>
      <c r="C183" s="230"/>
      <c r="D183" s="139"/>
      <c r="E183" s="139"/>
      <c r="F183" s="139"/>
      <c r="G183" s="139"/>
      <c r="H183" s="139"/>
      <c r="I183" s="139"/>
      <c r="J183" s="139"/>
      <c r="K183" s="139"/>
      <c r="L183" s="139"/>
      <c r="M183" s="139"/>
      <c r="N183" s="145"/>
      <c r="O183" s="139"/>
      <c r="P183" s="139"/>
      <c r="Q183" s="231"/>
      <c r="R183" s="139"/>
      <c r="S183" s="232"/>
      <c r="T183" s="232"/>
      <c r="U183" s="145"/>
      <c r="V183" s="145"/>
      <c r="W183" s="111"/>
      <c r="X183" s="233"/>
      <c r="Y183" s="226"/>
      <c r="Z183" s="139"/>
      <c r="AA183" s="139"/>
      <c r="AB183" s="139"/>
      <c r="AC183" s="139"/>
      <c r="AD183" s="139"/>
      <c r="AE183" s="139"/>
      <c r="AF183" s="139"/>
      <c r="AG183" s="139"/>
      <c r="AH183" s="139"/>
      <c r="AI183" s="139"/>
      <c r="AJ183" s="139"/>
      <c r="AK183" s="139"/>
      <c r="AL183" s="139"/>
      <c r="AM183" s="139"/>
      <c r="AN183" s="139"/>
      <c r="AO183" s="139"/>
      <c r="AP183" s="139"/>
      <c r="AQ183" s="139"/>
      <c r="AR183" s="139"/>
      <c r="AS183" s="139"/>
      <c r="AT183" s="139"/>
      <c r="AU183" s="139"/>
      <c r="AV183" s="139"/>
    </row>
    <row r="184">
      <c r="A184" s="112"/>
      <c r="B184" s="229"/>
      <c r="C184" s="230"/>
      <c r="D184" s="139"/>
      <c r="E184" s="139"/>
      <c r="F184" s="139"/>
      <c r="G184" s="139"/>
      <c r="H184" s="139"/>
      <c r="I184" s="139"/>
      <c r="J184" s="139"/>
      <c r="K184" s="139"/>
      <c r="L184" s="139"/>
      <c r="M184" s="139"/>
      <c r="N184" s="145"/>
      <c r="O184" s="139"/>
      <c r="P184" s="139"/>
      <c r="Q184" s="231"/>
      <c r="R184" s="139"/>
      <c r="S184" s="232"/>
      <c r="T184" s="232"/>
      <c r="U184" s="145"/>
      <c r="V184" s="145"/>
      <c r="W184" s="111"/>
      <c r="X184" s="233"/>
      <c r="Y184" s="226"/>
      <c r="Z184" s="139"/>
      <c r="AA184" s="139"/>
      <c r="AB184" s="139"/>
      <c r="AC184" s="139"/>
      <c r="AD184" s="139"/>
      <c r="AE184" s="139"/>
      <c r="AF184" s="139"/>
      <c r="AG184" s="139"/>
      <c r="AH184" s="139"/>
      <c r="AI184" s="139"/>
      <c r="AJ184" s="139"/>
      <c r="AK184" s="139"/>
      <c r="AL184" s="139"/>
      <c r="AM184" s="139"/>
      <c r="AN184" s="139"/>
      <c r="AO184" s="139"/>
      <c r="AP184" s="139"/>
      <c r="AQ184" s="139"/>
      <c r="AR184" s="139"/>
      <c r="AS184" s="139"/>
      <c r="AT184" s="139"/>
      <c r="AU184" s="139"/>
      <c r="AV184" s="139"/>
    </row>
    <row r="185">
      <c r="A185" s="112"/>
      <c r="B185" s="229"/>
      <c r="C185" s="230"/>
      <c r="D185" s="139"/>
      <c r="E185" s="139"/>
      <c r="F185" s="139"/>
      <c r="G185" s="139"/>
      <c r="H185" s="139"/>
      <c r="I185" s="139"/>
      <c r="J185" s="139"/>
      <c r="K185" s="139"/>
      <c r="L185" s="139"/>
      <c r="M185" s="139"/>
      <c r="N185" s="145"/>
      <c r="O185" s="139"/>
      <c r="P185" s="139"/>
      <c r="Q185" s="231"/>
      <c r="R185" s="139"/>
      <c r="S185" s="232"/>
      <c r="T185" s="232"/>
      <c r="U185" s="145"/>
      <c r="V185" s="145"/>
      <c r="W185" s="111"/>
      <c r="X185" s="233"/>
      <c r="Y185" s="226"/>
      <c r="Z185" s="139"/>
      <c r="AA185" s="139"/>
      <c r="AB185" s="139"/>
      <c r="AC185" s="139"/>
      <c r="AD185" s="139"/>
      <c r="AE185" s="139"/>
      <c r="AF185" s="139"/>
      <c r="AG185" s="139"/>
      <c r="AH185" s="139"/>
      <c r="AI185" s="139"/>
      <c r="AJ185" s="139"/>
      <c r="AK185" s="139"/>
      <c r="AL185" s="139"/>
      <c r="AM185" s="139"/>
      <c r="AN185" s="139"/>
      <c r="AO185" s="139"/>
      <c r="AP185" s="139"/>
      <c r="AQ185" s="139"/>
      <c r="AR185" s="139"/>
      <c r="AS185" s="139"/>
      <c r="AT185" s="139"/>
      <c r="AU185" s="139"/>
      <c r="AV185" s="139"/>
    </row>
    <row r="186">
      <c r="A186" s="112"/>
      <c r="B186" s="229"/>
      <c r="C186" s="230"/>
      <c r="D186" s="139"/>
      <c r="E186" s="139"/>
      <c r="F186" s="139"/>
      <c r="G186" s="139"/>
      <c r="H186" s="139"/>
      <c r="I186" s="139"/>
      <c r="J186" s="139"/>
      <c r="K186" s="139"/>
      <c r="L186" s="139"/>
      <c r="M186" s="139"/>
      <c r="N186" s="145"/>
      <c r="O186" s="139"/>
      <c r="P186" s="139"/>
      <c r="Q186" s="231"/>
      <c r="R186" s="139"/>
      <c r="S186" s="232"/>
      <c r="T186" s="232"/>
      <c r="U186" s="145"/>
      <c r="V186" s="145"/>
      <c r="W186" s="111"/>
      <c r="X186" s="233"/>
      <c r="Y186" s="226"/>
      <c r="Z186" s="139"/>
      <c r="AA186" s="139"/>
      <c r="AB186" s="139"/>
      <c r="AC186" s="139"/>
      <c r="AD186" s="139"/>
      <c r="AE186" s="139"/>
      <c r="AF186" s="139"/>
      <c r="AG186" s="139"/>
      <c r="AH186" s="139"/>
      <c r="AI186" s="139"/>
      <c r="AJ186" s="139"/>
      <c r="AK186" s="139"/>
      <c r="AL186" s="139"/>
      <c r="AM186" s="139"/>
      <c r="AN186" s="139"/>
      <c r="AO186" s="139"/>
      <c r="AP186" s="139"/>
      <c r="AQ186" s="139"/>
      <c r="AR186" s="139"/>
      <c r="AS186" s="139"/>
      <c r="AT186" s="139"/>
      <c r="AU186" s="139"/>
      <c r="AV186" s="139"/>
    </row>
    <row r="187">
      <c r="A187" s="112"/>
      <c r="B187" s="229"/>
      <c r="C187" s="230"/>
      <c r="D187" s="139"/>
      <c r="E187" s="139"/>
      <c r="F187" s="139"/>
      <c r="G187" s="139"/>
      <c r="H187" s="139"/>
      <c r="I187" s="139"/>
      <c r="J187" s="139"/>
      <c r="K187" s="139"/>
      <c r="L187" s="139"/>
      <c r="M187" s="139"/>
      <c r="N187" s="145"/>
      <c r="O187" s="139"/>
      <c r="P187" s="139"/>
      <c r="Q187" s="231"/>
      <c r="R187" s="139"/>
      <c r="S187" s="232"/>
      <c r="T187" s="232"/>
      <c r="U187" s="145"/>
      <c r="V187" s="145"/>
      <c r="W187" s="111"/>
      <c r="X187" s="233"/>
      <c r="Y187" s="226"/>
      <c r="Z187" s="139"/>
      <c r="AA187" s="139"/>
      <c r="AB187" s="139"/>
      <c r="AC187" s="139"/>
      <c r="AD187" s="139"/>
      <c r="AE187" s="139"/>
      <c r="AF187" s="139"/>
      <c r="AG187" s="139"/>
      <c r="AH187" s="139"/>
      <c r="AI187" s="139"/>
      <c r="AJ187" s="139"/>
      <c r="AK187" s="139"/>
      <c r="AL187" s="139"/>
      <c r="AM187" s="139"/>
      <c r="AN187" s="139"/>
      <c r="AO187" s="139"/>
      <c r="AP187" s="139"/>
      <c r="AQ187" s="139"/>
      <c r="AR187" s="139"/>
      <c r="AS187" s="139"/>
      <c r="AT187" s="139"/>
      <c r="AU187" s="139"/>
      <c r="AV187" s="139"/>
    </row>
    <row r="188">
      <c r="A188" s="112"/>
      <c r="B188" s="229"/>
      <c r="C188" s="230"/>
      <c r="D188" s="139"/>
      <c r="E188" s="139"/>
      <c r="F188" s="139"/>
      <c r="G188" s="139"/>
      <c r="H188" s="139"/>
      <c r="I188" s="139"/>
      <c r="J188" s="139"/>
      <c r="K188" s="139"/>
      <c r="L188" s="139"/>
      <c r="M188" s="139"/>
      <c r="N188" s="145"/>
      <c r="O188" s="139"/>
      <c r="P188" s="139"/>
      <c r="Q188" s="231"/>
      <c r="R188" s="139"/>
      <c r="S188" s="232"/>
      <c r="T188" s="232"/>
      <c r="U188" s="145"/>
      <c r="V188" s="145"/>
      <c r="W188" s="111"/>
      <c r="X188" s="233"/>
      <c r="Y188" s="226"/>
      <c r="Z188" s="139"/>
      <c r="AA188" s="139"/>
      <c r="AB188" s="139"/>
      <c r="AC188" s="139"/>
      <c r="AD188" s="139"/>
      <c r="AE188" s="139"/>
      <c r="AF188" s="139"/>
      <c r="AG188" s="139"/>
      <c r="AH188" s="139"/>
      <c r="AI188" s="139"/>
      <c r="AJ188" s="139"/>
      <c r="AK188" s="139"/>
      <c r="AL188" s="139"/>
      <c r="AM188" s="139"/>
      <c r="AN188" s="139"/>
      <c r="AO188" s="139"/>
      <c r="AP188" s="139"/>
      <c r="AQ188" s="139"/>
      <c r="AR188" s="139"/>
      <c r="AS188" s="139"/>
      <c r="AT188" s="139"/>
      <c r="AU188" s="139"/>
      <c r="AV188" s="139"/>
    </row>
    <row r="189">
      <c r="A189" s="112"/>
      <c r="B189" s="229"/>
      <c r="C189" s="230"/>
      <c r="D189" s="139"/>
      <c r="E189" s="139"/>
      <c r="F189" s="139"/>
      <c r="G189" s="139"/>
      <c r="H189" s="139"/>
      <c r="I189" s="139"/>
      <c r="J189" s="139"/>
      <c r="K189" s="139"/>
      <c r="L189" s="139"/>
      <c r="M189" s="139"/>
      <c r="N189" s="145"/>
      <c r="O189" s="139"/>
      <c r="P189" s="139"/>
      <c r="Q189" s="231"/>
      <c r="R189" s="139"/>
      <c r="S189" s="232"/>
      <c r="T189" s="232"/>
      <c r="U189" s="145"/>
      <c r="V189" s="145"/>
      <c r="W189" s="111"/>
      <c r="X189" s="233"/>
      <c r="Y189" s="226"/>
      <c r="Z189" s="139"/>
      <c r="AA189" s="139"/>
      <c r="AB189" s="139"/>
      <c r="AC189" s="139"/>
      <c r="AD189" s="139"/>
      <c r="AE189" s="139"/>
      <c r="AF189" s="139"/>
      <c r="AG189" s="139"/>
      <c r="AH189" s="139"/>
      <c r="AI189" s="139"/>
      <c r="AJ189" s="139"/>
      <c r="AK189" s="139"/>
      <c r="AL189" s="139"/>
      <c r="AM189" s="139"/>
      <c r="AN189" s="139"/>
      <c r="AO189" s="139"/>
      <c r="AP189" s="139"/>
      <c r="AQ189" s="139"/>
      <c r="AR189" s="139"/>
      <c r="AS189" s="139"/>
      <c r="AT189" s="139"/>
      <c r="AU189" s="139"/>
      <c r="AV189" s="139"/>
    </row>
    <row r="190">
      <c r="A190" s="112"/>
      <c r="B190" s="229"/>
      <c r="C190" s="230"/>
      <c r="D190" s="139"/>
      <c r="E190" s="139"/>
      <c r="F190" s="139"/>
      <c r="G190" s="139"/>
      <c r="H190" s="139"/>
      <c r="I190" s="139"/>
      <c r="J190" s="139"/>
      <c r="K190" s="139"/>
      <c r="L190" s="139"/>
      <c r="M190" s="139"/>
      <c r="N190" s="145"/>
      <c r="O190" s="139"/>
      <c r="P190" s="139"/>
      <c r="Q190" s="231"/>
      <c r="R190" s="139"/>
      <c r="S190" s="232"/>
      <c r="T190" s="232"/>
      <c r="U190" s="145"/>
      <c r="V190" s="145"/>
      <c r="W190" s="111"/>
      <c r="X190" s="233"/>
      <c r="Y190" s="226"/>
      <c r="Z190" s="139"/>
      <c r="AA190" s="139"/>
      <c r="AB190" s="139"/>
      <c r="AC190" s="139"/>
      <c r="AD190" s="139"/>
      <c r="AE190" s="139"/>
      <c r="AF190" s="139"/>
      <c r="AG190" s="139"/>
      <c r="AH190" s="139"/>
      <c r="AI190" s="139"/>
      <c r="AJ190" s="139"/>
      <c r="AK190" s="139"/>
      <c r="AL190" s="139"/>
      <c r="AM190" s="139"/>
      <c r="AN190" s="139"/>
      <c r="AO190" s="139"/>
      <c r="AP190" s="139"/>
      <c r="AQ190" s="139"/>
      <c r="AR190" s="139"/>
      <c r="AS190" s="139"/>
      <c r="AT190" s="139"/>
      <c r="AU190" s="139"/>
      <c r="AV190" s="139"/>
    </row>
    <row r="191">
      <c r="A191" s="112"/>
      <c r="B191" s="229"/>
      <c r="C191" s="230"/>
      <c r="D191" s="139"/>
      <c r="E191" s="139"/>
      <c r="F191" s="139"/>
      <c r="G191" s="139"/>
      <c r="H191" s="139"/>
      <c r="I191" s="139"/>
      <c r="J191" s="139"/>
      <c r="K191" s="139"/>
      <c r="L191" s="139"/>
      <c r="M191" s="139"/>
      <c r="N191" s="145"/>
      <c r="O191" s="139"/>
      <c r="P191" s="139"/>
      <c r="Q191" s="231"/>
      <c r="R191" s="139"/>
      <c r="S191" s="232"/>
      <c r="T191" s="232"/>
      <c r="U191" s="145"/>
      <c r="V191" s="145"/>
      <c r="W191" s="111"/>
      <c r="X191" s="233"/>
      <c r="Y191" s="226"/>
      <c r="Z191" s="139"/>
      <c r="AA191" s="139"/>
      <c r="AB191" s="139"/>
      <c r="AC191" s="139"/>
      <c r="AD191" s="139"/>
      <c r="AE191" s="139"/>
      <c r="AF191" s="139"/>
      <c r="AG191" s="139"/>
      <c r="AH191" s="139"/>
      <c r="AI191" s="139"/>
      <c r="AJ191" s="139"/>
      <c r="AK191" s="139"/>
      <c r="AL191" s="139"/>
      <c r="AM191" s="139"/>
      <c r="AN191" s="139"/>
      <c r="AO191" s="139"/>
      <c r="AP191" s="139"/>
      <c r="AQ191" s="139"/>
      <c r="AR191" s="139"/>
      <c r="AS191" s="139"/>
      <c r="AT191" s="139"/>
      <c r="AU191" s="139"/>
      <c r="AV191" s="139"/>
    </row>
    <row r="192">
      <c r="A192" s="112"/>
      <c r="B192" s="229"/>
      <c r="C192" s="230"/>
      <c r="D192" s="139"/>
      <c r="E192" s="139"/>
      <c r="F192" s="139"/>
      <c r="G192" s="139"/>
      <c r="H192" s="139"/>
      <c r="I192" s="139"/>
      <c r="J192" s="139"/>
      <c r="K192" s="139"/>
      <c r="L192" s="139"/>
      <c r="M192" s="139"/>
      <c r="N192" s="145"/>
      <c r="O192" s="139"/>
      <c r="P192" s="139"/>
      <c r="Q192" s="231"/>
      <c r="R192" s="139"/>
      <c r="S192" s="232"/>
      <c r="T192" s="232"/>
      <c r="U192" s="145"/>
      <c r="V192" s="145"/>
      <c r="W192" s="111"/>
      <c r="X192" s="233"/>
      <c r="Y192" s="226"/>
      <c r="Z192" s="139"/>
      <c r="AA192" s="139"/>
      <c r="AB192" s="139"/>
      <c r="AC192" s="139"/>
      <c r="AD192" s="139"/>
      <c r="AE192" s="139"/>
      <c r="AF192" s="139"/>
      <c r="AG192" s="139"/>
      <c r="AH192" s="139"/>
      <c r="AI192" s="139"/>
      <c r="AJ192" s="139"/>
      <c r="AK192" s="139"/>
      <c r="AL192" s="139"/>
      <c r="AM192" s="139"/>
      <c r="AN192" s="139"/>
      <c r="AO192" s="139"/>
      <c r="AP192" s="139"/>
      <c r="AQ192" s="139"/>
      <c r="AR192" s="139"/>
      <c r="AS192" s="139"/>
      <c r="AT192" s="139"/>
      <c r="AU192" s="139"/>
      <c r="AV192" s="139"/>
    </row>
    <row r="193">
      <c r="A193" s="112"/>
      <c r="B193" s="229"/>
      <c r="C193" s="230"/>
      <c r="D193" s="139"/>
      <c r="E193" s="139"/>
      <c r="F193" s="139"/>
      <c r="G193" s="139"/>
      <c r="H193" s="139"/>
      <c r="I193" s="139"/>
      <c r="J193" s="139"/>
      <c r="K193" s="139"/>
      <c r="L193" s="139"/>
      <c r="M193" s="139"/>
      <c r="N193" s="145"/>
      <c r="O193" s="139"/>
      <c r="P193" s="139"/>
      <c r="Q193" s="231"/>
      <c r="R193" s="139"/>
      <c r="S193" s="232"/>
      <c r="T193" s="232"/>
      <c r="U193" s="145"/>
      <c r="V193" s="145"/>
      <c r="W193" s="111"/>
      <c r="X193" s="233"/>
      <c r="Y193" s="226"/>
      <c r="Z193" s="139"/>
      <c r="AA193" s="139"/>
      <c r="AB193" s="139"/>
      <c r="AC193" s="139"/>
      <c r="AD193" s="139"/>
      <c r="AE193" s="139"/>
      <c r="AF193" s="139"/>
      <c r="AG193" s="139"/>
      <c r="AH193" s="139"/>
      <c r="AI193" s="139"/>
      <c r="AJ193" s="139"/>
      <c r="AK193" s="139"/>
      <c r="AL193" s="139"/>
      <c r="AM193" s="139"/>
      <c r="AN193" s="139"/>
      <c r="AO193" s="139"/>
      <c r="AP193" s="139"/>
      <c r="AQ193" s="139"/>
      <c r="AR193" s="139"/>
      <c r="AS193" s="139"/>
      <c r="AT193" s="139"/>
      <c r="AU193" s="139"/>
      <c r="AV193" s="139"/>
    </row>
    <row r="194">
      <c r="A194" s="112"/>
      <c r="B194" s="229"/>
      <c r="C194" s="230"/>
      <c r="D194" s="139"/>
      <c r="E194" s="139"/>
      <c r="F194" s="139"/>
      <c r="G194" s="139"/>
      <c r="H194" s="139"/>
      <c r="I194" s="139"/>
      <c r="J194" s="139"/>
      <c r="K194" s="139"/>
      <c r="L194" s="139"/>
      <c r="M194" s="139"/>
      <c r="N194" s="145"/>
      <c r="O194" s="139"/>
      <c r="P194" s="139"/>
      <c r="Q194" s="231"/>
      <c r="R194" s="139"/>
      <c r="S194" s="232"/>
      <c r="T194" s="232"/>
      <c r="U194" s="145"/>
      <c r="V194" s="145"/>
      <c r="W194" s="111"/>
      <c r="X194" s="233"/>
      <c r="Y194" s="226"/>
      <c r="Z194" s="139"/>
      <c r="AA194" s="139"/>
      <c r="AB194" s="139"/>
      <c r="AC194" s="139"/>
      <c r="AD194" s="139"/>
      <c r="AE194" s="139"/>
      <c r="AF194" s="139"/>
      <c r="AG194" s="139"/>
      <c r="AH194" s="139"/>
      <c r="AI194" s="139"/>
      <c r="AJ194" s="139"/>
      <c r="AK194" s="139"/>
      <c r="AL194" s="139"/>
      <c r="AM194" s="139"/>
      <c r="AN194" s="139"/>
      <c r="AO194" s="139"/>
      <c r="AP194" s="139"/>
      <c r="AQ194" s="139"/>
      <c r="AR194" s="139"/>
      <c r="AS194" s="139"/>
      <c r="AT194" s="139"/>
      <c r="AU194" s="139"/>
      <c r="AV194" s="139"/>
    </row>
    <row r="195">
      <c r="A195" s="112"/>
      <c r="B195" s="229"/>
      <c r="C195" s="230"/>
      <c r="D195" s="139"/>
      <c r="E195" s="139"/>
      <c r="F195" s="139"/>
      <c r="G195" s="139"/>
      <c r="H195" s="139"/>
      <c r="I195" s="139"/>
      <c r="J195" s="139"/>
      <c r="K195" s="139"/>
      <c r="L195" s="139"/>
      <c r="M195" s="139"/>
      <c r="N195" s="145"/>
      <c r="O195" s="139"/>
      <c r="P195" s="139"/>
      <c r="Q195" s="231"/>
      <c r="R195" s="139"/>
      <c r="S195" s="232"/>
      <c r="T195" s="232"/>
      <c r="U195" s="145"/>
      <c r="V195" s="145"/>
      <c r="W195" s="111"/>
      <c r="X195" s="233"/>
      <c r="Y195" s="226"/>
      <c r="Z195" s="139"/>
      <c r="AA195" s="139"/>
      <c r="AB195" s="139"/>
      <c r="AC195" s="139"/>
      <c r="AD195" s="139"/>
      <c r="AE195" s="139"/>
      <c r="AF195" s="139"/>
      <c r="AG195" s="139"/>
      <c r="AH195" s="139"/>
      <c r="AI195" s="139"/>
      <c r="AJ195" s="139"/>
      <c r="AK195" s="139"/>
      <c r="AL195" s="139"/>
      <c r="AM195" s="139"/>
      <c r="AN195" s="139"/>
      <c r="AO195" s="139"/>
      <c r="AP195" s="139"/>
      <c r="AQ195" s="139"/>
      <c r="AR195" s="139"/>
      <c r="AS195" s="139"/>
      <c r="AT195" s="139"/>
      <c r="AU195" s="139"/>
      <c r="AV195" s="139"/>
    </row>
    <row r="196">
      <c r="A196" s="112"/>
      <c r="B196" s="229"/>
      <c r="C196" s="230"/>
      <c r="D196" s="139"/>
      <c r="E196" s="139"/>
      <c r="F196" s="139"/>
      <c r="G196" s="139"/>
      <c r="H196" s="139"/>
      <c r="I196" s="139"/>
      <c r="J196" s="139"/>
      <c r="K196" s="139"/>
      <c r="L196" s="139"/>
      <c r="M196" s="139"/>
      <c r="N196" s="145"/>
      <c r="O196" s="139"/>
      <c r="P196" s="139"/>
      <c r="Q196" s="231"/>
      <c r="R196" s="139"/>
      <c r="S196" s="232"/>
      <c r="T196" s="232"/>
      <c r="U196" s="145"/>
      <c r="V196" s="145"/>
      <c r="W196" s="111"/>
      <c r="X196" s="233"/>
      <c r="Y196" s="226"/>
      <c r="Z196" s="139"/>
      <c r="AA196" s="139"/>
      <c r="AB196" s="139"/>
      <c r="AC196" s="139"/>
      <c r="AD196" s="139"/>
      <c r="AE196" s="139"/>
      <c r="AF196" s="139"/>
      <c r="AG196" s="139"/>
      <c r="AH196" s="139"/>
      <c r="AI196" s="139"/>
      <c r="AJ196" s="139"/>
      <c r="AK196" s="139"/>
      <c r="AL196" s="139"/>
      <c r="AM196" s="139"/>
      <c r="AN196" s="139"/>
      <c r="AO196" s="139"/>
      <c r="AP196" s="139"/>
      <c r="AQ196" s="139"/>
      <c r="AR196" s="139"/>
      <c r="AS196" s="139"/>
      <c r="AT196" s="139"/>
      <c r="AU196" s="139"/>
      <c r="AV196" s="139"/>
    </row>
    <row r="197">
      <c r="A197" s="112"/>
      <c r="B197" s="229"/>
      <c r="C197" s="230"/>
      <c r="D197" s="139"/>
      <c r="E197" s="139"/>
      <c r="F197" s="139"/>
      <c r="G197" s="139"/>
      <c r="H197" s="139"/>
      <c r="I197" s="139"/>
      <c r="J197" s="139"/>
      <c r="K197" s="139"/>
      <c r="L197" s="139"/>
      <c r="M197" s="139"/>
      <c r="N197" s="145"/>
      <c r="O197" s="139"/>
      <c r="P197" s="139"/>
      <c r="Q197" s="231"/>
      <c r="R197" s="139"/>
      <c r="S197" s="232"/>
      <c r="T197" s="232"/>
      <c r="U197" s="145"/>
      <c r="V197" s="145"/>
      <c r="W197" s="111"/>
      <c r="X197" s="233"/>
      <c r="Y197" s="226"/>
      <c r="Z197" s="139"/>
      <c r="AA197" s="139"/>
      <c r="AB197" s="139"/>
      <c r="AC197" s="139"/>
      <c r="AD197" s="139"/>
      <c r="AE197" s="139"/>
      <c r="AF197" s="139"/>
      <c r="AG197" s="139"/>
      <c r="AH197" s="139"/>
      <c r="AI197" s="139"/>
      <c r="AJ197" s="139"/>
      <c r="AK197" s="139"/>
      <c r="AL197" s="139"/>
      <c r="AM197" s="139"/>
      <c r="AN197" s="139"/>
      <c r="AO197" s="139"/>
      <c r="AP197" s="139"/>
      <c r="AQ197" s="139"/>
      <c r="AR197" s="139"/>
      <c r="AS197" s="139"/>
      <c r="AT197" s="139"/>
      <c r="AU197" s="139"/>
      <c r="AV197" s="139"/>
    </row>
    <row r="198">
      <c r="A198" s="112"/>
      <c r="B198" s="229"/>
      <c r="C198" s="230"/>
      <c r="D198" s="139"/>
      <c r="E198" s="139"/>
      <c r="F198" s="139"/>
      <c r="G198" s="139"/>
      <c r="H198" s="139"/>
      <c r="I198" s="139"/>
      <c r="J198" s="139"/>
      <c r="K198" s="139"/>
      <c r="L198" s="139"/>
      <c r="M198" s="139"/>
      <c r="N198" s="145"/>
      <c r="O198" s="139"/>
      <c r="P198" s="139"/>
      <c r="Q198" s="231"/>
      <c r="R198" s="139"/>
      <c r="S198" s="232"/>
      <c r="T198" s="232"/>
      <c r="U198" s="145"/>
      <c r="V198" s="145"/>
      <c r="W198" s="111"/>
      <c r="X198" s="233"/>
      <c r="Y198" s="226"/>
      <c r="Z198" s="139"/>
      <c r="AA198" s="139"/>
      <c r="AB198" s="139"/>
      <c r="AC198" s="139"/>
      <c r="AD198" s="139"/>
      <c r="AE198" s="139"/>
      <c r="AF198" s="139"/>
      <c r="AG198" s="139"/>
      <c r="AH198" s="139"/>
      <c r="AI198" s="139"/>
      <c r="AJ198" s="139"/>
      <c r="AK198" s="139"/>
      <c r="AL198" s="139"/>
      <c r="AM198" s="139"/>
      <c r="AN198" s="139"/>
      <c r="AO198" s="139"/>
      <c r="AP198" s="139"/>
      <c r="AQ198" s="139"/>
      <c r="AR198" s="139"/>
      <c r="AS198" s="139"/>
      <c r="AT198" s="139"/>
      <c r="AU198" s="139"/>
      <c r="AV198" s="139"/>
    </row>
    <row r="199">
      <c r="A199" s="112"/>
      <c r="B199" s="229"/>
      <c r="C199" s="230"/>
      <c r="D199" s="139"/>
      <c r="E199" s="139"/>
      <c r="F199" s="139"/>
      <c r="G199" s="139"/>
      <c r="H199" s="139"/>
      <c r="I199" s="139"/>
      <c r="J199" s="139"/>
      <c r="K199" s="139"/>
      <c r="L199" s="139"/>
      <c r="M199" s="139"/>
      <c r="N199" s="145"/>
      <c r="O199" s="139"/>
      <c r="P199" s="139"/>
      <c r="Q199" s="231"/>
      <c r="R199" s="139"/>
      <c r="S199" s="232"/>
      <c r="T199" s="232"/>
      <c r="U199" s="145"/>
      <c r="V199" s="145"/>
      <c r="W199" s="111"/>
      <c r="X199" s="233"/>
      <c r="Y199" s="226"/>
      <c r="Z199" s="139"/>
      <c r="AA199" s="139"/>
      <c r="AB199" s="139"/>
      <c r="AC199" s="139"/>
      <c r="AD199" s="139"/>
      <c r="AE199" s="139"/>
      <c r="AF199" s="139"/>
      <c r="AG199" s="139"/>
      <c r="AH199" s="139"/>
      <c r="AI199" s="139"/>
      <c r="AJ199" s="139"/>
      <c r="AK199" s="139"/>
      <c r="AL199" s="139"/>
      <c r="AM199" s="139"/>
      <c r="AN199" s="139"/>
      <c r="AO199" s="139"/>
      <c r="AP199" s="139"/>
      <c r="AQ199" s="139"/>
      <c r="AR199" s="139"/>
      <c r="AS199" s="139"/>
      <c r="AT199" s="139"/>
      <c r="AU199" s="139"/>
      <c r="AV199" s="139"/>
    </row>
    <row r="200">
      <c r="A200" s="112"/>
      <c r="B200" s="229"/>
      <c r="C200" s="230"/>
      <c r="D200" s="139"/>
      <c r="E200" s="139"/>
      <c r="F200" s="139"/>
      <c r="G200" s="139"/>
      <c r="H200" s="139"/>
      <c r="I200" s="139"/>
      <c r="J200" s="139"/>
      <c r="K200" s="139"/>
      <c r="L200" s="139"/>
      <c r="M200" s="139"/>
      <c r="N200" s="145"/>
      <c r="O200" s="139"/>
      <c r="P200" s="139"/>
      <c r="Q200" s="231"/>
      <c r="R200" s="139"/>
      <c r="S200" s="232"/>
      <c r="T200" s="232"/>
      <c r="U200" s="145"/>
      <c r="V200" s="145"/>
      <c r="W200" s="111"/>
      <c r="X200" s="233"/>
      <c r="Y200" s="226"/>
      <c r="Z200" s="139"/>
      <c r="AA200" s="139"/>
      <c r="AB200" s="139"/>
      <c r="AC200" s="139"/>
      <c r="AD200" s="139"/>
      <c r="AE200" s="139"/>
      <c r="AF200" s="139"/>
      <c r="AG200" s="139"/>
      <c r="AH200" s="139"/>
      <c r="AI200" s="139"/>
      <c r="AJ200" s="139"/>
      <c r="AK200" s="139"/>
      <c r="AL200" s="139"/>
      <c r="AM200" s="139"/>
      <c r="AN200" s="139"/>
      <c r="AO200" s="139"/>
      <c r="AP200" s="139"/>
      <c r="AQ200" s="139"/>
      <c r="AR200" s="139"/>
      <c r="AS200" s="139"/>
      <c r="AT200" s="139"/>
      <c r="AU200" s="139"/>
      <c r="AV200" s="139"/>
    </row>
    <row r="201">
      <c r="A201" s="112"/>
      <c r="B201" s="229"/>
      <c r="C201" s="230"/>
      <c r="D201" s="139"/>
      <c r="E201" s="139"/>
      <c r="F201" s="139"/>
      <c r="G201" s="139"/>
      <c r="H201" s="139"/>
      <c r="I201" s="139"/>
      <c r="J201" s="139"/>
      <c r="K201" s="139"/>
      <c r="L201" s="139"/>
      <c r="M201" s="139"/>
      <c r="N201" s="145"/>
      <c r="O201" s="139"/>
      <c r="P201" s="139"/>
      <c r="Q201" s="231"/>
      <c r="R201" s="139"/>
      <c r="S201" s="232"/>
      <c r="T201" s="232"/>
      <c r="U201" s="145"/>
      <c r="V201" s="145"/>
      <c r="W201" s="111"/>
      <c r="X201" s="233"/>
      <c r="Y201" s="226"/>
      <c r="Z201" s="139"/>
      <c r="AA201" s="139"/>
      <c r="AB201" s="139"/>
      <c r="AC201" s="139"/>
      <c r="AD201" s="139"/>
      <c r="AE201" s="139"/>
      <c r="AF201" s="139"/>
      <c r="AG201" s="139"/>
      <c r="AH201" s="139"/>
      <c r="AI201" s="139"/>
      <c r="AJ201" s="139"/>
      <c r="AK201" s="139"/>
      <c r="AL201" s="139"/>
      <c r="AM201" s="139"/>
      <c r="AN201" s="139"/>
      <c r="AO201" s="139"/>
      <c r="AP201" s="139"/>
      <c r="AQ201" s="139"/>
      <c r="AR201" s="139"/>
      <c r="AS201" s="139"/>
      <c r="AT201" s="139"/>
      <c r="AU201" s="139"/>
      <c r="AV201" s="139"/>
    </row>
    <row r="202">
      <c r="A202" s="112"/>
      <c r="B202" s="229"/>
      <c r="C202" s="230"/>
      <c r="D202" s="139"/>
      <c r="E202" s="139"/>
      <c r="F202" s="139"/>
      <c r="G202" s="139"/>
      <c r="H202" s="139"/>
      <c r="I202" s="139"/>
      <c r="J202" s="139"/>
      <c r="K202" s="139"/>
      <c r="L202" s="139"/>
      <c r="M202" s="139"/>
      <c r="N202" s="145"/>
      <c r="O202" s="139"/>
      <c r="P202" s="139"/>
      <c r="Q202" s="231"/>
      <c r="R202" s="139"/>
      <c r="S202" s="232"/>
      <c r="T202" s="232"/>
      <c r="U202" s="145"/>
      <c r="V202" s="145"/>
      <c r="W202" s="111"/>
      <c r="X202" s="233"/>
      <c r="Y202" s="226"/>
      <c r="Z202" s="139"/>
      <c r="AA202" s="139"/>
      <c r="AB202" s="139"/>
      <c r="AC202" s="139"/>
      <c r="AD202" s="139"/>
      <c r="AE202" s="139"/>
      <c r="AF202" s="139"/>
      <c r="AG202" s="139"/>
      <c r="AH202" s="139"/>
      <c r="AI202" s="139"/>
      <c r="AJ202" s="139"/>
      <c r="AK202" s="139"/>
      <c r="AL202" s="139"/>
      <c r="AM202" s="139"/>
      <c r="AN202" s="139"/>
      <c r="AO202" s="139"/>
      <c r="AP202" s="139"/>
      <c r="AQ202" s="139"/>
      <c r="AR202" s="139"/>
      <c r="AS202" s="139"/>
      <c r="AT202" s="139"/>
      <c r="AU202" s="139"/>
      <c r="AV202" s="139"/>
    </row>
    <row r="203">
      <c r="A203" s="112"/>
      <c r="B203" s="229"/>
      <c r="C203" s="230"/>
      <c r="D203" s="139"/>
      <c r="E203" s="139"/>
      <c r="F203" s="139"/>
      <c r="G203" s="139"/>
      <c r="H203" s="139"/>
      <c r="I203" s="139"/>
      <c r="J203" s="139"/>
      <c r="K203" s="139"/>
      <c r="L203" s="139"/>
      <c r="M203" s="139"/>
      <c r="N203" s="145"/>
      <c r="O203" s="139"/>
      <c r="P203" s="139"/>
      <c r="Q203" s="231"/>
      <c r="R203" s="139"/>
      <c r="S203" s="232"/>
      <c r="T203" s="232"/>
      <c r="U203" s="145"/>
      <c r="V203" s="145"/>
      <c r="W203" s="111"/>
      <c r="X203" s="233"/>
      <c r="Y203" s="226"/>
      <c r="Z203" s="139"/>
      <c r="AA203" s="139"/>
      <c r="AB203" s="139"/>
      <c r="AC203" s="139"/>
      <c r="AD203" s="139"/>
      <c r="AE203" s="139"/>
      <c r="AF203" s="139"/>
      <c r="AG203" s="139"/>
      <c r="AH203" s="139"/>
      <c r="AI203" s="139"/>
      <c r="AJ203" s="139"/>
      <c r="AK203" s="139"/>
      <c r="AL203" s="139"/>
      <c r="AM203" s="139"/>
      <c r="AN203" s="139"/>
      <c r="AO203" s="139"/>
      <c r="AP203" s="139"/>
      <c r="AQ203" s="139"/>
      <c r="AR203" s="139"/>
      <c r="AS203" s="139"/>
      <c r="AT203" s="139"/>
      <c r="AU203" s="139"/>
      <c r="AV203" s="139"/>
    </row>
    <row r="204">
      <c r="A204" s="112"/>
      <c r="B204" s="229"/>
      <c r="C204" s="230"/>
      <c r="D204" s="139"/>
      <c r="E204" s="139"/>
      <c r="F204" s="139"/>
      <c r="G204" s="139"/>
      <c r="H204" s="139"/>
      <c r="I204" s="139"/>
      <c r="J204" s="139"/>
      <c r="K204" s="139"/>
      <c r="L204" s="139"/>
      <c r="M204" s="139"/>
      <c r="N204" s="145"/>
      <c r="O204" s="139"/>
      <c r="P204" s="139"/>
      <c r="Q204" s="231"/>
      <c r="R204" s="139"/>
      <c r="S204" s="232"/>
      <c r="T204" s="232"/>
      <c r="U204" s="145"/>
      <c r="V204" s="145"/>
      <c r="W204" s="111"/>
      <c r="X204" s="233"/>
      <c r="Y204" s="226"/>
      <c r="Z204" s="139"/>
      <c r="AA204" s="139"/>
      <c r="AB204" s="139"/>
      <c r="AC204" s="139"/>
      <c r="AD204" s="139"/>
      <c r="AE204" s="139"/>
      <c r="AF204" s="139"/>
      <c r="AG204" s="139"/>
      <c r="AH204" s="139"/>
      <c r="AI204" s="139"/>
      <c r="AJ204" s="139"/>
      <c r="AK204" s="139"/>
      <c r="AL204" s="139"/>
      <c r="AM204" s="139"/>
      <c r="AN204" s="139"/>
      <c r="AO204" s="139"/>
      <c r="AP204" s="139"/>
      <c r="AQ204" s="139"/>
      <c r="AR204" s="139"/>
      <c r="AS204" s="139"/>
      <c r="AT204" s="139"/>
      <c r="AU204" s="139"/>
      <c r="AV204" s="139"/>
    </row>
    <row r="205">
      <c r="A205" s="112"/>
      <c r="B205" s="229"/>
      <c r="C205" s="230"/>
      <c r="D205" s="139"/>
      <c r="E205" s="139"/>
      <c r="F205" s="139"/>
      <c r="G205" s="139"/>
      <c r="H205" s="139"/>
      <c r="I205" s="139"/>
      <c r="J205" s="139"/>
      <c r="K205" s="139"/>
      <c r="L205" s="139"/>
      <c r="M205" s="139"/>
      <c r="N205" s="145"/>
      <c r="O205" s="139"/>
      <c r="P205" s="139"/>
      <c r="Q205" s="231"/>
      <c r="R205" s="139"/>
      <c r="S205" s="232"/>
      <c r="T205" s="232"/>
      <c r="U205" s="145"/>
      <c r="V205" s="145"/>
      <c r="W205" s="111"/>
      <c r="X205" s="233"/>
      <c r="Y205" s="226"/>
      <c r="Z205" s="139"/>
      <c r="AA205" s="139"/>
      <c r="AB205" s="139"/>
      <c r="AC205" s="139"/>
      <c r="AD205" s="139"/>
      <c r="AE205" s="139"/>
      <c r="AF205" s="139"/>
      <c r="AG205" s="139"/>
      <c r="AH205" s="139"/>
      <c r="AI205" s="139"/>
      <c r="AJ205" s="139"/>
      <c r="AK205" s="139"/>
      <c r="AL205" s="139"/>
      <c r="AM205" s="139"/>
      <c r="AN205" s="139"/>
      <c r="AO205" s="139"/>
      <c r="AP205" s="139"/>
      <c r="AQ205" s="139"/>
      <c r="AR205" s="139"/>
      <c r="AS205" s="139"/>
      <c r="AT205" s="139"/>
      <c r="AU205" s="139"/>
      <c r="AV205" s="139"/>
    </row>
    <row r="206">
      <c r="A206" s="112"/>
      <c r="B206" s="229"/>
      <c r="C206" s="230"/>
      <c r="D206" s="139"/>
      <c r="E206" s="139"/>
      <c r="F206" s="139"/>
      <c r="G206" s="139"/>
      <c r="H206" s="139"/>
      <c r="I206" s="139"/>
      <c r="J206" s="139"/>
      <c r="K206" s="139"/>
      <c r="L206" s="139"/>
      <c r="M206" s="139"/>
      <c r="N206" s="145"/>
      <c r="O206" s="139"/>
      <c r="P206" s="139"/>
      <c r="Q206" s="231"/>
      <c r="R206" s="139"/>
      <c r="S206" s="232"/>
      <c r="T206" s="232"/>
      <c r="U206" s="145"/>
      <c r="V206" s="145"/>
      <c r="W206" s="111"/>
      <c r="X206" s="233"/>
      <c r="Y206" s="226"/>
      <c r="Z206" s="139"/>
      <c r="AA206" s="139"/>
      <c r="AB206" s="139"/>
      <c r="AC206" s="139"/>
      <c r="AD206" s="139"/>
      <c r="AE206" s="139"/>
      <c r="AF206" s="139"/>
      <c r="AG206" s="139"/>
      <c r="AH206" s="139"/>
      <c r="AI206" s="139"/>
      <c r="AJ206" s="139"/>
      <c r="AK206" s="139"/>
      <c r="AL206" s="139"/>
      <c r="AM206" s="139"/>
      <c r="AN206" s="139"/>
      <c r="AO206" s="139"/>
      <c r="AP206" s="139"/>
      <c r="AQ206" s="139"/>
      <c r="AR206" s="139"/>
      <c r="AS206" s="139"/>
      <c r="AT206" s="139"/>
      <c r="AU206" s="139"/>
      <c r="AV206" s="139"/>
    </row>
    <row r="207">
      <c r="A207" s="112"/>
      <c r="B207" s="229"/>
      <c r="C207" s="230"/>
      <c r="D207" s="139"/>
      <c r="E207" s="139"/>
      <c r="F207" s="139"/>
      <c r="G207" s="139"/>
      <c r="H207" s="139"/>
      <c r="I207" s="139"/>
      <c r="J207" s="139"/>
      <c r="K207" s="139"/>
      <c r="L207" s="139"/>
      <c r="M207" s="139"/>
      <c r="N207" s="145"/>
      <c r="O207" s="139"/>
      <c r="P207" s="139"/>
      <c r="Q207" s="231"/>
      <c r="R207" s="139"/>
      <c r="S207" s="232"/>
      <c r="T207" s="232"/>
      <c r="U207" s="145"/>
      <c r="V207" s="145"/>
      <c r="W207" s="111"/>
      <c r="X207" s="233"/>
      <c r="Y207" s="226"/>
      <c r="Z207" s="139"/>
      <c r="AA207" s="139"/>
      <c r="AB207" s="139"/>
      <c r="AC207" s="139"/>
      <c r="AD207" s="139"/>
      <c r="AE207" s="139"/>
      <c r="AF207" s="139"/>
      <c r="AG207" s="139"/>
      <c r="AH207" s="139"/>
      <c r="AI207" s="139"/>
      <c r="AJ207" s="139"/>
      <c r="AK207" s="139"/>
      <c r="AL207" s="139"/>
      <c r="AM207" s="139"/>
      <c r="AN207" s="139"/>
      <c r="AO207" s="139"/>
      <c r="AP207" s="139"/>
      <c r="AQ207" s="139"/>
      <c r="AR207" s="139"/>
      <c r="AS207" s="139"/>
      <c r="AT207" s="139"/>
      <c r="AU207" s="139"/>
      <c r="AV207" s="139"/>
    </row>
    <row r="208">
      <c r="A208" s="112"/>
      <c r="B208" s="229"/>
      <c r="C208" s="230"/>
      <c r="D208" s="139"/>
      <c r="E208" s="139"/>
      <c r="F208" s="139"/>
      <c r="G208" s="139"/>
      <c r="H208" s="139"/>
      <c r="I208" s="139"/>
      <c r="J208" s="139"/>
      <c r="K208" s="139"/>
      <c r="L208" s="139"/>
      <c r="M208" s="139"/>
      <c r="N208" s="145"/>
      <c r="O208" s="139"/>
      <c r="P208" s="139"/>
      <c r="Q208" s="231"/>
      <c r="R208" s="139"/>
      <c r="S208" s="232"/>
      <c r="T208" s="232"/>
      <c r="U208" s="145"/>
      <c r="V208" s="145"/>
      <c r="W208" s="111"/>
      <c r="X208" s="233"/>
      <c r="Y208" s="226"/>
      <c r="Z208" s="139"/>
      <c r="AA208" s="139"/>
      <c r="AB208" s="139"/>
      <c r="AC208" s="139"/>
      <c r="AD208" s="139"/>
      <c r="AE208" s="139"/>
      <c r="AF208" s="139"/>
      <c r="AG208" s="139"/>
      <c r="AH208" s="139"/>
      <c r="AI208" s="139"/>
      <c r="AJ208" s="139"/>
      <c r="AK208" s="139"/>
      <c r="AL208" s="139"/>
      <c r="AM208" s="139"/>
      <c r="AN208" s="139"/>
      <c r="AO208" s="139"/>
      <c r="AP208" s="139"/>
      <c r="AQ208" s="139"/>
      <c r="AR208" s="139"/>
      <c r="AS208" s="139"/>
      <c r="AT208" s="139"/>
      <c r="AU208" s="139"/>
      <c r="AV208" s="139"/>
    </row>
    <row r="209">
      <c r="A209" s="112"/>
      <c r="B209" s="229"/>
      <c r="C209" s="230"/>
      <c r="D209" s="139"/>
      <c r="E209" s="139"/>
      <c r="F209" s="139"/>
      <c r="G209" s="139"/>
      <c r="H209" s="139"/>
      <c r="I209" s="139"/>
      <c r="J209" s="139"/>
      <c r="K209" s="139"/>
      <c r="L209" s="139"/>
      <c r="M209" s="139"/>
      <c r="N209" s="145"/>
      <c r="O209" s="139"/>
      <c r="P209" s="139"/>
      <c r="Q209" s="231"/>
      <c r="R209" s="139"/>
      <c r="S209" s="232"/>
      <c r="T209" s="232"/>
      <c r="U209" s="145"/>
      <c r="V209" s="145"/>
      <c r="W209" s="111"/>
      <c r="X209" s="233"/>
      <c r="Y209" s="226"/>
      <c r="Z209" s="139"/>
      <c r="AA209" s="139"/>
      <c r="AB209" s="139"/>
      <c r="AC209" s="139"/>
      <c r="AD209" s="139"/>
      <c r="AE209" s="139"/>
      <c r="AF209" s="139"/>
      <c r="AG209" s="139"/>
      <c r="AH209" s="139"/>
      <c r="AI209" s="139"/>
      <c r="AJ209" s="139"/>
      <c r="AK209" s="139"/>
      <c r="AL209" s="139"/>
      <c r="AM209" s="139"/>
      <c r="AN209" s="139"/>
      <c r="AO209" s="139"/>
      <c r="AP209" s="139"/>
      <c r="AQ209" s="139"/>
      <c r="AR209" s="139"/>
      <c r="AS209" s="139"/>
      <c r="AT209" s="139"/>
      <c r="AU209" s="139"/>
      <c r="AV209" s="139"/>
    </row>
    <row r="210">
      <c r="A210" s="112"/>
      <c r="B210" s="229"/>
      <c r="C210" s="230"/>
      <c r="D210" s="139"/>
      <c r="E210" s="139"/>
      <c r="F210" s="139"/>
      <c r="G210" s="139"/>
      <c r="H210" s="139"/>
      <c r="I210" s="139"/>
      <c r="J210" s="139"/>
      <c r="K210" s="139"/>
      <c r="L210" s="139"/>
      <c r="M210" s="139"/>
      <c r="N210" s="145"/>
      <c r="O210" s="139"/>
      <c r="P210" s="139"/>
      <c r="Q210" s="231"/>
      <c r="R210" s="139"/>
      <c r="S210" s="232"/>
      <c r="T210" s="232"/>
      <c r="U210" s="145"/>
      <c r="V210" s="145"/>
      <c r="W210" s="111"/>
      <c r="X210" s="233"/>
      <c r="Y210" s="226"/>
      <c r="Z210" s="139"/>
      <c r="AA210" s="139"/>
      <c r="AB210" s="139"/>
      <c r="AC210" s="139"/>
      <c r="AD210" s="139"/>
      <c r="AE210" s="139"/>
      <c r="AF210" s="139"/>
      <c r="AG210" s="139"/>
      <c r="AH210" s="139"/>
      <c r="AI210" s="139"/>
      <c r="AJ210" s="139"/>
      <c r="AK210" s="139"/>
      <c r="AL210" s="139"/>
      <c r="AM210" s="139"/>
      <c r="AN210" s="139"/>
      <c r="AO210" s="139"/>
      <c r="AP210" s="139"/>
      <c r="AQ210" s="139"/>
      <c r="AR210" s="139"/>
      <c r="AS210" s="139"/>
      <c r="AT210" s="139"/>
      <c r="AU210" s="139"/>
      <c r="AV210" s="139"/>
    </row>
    <row r="211">
      <c r="A211" s="112"/>
      <c r="B211" s="229"/>
      <c r="C211" s="230"/>
      <c r="D211" s="139"/>
      <c r="E211" s="139"/>
      <c r="F211" s="139"/>
      <c r="G211" s="139"/>
      <c r="H211" s="139"/>
      <c r="I211" s="139"/>
      <c r="J211" s="139"/>
      <c r="K211" s="139"/>
      <c r="L211" s="139"/>
      <c r="M211" s="139"/>
      <c r="N211" s="145"/>
      <c r="O211" s="139"/>
      <c r="P211" s="139"/>
      <c r="Q211" s="231"/>
      <c r="R211" s="139"/>
      <c r="S211" s="232"/>
      <c r="T211" s="232"/>
      <c r="U211" s="145"/>
      <c r="V211" s="145"/>
      <c r="W211" s="111"/>
      <c r="X211" s="233"/>
      <c r="Y211" s="226"/>
      <c r="Z211" s="139"/>
      <c r="AA211" s="139"/>
      <c r="AB211" s="139"/>
      <c r="AC211" s="139"/>
      <c r="AD211" s="139"/>
      <c r="AE211" s="139"/>
      <c r="AF211" s="139"/>
      <c r="AG211" s="139"/>
      <c r="AH211" s="139"/>
      <c r="AI211" s="139"/>
      <c r="AJ211" s="139"/>
      <c r="AK211" s="139"/>
      <c r="AL211" s="139"/>
      <c r="AM211" s="139"/>
      <c r="AN211" s="139"/>
      <c r="AO211" s="139"/>
      <c r="AP211" s="139"/>
      <c r="AQ211" s="139"/>
      <c r="AR211" s="139"/>
      <c r="AS211" s="139"/>
      <c r="AT211" s="139"/>
      <c r="AU211" s="139"/>
      <c r="AV211" s="139"/>
    </row>
    <row r="212">
      <c r="A212" s="112"/>
      <c r="B212" s="229"/>
      <c r="C212" s="230"/>
      <c r="D212" s="139"/>
      <c r="E212" s="139"/>
      <c r="F212" s="139"/>
      <c r="G212" s="139"/>
      <c r="H212" s="139"/>
      <c r="I212" s="139"/>
      <c r="J212" s="139"/>
      <c r="K212" s="139"/>
      <c r="L212" s="139"/>
      <c r="M212" s="139"/>
      <c r="N212" s="145"/>
      <c r="O212" s="139"/>
      <c r="P212" s="139"/>
      <c r="Q212" s="231"/>
      <c r="R212" s="139"/>
      <c r="S212" s="232"/>
      <c r="T212" s="232"/>
      <c r="U212" s="145"/>
      <c r="V212" s="145"/>
      <c r="W212" s="111"/>
      <c r="X212" s="233"/>
      <c r="Y212" s="226"/>
      <c r="Z212" s="139"/>
      <c r="AA212" s="139"/>
      <c r="AB212" s="139"/>
      <c r="AC212" s="139"/>
      <c r="AD212" s="139"/>
      <c r="AE212" s="139"/>
      <c r="AF212" s="139"/>
      <c r="AG212" s="139"/>
      <c r="AH212" s="139"/>
      <c r="AI212" s="139"/>
      <c r="AJ212" s="139"/>
      <c r="AK212" s="139"/>
      <c r="AL212" s="139"/>
      <c r="AM212" s="139"/>
      <c r="AN212" s="139"/>
      <c r="AO212" s="139"/>
      <c r="AP212" s="139"/>
      <c r="AQ212" s="139"/>
      <c r="AR212" s="139"/>
      <c r="AS212" s="139"/>
      <c r="AT212" s="139"/>
      <c r="AU212" s="139"/>
      <c r="AV212" s="139"/>
    </row>
    <row r="213">
      <c r="A213" s="112"/>
      <c r="B213" s="229"/>
      <c r="C213" s="230"/>
      <c r="D213" s="139"/>
      <c r="E213" s="139"/>
      <c r="F213" s="139"/>
      <c r="G213" s="139"/>
      <c r="H213" s="139"/>
      <c r="I213" s="139"/>
      <c r="J213" s="139"/>
      <c r="K213" s="139"/>
      <c r="L213" s="139"/>
      <c r="M213" s="139"/>
      <c r="N213" s="145"/>
      <c r="O213" s="139"/>
      <c r="P213" s="139"/>
      <c r="Q213" s="231"/>
      <c r="R213" s="139"/>
      <c r="S213" s="232"/>
      <c r="T213" s="232"/>
      <c r="U213" s="145"/>
      <c r="V213" s="145"/>
      <c r="W213" s="111"/>
      <c r="X213" s="233"/>
      <c r="Y213" s="226"/>
      <c r="Z213" s="139"/>
      <c r="AA213" s="139"/>
      <c r="AB213" s="139"/>
      <c r="AC213" s="139"/>
      <c r="AD213" s="139"/>
      <c r="AE213" s="139"/>
      <c r="AF213" s="139"/>
      <c r="AG213" s="139"/>
      <c r="AH213" s="139"/>
      <c r="AI213" s="139"/>
      <c r="AJ213" s="139"/>
      <c r="AK213" s="139"/>
      <c r="AL213" s="139"/>
      <c r="AM213" s="139"/>
      <c r="AN213" s="139"/>
      <c r="AO213" s="139"/>
      <c r="AP213" s="139"/>
      <c r="AQ213" s="139"/>
      <c r="AR213" s="139"/>
      <c r="AS213" s="139"/>
      <c r="AT213" s="139"/>
      <c r="AU213" s="139"/>
      <c r="AV213" s="139"/>
    </row>
    <row r="214">
      <c r="A214" s="112"/>
      <c r="B214" s="229"/>
      <c r="C214" s="230"/>
      <c r="D214" s="139"/>
      <c r="E214" s="139"/>
      <c r="F214" s="139"/>
      <c r="G214" s="139"/>
      <c r="H214" s="139"/>
      <c r="I214" s="139"/>
      <c r="J214" s="139"/>
      <c r="K214" s="139"/>
      <c r="L214" s="139"/>
      <c r="M214" s="139"/>
      <c r="N214" s="145"/>
      <c r="O214" s="139"/>
      <c r="P214" s="139"/>
      <c r="Q214" s="231"/>
      <c r="R214" s="139"/>
      <c r="S214" s="232"/>
      <c r="T214" s="232"/>
      <c r="U214" s="145"/>
      <c r="V214" s="145"/>
      <c r="W214" s="111"/>
      <c r="X214" s="233"/>
      <c r="Y214" s="226"/>
      <c r="Z214" s="139"/>
      <c r="AA214" s="139"/>
      <c r="AB214" s="139"/>
      <c r="AC214" s="139"/>
      <c r="AD214" s="139"/>
      <c r="AE214" s="139"/>
      <c r="AF214" s="139"/>
      <c r="AG214" s="139"/>
      <c r="AH214" s="139"/>
      <c r="AI214" s="139"/>
      <c r="AJ214" s="139"/>
      <c r="AK214" s="139"/>
      <c r="AL214" s="139"/>
      <c r="AM214" s="139"/>
      <c r="AN214" s="139"/>
      <c r="AO214" s="139"/>
      <c r="AP214" s="139"/>
      <c r="AQ214" s="139"/>
      <c r="AR214" s="139"/>
      <c r="AS214" s="139"/>
      <c r="AT214" s="139"/>
      <c r="AU214" s="139"/>
      <c r="AV214" s="139"/>
    </row>
    <row r="215">
      <c r="A215" s="112"/>
      <c r="B215" s="229"/>
      <c r="C215" s="230"/>
      <c r="D215" s="139"/>
      <c r="E215" s="139"/>
      <c r="F215" s="139"/>
      <c r="G215" s="139"/>
      <c r="H215" s="139"/>
      <c r="I215" s="139"/>
      <c r="J215" s="139"/>
      <c r="K215" s="139"/>
      <c r="L215" s="139"/>
      <c r="M215" s="139"/>
      <c r="N215" s="145"/>
      <c r="O215" s="139"/>
      <c r="P215" s="139"/>
      <c r="Q215" s="231"/>
      <c r="R215" s="139"/>
      <c r="S215" s="232"/>
      <c r="T215" s="232"/>
      <c r="U215" s="145"/>
      <c r="V215" s="145"/>
      <c r="W215" s="111"/>
      <c r="X215" s="233"/>
      <c r="Y215" s="226"/>
      <c r="Z215" s="139"/>
      <c r="AA215" s="139"/>
      <c r="AB215" s="139"/>
      <c r="AC215" s="139"/>
      <c r="AD215" s="139"/>
      <c r="AE215" s="139"/>
      <c r="AF215" s="139"/>
      <c r="AG215" s="139"/>
      <c r="AH215" s="139"/>
      <c r="AI215" s="139"/>
      <c r="AJ215" s="139"/>
      <c r="AK215" s="139"/>
      <c r="AL215" s="139"/>
      <c r="AM215" s="139"/>
      <c r="AN215" s="139"/>
      <c r="AO215" s="139"/>
      <c r="AP215" s="139"/>
      <c r="AQ215" s="139"/>
      <c r="AR215" s="139"/>
      <c r="AS215" s="139"/>
      <c r="AT215" s="139"/>
      <c r="AU215" s="139"/>
      <c r="AV215" s="139"/>
    </row>
    <row r="216">
      <c r="A216" s="112"/>
      <c r="B216" s="229"/>
      <c r="C216" s="230"/>
      <c r="D216" s="139"/>
      <c r="E216" s="139"/>
      <c r="F216" s="139"/>
      <c r="G216" s="139"/>
      <c r="H216" s="139"/>
      <c r="I216" s="139"/>
      <c r="J216" s="139"/>
      <c r="K216" s="139"/>
      <c r="L216" s="139"/>
      <c r="M216" s="139"/>
      <c r="N216" s="145"/>
      <c r="O216" s="139"/>
      <c r="P216" s="139"/>
      <c r="Q216" s="231"/>
      <c r="R216" s="139"/>
      <c r="S216" s="232"/>
      <c r="T216" s="232"/>
      <c r="U216" s="145"/>
      <c r="V216" s="145"/>
      <c r="W216" s="111"/>
      <c r="X216" s="233"/>
      <c r="Y216" s="226"/>
      <c r="Z216" s="139"/>
      <c r="AA216" s="139"/>
      <c r="AB216" s="139"/>
      <c r="AC216" s="139"/>
      <c r="AD216" s="139"/>
      <c r="AE216" s="139"/>
      <c r="AF216" s="139"/>
      <c r="AG216" s="139"/>
      <c r="AH216" s="139"/>
      <c r="AI216" s="139"/>
      <c r="AJ216" s="139"/>
      <c r="AK216" s="139"/>
      <c r="AL216" s="139"/>
      <c r="AM216" s="139"/>
      <c r="AN216" s="139"/>
      <c r="AO216" s="139"/>
      <c r="AP216" s="139"/>
      <c r="AQ216" s="139"/>
      <c r="AR216" s="139"/>
      <c r="AS216" s="139"/>
      <c r="AT216" s="139"/>
      <c r="AU216" s="139"/>
      <c r="AV216" s="139"/>
    </row>
    <row r="217">
      <c r="A217" s="112"/>
      <c r="B217" s="229"/>
      <c r="C217" s="230"/>
      <c r="D217" s="139"/>
      <c r="E217" s="139"/>
      <c r="F217" s="139"/>
      <c r="G217" s="139"/>
      <c r="H217" s="139"/>
      <c r="I217" s="139"/>
      <c r="J217" s="139"/>
      <c r="K217" s="139"/>
      <c r="L217" s="139"/>
      <c r="M217" s="139"/>
      <c r="N217" s="145"/>
      <c r="O217" s="139"/>
      <c r="P217" s="139"/>
      <c r="Q217" s="231"/>
      <c r="R217" s="139"/>
      <c r="S217" s="232"/>
      <c r="T217" s="232"/>
      <c r="U217" s="145"/>
      <c r="V217" s="145"/>
      <c r="W217" s="111"/>
      <c r="X217" s="233"/>
      <c r="Y217" s="226"/>
      <c r="Z217" s="139"/>
      <c r="AA217" s="139"/>
      <c r="AB217" s="139"/>
      <c r="AC217" s="139"/>
      <c r="AD217" s="139"/>
      <c r="AE217" s="139"/>
      <c r="AF217" s="139"/>
      <c r="AG217" s="139"/>
      <c r="AH217" s="139"/>
      <c r="AI217" s="139"/>
      <c r="AJ217" s="139"/>
      <c r="AK217" s="139"/>
      <c r="AL217" s="139"/>
      <c r="AM217" s="139"/>
      <c r="AN217" s="139"/>
      <c r="AO217" s="139"/>
      <c r="AP217" s="139"/>
      <c r="AQ217" s="139"/>
      <c r="AR217" s="139"/>
      <c r="AS217" s="139"/>
      <c r="AT217" s="139"/>
      <c r="AU217" s="139"/>
      <c r="AV217" s="139"/>
    </row>
    <row r="218">
      <c r="A218" s="112"/>
      <c r="B218" s="229"/>
      <c r="C218" s="230"/>
      <c r="D218" s="139"/>
      <c r="E218" s="139"/>
      <c r="F218" s="139"/>
      <c r="G218" s="139"/>
      <c r="H218" s="139"/>
      <c r="I218" s="139"/>
      <c r="J218" s="139"/>
      <c r="K218" s="139"/>
      <c r="L218" s="139"/>
      <c r="M218" s="139"/>
      <c r="N218" s="145"/>
      <c r="O218" s="139"/>
      <c r="P218" s="139"/>
      <c r="Q218" s="231"/>
      <c r="R218" s="139"/>
      <c r="S218" s="232"/>
      <c r="T218" s="232"/>
      <c r="U218" s="145"/>
      <c r="V218" s="145"/>
      <c r="W218" s="111"/>
      <c r="X218" s="233"/>
      <c r="Y218" s="226"/>
      <c r="Z218" s="139"/>
      <c r="AA218" s="139"/>
      <c r="AB218" s="139"/>
      <c r="AC218" s="139"/>
      <c r="AD218" s="139"/>
      <c r="AE218" s="139"/>
      <c r="AF218" s="139"/>
      <c r="AG218" s="139"/>
      <c r="AH218" s="139"/>
      <c r="AI218" s="139"/>
      <c r="AJ218" s="139"/>
      <c r="AK218" s="139"/>
      <c r="AL218" s="139"/>
      <c r="AM218" s="139"/>
      <c r="AN218" s="139"/>
      <c r="AO218" s="139"/>
      <c r="AP218" s="139"/>
      <c r="AQ218" s="139"/>
      <c r="AR218" s="139"/>
      <c r="AS218" s="139"/>
      <c r="AT218" s="139"/>
      <c r="AU218" s="139"/>
      <c r="AV218" s="139"/>
    </row>
    <row r="219">
      <c r="A219" s="112"/>
      <c r="B219" s="229"/>
      <c r="C219" s="230"/>
      <c r="D219" s="139"/>
      <c r="E219" s="139"/>
      <c r="F219" s="139"/>
      <c r="G219" s="139"/>
      <c r="H219" s="139"/>
      <c r="I219" s="139"/>
      <c r="J219" s="139"/>
      <c r="K219" s="139"/>
      <c r="L219" s="139"/>
      <c r="M219" s="139"/>
      <c r="N219" s="145"/>
      <c r="O219" s="139"/>
      <c r="P219" s="139"/>
      <c r="Q219" s="231"/>
      <c r="R219" s="139"/>
      <c r="S219" s="232"/>
      <c r="T219" s="232"/>
      <c r="U219" s="145"/>
      <c r="V219" s="145"/>
      <c r="W219" s="111"/>
      <c r="X219" s="233"/>
      <c r="Y219" s="226"/>
      <c r="Z219" s="139"/>
      <c r="AA219" s="139"/>
      <c r="AB219" s="139"/>
      <c r="AC219" s="139"/>
      <c r="AD219" s="139"/>
      <c r="AE219" s="139"/>
      <c r="AF219" s="139"/>
      <c r="AG219" s="139"/>
      <c r="AH219" s="139"/>
      <c r="AI219" s="139"/>
      <c r="AJ219" s="139"/>
      <c r="AK219" s="139"/>
      <c r="AL219" s="139"/>
      <c r="AM219" s="139"/>
      <c r="AN219" s="139"/>
      <c r="AO219" s="139"/>
      <c r="AP219" s="139"/>
      <c r="AQ219" s="139"/>
      <c r="AR219" s="139"/>
      <c r="AS219" s="139"/>
      <c r="AT219" s="139"/>
      <c r="AU219" s="139"/>
      <c r="AV219" s="139"/>
    </row>
    <row r="220">
      <c r="A220" s="112"/>
      <c r="B220" s="229"/>
      <c r="C220" s="230"/>
      <c r="D220" s="139"/>
      <c r="E220" s="139"/>
      <c r="F220" s="139"/>
      <c r="G220" s="139"/>
      <c r="H220" s="139"/>
      <c r="I220" s="139"/>
      <c r="J220" s="139"/>
      <c r="K220" s="139"/>
      <c r="L220" s="139"/>
      <c r="M220" s="139"/>
      <c r="N220" s="145"/>
      <c r="O220" s="139"/>
      <c r="P220" s="139"/>
      <c r="Q220" s="231"/>
      <c r="R220" s="139"/>
      <c r="S220" s="232"/>
      <c r="T220" s="232"/>
      <c r="U220" s="145"/>
      <c r="V220" s="145"/>
      <c r="W220" s="111"/>
      <c r="X220" s="233"/>
      <c r="Y220" s="226"/>
      <c r="Z220" s="139"/>
      <c r="AA220" s="139"/>
      <c r="AB220" s="139"/>
      <c r="AC220" s="139"/>
      <c r="AD220" s="139"/>
      <c r="AE220" s="139"/>
      <c r="AF220" s="139"/>
      <c r="AG220" s="139"/>
      <c r="AH220" s="139"/>
      <c r="AI220" s="139"/>
      <c r="AJ220" s="139"/>
      <c r="AK220" s="139"/>
      <c r="AL220" s="139"/>
      <c r="AM220" s="139"/>
      <c r="AN220" s="139"/>
      <c r="AO220" s="139"/>
      <c r="AP220" s="139"/>
      <c r="AQ220" s="139"/>
      <c r="AR220" s="139"/>
      <c r="AS220" s="139"/>
      <c r="AT220" s="139"/>
      <c r="AU220" s="139"/>
      <c r="AV220" s="139"/>
    </row>
    <row r="221">
      <c r="A221" s="139"/>
      <c r="B221" s="234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45"/>
      <c r="O221" s="139"/>
      <c r="P221" s="139"/>
      <c r="Q221" s="231"/>
      <c r="R221" s="139"/>
      <c r="S221" s="235"/>
      <c r="T221" s="235"/>
      <c r="U221" s="145"/>
      <c r="V221" s="145"/>
      <c r="W221" s="111"/>
      <c r="X221" s="233"/>
      <c r="Y221" s="226"/>
      <c r="Z221" s="139"/>
      <c r="AA221" s="139"/>
      <c r="AB221" s="139"/>
      <c r="AC221" s="139"/>
      <c r="AD221" s="139"/>
      <c r="AE221" s="139"/>
      <c r="AF221" s="139"/>
      <c r="AG221" s="139"/>
      <c r="AH221" s="139"/>
      <c r="AI221" s="139"/>
      <c r="AJ221" s="139"/>
      <c r="AK221" s="139"/>
      <c r="AL221" s="139"/>
      <c r="AM221" s="139"/>
      <c r="AN221" s="139"/>
      <c r="AO221" s="139"/>
      <c r="AP221" s="139"/>
      <c r="AQ221" s="139"/>
      <c r="AR221" s="139"/>
      <c r="AS221" s="139"/>
      <c r="AT221" s="139"/>
      <c r="AU221" s="139"/>
      <c r="AV221" s="139"/>
    </row>
    <row r="222">
      <c r="A222" s="139"/>
      <c r="B222" s="234"/>
      <c r="C222" s="139"/>
      <c r="D222" s="139"/>
      <c r="E222" s="139"/>
      <c r="F222" s="139"/>
      <c r="G222" s="139"/>
      <c r="H222" s="139"/>
      <c r="I222" s="139"/>
      <c r="J222" s="139"/>
      <c r="K222" s="139"/>
      <c r="L222" s="139"/>
      <c r="M222" s="139"/>
      <c r="N222" s="145"/>
      <c r="O222" s="139"/>
      <c r="P222" s="139"/>
      <c r="Q222" s="231"/>
      <c r="R222" s="139"/>
      <c r="S222" s="235"/>
      <c r="T222" s="235"/>
      <c r="U222" s="145"/>
      <c r="V222" s="145"/>
      <c r="W222" s="111"/>
      <c r="X222" s="233"/>
      <c r="Y222" s="226"/>
      <c r="Z222" s="139"/>
      <c r="AA222" s="139"/>
      <c r="AB222" s="139"/>
      <c r="AC222" s="139"/>
      <c r="AD222" s="139"/>
      <c r="AE222" s="139"/>
      <c r="AF222" s="139"/>
      <c r="AG222" s="139"/>
      <c r="AH222" s="139"/>
      <c r="AI222" s="139"/>
      <c r="AJ222" s="139"/>
      <c r="AK222" s="139"/>
      <c r="AL222" s="139"/>
      <c r="AM222" s="139"/>
      <c r="AN222" s="139"/>
      <c r="AO222" s="139"/>
      <c r="AP222" s="139"/>
      <c r="AQ222" s="139"/>
      <c r="AR222" s="139"/>
      <c r="AS222" s="139"/>
      <c r="AT222" s="139"/>
      <c r="AU222" s="139"/>
      <c r="AV222" s="139"/>
    </row>
    <row r="223">
      <c r="A223" s="139"/>
      <c r="B223" s="234"/>
      <c r="C223" s="139"/>
      <c r="D223" s="139"/>
      <c r="E223" s="139"/>
      <c r="F223" s="139"/>
      <c r="G223" s="139"/>
      <c r="H223" s="139"/>
      <c r="I223" s="139"/>
      <c r="J223" s="139"/>
      <c r="K223" s="139"/>
      <c r="L223" s="139"/>
      <c r="M223" s="139"/>
      <c r="N223" s="145"/>
      <c r="O223" s="139"/>
      <c r="P223" s="139"/>
      <c r="Q223" s="231"/>
      <c r="R223" s="139"/>
      <c r="S223" s="235"/>
      <c r="T223" s="235"/>
      <c r="U223" s="145"/>
      <c r="V223" s="145"/>
      <c r="W223" s="111"/>
      <c r="X223" s="233"/>
      <c r="Y223" s="226"/>
      <c r="Z223" s="139"/>
      <c r="AA223" s="139"/>
      <c r="AB223" s="139"/>
      <c r="AC223" s="139"/>
      <c r="AD223" s="139"/>
      <c r="AE223" s="139"/>
      <c r="AF223" s="139"/>
      <c r="AG223" s="139"/>
      <c r="AH223" s="139"/>
      <c r="AI223" s="139"/>
      <c r="AJ223" s="139"/>
      <c r="AK223" s="139"/>
      <c r="AL223" s="139"/>
      <c r="AM223" s="139"/>
      <c r="AN223" s="139"/>
      <c r="AO223" s="139"/>
      <c r="AP223" s="139"/>
      <c r="AQ223" s="139"/>
      <c r="AR223" s="139"/>
      <c r="AS223" s="139"/>
      <c r="AT223" s="139"/>
      <c r="AU223" s="139"/>
      <c r="AV223" s="139"/>
    </row>
    <row r="224">
      <c r="A224" s="139"/>
      <c r="B224" s="234"/>
      <c r="C224" s="139"/>
      <c r="D224" s="139"/>
      <c r="E224" s="139"/>
      <c r="F224" s="139"/>
      <c r="G224" s="139"/>
      <c r="H224" s="139"/>
      <c r="I224" s="139"/>
      <c r="J224" s="139"/>
      <c r="K224" s="139"/>
      <c r="L224" s="139"/>
      <c r="M224" s="139"/>
      <c r="N224" s="145"/>
      <c r="O224" s="139"/>
      <c r="P224" s="139"/>
      <c r="Q224" s="231"/>
      <c r="R224" s="139"/>
      <c r="S224" s="235"/>
      <c r="T224" s="235"/>
      <c r="U224" s="145"/>
      <c r="V224" s="145"/>
      <c r="W224" s="111"/>
      <c r="X224" s="233"/>
      <c r="Y224" s="226"/>
      <c r="Z224" s="139"/>
      <c r="AA224" s="139"/>
      <c r="AB224" s="139"/>
      <c r="AC224" s="139"/>
      <c r="AD224" s="139"/>
      <c r="AE224" s="139"/>
      <c r="AF224" s="139"/>
      <c r="AG224" s="139"/>
      <c r="AH224" s="139"/>
      <c r="AI224" s="139"/>
      <c r="AJ224" s="139"/>
      <c r="AK224" s="139"/>
      <c r="AL224" s="139"/>
      <c r="AM224" s="139"/>
      <c r="AN224" s="139"/>
      <c r="AO224" s="139"/>
      <c r="AP224" s="139"/>
      <c r="AQ224" s="139"/>
      <c r="AR224" s="139"/>
      <c r="AS224" s="139"/>
      <c r="AT224" s="139"/>
      <c r="AU224" s="139"/>
      <c r="AV224" s="139"/>
    </row>
    <row r="225">
      <c r="A225" s="139"/>
      <c r="B225" s="234"/>
      <c r="C225" s="139"/>
      <c r="D225" s="139"/>
      <c r="E225" s="139"/>
      <c r="F225" s="139"/>
      <c r="G225" s="139"/>
      <c r="H225" s="139"/>
      <c r="I225" s="139"/>
      <c r="J225" s="139"/>
      <c r="K225" s="139"/>
      <c r="L225" s="139"/>
      <c r="M225" s="139"/>
      <c r="N225" s="145"/>
      <c r="O225" s="139"/>
      <c r="P225" s="139"/>
      <c r="Q225" s="231"/>
      <c r="R225" s="139"/>
      <c r="S225" s="235"/>
      <c r="T225" s="235"/>
      <c r="U225" s="145"/>
      <c r="V225" s="145"/>
      <c r="W225" s="111"/>
      <c r="X225" s="233"/>
      <c r="Y225" s="226"/>
      <c r="Z225" s="139"/>
      <c r="AA225" s="139"/>
      <c r="AB225" s="139"/>
      <c r="AC225" s="139"/>
      <c r="AD225" s="139"/>
      <c r="AE225" s="139"/>
      <c r="AF225" s="139"/>
      <c r="AG225" s="139"/>
      <c r="AH225" s="139"/>
      <c r="AI225" s="139"/>
      <c r="AJ225" s="139"/>
      <c r="AK225" s="139"/>
      <c r="AL225" s="139"/>
      <c r="AM225" s="139"/>
      <c r="AN225" s="139"/>
      <c r="AO225" s="139"/>
      <c r="AP225" s="139"/>
      <c r="AQ225" s="139"/>
      <c r="AR225" s="139"/>
      <c r="AS225" s="139"/>
      <c r="AT225" s="139"/>
      <c r="AU225" s="139"/>
      <c r="AV225" s="139"/>
    </row>
    <row r="226">
      <c r="A226" s="139"/>
      <c r="B226" s="234"/>
      <c r="C226" s="139"/>
      <c r="D226" s="139"/>
      <c r="E226" s="139"/>
      <c r="F226" s="139"/>
      <c r="G226" s="139"/>
      <c r="H226" s="139"/>
      <c r="I226" s="139"/>
      <c r="J226" s="139"/>
      <c r="K226" s="139"/>
      <c r="L226" s="139"/>
      <c r="M226" s="139"/>
      <c r="N226" s="145"/>
      <c r="O226" s="139"/>
      <c r="P226" s="139"/>
      <c r="Q226" s="231"/>
      <c r="R226" s="139"/>
      <c r="S226" s="235"/>
      <c r="T226" s="235"/>
      <c r="U226" s="145"/>
      <c r="V226" s="145"/>
      <c r="W226" s="111"/>
      <c r="X226" s="233"/>
      <c r="Y226" s="226"/>
      <c r="Z226" s="139"/>
      <c r="AA226" s="139"/>
      <c r="AB226" s="139"/>
      <c r="AC226" s="139"/>
      <c r="AD226" s="139"/>
      <c r="AE226" s="139"/>
      <c r="AF226" s="139"/>
      <c r="AG226" s="139"/>
      <c r="AH226" s="139"/>
      <c r="AI226" s="139"/>
      <c r="AJ226" s="139"/>
      <c r="AK226" s="139"/>
      <c r="AL226" s="139"/>
      <c r="AM226" s="139"/>
      <c r="AN226" s="139"/>
      <c r="AO226" s="139"/>
      <c r="AP226" s="139"/>
      <c r="AQ226" s="139"/>
      <c r="AR226" s="139"/>
      <c r="AS226" s="139"/>
      <c r="AT226" s="139"/>
      <c r="AU226" s="139"/>
      <c r="AV226" s="139"/>
    </row>
    <row r="227">
      <c r="A227" s="139"/>
      <c r="B227" s="234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45"/>
      <c r="O227" s="139"/>
      <c r="P227" s="139"/>
      <c r="Q227" s="231"/>
      <c r="R227" s="139"/>
      <c r="S227" s="235"/>
      <c r="T227" s="235"/>
      <c r="U227" s="145"/>
      <c r="V227" s="145"/>
      <c r="W227" s="111"/>
      <c r="X227" s="233"/>
      <c r="Y227" s="226"/>
      <c r="Z227" s="139"/>
      <c r="AA227" s="139"/>
      <c r="AB227" s="139"/>
      <c r="AC227" s="139"/>
      <c r="AD227" s="139"/>
      <c r="AE227" s="139"/>
      <c r="AF227" s="139"/>
      <c r="AG227" s="139"/>
      <c r="AH227" s="139"/>
      <c r="AI227" s="139"/>
      <c r="AJ227" s="139"/>
      <c r="AK227" s="139"/>
      <c r="AL227" s="139"/>
      <c r="AM227" s="139"/>
      <c r="AN227" s="139"/>
      <c r="AO227" s="139"/>
      <c r="AP227" s="139"/>
      <c r="AQ227" s="139"/>
      <c r="AR227" s="139"/>
      <c r="AS227" s="139"/>
      <c r="AT227" s="139"/>
      <c r="AU227" s="139"/>
      <c r="AV227" s="139"/>
    </row>
    <row r="228">
      <c r="A228" s="139"/>
      <c r="B228" s="234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45"/>
      <c r="O228" s="139"/>
      <c r="P228" s="139"/>
      <c r="Q228" s="231"/>
      <c r="R228" s="139"/>
      <c r="S228" s="235"/>
      <c r="T228" s="235"/>
      <c r="U228" s="145"/>
      <c r="V228" s="145"/>
      <c r="W228" s="111"/>
      <c r="X228" s="233"/>
      <c r="Y228" s="226"/>
      <c r="Z228" s="139"/>
      <c r="AA228" s="139"/>
      <c r="AB228" s="139"/>
      <c r="AC228" s="139"/>
      <c r="AD228" s="139"/>
      <c r="AE228" s="139"/>
      <c r="AF228" s="139"/>
      <c r="AG228" s="139"/>
      <c r="AH228" s="139"/>
      <c r="AI228" s="139"/>
      <c r="AJ228" s="139"/>
      <c r="AK228" s="139"/>
      <c r="AL228" s="139"/>
      <c r="AM228" s="139"/>
      <c r="AN228" s="139"/>
      <c r="AO228" s="139"/>
      <c r="AP228" s="139"/>
      <c r="AQ228" s="139"/>
      <c r="AR228" s="139"/>
      <c r="AS228" s="139"/>
      <c r="AT228" s="139"/>
      <c r="AU228" s="139"/>
      <c r="AV228" s="139"/>
    </row>
    <row r="229">
      <c r="A229" s="139"/>
      <c r="B229" s="234"/>
      <c r="C229" s="139"/>
      <c r="D229" s="139"/>
      <c r="E229" s="139"/>
      <c r="F229" s="139"/>
      <c r="G229" s="139"/>
      <c r="H229" s="139"/>
      <c r="I229" s="139"/>
      <c r="J229" s="139"/>
      <c r="K229" s="139"/>
      <c r="L229" s="139"/>
      <c r="M229" s="139"/>
      <c r="N229" s="145"/>
      <c r="O229" s="139"/>
      <c r="P229" s="139"/>
      <c r="Q229" s="231"/>
      <c r="R229" s="139"/>
      <c r="S229" s="235"/>
      <c r="T229" s="235"/>
      <c r="U229" s="145"/>
      <c r="V229" s="145"/>
      <c r="W229" s="111"/>
      <c r="X229" s="233"/>
      <c r="Y229" s="226"/>
      <c r="Z229" s="139"/>
      <c r="AA229" s="139"/>
      <c r="AB229" s="139"/>
      <c r="AC229" s="139"/>
      <c r="AD229" s="139"/>
      <c r="AE229" s="139"/>
      <c r="AF229" s="139"/>
      <c r="AG229" s="139"/>
      <c r="AH229" s="139"/>
      <c r="AI229" s="139"/>
      <c r="AJ229" s="139"/>
      <c r="AK229" s="139"/>
      <c r="AL229" s="139"/>
      <c r="AM229" s="139"/>
      <c r="AN229" s="139"/>
      <c r="AO229" s="139"/>
      <c r="AP229" s="139"/>
      <c r="AQ229" s="139"/>
      <c r="AR229" s="139"/>
      <c r="AS229" s="139"/>
      <c r="AT229" s="139"/>
      <c r="AU229" s="139"/>
      <c r="AV229" s="139"/>
    </row>
    <row r="230">
      <c r="A230" s="139"/>
      <c r="B230" s="234"/>
      <c r="C230" s="139"/>
      <c r="D230" s="139"/>
      <c r="E230" s="139"/>
      <c r="F230" s="139"/>
      <c r="G230" s="139"/>
      <c r="H230" s="139"/>
      <c r="I230" s="139"/>
      <c r="J230" s="139"/>
      <c r="K230" s="139"/>
      <c r="L230" s="139"/>
      <c r="M230" s="139"/>
      <c r="N230" s="145"/>
      <c r="O230" s="139"/>
      <c r="P230" s="139"/>
      <c r="Q230" s="231"/>
      <c r="R230" s="139"/>
      <c r="S230" s="235"/>
      <c r="T230" s="235"/>
      <c r="U230" s="145"/>
      <c r="V230" s="145"/>
      <c r="W230" s="111"/>
      <c r="X230" s="233"/>
      <c r="Y230" s="226"/>
      <c r="Z230" s="139"/>
      <c r="AA230" s="139"/>
      <c r="AB230" s="139"/>
      <c r="AC230" s="139"/>
      <c r="AD230" s="139"/>
      <c r="AE230" s="139"/>
      <c r="AF230" s="139"/>
      <c r="AG230" s="139"/>
      <c r="AH230" s="139"/>
      <c r="AI230" s="139"/>
      <c r="AJ230" s="139"/>
      <c r="AK230" s="139"/>
      <c r="AL230" s="139"/>
      <c r="AM230" s="139"/>
      <c r="AN230" s="139"/>
      <c r="AO230" s="139"/>
      <c r="AP230" s="139"/>
      <c r="AQ230" s="139"/>
      <c r="AR230" s="139"/>
      <c r="AS230" s="139"/>
      <c r="AT230" s="139"/>
      <c r="AU230" s="139"/>
      <c r="AV230" s="139"/>
    </row>
    <row r="231">
      <c r="A231" s="139"/>
      <c r="B231" s="234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45"/>
      <c r="O231" s="139"/>
      <c r="P231" s="139"/>
      <c r="Q231" s="231"/>
      <c r="R231" s="139"/>
      <c r="S231" s="235"/>
      <c r="T231" s="235"/>
      <c r="U231" s="145"/>
      <c r="V231" s="145"/>
      <c r="W231" s="111"/>
      <c r="X231" s="233"/>
      <c r="Y231" s="226"/>
      <c r="Z231" s="139"/>
      <c r="AA231" s="139"/>
      <c r="AB231" s="139"/>
      <c r="AC231" s="139"/>
      <c r="AD231" s="139"/>
      <c r="AE231" s="139"/>
      <c r="AF231" s="139"/>
      <c r="AG231" s="139"/>
      <c r="AH231" s="139"/>
      <c r="AI231" s="139"/>
      <c r="AJ231" s="139"/>
      <c r="AK231" s="139"/>
      <c r="AL231" s="139"/>
      <c r="AM231" s="139"/>
      <c r="AN231" s="139"/>
      <c r="AO231" s="139"/>
      <c r="AP231" s="139"/>
      <c r="AQ231" s="139"/>
      <c r="AR231" s="139"/>
      <c r="AS231" s="139"/>
      <c r="AT231" s="139"/>
      <c r="AU231" s="139"/>
      <c r="AV231" s="139"/>
    </row>
    <row r="232">
      <c r="A232" s="139"/>
      <c r="B232" s="234"/>
      <c r="C232" s="139"/>
      <c r="D232" s="139"/>
      <c r="E232" s="139"/>
      <c r="F232" s="139"/>
      <c r="G232" s="139"/>
      <c r="H232" s="139"/>
      <c r="I232" s="139"/>
      <c r="J232" s="139"/>
      <c r="K232" s="139"/>
      <c r="L232" s="139"/>
      <c r="M232" s="139"/>
      <c r="N232" s="145"/>
      <c r="O232" s="139"/>
      <c r="P232" s="139"/>
      <c r="Q232" s="231"/>
      <c r="R232" s="139"/>
      <c r="S232" s="235"/>
      <c r="T232" s="235"/>
      <c r="U232" s="145"/>
      <c r="V232" s="145"/>
      <c r="W232" s="111"/>
      <c r="X232" s="233"/>
      <c r="Y232" s="226"/>
      <c r="Z232" s="139"/>
      <c r="AA232" s="139"/>
      <c r="AB232" s="139"/>
      <c r="AC232" s="139"/>
      <c r="AD232" s="139"/>
      <c r="AE232" s="139"/>
      <c r="AF232" s="139"/>
      <c r="AG232" s="139"/>
      <c r="AH232" s="139"/>
      <c r="AI232" s="139"/>
      <c r="AJ232" s="139"/>
      <c r="AK232" s="139"/>
      <c r="AL232" s="139"/>
      <c r="AM232" s="139"/>
      <c r="AN232" s="139"/>
      <c r="AO232" s="139"/>
      <c r="AP232" s="139"/>
      <c r="AQ232" s="139"/>
      <c r="AR232" s="139"/>
      <c r="AS232" s="139"/>
      <c r="AT232" s="139"/>
      <c r="AU232" s="139"/>
      <c r="AV232" s="139"/>
    </row>
    <row r="233">
      <c r="A233" s="139"/>
      <c r="B233" s="234"/>
      <c r="C233" s="139"/>
      <c r="D233" s="139"/>
      <c r="E233" s="139"/>
      <c r="F233" s="139"/>
      <c r="G233" s="139"/>
      <c r="H233" s="139"/>
      <c r="I233" s="139"/>
      <c r="J233" s="139"/>
      <c r="K233" s="139"/>
      <c r="L233" s="139"/>
      <c r="M233" s="139"/>
      <c r="N233" s="145"/>
      <c r="O233" s="139"/>
      <c r="P233" s="139"/>
      <c r="Q233" s="231"/>
      <c r="R233" s="139"/>
      <c r="S233" s="235"/>
      <c r="T233" s="235"/>
      <c r="U233" s="145"/>
      <c r="V233" s="145"/>
      <c r="W233" s="111"/>
      <c r="X233" s="233"/>
      <c r="Y233" s="226"/>
      <c r="Z233" s="139"/>
      <c r="AA233" s="139"/>
      <c r="AB233" s="139"/>
      <c r="AC233" s="139"/>
      <c r="AD233" s="139"/>
      <c r="AE233" s="139"/>
      <c r="AF233" s="139"/>
      <c r="AG233" s="139"/>
      <c r="AH233" s="139"/>
      <c r="AI233" s="139"/>
      <c r="AJ233" s="139"/>
      <c r="AK233" s="139"/>
      <c r="AL233" s="139"/>
      <c r="AM233" s="139"/>
      <c r="AN233" s="139"/>
      <c r="AO233" s="139"/>
      <c r="AP233" s="139"/>
      <c r="AQ233" s="139"/>
      <c r="AR233" s="139"/>
      <c r="AS233" s="139"/>
      <c r="AT233" s="139"/>
      <c r="AU233" s="139"/>
      <c r="AV233" s="139"/>
    </row>
    <row r="234">
      <c r="A234" s="139"/>
      <c r="B234" s="234"/>
      <c r="C234" s="139"/>
      <c r="D234" s="139"/>
      <c r="E234" s="139"/>
      <c r="F234" s="139"/>
      <c r="G234" s="139"/>
      <c r="H234" s="139"/>
      <c r="I234" s="139"/>
      <c r="J234" s="139"/>
      <c r="K234" s="139"/>
      <c r="L234" s="139"/>
      <c r="M234" s="139"/>
      <c r="N234" s="145"/>
      <c r="O234" s="139"/>
      <c r="P234" s="139"/>
      <c r="Q234" s="231"/>
      <c r="R234" s="139"/>
      <c r="S234" s="235"/>
      <c r="T234" s="235"/>
      <c r="U234" s="145"/>
      <c r="V234" s="145"/>
      <c r="W234" s="111"/>
      <c r="X234" s="233"/>
      <c r="Y234" s="226"/>
      <c r="Z234" s="139"/>
      <c r="AA234" s="139"/>
      <c r="AB234" s="139"/>
      <c r="AC234" s="139"/>
      <c r="AD234" s="139"/>
      <c r="AE234" s="139"/>
      <c r="AF234" s="139"/>
      <c r="AG234" s="139"/>
      <c r="AH234" s="139"/>
      <c r="AI234" s="139"/>
      <c r="AJ234" s="139"/>
      <c r="AK234" s="139"/>
      <c r="AL234" s="139"/>
      <c r="AM234" s="139"/>
      <c r="AN234" s="139"/>
      <c r="AO234" s="139"/>
      <c r="AP234" s="139"/>
      <c r="AQ234" s="139"/>
      <c r="AR234" s="139"/>
      <c r="AS234" s="139"/>
      <c r="AT234" s="139"/>
      <c r="AU234" s="139"/>
      <c r="AV234" s="139"/>
    </row>
    <row r="235">
      <c r="A235" s="139"/>
      <c r="B235" s="234"/>
      <c r="C235" s="139"/>
      <c r="D235" s="139"/>
      <c r="E235" s="139"/>
      <c r="F235" s="139"/>
      <c r="G235" s="139"/>
      <c r="H235" s="139"/>
      <c r="I235" s="139"/>
      <c r="J235" s="139"/>
      <c r="K235" s="139"/>
      <c r="L235" s="139"/>
      <c r="M235" s="139"/>
      <c r="N235" s="145"/>
      <c r="O235" s="139"/>
      <c r="P235" s="139"/>
      <c r="Q235" s="231"/>
      <c r="R235" s="139"/>
      <c r="S235" s="235"/>
      <c r="T235" s="235"/>
      <c r="U235" s="145"/>
      <c r="V235" s="145"/>
      <c r="W235" s="111"/>
      <c r="X235" s="233"/>
      <c r="Y235" s="226"/>
      <c r="Z235" s="139"/>
      <c r="AA235" s="139"/>
      <c r="AB235" s="139"/>
      <c r="AC235" s="139"/>
      <c r="AD235" s="139"/>
      <c r="AE235" s="139"/>
      <c r="AF235" s="139"/>
      <c r="AG235" s="139"/>
      <c r="AH235" s="139"/>
      <c r="AI235" s="139"/>
      <c r="AJ235" s="139"/>
      <c r="AK235" s="139"/>
      <c r="AL235" s="139"/>
      <c r="AM235" s="139"/>
      <c r="AN235" s="139"/>
      <c r="AO235" s="139"/>
      <c r="AP235" s="139"/>
      <c r="AQ235" s="139"/>
      <c r="AR235" s="139"/>
      <c r="AS235" s="139"/>
      <c r="AT235" s="139"/>
      <c r="AU235" s="139"/>
      <c r="AV235" s="139"/>
    </row>
    <row r="236">
      <c r="A236" s="139"/>
      <c r="B236" s="234"/>
      <c r="C236" s="139"/>
      <c r="D236" s="139"/>
      <c r="E236" s="139"/>
      <c r="F236" s="139"/>
      <c r="G236" s="139"/>
      <c r="H236" s="139"/>
      <c r="I236" s="139"/>
      <c r="J236" s="139"/>
      <c r="K236" s="139"/>
      <c r="L236" s="139"/>
      <c r="M236" s="139"/>
      <c r="N236" s="145"/>
      <c r="O236" s="139"/>
      <c r="P236" s="139"/>
      <c r="Q236" s="231"/>
      <c r="R236" s="139"/>
      <c r="S236" s="235"/>
      <c r="T236" s="235"/>
      <c r="U236" s="145"/>
      <c r="V236" s="145"/>
      <c r="W236" s="111"/>
      <c r="X236" s="233"/>
      <c r="Y236" s="226"/>
      <c r="Z236" s="139"/>
      <c r="AA236" s="139"/>
      <c r="AB236" s="139"/>
      <c r="AC236" s="139"/>
      <c r="AD236" s="139"/>
      <c r="AE236" s="139"/>
      <c r="AF236" s="139"/>
      <c r="AG236" s="139"/>
      <c r="AH236" s="139"/>
      <c r="AI236" s="139"/>
      <c r="AJ236" s="139"/>
      <c r="AK236" s="139"/>
      <c r="AL236" s="139"/>
      <c r="AM236" s="139"/>
      <c r="AN236" s="139"/>
      <c r="AO236" s="139"/>
      <c r="AP236" s="139"/>
      <c r="AQ236" s="139"/>
      <c r="AR236" s="139"/>
      <c r="AS236" s="139"/>
      <c r="AT236" s="139"/>
      <c r="AU236" s="139"/>
      <c r="AV236" s="139"/>
    </row>
    <row r="237">
      <c r="A237" s="139"/>
      <c r="B237" s="234"/>
      <c r="C237" s="139"/>
      <c r="D237" s="139"/>
      <c r="E237" s="139"/>
      <c r="F237" s="139"/>
      <c r="G237" s="139"/>
      <c r="H237" s="139"/>
      <c r="I237" s="139"/>
      <c r="J237" s="139"/>
      <c r="K237" s="139"/>
      <c r="L237" s="139"/>
      <c r="M237" s="139"/>
      <c r="N237" s="145"/>
      <c r="O237" s="139"/>
      <c r="P237" s="139"/>
      <c r="Q237" s="231"/>
      <c r="R237" s="139"/>
      <c r="S237" s="235"/>
      <c r="T237" s="235"/>
      <c r="U237" s="145"/>
      <c r="V237" s="145"/>
      <c r="W237" s="111"/>
      <c r="X237" s="233"/>
      <c r="Y237" s="226"/>
      <c r="Z237" s="139"/>
      <c r="AA237" s="139"/>
      <c r="AB237" s="139"/>
      <c r="AC237" s="139"/>
      <c r="AD237" s="139"/>
      <c r="AE237" s="139"/>
      <c r="AF237" s="139"/>
      <c r="AG237" s="139"/>
      <c r="AH237" s="139"/>
      <c r="AI237" s="139"/>
      <c r="AJ237" s="139"/>
      <c r="AK237" s="139"/>
      <c r="AL237" s="139"/>
      <c r="AM237" s="139"/>
      <c r="AN237" s="139"/>
      <c r="AO237" s="139"/>
      <c r="AP237" s="139"/>
      <c r="AQ237" s="139"/>
      <c r="AR237" s="139"/>
      <c r="AS237" s="139"/>
      <c r="AT237" s="139"/>
      <c r="AU237" s="139"/>
      <c r="AV237" s="139"/>
    </row>
    <row r="238">
      <c r="A238" s="139"/>
      <c r="B238" s="234"/>
      <c r="C238" s="139"/>
      <c r="D238" s="139"/>
      <c r="E238" s="139"/>
      <c r="F238" s="139"/>
      <c r="G238" s="139"/>
      <c r="H238" s="139"/>
      <c r="I238" s="139"/>
      <c r="J238" s="139"/>
      <c r="K238" s="139"/>
      <c r="L238" s="139"/>
      <c r="M238" s="139"/>
      <c r="N238" s="145"/>
      <c r="O238" s="139"/>
      <c r="P238" s="139"/>
      <c r="Q238" s="231"/>
      <c r="R238" s="139"/>
      <c r="S238" s="235"/>
      <c r="T238" s="235"/>
      <c r="U238" s="145"/>
      <c r="V238" s="145"/>
      <c r="W238" s="111"/>
      <c r="X238" s="233"/>
      <c r="Y238" s="226"/>
      <c r="Z238" s="139"/>
      <c r="AA238" s="139"/>
      <c r="AB238" s="139"/>
      <c r="AC238" s="139"/>
      <c r="AD238" s="139"/>
      <c r="AE238" s="139"/>
      <c r="AF238" s="139"/>
      <c r="AG238" s="139"/>
      <c r="AH238" s="139"/>
      <c r="AI238" s="139"/>
      <c r="AJ238" s="139"/>
      <c r="AK238" s="139"/>
      <c r="AL238" s="139"/>
      <c r="AM238" s="139"/>
      <c r="AN238" s="139"/>
      <c r="AO238" s="139"/>
      <c r="AP238" s="139"/>
      <c r="AQ238" s="139"/>
      <c r="AR238" s="139"/>
      <c r="AS238" s="139"/>
      <c r="AT238" s="139"/>
      <c r="AU238" s="139"/>
      <c r="AV238" s="139"/>
    </row>
    <row r="239">
      <c r="A239" s="139"/>
      <c r="B239" s="234"/>
      <c r="C239" s="139"/>
      <c r="D239" s="139"/>
      <c r="E239" s="139"/>
      <c r="F239" s="139"/>
      <c r="G239" s="139"/>
      <c r="H239" s="139"/>
      <c r="I239" s="139"/>
      <c r="J239" s="139"/>
      <c r="K239" s="139"/>
      <c r="L239" s="139"/>
      <c r="M239" s="139"/>
      <c r="N239" s="145"/>
      <c r="O239" s="139"/>
      <c r="P239" s="139"/>
      <c r="Q239" s="231"/>
      <c r="R239" s="139"/>
      <c r="S239" s="235"/>
      <c r="T239" s="235"/>
      <c r="U239" s="145"/>
      <c r="V239" s="145"/>
      <c r="W239" s="111"/>
      <c r="X239" s="233"/>
      <c r="Y239" s="226"/>
      <c r="Z239" s="139"/>
      <c r="AA239" s="139"/>
      <c r="AB239" s="139"/>
      <c r="AC239" s="139"/>
      <c r="AD239" s="139"/>
      <c r="AE239" s="139"/>
      <c r="AF239" s="139"/>
      <c r="AG239" s="139"/>
      <c r="AH239" s="139"/>
      <c r="AI239" s="139"/>
      <c r="AJ239" s="139"/>
      <c r="AK239" s="139"/>
      <c r="AL239" s="139"/>
      <c r="AM239" s="139"/>
      <c r="AN239" s="139"/>
      <c r="AO239" s="139"/>
      <c r="AP239" s="139"/>
      <c r="AQ239" s="139"/>
      <c r="AR239" s="139"/>
      <c r="AS239" s="139"/>
      <c r="AT239" s="139"/>
      <c r="AU239" s="139"/>
      <c r="AV239" s="139"/>
    </row>
    <row r="240">
      <c r="A240" s="139"/>
      <c r="B240" s="234"/>
      <c r="C240" s="139"/>
      <c r="D240" s="139"/>
      <c r="E240" s="139"/>
      <c r="F240" s="139"/>
      <c r="G240" s="139"/>
      <c r="H240" s="139"/>
      <c r="I240" s="139"/>
      <c r="J240" s="139"/>
      <c r="K240" s="139"/>
      <c r="L240" s="139"/>
      <c r="M240" s="139"/>
      <c r="N240" s="145"/>
      <c r="O240" s="139"/>
      <c r="P240" s="139"/>
      <c r="Q240" s="231"/>
      <c r="R240" s="139"/>
      <c r="S240" s="235"/>
      <c r="T240" s="235"/>
      <c r="U240" s="145"/>
      <c r="V240" s="145"/>
      <c r="W240" s="111"/>
      <c r="X240" s="233"/>
      <c r="Y240" s="226"/>
      <c r="Z240" s="139"/>
      <c r="AA240" s="139"/>
      <c r="AB240" s="139"/>
      <c r="AC240" s="139"/>
      <c r="AD240" s="139"/>
      <c r="AE240" s="139"/>
      <c r="AF240" s="139"/>
      <c r="AG240" s="139"/>
      <c r="AH240" s="139"/>
      <c r="AI240" s="139"/>
      <c r="AJ240" s="139"/>
      <c r="AK240" s="139"/>
      <c r="AL240" s="139"/>
      <c r="AM240" s="139"/>
      <c r="AN240" s="139"/>
      <c r="AO240" s="139"/>
      <c r="AP240" s="139"/>
      <c r="AQ240" s="139"/>
      <c r="AR240" s="139"/>
      <c r="AS240" s="139"/>
      <c r="AT240" s="139"/>
      <c r="AU240" s="139"/>
      <c r="AV240" s="139"/>
    </row>
    <row r="241">
      <c r="A241" s="139"/>
      <c r="B241" s="234"/>
      <c r="C241" s="139"/>
      <c r="D241" s="139"/>
      <c r="E241" s="139"/>
      <c r="F241" s="139"/>
      <c r="G241" s="139"/>
      <c r="H241" s="139"/>
      <c r="I241" s="139"/>
      <c r="J241" s="139"/>
      <c r="K241" s="139"/>
      <c r="L241" s="139"/>
      <c r="M241" s="139"/>
      <c r="N241" s="145"/>
      <c r="O241" s="139"/>
      <c r="P241" s="139"/>
      <c r="Q241" s="231"/>
      <c r="R241" s="139"/>
      <c r="S241" s="235"/>
      <c r="T241" s="235"/>
      <c r="U241" s="145"/>
      <c r="V241" s="145"/>
      <c r="W241" s="111"/>
      <c r="X241" s="233"/>
      <c r="Y241" s="226"/>
      <c r="Z241" s="139"/>
      <c r="AA241" s="139"/>
      <c r="AB241" s="139"/>
      <c r="AC241" s="139"/>
      <c r="AD241" s="139"/>
      <c r="AE241" s="139"/>
      <c r="AF241" s="139"/>
      <c r="AG241" s="139"/>
      <c r="AH241" s="139"/>
      <c r="AI241" s="139"/>
      <c r="AJ241" s="139"/>
      <c r="AK241" s="139"/>
      <c r="AL241" s="139"/>
      <c r="AM241" s="139"/>
      <c r="AN241" s="139"/>
      <c r="AO241" s="139"/>
      <c r="AP241" s="139"/>
      <c r="AQ241" s="139"/>
      <c r="AR241" s="139"/>
      <c r="AS241" s="139"/>
      <c r="AT241" s="139"/>
      <c r="AU241" s="139"/>
      <c r="AV241" s="139"/>
    </row>
    <row r="242">
      <c r="A242" s="139"/>
      <c r="B242" s="234"/>
      <c r="C242" s="139"/>
      <c r="D242" s="139"/>
      <c r="E242" s="139"/>
      <c r="F242" s="139"/>
      <c r="G242" s="139"/>
      <c r="H242" s="139"/>
      <c r="I242" s="139"/>
      <c r="J242" s="139"/>
      <c r="K242" s="139"/>
      <c r="L242" s="139"/>
      <c r="M242" s="139"/>
      <c r="N242" s="145"/>
      <c r="O242" s="139"/>
      <c r="P242" s="139"/>
      <c r="Q242" s="231"/>
      <c r="R242" s="139"/>
      <c r="S242" s="235"/>
      <c r="T242" s="235"/>
      <c r="U242" s="145"/>
      <c r="V242" s="145"/>
      <c r="W242" s="111"/>
      <c r="X242" s="233"/>
      <c r="Y242" s="226"/>
      <c r="Z242" s="139"/>
      <c r="AA242" s="139"/>
      <c r="AB242" s="139"/>
      <c r="AC242" s="139"/>
      <c r="AD242" s="139"/>
      <c r="AE242" s="139"/>
      <c r="AF242" s="139"/>
      <c r="AG242" s="139"/>
      <c r="AH242" s="139"/>
      <c r="AI242" s="139"/>
      <c r="AJ242" s="139"/>
      <c r="AK242" s="139"/>
      <c r="AL242" s="139"/>
      <c r="AM242" s="139"/>
      <c r="AN242" s="139"/>
      <c r="AO242" s="139"/>
      <c r="AP242" s="139"/>
      <c r="AQ242" s="139"/>
      <c r="AR242" s="139"/>
      <c r="AS242" s="139"/>
      <c r="AT242" s="139"/>
      <c r="AU242" s="139"/>
      <c r="AV242" s="139"/>
    </row>
    <row r="243">
      <c r="A243" s="139"/>
      <c r="B243" s="234"/>
      <c r="C243" s="139"/>
      <c r="D243" s="139"/>
      <c r="E243" s="139"/>
      <c r="F243" s="139"/>
      <c r="G243" s="139"/>
      <c r="H243" s="139"/>
      <c r="I243" s="139"/>
      <c r="J243" s="139"/>
      <c r="K243" s="139"/>
      <c r="L243" s="139"/>
      <c r="M243" s="139"/>
      <c r="N243" s="145"/>
      <c r="O243" s="139"/>
      <c r="P243" s="139"/>
      <c r="Q243" s="231"/>
      <c r="R243" s="139"/>
      <c r="S243" s="235"/>
      <c r="T243" s="235"/>
      <c r="U243" s="145"/>
      <c r="V243" s="145"/>
      <c r="W243" s="111"/>
      <c r="X243" s="233"/>
      <c r="Y243" s="226"/>
      <c r="Z243" s="139"/>
      <c r="AA243" s="139"/>
      <c r="AB243" s="139"/>
      <c r="AC243" s="139"/>
      <c r="AD243" s="139"/>
      <c r="AE243" s="139"/>
      <c r="AF243" s="139"/>
      <c r="AG243" s="139"/>
      <c r="AH243" s="139"/>
      <c r="AI243" s="139"/>
      <c r="AJ243" s="139"/>
      <c r="AK243" s="139"/>
      <c r="AL243" s="139"/>
      <c r="AM243" s="139"/>
      <c r="AN243" s="139"/>
      <c r="AO243" s="139"/>
      <c r="AP243" s="139"/>
      <c r="AQ243" s="139"/>
      <c r="AR243" s="139"/>
      <c r="AS243" s="139"/>
      <c r="AT243" s="139"/>
      <c r="AU243" s="139"/>
      <c r="AV243" s="139"/>
    </row>
    <row r="244">
      <c r="A244" s="139"/>
      <c r="B244" s="234"/>
      <c r="C244" s="139"/>
      <c r="D244" s="139"/>
      <c r="E244" s="139"/>
      <c r="F244" s="139"/>
      <c r="G244" s="139"/>
      <c r="H244" s="139"/>
      <c r="I244" s="139"/>
      <c r="J244" s="139"/>
      <c r="K244" s="139"/>
      <c r="L244" s="139"/>
      <c r="M244" s="139"/>
      <c r="N244" s="145"/>
      <c r="O244" s="139"/>
      <c r="P244" s="139"/>
      <c r="Q244" s="231"/>
      <c r="R244" s="139"/>
      <c r="S244" s="235"/>
      <c r="T244" s="235"/>
      <c r="U244" s="145"/>
      <c r="V244" s="145"/>
      <c r="W244" s="111"/>
      <c r="X244" s="233"/>
      <c r="Y244" s="226"/>
      <c r="Z244" s="139"/>
      <c r="AA244" s="139"/>
      <c r="AB244" s="139"/>
      <c r="AC244" s="139"/>
      <c r="AD244" s="139"/>
      <c r="AE244" s="139"/>
      <c r="AF244" s="139"/>
      <c r="AG244" s="139"/>
      <c r="AH244" s="139"/>
      <c r="AI244" s="139"/>
      <c r="AJ244" s="139"/>
      <c r="AK244" s="139"/>
      <c r="AL244" s="139"/>
      <c r="AM244" s="139"/>
      <c r="AN244" s="139"/>
      <c r="AO244" s="139"/>
      <c r="AP244" s="139"/>
      <c r="AQ244" s="139"/>
      <c r="AR244" s="139"/>
      <c r="AS244" s="139"/>
      <c r="AT244" s="139"/>
      <c r="AU244" s="139"/>
      <c r="AV244" s="139"/>
    </row>
    <row r="245">
      <c r="A245" s="139"/>
      <c r="B245" s="234"/>
      <c r="C245" s="139"/>
      <c r="D245" s="139"/>
      <c r="E245" s="139"/>
      <c r="F245" s="139"/>
      <c r="G245" s="139"/>
      <c r="H245" s="139"/>
      <c r="I245" s="139"/>
      <c r="J245" s="139"/>
      <c r="K245" s="139"/>
      <c r="L245" s="139"/>
      <c r="M245" s="139"/>
      <c r="N245" s="145"/>
      <c r="O245" s="139"/>
      <c r="P245" s="139"/>
      <c r="Q245" s="231"/>
      <c r="R245" s="139"/>
      <c r="S245" s="235"/>
      <c r="T245" s="235"/>
      <c r="U245" s="145"/>
      <c r="V245" s="145"/>
      <c r="W245" s="111"/>
      <c r="X245" s="233"/>
      <c r="Y245" s="226"/>
      <c r="Z245" s="139"/>
      <c r="AA245" s="139"/>
      <c r="AB245" s="139"/>
      <c r="AC245" s="139"/>
      <c r="AD245" s="139"/>
      <c r="AE245" s="139"/>
      <c r="AF245" s="139"/>
      <c r="AG245" s="139"/>
      <c r="AH245" s="139"/>
      <c r="AI245" s="139"/>
      <c r="AJ245" s="139"/>
      <c r="AK245" s="139"/>
      <c r="AL245" s="139"/>
      <c r="AM245" s="139"/>
      <c r="AN245" s="139"/>
      <c r="AO245" s="139"/>
      <c r="AP245" s="139"/>
      <c r="AQ245" s="139"/>
      <c r="AR245" s="139"/>
      <c r="AS245" s="139"/>
      <c r="AT245" s="139"/>
      <c r="AU245" s="139"/>
      <c r="AV245" s="139"/>
    </row>
    <row r="246">
      <c r="A246" s="139"/>
      <c r="B246" s="234"/>
      <c r="C246" s="139"/>
      <c r="D246" s="139"/>
      <c r="E246" s="139"/>
      <c r="F246" s="139"/>
      <c r="G246" s="139"/>
      <c r="H246" s="139"/>
      <c r="I246" s="139"/>
      <c r="J246" s="139"/>
      <c r="K246" s="139"/>
      <c r="L246" s="139"/>
      <c r="M246" s="139"/>
      <c r="N246" s="145"/>
      <c r="O246" s="139"/>
      <c r="P246" s="139"/>
      <c r="Q246" s="231"/>
      <c r="R246" s="139"/>
      <c r="S246" s="235"/>
      <c r="T246" s="235"/>
      <c r="U246" s="145"/>
      <c r="V246" s="145"/>
      <c r="W246" s="111"/>
      <c r="X246" s="233"/>
      <c r="Y246" s="226"/>
      <c r="Z246" s="139"/>
      <c r="AA246" s="139"/>
      <c r="AB246" s="139"/>
      <c r="AC246" s="139"/>
      <c r="AD246" s="139"/>
      <c r="AE246" s="139"/>
      <c r="AF246" s="139"/>
      <c r="AG246" s="139"/>
      <c r="AH246" s="139"/>
      <c r="AI246" s="139"/>
      <c r="AJ246" s="139"/>
      <c r="AK246" s="139"/>
      <c r="AL246" s="139"/>
      <c r="AM246" s="139"/>
      <c r="AN246" s="139"/>
      <c r="AO246" s="139"/>
      <c r="AP246" s="139"/>
      <c r="AQ246" s="139"/>
      <c r="AR246" s="139"/>
      <c r="AS246" s="139"/>
      <c r="AT246" s="139"/>
      <c r="AU246" s="139"/>
      <c r="AV246" s="139"/>
    </row>
    <row r="247">
      <c r="A247" s="139"/>
      <c r="B247" s="234"/>
      <c r="C247" s="139"/>
      <c r="D247" s="139"/>
      <c r="E247" s="139"/>
      <c r="F247" s="139"/>
      <c r="G247" s="139"/>
      <c r="H247" s="139"/>
      <c r="I247" s="139"/>
      <c r="J247" s="139"/>
      <c r="K247" s="139"/>
      <c r="L247" s="139"/>
      <c r="M247" s="139"/>
      <c r="N247" s="145"/>
      <c r="O247" s="139"/>
      <c r="P247" s="139"/>
      <c r="Q247" s="231"/>
      <c r="R247" s="139"/>
      <c r="S247" s="235"/>
      <c r="T247" s="235"/>
      <c r="U247" s="145"/>
      <c r="V247" s="145"/>
      <c r="W247" s="111"/>
      <c r="X247" s="233"/>
      <c r="Y247" s="226"/>
      <c r="Z247" s="139"/>
      <c r="AA247" s="139"/>
      <c r="AB247" s="139"/>
      <c r="AC247" s="139"/>
      <c r="AD247" s="139"/>
      <c r="AE247" s="139"/>
      <c r="AF247" s="139"/>
      <c r="AG247" s="139"/>
      <c r="AH247" s="139"/>
      <c r="AI247" s="139"/>
      <c r="AJ247" s="139"/>
      <c r="AK247" s="139"/>
      <c r="AL247" s="139"/>
      <c r="AM247" s="139"/>
      <c r="AN247" s="139"/>
      <c r="AO247" s="139"/>
      <c r="AP247" s="139"/>
      <c r="AQ247" s="139"/>
      <c r="AR247" s="139"/>
      <c r="AS247" s="139"/>
      <c r="AT247" s="139"/>
      <c r="AU247" s="139"/>
      <c r="AV247" s="139"/>
    </row>
    <row r="248">
      <c r="A248" s="139"/>
      <c r="B248" s="234"/>
      <c r="C248" s="139"/>
      <c r="D248" s="139"/>
      <c r="E248" s="139"/>
      <c r="F248" s="139"/>
      <c r="G248" s="139"/>
      <c r="H248" s="139"/>
      <c r="I248" s="139"/>
      <c r="J248" s="139"/>
      <c r="K248" s="139"/>
      <c r="L248" s="139"/>
      <c r="M248" s="139"/>
      <c r="N248" s="145"/>
      <c r="O248" s="139"/>
      <c r="P248" s="139"/>
      <c r="Q248" s="231"/>
      <c r="R248" s="139"/>
      <c r="S248" s="235"/>
      <c r="T248" s="235"/>
      <c r="U248" s="145"/>
      <c r="V248" s="145"/>
      <c r="W248" s="111"/>
      <c r="X248" s="233"/>
      <c r="Y248" s="226"/>
      <c r="Z248" s="139"/>
      <c r="AA248" s="139"/>
      <c r="AB248" s="139"/>
      <c r="AC248" s="139"/>
      <c r="AD248" s="139"/>
      <c r="AE248" s="139"/>
      <c r="AF248" s="139"/>
      <c r="AG248" s="139"/>
      <c r="AH248" s="139"/>
      <c r="AI248" s="139"/>
      <c r="AJ248" s="139"/>
      <c r="AK248" s="139"/>
      <c r="AL248" s="139"/>
      <c r="AM248" s="139"/>
      <c r="AN248" s="139"/>
      <c r="AO248" s="139"/>
      <c r="AP248" s="139"/>
      <c r="AQ248" s="139"/>
      <c r="AR248" s="139"/>
      <c r="AS248" s="139"/>
      <c r="AT248" s="139"/>
      <c r="AU248" s="139"/>
      <c r="AV248" s="139"/>
    </row>
    <row r="249">
      <c r="A249" s="139"/>
      <c r="B249" s="234"/>
      <c r="C249" s="139"/>
      <c r="D249" s="139"/>
      <c r="E249" s="139"/>
      <c r="F249" s="139"/>
      <c r="G249" s="139"/>
      <c r="H249" s="139"/>
      <c r="I249" s="139"/>
      <c r="J249" s="139"/>
      <c r="K249" s="139"/>
      <c r="L249" s="139"/>
      <c r="M249" s="139"/>
      <c r="N249" s="145"/>
      <c r="O249" s="139"/>
      <c r="P249" s="139"/>
      <c r="Q249" s="231"/>
      <c r="R249" s="139"/>
      <c r="S249" s="235"/>
      <c r="T249" s="235"/>
      <c r="U249" s="145"/>
      <c r="V249" s="145"/>
      <c r="W249" s="111"/>
      <c r="X249" s="233"/>
      <c r="Y249" s="226"/>
      <c r="Z249" s="139"/>
      <c r="AA249" s="139"/>
      <c r="AB249" s="139"/>
      <c r="AC249" s="139"/>
      <c r="AD249" s="139"/>
      <c r="AE249" s="139"/>
      <c r="AF249" s="139"/>
      <c r="AG249" s="139"/>
      <c r="AH249" s="139"/>
      <c r="AI249" s="139"/>
      <c r="AJ249" s="139"/>
      <c r="AK249" s="139"/>
      <c r="AL249" s="139"/>
      <c r="AM249" s="139"/>
      <c r="AN249" s="139"/>
      <c r="AO249" s="139"/>
      <c r="AP249" s="139"/>
      <c r="AQ249" s="139"/>
      <c r="AR249" s="139"/>
      <c r="AS249" s="139"/>
      <c r="AT249" s="139"/>
      <c r="AU249" s="139"/>
      <c r="AV249" s="139"/>
    </row>
    <row r="250">
      <c r="A250" s="139"/>
      <c r="B250" s="234"/>
      <c r="C250" s="139"/>
      <c r="D250" s="139"/>
      <c r="E250" s="139"/>
      <c r="F250" s="139"/>
      <c r="G250" s="139"/>
      <c r="H250" s="139"/>
      <c r="I250" s="139"/>
      <c r="J250" s="139"/>
      <c r="K250" s="139"/>
      <c r="L250" s="139"/>
      <c r="M250" s="139"/>
      <c r="N250" s="145"/>
      <c r="O250" s="139"/>
      <c r="P250" s="139"/>
      <c r="Q250" s="231"/>
      <c r="R250" s="139"/>
      <c r="S250" s="235"/>
      <c r="T250" s="235"/>
      <c r="U250" s="145"/>
      <c r="V250" s="145"/>
      <c r="W250" s="111"/>
      <c r="X250" s="233"/>
      <c r="Y250" s="226"/>
      <c r="Z250" s="139"/>
      <c r="AA250" s="139"/>
      <c r="AB250" s="139"/>
      <c r="AC250" s="139"/>
      <c r="AD250" s="139"/>
      <c r="AE250" s="139"/>
      <c r="AF250" s="139"/>
      <c r="AG250" s="139"/>
      <c r="AH250" s="139"/>
      <c r="AI250" s="139"/>
      <c r="AJ250" s="139"/>
      <c r="AK250" s="139"/>
      <c r="AL250" s="139"/>
      <c r="AM250" s="139"/>
      <c r="AN250" s="139"/>
      <c r="AO250" s="139"/>
      <c r="AP250" s="139"/>
      <c r="AQ250" s="139"/>
      <c r="AR250" s="139"/>
      <c r="AS250" s="139"/>
      <c r="AT250" s="139"/>
      <c r="AU250" s="139"/>
      <c r="AV250" s="139"/>
    </row>
    <row r="251">
      <c r="A251" s="139"/>
      <c r="B251" s="234"/>
      <c r="C251" s="139"/>
      <c r="D251" s="139"/>
      <c r="E251" s="139"/>
      <c r="F251" s="139"/>
      <c r="G251" s="139"/>
      <c r="H251" s="139"/>
      <c r="I251" s="139"/>
      <c r="J251" s="139"/>
      <c r="K251" s="139"/>
      <c r="L251" s="139"/>
      <c r="M251" s="139"/>
      <c r="N251" s="145"/>
      <c r="O251" s="139"/>
      <c r="P251" s="139"/>
      <c r="Q251" s="231"/>
      <c r="R251" s="139"/>
      <c r="S251" s="235"/>
      <c r="T251" s="235"/>
      <c r="U251" s="145"/>
      <c r="V251" s="145"/>
      <c r="W251" s="111"/>
      <c r="X251" s="233"/>
      <c r="Y251" s="226"/>
      <c r="Z251" s="139"/>
      <c r="AA251" s="139"/>
      <c r="AB251" s="139"/>
      <c r="AC251" s="139"/>
      <c r="AD251" s="139"/>
      <c r="AE251" s="139"/>
      <c r="AF251" s="139"/>
      <c r="AG251" s="139"/>
      <c r="AH251" s="139"/>
      <c r="AI251" s="139"/>
      <c r="AJ251" s="139"/>
      <c r="AK251" s="139"/>
      <c r="AL251" s="139"/>
      <c r="AM251" s="139"/>
      <c r="AN251" s="139"/>
      <c r="AO251" s="139"/>
      <c r="AP251" s="139"/>
      <c r="AQ251" s="139"/>
      <c r="AR251" s="139"/>
      <c r="AS251" s="139"/>
      <c r="AT251" s="139"/>
      <c r="AU251" s="139"/>
      <c r="AV251" s="139"/>
    </row>
    <row r="252">
      <c r="A252" s="139"/>
      <c r="B252" s="234"/>
      <c r="C252" s="139"/>
      <c r="D252" s="139"/>
      <c r="E252" s="139"/>
      <c r="F252" s="139"/>
      <c r="G252" s="139"/>
      <c r="H252" s="139"/>
      <c r="I252" s="139"/>
      <c r="J252" s="139"/>
      <c r="K252" s="139"/>
      <c r="L252" s="139"/>
      <c r="M252" s="139"/>
      <c r="N252" s="145"/>
      <c r="O252" s="139"/>
      <c r="P252" s="139"/>
      <c r="Q252" s="231"/>
      <c r="R252" s="139"/>
      <c r="S252" s="235"/>
      <c r="T252" s="235"/>
      <c r="U252" s="145"/>
      <c r="V252" s="145"/>
      <c r="W252" s="111"/>
      <c r="X252" s="233"/>
      <c r="Y252" s="226"/>
      <c r="Z252" s="139"/>
      <c r="AA252" s="139"/>
      <c r="AB252" s="139"/>
      <c r="AC252" s="139"/>
      <c r="AD252" s="139"/>
      <c r="AE252" s="139"/>
      <c r="AF252" s="139"/>
      <c r="AG252" s="139"/>
      <c r="AH252" s="139"/>
      <c r="AI252" s="139"/>
      <c r="AJ252" s="139"/>
      <c r="AK252" s="139"/>
      <c r="AL252" s="139"/>
      <c r="AM252" s="139"/>
      <c r="AN252" s="139"/>
      <c r="AO252" s="139"/>
      <c r="AP252" s="139"/>
      <c r="AQ252" s="139"/>
      <c r="AR252" s="139"/>
      <c r="AS252" s="139"/>
      <c r="AT252" s="139"/>
      <c r="AU252" s="139"/>
      <c r="AV252" s="139"/>
    </row>
    <row r="253">
      <c r="A253" s="139"/>
      <c r="B253" s="234"/>
      <c r="C253" s="139"/>
      <c r="D253" s="139"/>
      <c r="E253" s="139"/>
      <c r="F253" s="139"/>
      <c r="G253" s="139"/>
      <c r="H253" s="139"/>
      <c r="I253" s="139"/>
      <c r="J253" s="139"/>
      <c r="K253" s="139"/>
      <c r="L253" s="139"/>
      <c r="M253" s="139"/>
      <c r="N253" s="145"/>
      <c r="O253" s="139"/>
      <c r="P253" s="139"/>
      <c r="Q253" s="231"/>
      <c r="R253" s="139"/>
      <c r="S253" s="235"/>
      <c r="T253" s="235"/>
      <c r="U253" s="145"/>
      <c r="V253" s="145"/>
      <c r="W253" s="111"/>
      <c r="X253" s="233"/>
      <c r="Y253" s="226"/>
      <c r="Z253" s="139"/>
      <c r="AA253" s="139"/>
      <c r="AB253" s="139"/>
      <c r="AC253" s="139"/>
      <c r="AD253" s="139"/>
      <c r="AE253" s="139"/>
      <c r="AF253" s="139"/>
      <c r="AG253" s="139"/>
      <c r="AH253" s="139"/>
      <c r="AI253" s="139"/>
      <c r="AJ253" s="139"/>
      <c r="AK253" s="139"/>
      <c r="AL253" s="139"/>
      <c r="AM253" s="139"/>
      <c r="AN253" s="139"/>
      <c r="AO253" s="139"/>
      <c r="AP253" s="139"/>
      <c r="AQ253" s="139"/>
      <c r="AR253" s="139"/>
      <c r="AS253" s="139"/>
      <c r="AT253" s="139"/>
      <c r="AU253" s="139"/>
      <c r="AV253" s="139"/>
    </row>
    <row r="254">
      <c r="A254" s="139"/>
      <c r="B254" s="234"/>
      <c r="C254" s="139"/>
      <c r="D254" s="139"/>
      <c r="E254" s="139"/>
      <c r="F254" s="139"/>
      <c r="G254" s="139"/>
      <c r="H254" s="139"/>
      <c r="I254" s="139"/>
      <c r="J254" s="139"/>
      <c r="K254" s="139"/>
      <c r="L254" s="139"/>
      <c r="M254" s="139"/>
      <c r="N254" s="145"/>
      <c r="O254" s="139"/>
      <c r="P254" s="139"/>
      <c r="Q254" s="231"/>
      <c r="R254" s="139"/>
      <c r="S254" s="235"/>
      <c r="T254" s="235"/>
      <c r="U254" s="145"/>
      <c r="V254" s="145"/>
      <c r="W254" s="111"/>
      <c r="X254" s="233"/>
      <c r="Y254" s="226"/>
      <c r="Z254" s="139"/>
      <c r="AA254" s="139"/>
      <c r="AB254" s="139"/>
      <c r="AC254" s="139"/>
      <c r="AD254" s="139"/>
      <c r="AE254" s="139"/>
      <c r="AF254" s="139"/>
      <c r="AG254" s="139"/>
      <c r="AH254" s="139"/>
      <c r="AI254" s="139"/>
      <c r="AJ254" s="139"/>
      <c r="AK254" s="139"/>
      <c r="AL254" s="139"/>
      <c r="AM254" s="139"/>
      <c r="AN254" s="139"/>
      <c r="AO254" s="139"/>
      <c r="AP254" s="139"/>
      <c r="AQ254" s="139"/>
      <c r="AR254" s="139"/>
      <c r="AS254" s="139"/>
      <c r="AT254" s="139"/>
      <c r="AU254" s="139"/>
      <c r="AV254" s="139"/>
    </row>
    <row r="255">
      <c r="A255" s="139"/>
      <c r="B255" s="234"/>
      <c r="C255" s="139"/>
      <c r="D255" s="139"/>
      <c r="E255" s="139"/>
      <c r="F255" s="139"/>
      <c r="G255" s="139"/>
      <c r="H255" s="139"/>
      <c r="I255" s="139"/>
      <c r="J255" s="139"/>
      <c r="K255" s="139"/>
      <c r="L255" s="139"/>
      <c r="M255" s="139"/>
      <c r="N255" s="145"/>
      <c r="O255" s="139"/>
      <c r="P255" s="139"/>
      <c r="Q255" s="231"/>
      <c r="R255" s="139"/>
      <c r="S255" s="235"/>
      <c r="T255" s="235"/>
      <c r="U255" s="145"/>
      <c r="V255" s="145"/>
      <c r="W255" s="111"/>
      <c r="X255" s="233"/>
      <c r="Y255" s="226"/>
      <c r="Z255" s="139"/>
      <c r="AA255" s="139"/>
      <c r="AB255" s="139"/>
      <c r="AC255" s="139"/>
      <c r="AD255" s="139"/>
      <c r="AE255" s="139"/>
      <c r="AF255" s="139"/>
      <c r="AG255" s="139"/>
      <c r="AH255" s="139"/>
      <c r="AI255" s="139"/>
      <c r="AJ255" s="139"/>
      <c r="AK255" s="139"/>
      <c r="AL255" s="139"/>
      <c r="AM255" s="139"/>
      <c r="AN255" s="139"/>
      <c r="AO255" s="139"/>
      <c r="AP255" s="139"/>
      <c r="AQ255" s="139"/>
      <c r="AR255" s="139"/>
      <c r="AS255" s="139"/>
      <c r="AT255" s="139"/>
      <c r="AU255" s="139"/>
      <c r="AV255" s="139"/>
    </row>
    <row r="256">
      <c r="A256" s="139"/>
      <c r="B256" s="234"/>
      <c r="C256" s="139"/>
      <c r="D256" s="139"/>
      <c r="E256" s="139"/>
      <c r="F256" s="139"/>
      <c r="G256" s="139"/>
      <c r="H256" s="139"/>
      <c r="I256" s="139"/>
      <c r="J256" s="139"/>
      <c r="K256" s="139"/>
      <c r="L256" s="139"/>
      <c r="M256" s="139"/>
      <c r="N256" s="145"/>
      <c r="O256" s="139"/>
      <c r="P256" s="139"/>
      <c r="Q256" s="231"/>
      <c r="R256" s="139"/>
      <c r="S256" s="235"/>
      <c r="T256" s="235"/>
      <c r="U256" s="145"/>
      <c r="V256" s="145"/>
      <c r="W256" s="111"/>
      <c r="X256" s="233"/>
      <c r="Y256" s="226"/>
      <c r="Z256" s="139"/>
      <c r="AA256" s="139"/>
      <c r="AB256" s="139"/>
      <c r="AC256" s="139"/>
      <c r="AD256" s="139"/>
      <c r="AE256" s="139"/>
      <c r="AF256" s="139"/>
      <c r="AG256" s="139"/>
      <c r="AH256" s="139"/>
      <c r="AI256" s="139"/>
      <c r="AJ256" s="139"/>
      <c r="AK256" s="139"/>
      <c r="AL256" s="139"/>
      <c r="AM256" s="139"/>
      <c r="AN256" s="139"/>
      <c r="AO256" s="139"/>
      <c r="AP256" s="139"/>
      <c r="AQ256" s="139"/>
      <c r="AR256" s="139"/>
      <c r="AS256" s="139"/>
      <c r="AT256" s="139"/>
      <c r="AU256" s="139"/>
      <c r="AV256" s="139"/>
    </row>
    <row r="257">
      <c r="A257" s="139"/>
      <c r="B257" s="234"/>
      <c r="C257" s="139"/>
      <c r="D257" s="139"/>
      <c r="E257" s="139"/>
      <c r="F257" s="139"/>
      <c r="G257" s="139"/>
      <c r="H257" s="139"/>
      <c r="I257" s="139"/>
      <c r="J257" s="139"/>
      <c r="K257" s="139"/>
      <c r="L257" s="139"/>
      <c r="M257" s="139"/>
      <c r="N257" s="145"/>
      <c r="O257" s="139"/>
      <c r="P257" s="139"/>
      <c r="Q257" s="231"/>
      <c r="R257" s="139"/>
      <c r="S257" s="235"/>
      <c r="T257" s="235"/>
      <c r="U257" s="145"/>
      <c r="V257" s="145"/>
      <c r="W257" s="111"/>
      <c r="X257" s="233"/>
      <c r="Y257" s="226"/>
      <c r="Z257" s="139"/>
      <c r="AA257" s="139"/>
      <c r="AB257" s="139"/>
      <c r="AC257" s="139"/>
      <c r="AD257" s="139"/>
      <c r="AE257" s="139"/>
      <c r="AF257" s="139"/>
      <c r="AG257" s="139"/>
      <c r="AH257" s="139"/>
      <c r="AI257" s="139"/>
      <c r="AJ257" s="139"/>
      <c r="AK257" s="139"/>
      <c r="AL257" s="139"/>
      <c r="AM257" s="139"/>
      <c r="AN257" s="139"/>
      <c r="AO257" s="139"/>
      <c r="AP257" s="139"/>
      <c r="AQ257" s="139"/>
      <c r="AR257" s="139"/>
      <c r="AS257" s="139"/>
      <c r="AT257" s="139"/>
      <c r="AU257" s="139"/>
      <c r="AV257" s="139"/>
    </row>
    <row r="258">
      <c r="A258" s="139"/>
      <c r="B258" s="234"/>
      <c r="C258" s="139"/>
      <c r="D258" s="139"/>
      <c r="E258" s="139"/>
      <c r="F258" s="139"/>
      <c r="G258" s="139"/>
      <c r="H258" s="139"/>
      <c r="I258" s="139"/>
      <c r="J258" s="139"/>
      <c r="K258" s="139"/>
      <c r="L258" s="139"/>
      <c r="M258" s="139"/>
      <c r="N258" s="145"/>
      <c r="O258" s="139"/>
      <c r="P258" s="139"/>
      <c r="Q258" s="231"/>
      <c r="R258" s="139"/>
      <c r="S258" s="235"/>
      <c r="T258" s="235"/>
      <c r="U258" s="145"/>
      <c r="V258" s="145"/>
      <c r="W258" s="111"/>
      <c r="X258" s="233"/>
      <c r="Y258" s="226"/>
      <c r="Z258" s="139"/>
      <c r="AA258" s="139"/>
      <c r="AB258" s="139"/>
      <c r="AC258" s="139"/>
      <c r="AD258" s="139"/>
      <c r="AE258" s="139"/>
      <c r="AF258" s="139"/>
      <c r="AG258" s="139"/>
      <c r="AH258" s="139"/>
      <c r="AI258" s="139"/>
      <c r="AJ258" s="139"/>
      <c r="AK258" s="139"/>
      <c r="AL258" s="139"/>
      <c r="AM258" s="139"/>
      <c r="AN258" s="139"/>
      <c r="AO258" s="139"/>
      <c r="AP258" s="139"/>
      <c r="AQ258" s="139"/>
      <c r="AR258" s="139"/>
      <c r="AS258" s="139"/>
      <c r="AT258" s="139"/>
      <c r="AU258" s="139"/>
      <c r="AV258" s="139"/>
    </row>
    <row r="259">
      <c r="A259" s="139"/>
      <c r="B259" s="234"/>
      <c r="C259" s="139"/>
      <c r="D259" s="139"/>
      <c r="E259" s="139"/>
      <c r="F259" s="139"/>
      <c r="G259" s="139"/>
      <c r="H259" s="139"/>
      <c r="I259" s="139"/>
      <c r="J259" s="139"/>
      <c r="K259" s="139"/>
      <c r="L259" s="139"/>
      <c r="M259" s="139"/>
      <c r="N259" s="145"/>
      <c r="O259" s="139"/>
      <c r="P259" s="139"/>
      <c r="Q259" s="231"/>
      <c r="R259" s="139"/>
      <c r="S259" s="235"/>
      <c r="T259" s="235"/>
      <c r="U259" s="145"/>
      <c r="V259" s="145"/>
      <c r="W259" s="111"/>
      <c r="X259" s="233"/>
      <c r="Y259" s="226"/>
      <c r="Z259" s="139"/>
      <c r="AA259" s="139"/>
      <c r="AB259" s="139"/>
      <c r="AC259" s="139"/>
      <c r="AD259" s="139"/>
      <c r="AE259" s="139"/>
      <c r="AF259" s="139"/>
      <c r="AG259" s="139"/>
      <c r="AH259" s="139"/>
      <c r="AI259" s="139"/>
      <c r="AJ259" s="139"/>
      <c r="AK259" s="139"/>
      <c r="AL259" s="139"/>
      <c r="AM259" s="139"/>
      <c r="AN259" s="139"/>
      <c r="AO259" s="139"/>
      <c r="AP259" s="139"/>
      <c r="AQ259" s="139"/>
      <c r="AR259" s="139"/>
      <c r="AS259" s="139"/>
      <c r="AT259" s="139"/>
      <c r="AU259" s="139"/>
      <c r="AV259" s="139"/>
    </row>
    <row r="260">
      <c r="A260" s="139"/>
      <c r="B260" s="234"/>
      <c r="C260" s="139"/>
      <c r="D260" s="139"/>
      <c r="E260" s="139"/>
      <c r="F260" s="139"/>
      <c r="G260" s="139"/>
      <c r="H260" s="139"/>
      <c r="I260" s="139"/>
      <c r="J260" s="139"/>
      <c r="K260" s="139"/>
      <c r="L260" s="139"/>
      <c r="M260" s="139"/>
      <c r="N260" s="145"/>
      <c r="O260" s="139"/>
      <c r="P260" s="139"/>
      <c r="Q260" s="231"/>
      <c r="R260" s="139"/>
      <c r="S260" s="235"/>
      <c r="T260" s="235"/>
      <c r="U260" s="145"/>
      <c r="V260" s="145"/>
      <c r="W260" s="111"/>
      <c r="X260" s="233"/>
      <c r="Y260" s="226"/>
      <c r="Z260" s="139"/>
      <c r="AA260" s="139"/>
      <c r="AB260" s="139"/>
      <c r="AC260" s="139"/>
      <c r="AD260" s="139"/>
      <c r="AE260" s="139"/>
      <c r="AF260" s="139"/>
      <c r="AG260" s="139"/>
      <c r="AH260" s="139"/>
      <c r="AI260" s="139"/>
      <c r="AJ260" s="139"/>
      <c r="AK260" s="139"/>
      <c r="AL260" s="139"/>
      <c r="AM260" s="139"/>
      <c r="AN260" s="139"/>
      <c r="AO260" s="139"/>
      <c r="AP260" s="139"/>
      <c r="AQ260" s="139"/>
      <c r="AR260" s="139"/>
      <c r="AS260" s="139"/>
      <c r="AT260" s="139"/>
      <c r="AU260" s="139"/>
      <c r="AV260" s="139"/>
    </row>
    <row r="261">
      <c r="A261" s="139"/>
      <c r="B261" s="234"/>
      <c r="C261" s="139"/>
      <c r="D261" s="139"/>
      <c r="E261" s="139"/>
      <c r="F261" s="139"/>
      <c r="G261" s="139"/>
      <c r="H261" s="139"/>
      <c r="I261" s="139"/>
      <c r="J261" s="139"/>
      <c r="K261" s="139"/>
      <c r="L261" s="139"/>
      <c r="M261" s="139"/>
      <c r="N261" s="145"/>
      <c r="O261" s="139"/>
      <c r="P261" s="139"/>
      <c r="Q261" s="231"/>
      <c r="R261" s="139"/>
      <c r="S261" s="235"/>
      <c r="T261" s="235"/>
      <c r="U261" s="145"/>
      <c r="V261" s="145"/>
      <c r="W261" s="111"/>
      <c r="X261" s="233"/>
      <c r="Y261" s="226"/>
      <c r="Z261" s="139"/>
      <c r="AA261" s="139"/>
      <c r="AB261" s="139"/>
      <c r="AC261" s="139"/>
      <c r="AD261" s="139"/>
      <c r="AE261" s="139"/>
      <c r="AF261" s="139"/>
      <c r="AG261" s="139"/>
      <c r="AH261" s="139"/>
      <c r="AI261" s="139"/>
      <c r="AJ261" s="139"/>
      <c r="AK261" s="139"/>
      <c r="AL261" s="139"/>
      <c r="AM261" s="139"/>
      <c r="AN261" s="139"/>
      <c r="AO261" s="139"/>
      <c r="AP261" s="139"/>
      <c r="AQ261" s="139"/>
      <c r="AR261" s="139"/>
      <c r="AS261" s="139"/>
      <c r="AT261" s="139"/>
      <c r="AU261" s="139"/>
      <c r="AV261" s="139"/>
    </row>
    <row r="262">
      <c r="A262" s="139"/>
      <c r="B262" s="234"/>
      <c r="C262" s="139"/>
      <c r="D262" s="139"/>
      <c r="E262" s="139"/>
      <c r="F262" s="139"/>
      <c r="G262" s="139"/>
      <c r="H262" s="139"/>
      <c r="I262" s="139"/>
      <c r="J262" s="139"/>
      <c r="K262" s="139"/>
      <c r="L262" s="139"/>
      <c r="M262" s="139"/>
      <c r="N262" s="145"/>
      <c r="O262" s="139"/>
      <c r="P262" s="139"/>
      <c r="Q262" s="231"/>
      <c r="R262" s="139"/>
      <c r="S262" s="235"/>
      <c r="T262" s="235"/>
      <c r="U262" s="145"/>
      <c r="V262" s="145"/>
      <c r="W262" s="111"/>
      <c r="X262" s="233"/>
      <c r="Y262" s="226"/>
      <c r="Z262" s="139"/>
      <c r="AA262" s="139"/>
      <c r="AB262" s="139"/>
      <c r="AC262" s="139"/>
      <c r="AD262" s="139"/>
      <c r="AE262" s="139"/>
      <c r="AF262" s="139"/>
      <c r="AG262" s="139"/>
      <c r="AH262" s="139"/>
      <c r="AI262" s="139"/>
      <c r="AJ262" s="139"/>
      <c r="AK262" s="139"/>
      <c r="AL262" s="139"/>
      <c r="AM262" s="139"/>
      <c r="AN262" s="139"/>
      <c r="AO262" s="139"/>
      <c r="AP262" s="139"/>
      <c r="AQ262" s="139"/>
      <c r="AR262" s="139"/>
      <c r="AS262" s="139"/>
      <c r="AT262" s="139"/>
      <c r="AU262" s="139"/>
      <c r="AV262" s="139"/>
    </row>
    <row r="263">
      <c r="A263" s="139"/>
      <c r="B263" s="234"/>
      <c r="C263" s="139"/>
      <c r="D263" s="139"/>
      <c r="E263" s="139"/>
      <c r="F263" s="139"/>
      <c r="G263" s="139"/>
      <c r="H263" s="139"/>
      <c r="I263" s="139"/>
      <c r="J263" s="139"/>
      <c r="K263" s="139"/>
      <c r="L263" s="139"/>
      <c r="M263" s="139"/>
      <c r="N263" s="145"/>
      <c r="O263" s="139"/>
      <c r="P263" s="139"/>
      <c r="Q263" s="231"/>
      <c r="R263" s="139"/>
      <c r="S263" s="235"/>
      <c r="T263" s="235"/>
      <c r="U263" s="145"/>
      <c r="V263" s="145"/>
      <c r="W263" s="111"/>
      <c r="X263" s="233"/>
      <c r="Y263" s="226"/>
      <c r="Z263" s="139"/>
      <c r="AA263" s="139"/>
      <c r="AB263" s="139"/>
      <c r="AC263" s="139"/>
      <c r="AD263" s="139"/>
      <c r="AE263" s="139"/>
      <c r="AF263" s="139"/>
      <c r="AG263" s="139"/>
      <c r="AH263" s="139"/>
      <c r="AI263" s="139"/>
      <c r="AJ263" s="139"/>
      <c r="AK263" s="139"/>
      <c r="AL263" s="139"/>
      <c r="AM263" s="139"/>
      <c r="AN263" s="139"/>
      <c r="AO263" s="139"/>
      <c r="AP263" s="139"/>
      <c r="AQ263" s="139"/>
      <c r="AR263" s="139"/>
      <c r="AS263" s="139"/>
      <c r="AT263" s="139"/>
      <c r="AU263" s="139"/>
      <c r="AV263" s="139"/>
    </row>
    <row r="264">
      <c r="A264" s="139"/>
      <c r="B264" s="234"/>
      <c r="C264" s="139"/>
      <c r="D264" s="139"/>
      <c r="E264" s="139"/>
      <c r="F264" s="139"/>
      <c r="G264" s="139"/>
      <c r="H264" s="139"/>
      <c r="I264" s="139"/>
      <c r="J264" s="139"/>
      <c r="K264" s="139"/>
      <c r="L264" s="139"/>
      <c r="M264" s="139"/>
      <c r="N264" s="145"/>
      <c r="O264" s="139"/>
      <c r="P264" s="139"/>
      <c r="Q264" s="231"/>
      <c r="R264" s="139"/>
      <c r="S264" s="235"/>
      <c r="T264" s="235"/>
      <c r="U264" s="145"/>
      <c r="V264" s="145"/>
      <c r="W264" s="111"/>
      <c r="X264" s="233"/>
      <c r="Y264" s="226"/>
      <c r="Z264" s="139"/>
      <c r="AA264" s="139"/>
      <c r="AB264" s="139"/>
      <c r="AC264" s="139"/>
      <c r="AD264" s="139"/>
      <c r="AE264" s="139"/>
      <c r="AF264" s="139"/>
      <c r="AG264" s="139"/>
      <c r="AH264" s="139"/>
      <c r="AI264" s="139"/>
      <c r="AJ264" s="139"/>
      <c r="AK264" s="139"/>
      <c r="AL264" s="139"/>
      <c r="AM264" s="139"/>
      <c r="AN264" s="139"/>
      <c r="AO264" s="139"/>
      <c r="AP264" s="139"/>
      <c r="AQ264" s="139"/>
      <c r="AR264" s="139"/>
      <c r="AS264" s="139"/>
      <c r="AT264" s="139"/>
      <c r="AU264" s="139"/>
      <c r="AV264" s="139"/>
    </row>
    <row r="265">
      <c r="A265" s="139"/>
      <c r="B265" s="234"/>
      <c r="C265" s="139"/>
      <c r="D265" s="139"/>
      <c r="E265" s="139"/>
      <c r="F265" s="139"/>
      <c r="G265" s="139"/>
      <c r="H265" s="139"/>
      <c r="I265" s="139"/>
      <c r="J265" s="139"/>
      <c r="K265" s="139"/>
      <c r="L265" s="139"/>
      <c r="M265" s="139"/>
      <c r="N265" s="145"/>
      <c r="O265" s="139"/>
      <c r="P265" s="139"/>
      <c r="Q265" s="231"/>
      <c r="R265" s="139"/>
      <c r="S265" s="235"/>
      <c r="T265" s="235"/>
      <c r="U265" s="145"/>
      <c r="V265" s="145"/>
      <c r="W265" s="111"/>
      <c r="X265" s="233"/>
      <c r="Y265" s="226"/>
      <c r="Z265" s="139"/>
      <c r="AA265" s="139"/>
      <c r="AB265" s="139"/>
      <c r="AC265" s="139"/>
      <c r="AD265" s="139"/>
      <c r="AE265" s="139"/>
      <c r="AF265" s="139"/>
      <c r="AG265" s="139"/>
      <c r="AH265" s="139"/>
      <c r="AI265" s="139"/>
      <c r="AJ265" s="139"/>
      <c r="AK265" s="139"/>
      <c r="AL265" s="139"/>
      <c r="AM265" s="139"/>
      <c r="AN265" s="139"/>
      <c r="AO265" s="139"/>
      <c r="AP265" s="139"/>
      <c r="AQ265" s="139"/>
      <c r="AR265" s="139"/>
      <c r="AS265" s="139"/>
      <c r="AT265" s="139"/>
      <c r="AU265" s="139"/>
      <c r="AV265" s="139"/>
    </row>
    <row r="266">
      <c r="A266" s="139"/>
      <c r="B266" s="234"/>
      <c r="C266" s="139"/>
      <c r="D266" s="139"/>
      <c r="E266" s="139"/>
      <c r="F266" s="139"/>
      <c r="G266" s="139"/>
      <c r="H266" s="139"/>
      <c r="I266" s="139"/>
      <c r="J266" s="139"/>
      <c r="K266" s="139"/>
      <c r="L266" s="139"/>
      <c r="M266" s="139"/>
      <c r="N266" s="145"/>
      <c r="O266" s="139"/>
      <c r="P266" s="139"/>
      <c r="Q266" s="231"/>
      <c r="R266" s="139"/>
      <c r="S266" s="235"/>
      <c r="T266" s="235"/>
      <c r="U266" s="145"/>
      <c r="V266" s="145"/>
      <c r="W266" s="111"/>
      <c r="X266" s="233"/>
      <c r="Y266" s="226"/>
      <c r="Z266" s="139"/>
      <c r="AA266" s="139"/>
      <c r="AB266" s="139"/>
      <c r="AC266" s="139"/>
      <c r="AD266" s="139"/>
      <c r="AE266" s="139"/>
      <c r="AF266" s="139"/>
      <c r="AG266" s="139"/>
      <c r="AH266" s="139"/>
      <c r="AI266" s="139"/>
      <c r="AJ266" s="139"/>
      <c r="AK266" s="139"/>
      <c r="AL266" s="139"/>
      <c r="AM266" s="139"/>
      <c r="AN266" s="139"/>
      <c r="AO266" s="139"/>
      <c r="AP266" s="139"/>
      <c r="AQ266" s="139"/>
      <c r="AR266" s="139"/>
      <c r="AS266" s="139"/>
      <c r="AT266" s="139"/>
      <c r="AU266" s="139"/>
      <c r="AV266" s="139"/>
    </row>
    <row r="267">
      <c r="A267" s="139"/>
      <c r="B267" s="234"/>
      <c r="C267" s="139"/>
      <c r="D267" s="139"/>
      <c r="E267" s="139"/>
      <c r="F267" s="139"/>
      <c r="G267" s="139"/>
      <c r="H267" s="139"/>
      <c r="I267" s="139"/>
      <c r="J267" s="139"/>
      <c r="K267" s="139"/>
      <c r="L267" s="139"/>
      <c r="M267" s="139"/>
      <c r="N267" s="145"/>
      <c r="O267" s="139"/>
      <c r="P267" s="139"/>
      <c r="Q267" s="231"/>
      <c r="R267" s="139"/>
      <c r="S267" s="235"/>
      <c r="T267" s="235"/>
      <c r="U267" s="145"/>
      <c r="V267" s="145"/>
      <c r="W267" s="111"/>
      <c r="X267" s="233"/>
      <c r="Y267" s="226"/>
      <c r="Z267" s="139"/>
      <c r="AA267" s="139"/>
      <c r="AB267" s="139"/>
      <c r="AC267" s="139"/>
      <c r="AD267" s="139"/>
      <c r="AE267" s="139"/>
      <c r="AF267" s="139"/>
      <c r="AG267" s="139"/>
      <c r="AH267" s="139"/>
      <c r="AI267" s="139"/>
      <c r="AJ267" s="139"/>
      <c r="AK267" s="139"/>
      <c r="AL267" s="139"/>
      <c r="AM267" s="139"/>
      <c r="AN267" s="139"/>
      <c r="AO267" s="139"/>
      <c r="AP267" s="139"/>
      <c r="AQ267" s="139"/>
      <c r="AR267" s="139"/>
      <c r="AS267" s="139"/>
      <c r="AT267" s="139"/>
      <c r="AU267" s="139"/>
      <c r="AV267" s="139"/>
    </row>
    <row r="268">
      <c r="A268" s="139"/>
      <c r="B268" s="234"/>
      <c r="C268" s="139"/>
      <c r="D268" s="139"/>
      <c r="E268" s="139"/>
      <c r="F268" s="139"/>
      <c r="G268" s="139"/>
      <c r="H268" s="139"/>
      <c r="I268" s="139"/>
      <c r="J268" s="139"/>
      <c r="K268" s="139"/>
      <c r="L268" s="139"/>
      <c r="M268" s="139"/>
      <c r="N268" s="145"/>
      <c r="O268" s="139"/>
      <c r="P268" s="139"/>
      <c r="Q268" s="231"/>
      <c r="R268" s="139"/>
      <c r="S268" s="235"/>
      <c r="T268" s="235"/>
      <c r="U268" s="145"/>
      <c r="V268" s="145"/>
      <c r="W268" s="111"/>
      <c r="X268" s="233"/>
      <c r="Y268" s="226"/>
      <c r="Z268" s="139"/>
      <c r="AA268" s="139"/>
      <c r="AB268" s="139"/>
      <c r="AC268" s="139"/>
      <c r="AD268" s="139"/>
      <c r="AE268" s="139"/>
      <c r="AF268" s="139"/>
      <c r="AG268" s="139"/>
      <c r="AH268" s="139"/>
      <c r="AI268" s="139"/>
      <c r="AJ268" s="139"/>
      <c r="AK268" s="139"/>
      <c r="AL268" s="139"/>
      <c r="AM268" s="139"/>
      <c r="AN268" s="139"/>
      <c r="AO268" s="139"/>
      <c r="AP268" s="139"/>
      <c r="AQ268" s="139"/>
      <c r="AR268" s="139"/>
      <c r="AS268" s="139"/>
      <c r="AT268" s="139"/>
      <c r="AU268" s="139"/>
      <c r="AV268" s="139"/>
    </row>
    <row r="269">
      <c r="A269" s="139"/>
      <c r="B269" s="234"/>
      <c r="C269" s="139"/>
      <c r="D269" s="139"/>
      <c r="E269" s="139"/>
      <c r="F269" s="139"/>
      <c r="G269" s="139"/>
      <c r="H269" s="139"/>
      <c r="I269" s="139"/>
      <c r="J269" s="139"/>
      <c r="K269" s="139"/>
      <c r="L269" s="139"/>
      <c r="M269" s="139"/>
      <c r="N269" s="145"/>
      <c r="O269" s="139"/>
      <c r="P269" s="139"/>
      <c r="Q269" s="231"/>
      <c r="R269" s="139"/>
      <c r="S269" s="235"/>
      <c r="T269" s="235"/>
      <c r="U269" s="145"/>
      <c r="V269" s="145"/>
      <c r="W269" s="111"/>
      <c r="X269" s="233"/>
      <c r="Y269" s="226"/>
      <c r="Z269" s="139"/>
      <c r="AA269" s="139"/>
      <c r="AB269" s="139"/>
      <c r="AC269" s="139"/>
      <c r="AD269" s="139"/>
      <c r="AE269" s="139"/>
      <c r="AF269" s="139"/>
      <c r="AG269" s="139"/>
      <c r="AH269" s="139"/>
      <c r="AI269" s="139"/>
      <c r="AJ269" s="139"/>
      <c r="AK269" s="139"/>
      <c r="AL269" s="139"/>
      <c r="AM269" s="139"/>
      <c r="AN269" s="139"/>
      <c r="AO269" s="139"/>
      <c r="AP269" s="139"/>
      <c r="AQ269" s="139"/>
      <c r="AR269" s="139"/>
      <c r="AS269" s="139"/>
      <c r="AT269" s="139"/>
      <c r="AU269" s="139"/>
      <c r="AV269" s="139"/>
    </row>
    <row r="270">
      <c r="A270" s="139"/>
      <c r="B270" s="234"/>
      <c r="C270" s="139"/>
      <c r="D270" s="139"/>
      <c r="E270" s="139"/>
      <c r="F270" s="139"/>
      <c r="G270" s="139"/>
      <c r="H270" s="139"/>
      <c r="I270" s="139"/>
      <c r="J270" s="139"/>
      <c r="K270" s="139"/>
      <c r="L270" s="139"/>
      <c r="M270" s="139"/>
      <c r="N270" s="145"/>
      <c r="O270" s="139"/>
      <c r="P270" s="139"/>
      <c r="Q270" s="231"/>
      <c r="R270" s="139"/>
      <c r="S270" s="235"/>
      <c r="T270" s="235"/>
      <c r="U270" s="145"/>
      <c r="V270" s="145"/>
      <c r="W270" s="111"/>
      <c r="X270" s="233"/>
      <c r="Y270" s="226"/>
      <c r="Z270" s="139"/>
      <c r="AA270" s="139"/>
      <c r="AB270" s="139"/>
      <c r="AC270" s="139"/>
      <c r="AD270" s="139"/>
      <c r="AE270" s="139"/>
      <c r="AF270" s="139"/>
      <c r="AG270" s="139"/>
      <c r="AH270" s="139"/>
      <c r="AI270" s="139"/>
      <c r="AJ270" s="139"/>
      <c r="AK270" s="139"/>
      <c r="AL270" s="139"/>
      <c r="AM270" s="139"/>
      <c r="AN270" s="139"/>
      <c r="AO270" s="139"/>
      <c r="AP270" s="139"/>
      <c r="AQ270" s="139"/>
      <c r="AR270" s="139"/>
      <c r="AS270" s="139"/>
      <c r="AT270" s="139"/>
      <c r="AU270" s="139"/>
      <c r="AV270" s="139"/>
    </row>
    <row r="271">
      <c r="A271" s="139"/>
      <c r="B271" s="234"/>
      <c r="C271" s="139"/>
      <c r="D271" s="139"/>
      <c r="E271" s="139"/>
      <c r="F271" s="139"/>
      <c r="G271" s="139"/>
      <c r="H271" s="139"/>
      <c r="I271" s="139"/>
      <c r="J271" s="139"/>
      <c r="K271" s="139"/>
      <c r="L271" s="139"/>
      <c r="M271" s="139"/>
      <c r="N271" s="145"/>
      <c r="O271" s="139"/>
      <c r="P271" s="139"/>
      <c r="Q271" s="231"/>
      <c r="R271" s="139"/>
      <c r="S271" s="235"/>
      <c r="T271" s="235"/>
      <c r="U271" s="145"/>
      <c r="V271" s="145"/>
      <c r="W271" s="111"/>
      <c r="X271" s="233"/>
      <c r="Y271" s="226"/>
      <c r="Z271" s="139"/>
      <c r="AA271" s="139"/>
      <c r="AB271" s="139"/>
      <c r="AC271" s="139"/>
      <c r="AD271" s="139"/>
      <c r="AE271" s="139"/>
      <c r="AF271" s="139"/>
      <c r="AG271" s="139"/>
      <c r="AH271" s="139"/>
      <c r="AI271" s="139"/>
      <c r="AJ271" s="139"/>
      <c r="AK271" s="139"/>
      <c r="AL271" s="139"/>
      <c r="AM271" s="139"/>
      <c r="AN271" s="139"/>
      <c r="AO271" s="139"/>
      <c r="AP271" s="139"/>
      <c r="AQ271" s="139"/>
      <c r="AR271" s="139"/>
      <c r="AS271" s="139"/>
      <c r="AT271" s="139"/>
      <c r="AU271" s="139"/>
      <c r="AV271" s="139"/>
    </row>
    <row r="272">
      <c r="A272" s="139"/>
      <c r="B272" s="234"/>
      <c r="C272" s="139"/>
      <c r="D272" s="139"/>
      <c r="E272" s="139"/>
      <c r="F272" s="139"/>
      <c r="G272" s="139"/>
      <c r="H272" s="139"/>
      <c r="I272" s="139"/>
      <c r="J272" s="139"/>
      <c r="K272" s="139"/>
      <c r="L272" s="139"/>
      <c r="M272" s="139"/>
      <c r="N272" s="145"/>
      <c r="O272" s="139"/>
      <c r="P272" s="139"/>
      <c r="Q272" s="231"/>
      <c r="R272" s="139"/>
      <c r="S272" s="235"/>
      <c r="T272" s="235"/>
      <c r="U272" s="145"/>
      <c r="V272" s="145"/>
      <c r="W272" s="111"/>
      <c r="X272" s="233"/>
      <c r="Y272" s="226"/>
      <c r="Z272" s="139"/>
      <c r="AA272" s="139"/>
      <c r="AB272" s="139"/>
      <c r="AC272" s="139"/>
      <c r="AD272" s="139"/>
      <c r="AE272" s="139"/>
      <c r="AF272" s="139"/>
      <c r="AG272" s="139"/>
      <c r="AH272" s="139"/>
      <c r="AI272" s="139"/>
      <c r="AJ272" s="139"/>
      <c r="AK272" s="139"/>
      <c r="AL272" s="139"/>
      <c r="AM272" s="139"/>
      <c r="AN272" s="139"/>
      <c r="AO272" s="139"/>
      <c r="AP272" s="139"/>
      <c r="AQ272" s="139"/>
      <c r="AR272" s="139"/>
      <c r="AS272" s="139"/>
      <c r="AT272" s="139"/>
      <c r="AU272" s="139"/>
      <c r="AV272" s="139"/>
    </row>
    <row r="273">
      <c r="A273" s="139"/>
      <c r="B273" s="234"/>
      <c r="C273" s="139"/>
      <c r="D273" s="139"/>
      <c r="E273" s="139"/>
      <c r="F273" s="139"/>
      <c r="G273" s="139"/>
      <c r="H273" s="139"/>
      <c r="I273" s="139"/>
      <c r="J273" s="139"/>
      <c r="K273" s="139"/>
      <c r="L273" s="139"/>
      <c r="M273" s="139"/>
      <c r="N273" s="145"/>
      <c r="O273" s="139"/>
      <c r="P273" s="139"/>
      <c r="Q273" s="231"/>
      <c r="R273" s="139"/>
      <c r="S273" s="235"/>
      <c r="T273" s="235"/>
      <c r="U273" s="145"/>
      <c r="V273" s="145"/>
      <c r="W273" s="111"/>
      <c r="X273" s="233"/>
      <c r="Y273" s="226"/>
      <c r="Z273" s="139"/>
      <c r="AA273" s="139"/>
      <c r="AB273" s="139"/>
      <c r="AC273" s="139"/>
      <c r="AD273" s="139"/>
      <c r="AE273" s="139"/>
      <c r="AF273" s="139"/>
      <c r="AG273" s="139"/>
      <c r="AH273" s="139"/>
      <c r="AI273" s="139"/>
      <c r="AJ273" s="139"/>
      <c r="AK273" s="139"/>
      <c r="AL273" s="139"/>
      <c r="AM273" s="139"/>
      <c r="AN273" s="139"/>
      <c r="AO273" s="139"/>
      <c r="AP273" s="139"/>
      <c r="AQ273" s="139"/>
      <c r="AR273" s="139"/>
      <c r="AS273" s="139"/>
      <c r="AT273" s="139"/>
      <c r="AU273" s="139"/>
      <c r="AV273" s="139"/>
    </row>
    <row r="274">
      <c r="A274" s="139"/>
      <c r="B274" s="234"/>
      <c r="C274" s="139"/>
      <c r="D274" s="139"/>
      <c r="E274" s="139"/>
      <c r="F274" s="139"/>
      <c r="G274" s="139"/>
      <c r="H274" s="139"/>
      <c r="I274" s="139"/>
      <c r="J274" s="139"/>
      <c r="K274" s="139"/>
      <c r="L274" s="139"/>
      <c r="M274" s="139"/>
      <c r="N274" s="145"/>
      <c r="O274" s="139"/>
      <c r="P274" s="139"/>
      <c r="Q274" s="231"/>
      <c r="R274" s="139"/>
      <c r="S274" s="235"/>
      <c r="T274" s="235"/>
      <c r="U274" s="145"/>
      <c r="V274" s="145"/>
      <c r="W274" s="111"/>
      <c r="X274" s="233"/>
      <c r="Y274" s="226"/>
      <c r="Z274" s="139"/>
      <c r="AA274" s="139"/>
      <c r="AB274" s="139"/>
      <c r="AC274" s="139"/>
      <c r="AD274" s="139"/>
      <c r="AE274" s="139"/>
      <c r="AF274" s="139"/>
      <c r="AG274" s="139"/>
      <c r="AH274" s="139"/>
      <c r="AI274" s="139"/>
      <c r="AJ274" s="139"/>
      <c r="AK274" s="139"/>
      <c r="AL274" s="139"/>
      <c r="AM274" s="139"/>
      <c r="AN274" s="139"/>
      <c r="AO274" s="139"/>
      <c r="AP274" s="139"/>
      <c r="AQ274" s="139"/>
      <c r="AR274" s="139"/>
      <c r="AS274" s="139"/>
      <c r="AT274" s="139"/>
      <c r="AU274" s="139"/>
      <c r="AV274" s="139"/>
    </row>
    <row r="275">
      <c r="A275" s="139"/>
      <c r="B275" s="234"/>
      <c r="C275" s="139"/>
      <c r="D275" s="139"/>
      <c r="E275" s="139"/>
      <c r="F275" s="139"/>
      <c r="G275" s="139"/>
      <c r="H275" s="139"/>
      <c r="I275" s="139"/>
      <c r="J275" s="139"/>
      <c r="K275" s="139"/>
      <c r="L275" s="139"/>
      <c r="M275" s="139"/>
      <c r="N275" s="145"/>
      <c r="O275" s="139"/>
      <c r="P275" s="139"/>
      <c r="Q275" s="231"/>
      <c r="R275" s="139"/>
      <c r="S275" s="235"/>
      <c r="T275" s="235"/>
      <c r="U275" s="145"/>
      <c r="V275" s="145"/>
      <c r="W275" s="111"/>
      <c r="X275" s="233"/>
      <c r="Y275" s="226"/>
      <c r="Z275" s="139"/>
      <c r="AA275" s="139"/>
      <c r="AB275" s="139"/>
      <c r="AC275" s="139"/>
      <c r="AD275" s="139"/>
      <c r="AE275" s="139"/>
      <c r="AF275" s="139"/>
      <c r="AG275" s="139"/>
      <c r="AH275" s="139"/>
      <c r="AI275" s="139"/>
      <c r="AJ275" s="139"/>
      <c r="AK275" s="139"/>
      <c r="AL275" s="139"/>
      <c r="AM275" s="139"/>
      <c r="AN275" s="139"/>
      <c r="AO275" s="139"/>
      <c r="AP275" s="139"/>
      <c r="AQ275" s="139"/>
      <c r="AR275" s="139"/>
      <c r="AS275" s="139"/>
      <c r="AT275" s="139"/>
      <c r="AU275" s="139"/>
      <c r="AV275" s="139"/>
    </row>
    <row r="276">
      <c r="A276" s="139"/>
      <c r="B276" s="234"/>
      <c r="C276" s="139"/>
      <c r="D276" s="139"/>
      <c r="E276" s="139"/>
      <c r="F276" s="139"/>
      <c r="G276" s="139"/>
      <c r="H276" s="139"/>
      <c r="I276" s="139"/>
      <c r="J276" s="139"/>
      <c r="K276" s="139"/>
      <c r="L276" s="139"/>
      <c r="M276" s="139"/>
      <c r="N276" s="145"/>
      <c r="O276" s="139"/>
      <c r="P276" s="139"/>
      <c r="Q276" s="231"/>
      <c r="R276" s="139"/>
      <c r="S276" s="235"/>
      <c r="T276" s="235"/>
      <c r="U276" s="145"/>
      <c r="V276" s="145"/>
      <c r="W276" s="111"/>
      <c r="X276" s="233"/>
      <c r="Y276" s="226"/>
      <c r="Z276" s="139"/>
      <c r="AA276" s="139"/>
      <c r="AB276" s="139"/>
      <c r="AC276" s="139"/>
      <c r="AD276" s="139"/>
      <c r="AE276" s="139"/>
      <c r="AF276" s="139"/>
      <c r="AG276" s="139"/>
      <c r="AH276" s="139"/>
      <c r="AI276" s="139"/>
      <c r="AJ276" s="139"/>
      <c r="AK276" s="139"/>
      <c r="AL276" s="139"/>
      <c r="AM276" s="139"/>
      <c r="AN276" s="139"/>
      <c r="AO276" s="139"/>
      <c r="AP276" s="139"/>
      <c r="AQ276" s="139"/>
      <c r="AR276" s="139"/>
      <c r="AS276" s="139"/>
      <c r="AT276" s="139"/>
      <c r="AU276" s="139"/>
      <c r="AV276" s="139"/>
    </row>
    <row r="277">
      <c r="A277" s="139"/>
      <c r="B277" s="234"/>
      <c r="C277" s="139"/>
      <c r="D277" s="139"/>
      <c r="E277" s="139"/>
      <c r="F277" s="139"/>
      <c r="G277" s="139"/>
      <c r="H277" s="139"/>
      <c r="I277" s="139"/>
      <c r="J277" s="139"/>
      <c r="K277" s="139"/>
      <c r="L277" s="139"/>
      <c r="M277" s="139"/>
      <c r="N277" s="145"/>
      <c r="O277" s="139"/>
      <c r="P277" s="139"/>
      <c r="Q277" s="231"/>
      <c r="R277" s="139"/>
      <c r="S277" s="235"/>
      <c r="T277" s="235"/>
      <c r="U277" s="145"/>
      <c r="V277" s="145"/>
      <c r="W277" s="111"/>
      <c r="X277" s="233"/>
      <c r="Y277" s="226"/>
      <c r="Z277" s="139"/>
      <c r="AA277" s="139"/>
      <c r="AB277" s="139"/>
      <c r="AC277" s="139"/>
      <c r="AD277" s="139"/>
      <c r="AE277" s="139"/>
      <c r="AF277" s="139"/>
      <c r="AG277" s="139"/>
      <c r="AH277" s="139"/>
      <c r="AI277" s="139"/>
      <c r="AJ277" s="139"/>
      <c r="AK277" s="139"/>
      <c r="AL277" s="139"/>
      <c r="AM277" s="139"/>
      <c r="AN277" s="139"/>
      <c r="AO277" s="139"/>
      <c r="AP277" s="139"/>
      <c r="AQ277" s="139"/>
      <c r="AR277" s="139"/>
      <c r="AS277" s="139"/>
      <c r="AT277" s="139"/>
      <c r="AU277" s="139"/>
      <c r="AV277" s="139"/>
    </row>
    <row r="278">
      <c r="A278" s="139"/>
      <c r="B278" s="234"/>
      <c r="C278" s="139"/>
      <c r="D278" s="139"/>
      <c r="E278" s="139"/>
      <c r="F278" s="139"/>
      <c r="G278" s="139"/>
      <c r="H278" s="139"/>
      <c r="I278" s="139"/>
      <c r="J278" s="139"/>
      <c r="K278" s="139"/>
      <c r="L278" s="139"/>
      <c r="M278" s="139"/>
      <c r="N278" s="145"/>
      <c r="O278" s="139"/>
      <c r="P278" s="139"/>
      <c r="Q278" s="231"/>
      <c r="R278" s="139"/>
      <c r="S278" s="235"/>
      <c r="T278" s="235"/>
      <c r="U278" s="145"/>
      <c r="V278" s="145"/>
      <c r="W278" s="111"/>
      <c r="X278" s="233"/>
      <c r="Y278" s="226"/>
      <c r="Z278" s="139"/>
      <c r="AA278" s="139"/>
      <c r="AB278" s="139"/>
      <c r="AC278" s="139"/>
      <c r="AD278" s="139"/>
      <c r="AE278" s="139"/>
      <c r="AF278" s="139"/>
      <c r="AG278" s="139"/>
      <c r="AH278" s="139"/>
      <c r="AI278" s="139"/>
      <c r="AJ278" s="139"/>
      <c r="AK278" s="139"/>
      <c r="AL278" s="139"/>
      <c r="AM278" s="139"/>
      <c r="AN278" s="139"/>
      <c r="AO278" s="139"/>
      <c r="AP278" s="139"/>
      <c r="AQ278" s="139"/>
      <c r="AR278" s="139"/>
      <c r="AS278" s="139"/>
      <c r="AT278" s="139"/>
      <c r="AU278" s="139"/>
      <c r="AV278" s="139"/>
    </row>
    <row r="279">
      <c r="A279" s="139"/>
      <c r="B279" s="234"/>
      <c r="C279" s="139"/>
      <c r="D279" s="139"/>
      <c r="E279" s="139"/>
      <c r="F279" s="139"/>
      <c r="G279" s="139"/>
      <c r="H279" s="139"/>
      <c r="I279" s="139"/>
      <c r="J279" s="139"/>
      <c r="K279" s="139"/>
      <c r="L279" s="139"/>
      <c r="M279" s="139"/>
      <c r="N279" s="145"/>
      <c r="O279" s="139"/>
      <c r="P279" s="139"/>
      <c r="Q279" s="231"/>
      <c r="R279" s="139"/>
      <c r="S279" s="235"/>
      <c r="T279" s="235"/>
      <c r="U279" s="145"/>
      <c r="V279" s="145"/>
      <c r="W279" s="111"/>
      <c r="X279" s="233"/>
      <c r="Y279" s="226"/>
      <c r="Z279" s="139"/>
      <c r="AA279" s="139"/>
      <c r="AB279" s="139"/>
      <c r="AC279" s="139"/>
      <c r="AD279" s="139"/>
      <c r="AE279" s="139"/>
      <c r="AF279" s="139"/>
      <c r="AG279" s="139"/>
      <c r="AH279" s="139"/>
      <c r="AI279" s="139"/>
      <c r="AJ279" s="139"/>
      <c r="AK279" s="139"/>
      <c r="AL279" s="139"/>
      <c r="AM279" s="139"/>
      <c r="AN279" s="139"/>
      <c r="AO279" s="139"/>
      <c r="AP279" s="139"/>
      <c r="AQ279" s="139"/>
      <c r="AR279" s="139"/>
      <c r="AS279" s="139"/>
      <c r="AT279" s="139"/>
      <c r="AU279" s="139"/>
      <c r="AV279" s="139"/>
    </row>
    <row r="280">
      <c r="A280" s="139"/>
      <c r="B280" s="234"/>
      <c r="C280" s="139"/>
      <c r="D280" s="139"/>
      <c r="E280" s="139"/>
      <c r="F280" s="139"/>
      <c r="G280" s="139"/>
      <c r="H280" s="139"/>
      <c r="I280" s="139"/>
      <c r="J280" s="139"/>
      <c r="K280" s="139"/>
      <c r="L280" s="139"/>
      <c r="M280" s="139"/>
      <c r="N280" s="145"/>
      <c r="O280" s="139"/>
      <c r="P280" s="139"/>
      <c r="Q280" s="231"/>
      <c r="R280" s="139"/>
      <c r="S280" s="235"/>
      <c r="T280" s="235"/>
      <c r="U280" s="145"/>
      <c r="V280" s="145"/>
      <c r="W280" s="111"/>
      <c r="X280" s="233"/>
      <c r="Y280" s="226"/>
      <c r="Z280" s="139"/>
      <c r="AA280" s="139"/>
      <c r="AB280" s="139"/>
      <c r="AC280" s="139"/>
      <c r="AD280" s="139"/>
      <c r="AE280" s="139"/>
      <c r="AF280" s="139"/>
      <c r="AG280" s="139"/>
      <c r="AH280" s="139"/>
      <c r="AI280" s="139"/>
      <c r="AJ280" s="139"/>
      <c r="AK280" s="139"/>
      <c r="AL280" s="139"/>
      <c r="AM280" s="139"/>
      <c r="AN280" s="139"/>
      <c r="AO280" s="139"/>
      <c r="AP280" s="139"/>
      <c r="AQ280" s="139"/>
      <c r="AR280" s="139"/>
      <c r="AS280" s="139"/>
      <c r="AT280" s="139"/>
      <c r="AU280" s="139"/>
      <c r="AV280" s="139"/>
    </row>
    <row r="281">
      <c r="A281" s="139"/>
      <c r="B281" s="234"/>
      <c r="C281" s="139"/>
      <c r="D281" s="139"/>
      <c r="E281" s="139"/>
      <c r="F281" s="139"/>
      <c r="G281" s="139"/>
      <c r="H281" s="139"/>
      <c r="I281" s="139"/>
      <c r="J281" s="139"/>
      <c r="K281" s="139"/>
      <c r="L281" s="139"/>
      <c r="M281" s="139"/>
      <c r="N281" s="145"/>
      <c r="O281" s="139"/>
      <c r="P281" s="139"/>
      <c r="Q281" s="231"/>
      <c r="R281" s="139"/>
      <c r="S281" s="235"/>
      <c r="T281" s="235"/>
      <c r="U281" s="145"/>
      <c r="V281" s="145"/>
      <c r="W281" s="111"/>
      <c r="X281" s="233"/>
      <c r="Y281" s="226"/>
      <c r="Z281" s="139"/>
      <c r="AA281" s="139"/>
      <c r="AB281" s="139"/>
      <c r="AC281" s="139"/>
      <c r="AD281" s="139"/>
      <c r="AE281" s="139"/>
      <c r="AF281" s="139"/>
      <c r="AG281" s="139"/>
      <c r="AH281" s="139"/>
      <c r="AI281" s="139"/>
      <c r="AJ281" s="139"/>
      <c r="AK281" s="139"/>
      <c r="AL281" s="139"/>
      <c r="AM281" s="139"/>
      <c r="AN281" s="139"/>
      <c r="AO281" s="139"/>
      <c r="AP281" s="139"/>
      <c r="AQ281" s="139"/>
      <c r="AR281" s="139"/>
      <c r="AS281" s="139"/>
      <c r="AT281" s="139"/>
      <c r="AU281" s="139"/>
      <c r="AV281" s="139"/>
    </row>
    <row r="282">
      <c r="A282" s="139"/>
      <c r="B282" s="234"/>
      <c r="C282" s="139"/>
      <c r="D282" s="139"/>
      <c r="E282" s="139"/>
      <c r="F282" s="139"/>
      <c r="G282" s="139"/>
      <c r="H282" s="139"/>
      <c r="I282" s="139"/>
      <c r="J282" s="139"/>
      <c r="K282" s="139"/>
      <c r="L282" s="139"/>
      <c r="M282" s="139"/>
      <c r="N282" s="145"/>
      <c r="O282" s="139"/>
      <c r="P282" s="139"/>
      <c r="Q282" s="231"/>
      <c r="R282" s="139"/>
      <c r="S282" s="235"/>
      <c r="T282" s="235"/>
      <c r="U282" s="145"/>
      <c r="V282" s="145"/>
      <c r="W282" s="111"/>
      <c r="X282" s="233"/>
      <c r="Y282" s="226"/>
      <c r="Z282" s="139"/>
      <c r="AA282" s="139"/>
      <c r="AB282" s="139"/>
      <c r="AC282" s="139"/>
      <c r="AD282" s="139"/>
      <c r="AE282" s="139"/>
      <c r="AF282" s="139"/>
      <c r="AG282" s="139"/>
      <c r="AH282" s="139"/>
      <c r="AI282" s="139"/>
      <c r="AJ282" s="139"/>
      <c r="AK282" s="139"/>
      <c r="AL282" s="139"/>
      <c r="AM282" s="139"/>
      <c r="AN282" s="139"/>
      <c r="AO282" s="139"/>
      <c r="AP282" s="139"/>
      <c r="AQ282" s="139"/>
      <c r="AR282" s="139"/>
      <c r="AS282" s="139"/>
      <c r="AT282" s="139"/>
      <c r="AU282" s="139"/>
      <c r="AV282" s="139"/>
    </row>
    <row r="283">
      <c r="A283" s="139"/>
      <c r="B283" s="234"/>
      <c r="C283" s="139"/>
      <c r="D283" s="139"/>
      <c r="E283" s="139"/>
      <c r="F283" s="139"/>
      <c r="G283" s="139"/>
      <c r="H283" s="139"/>
      <c r="I283" s="139"/>
      <c r="J283" s="139"/>
      <c r="K283" s="139"/>
      <c r="L283" s="139"/>
      <c r="M283" s="139"/>
      <c r="N283" s="145"/>
      <c r="O283" s="139"/>
      <c r="P283" s="139"/>
      <c r="Q283" s="231"/>
      <c r="R283" s="139"/>
      <c r="S283" s="235"/>
      <c r="T283" s="235"/>
      <c r="U283" s="145"/>
      <c r="V283" s="145"/>
      <c r="W283" s="111"/>
      <c r="X283" s="233"/>
      <c r="Y283" s="226"/>
      <c r="Z283" s="139"/>
      <c r="AA283" s="139"/>
      <c r="AB283" s="139"/>
      <c r="AC283" s="139"/>
      <c r="AD283" s="139"/>
      <c r="AE283" s="139"/>
      <c r="AF283" s="139"/>
      <c r="AG283" s="139"/>
      <c r="AH283" s="139"/>
      <c r="AI283" s="139"/>
      <c r="AJ283" s="139"/>
      <c r="AK283" s="139"/>
      <c r="AL283" s="139"/>
      <c r="AM283" s="139"/>
      <c r="AN283" s="139"/>
      <c r="AO283" s="139"/>
      <c r="AP283" s="139"/>
      <c r="AQ283" s="139"/>
      <c r="AR283" s="139"/>
      <c r="AS283" s="139"/>
      <c r="AT283" s="139"/>
      <c r="AU283" s="139"/>
      <c r="AV283" s="139"/>
    </row>
    <row r="284">
      <c r="A284" s="139"/>
      <c r="B284" s="234"/>
      <c r="C284" s="139"/>
      <c r="D284" s="139"/>
      <c r="E284" s="139"/>
      <c r="F284" s="139"/>
      <c r="G284" s="139"/>
      <c r="H284" s="139"/>
      <c r="I284" s="139"/>
      <c r="J284" s="139"/>
      <c r="K284" s="139"/>
      <c r="L284" s="139"/>
      <c r="M284" s="139"/>
      <c r="N284" s="145"/>
      <c r="O284" s="139"/>
      <c r="P284" s="139"/>
      <c r="Q284" s="231"/>
      <c r="R284" s="139"/>
      <c r="S284" s="235"/>
      <c r="T284" s="235"/>
      <c r="U284" s="145"/>
      <c r="V284" s="145"/>
      <c r="W284" s="111"/>
      <c r="X284" s="233"/>
      <c r="Y284" s="226"/>
      <c r="Z284" s="139"/>
      <c r="AA284" s="139"/>
      <c r="AB284" s="139"/>
      <c r="AC284" s="139"/>
      <c r="AD284" s="139"/>
      <c r="AE284" s="139"/>
      <c r="AF284" s="139"/>
      <c r="AG284" s="139"/>
      <c r="AH284" s="139"/>
      <c r="AI284" s="139"/>
      <c r="AJ284" s="139"/>
      <c r="AK284" s="139"/>
      <c r="AL284" s="139"/>
      <c r="AM284" s="139"/>
      <c r="AN284" s="139"/>
      <c r="AO284" s="139"/>
      <c r="AP284" s="139"/>
      <c r="AQ284" s="139"/>
      <c r="AR284" s="139"/>
      <c r="AS284" s="139"/>
      <c r="AT284" s="139"/>
      <c r="AU284" s="139"/>
      <c r="AV284" s="139"/>
    </row>
    <row r="285">
      <c r="A285" s="139"/>
      <c r="B285" s="234"/>
      <c r="C285" s="139"/>
      <c r="D285" s="139"/>
      <c r="E285" s="139"/>
      <c r="F285" s="139"/>
      <c r="G285" s="139"/>
      <c r="H285" s="139"/>
      <c r="I285" s="139"/>
      <c r="J285" s="139"/>
      <c r="K285" s="139"/>
      <c r="L285" s="139"/>
      <c r="M285" s="139"/>
      <c r="N285" s="145"/>
      <c r="O285" s="139"/>
      <c r="P285" s="139"/>
      <c r="Q285" s="231"/>
      <c r="R285" s="139"/>
      <c r="S285" s="235"/>
      <c r="T285" s="235"/>
      <c r="U285" s="145"/>
      <c r="V285" s="145"/>
      <c r="W285" s="111"/>
      <c r="X285" s="233"/>
      <c r="Y285" s="226"/>
      <c r="Z285" s="139"/>
      <c r="AA285" s="139"/>
      <c r="AB285" s="139"/>
      <c r="AC285" s="139"/>
      <c r="AD285" s="139"/>
      <c r="AE285" s="139"/>
      <c r="AF285" s="139"/>
      <c r="AG285" s="139"/>
      <c r="AH285" s="139"/>
      <c r="AI285" s="139"/>
      <c r="AJ285" s="139"/>
      <c r="AK285" s="139"/>
      <c r="AL285" s="139"/>
      <c r="AM285" s="139"/>
      <c r="AN285" s="139"/>
      <c r="AO285" s="139"/>
      <c r="AP285" s="139"/>
      <c r="AQ285" s="139"/>
      <c r="AR285" s="139"/>
      <c r="AS285" s="139"/>
      <c r="AT285" s="139"/>
      <c r="AU285" s="139"/>
      <c r="AV285" s="139"/>
    </row>
    <row r="286">
      <c r="A286" s="139"/>
      <c r="B286" s="234"/>
      <c r="C286" s="139"/>
      <c r="D286" s="139"/>
      <c r="E286" s="139"/>
      <c r="F286" s="139"/>
      <c r="G286" s="139"/>
      <c r="H286" s="139"/>
      <c r="I286" s="139"/>
      <c r="J286" s="139"/>
      <c r="K286" s="139"/>
      <c r="L286" s="139"/>
      <c r="M286" s="139"/>
      <c r="N286" s="145"/>
      <c r="O286" s="139"/>
      <c r="P286" s="139"/>
      <c r="Q286" s="231"/>
      <c r="R286" s="139"/>
      <c r="S286" s="235"/>
      <c r="T286" s="235"/>
      <c r="U286" s="145"/>
      <c r="V286" s="145"/>
      <c r="W286" s="111"/>
      <c r="X286" s="233"/>
      <c r="Y286" s="226"/>
      <c r="Z286" s="139"/>
      <c r="AA286" s="139"/>
      <c r="AB286" s="139"/>
      <c r="AC286" s="139"/>
      <c r="AD286" s="139"/>
      <c r="AE286" s="139"/>
      <c r="AF286" s="139"/>
      <c r="AG286" s="139"/>
      <c r="AH286" s="139"/>
      <c r="AI286" s="139"/>
      <c r="AJ286" s="139"/>
      <c r="AK286" s="139"/>
      <c r="AL286" s="139"/>
      <c r="AM286" s="139"/>
      <c r="AN286" s="139"/>
      <c r="AO286" s="139"/>
      <c r="AP286" s="139"/>
      <c r="AQ286" s="139"/>
      <c r="AR286" s="139"/>
      <c r="AS286" s="139"/>
      <c r="AT286" s="139"/>
      <c r="AU286" s="139"/>
      <c r="AV286" s="139"/>
    </row>
    <row r="287">
      <c r="A287" s="139"/>
      <c r="B287" s="234"/>
      <c r="C287" s="139"/>
      <c r="D287" s="139"/>
      <c r="E287" s="139"/>
      <c r="F287" s="139"/>
      <c r="G287" s="139"/>
      <c r="H287" s="139"/>
      <c r="I287" s="139"/>
      <c r="J287" s="139"/>
      <c r="K287" s="139"/>
      <c r="L287" s="139"/>
      <c r="M287" s="139"/>
      <c r="N287" s="145"/>
      <c r="O287" s="139"/>
      <c r="P287" s="139"/>
      <c r="Q287" s="231"/>
      <c r="R287" s="139"/>
      <c r="S287" s="235"/>
      <c r="T287" s="235"/>
      <c r="U287" s="145"/>
      <c r="V287" s="145"/>
      <c r="W287" s="111"/>
      <c r="X287" s="233"/>
      <c r="Y287" s="226"/>
      <c r="Z287" s="139"/>
      <c r="AA287" s="139"/>
      <c r="AB287" s="139"/>
      <c r="AC287" s="139"/>
      <c r="AD287" s="139"/>
      <c r="AE287" s="139"/>
      <c r="AF287" s="139"/>
      <c r="AG287" s="139"/>
      <c r="AH287" s="139"/>
      <c r="AI287" s="139"/>
      <c r="AJ287" s="139"/>
      <c r="AK287" s="139"/>
      <c r="AL287" s="139"/>
      <c r="AM287" s="139"/>
      <c r="AN287" s="139"/>
      <c r="AO287" s="139"/>
      <c r="AP287" s="139"/>
      <c r="AQ287" s="139"/>
      <c r="AR287" s="139"/>
      <c r="AS287" s="139"/>
      <c r="AT287" s="139"/>
      <c r="AU287" s="139"/>
      <c r="AV287" s="139"/>
    </row>
    <row r="288">
      <c r="A288" s="139"/>
      <c r="B288" s="234"/>
      <c r="C288" s="139"/>
      <c r="D288" s="139"/>
      <c r="E288" s="139"/>
      <c r="F288" s="139"/>
      <c r="G288" s="139"/>
      <c r="H288" s="139"/>
      <c r="I288" s="139"/>
      <c r="J288" s="139"/>
      <c r="K288" s="139"/>
      <c r="L288" s="139"/>
      <c r="M288" s="139"/>
      <c r="N288" s="145"/>
      <c r="O288" s="139"/>
      <c r="P288" s="139"/>
      <c r="Q288" s="231"/>
      <c r="R288" s="139"/>
      <c r="S288" s="235"/>
      <c r="T288" s="235"/>
      <c r="U288" s="145"/>
      <c r="V288" s="145"/>
      <c r="W288" s="111"/>
      <c r="X288" s="233"/>
      <c r="Y288" s="226"/>
      <c r="Z288" s="139"/>
      <c r="AA288" s="139"/>
      <c r="AB288" s="139"/>
      <c r="AC288" s="139"/>
      <c r="AD288" s="139"/>
      <c r="AE288" s="139"/>
      <c r="AF288" s="139"/>
      <c r="AG288" s="139"/>
      <c r="AH288" s="139"/>
      <c r="AI288" s="139"/>
      <c r="AJ288" s="139"/>
      <c r="AK288" s="139"/>
      <c r="AL288" s="139"/>
      <c r="AM288" s="139"/>
      <c r="AN288" s="139"/>
      <c r="AO288" s="139"/>
      <c r="AP288" s="139"/>
      <c r="AQ288" s="139"/>
      <c r="AR288" s="139"/>
      <c r="AS288" s="139"/>
      <c r="AT288" s="139"/>
      <c r="AU288" s="139"/>
      <c r="AV288" s="139"/>
    </row>
    <row r="289">
      <c r="A289" s="139"/>
      <c r="B289" s="234"/>
      <c r="C289" s="139"/>
      <c r="D289" s="139"/>
      <c r="E289" s="139"/>
      <c r="F289" s="139"/>
      <c r="G289" s="139"/>
      <c r="H289" s="139"/>
      <c r="I289" s="139"/>
      <c r="J289" s="139"/>
      <c r="K289" s="139"/>
      <c r="L289" s="139"/>
      <c r="M289" s="139"/>
      <c r="N289" s="145"/>
      <c r="O289" s="139"/>
      <c r="P289" s="139"/>
      <c r="Q289" s="231"/>
      <c r="R289" s="139"/>
      <c r="S289" s="235"/>
      <c r="T289" s="235"/>
      <c r="U289" s="145"/>
      <c r="V289" s="145"/>
      <c r="W289" s="111"/>
      <c r="X289" s="233"/>
      <c r="Y289" s="226"/>
      <c r="Z289" s="139"/>
      <c r="AA289" s="139"/>
      <c r="AB289" s="139"/>
      <c r="AC289" s="139"/>
      <c r="AD289" s="139"/>
      <c r="AE289" s="139"/>
      <c r="AF289" s="139"/>
      <c r="AG289" s="139"/>
      <c r="AH289" s="139"/>
      <c r="AI289" s="139"/>
      <c r="AJ289" s="139"/>
      <c r="AK289" s="139"/>
      <c r="AL289" s="139"/>
      <c r="AM289" s="139"/>
      <c r="AN289" s="139"/>
      <c r="AO289" s="139"/>
      <c r="AP289" s="139"/>
      <c r="AQ289" s="139"/>
      <c r="AR289" s="139"/>
      <c r="AS289" s="139"/>
      <c r="AT289" s="139"/>
      <c r="AU289" s="139"/>
      <c r="AV289" s="139"/>
    </row>
    <row r="290">
      <c r="A290" s="139"/>
      <c r="B290" s="234"/>
      <c r="C290" s="139"/>
      <c r="D290" s="139"/>
      <c r="E290" s="139"/>
      <c r="F290" s="139"/>
      <c r="G290" s="139"/>
      <c r="H290" s="139"/>
      <c r="I290" s="139"/>
      <c r="J290" s="139"/>
      <c r="K290" s="139"/>
      <c r="L290" s="139"/>
      <c r="M290" s="139"/>
      <c r="N290" s="145"/>
      <c r="O290" s="139"/>
      <c r="P290" s="139"/>
      <c r="Q290" s="231"/>
      <c r="R290" s="139"/>
      <c r="S290" s="235"/>
      <c r="T290" s="235"/>
      <c r="U290" s="145"/>
      <c r="V290" s="145"/>
      <c r="W290" s="111"/>
      <c r="X290" s="233"/>
      <c r="Y290" s="226"/>
      <c r="Z290" s="139"/>
      <c r="AA290" s="139"/>
      <c r="AB290" s="139"/>
      <c r="AC290" s="139"/>
      <c r="AD290" s="139"/>
      <c r="AE290" s="139"/>
      <c r="AF290" s="139"/>
      <c r="AG290" s="139"/>
      <c r="AH290" s="139"/>
      <c r="AI290" s="139"/>
      <c r="AJ290" s="139"/>
      <c r="AK290" s="139"/>
      <c r="AL290" s="139"/>
      <c r="AM290" s="139"/>
      <c r="AN290" s="139"/>
      <c r="AO290" s="139"/>
      <c r="AP290" s="139"/>
      <c r="AQ290" s="139"/>
      <c r="AR290" s="139"/>
      <c r="AS290" s="139"/>
      <c r="AT290" s="139"/>
      <c r="AU290" s="139"/>
      <c r="AV290" s="139"/>
    </row>
    <row r="291">
      <c r="A291" s="139"/>
      <c r="B291" s="234"/>
      <c r="C291" s="139"/>
      <c r="D291" s="139"/>
      <c r="E291" s="139"/>
      <c r="F291" s="139"/>
      <c r="G291" s="139"/>
      <c r="H291" s="139"/>
      <c r="I291" s="139"/>
      <c r="J291" s="139"/>
      <c r="K291" s="139"/>
      <c r="L291" s="139"/>
      <c r="M291" s="139"/>
      <c r="N291" s="145"/>
      <c r="O291" s="139"/>
      <c r="P291" s="139"/>
      <c r="Q291" s="231"/>
      <c r="R291" s="139"/>
      <c r="S291" s="235"/>
      <c r="T291" s="235"/>
      <c r="U291" s="145"/>
      <c r="V291" s="145"/>
      <c r="W291" s="111"/>
      <c r="X291" s="233"/>
      <c r="Y291" s="226"/>
      <c r="Z291" s="139"/>
      <c r="AA291" s="139"/>
      <c r="AB291" s="139"/>
      <c r="AC291" s="139"/>
      <c r="AD291" s="139"/>
      <c r="AE291" s="139"/>
      <c r="AF291" s="139"/>
      <c r="AG291" s="139"/>
      <c r="AH291" s="139"/>
      <c r="AI291" s="139"/>
      <c r="AJ291" s="139"/>
      <c r="AK291" s="139"/>
      <c r="AL291" s="139"/>
      <c r="AM291" s="139"/>
      <c r="AN291" s="139"/>
      <c r="AO291" s="139"/>
      <c r="AP291" s="139"/>
      <c r="AQ291" s="139"/>
      <c r="AR291" s="139"/>
      <c r="AS291" s="139"/>
      <c r="AT291" s="139"/>
      <c r="AU291" s="139"/>
      <c r="AV291" s="139"/>
    </row>
    <row r="292">
      <c r="A292" s="139"/>
      <c r="B292" s="234"/>
      <c r="C292" s="139"/>
      <c r="D292" s="139"/>
      <c r="E292" s="139"/>
      <c r="F292" s="139"/>
      <c r="G292" s="139"/>
      <c r="H292" s="139"/>
      <c r="I292" s="139"/>
      <c r="J292" s="139"/>
      <c r="K292" s="139"/>
      <c r="L292" s="139"/>
      <c r="M292" s="139"/>
      <c r="N292" s="145"/>
      <c r="O292" s="139"/>
      <c r="P292" s="139"/>
      <c r="Q292" s="231"/>
      <c r="R292" s="139"/>
      <c r="S292" s="235"/>
      <c r="T292" s="235"/>
      <c r="U292" s="145"/>
      <c r="V292" s="145"/>
      <c r="W292" s="111"/>
      <c r="X292" s="233"/>
      <c r="Y292" s="226"/>
      <c r="Z292" s="139"/>
      <c r="AA292" s="139"/>
      <c r="AB292" s="139"/>
      <c r="AC292" s="139"/>
      <c r="AD292" s="139"/>
      <c r="AE292" s="139"/>
      <c r="AF292" s="139"/>
      <c r="AG292" s="139"/>
      <c r="AH292" s="139"/>
      <c r="AI292" s="139"/>
      <c r="AJ292" s="139"/>
      <c r="AK292" s="139"/>
      <c r="AL292" s="139"/>
      <c r="AM292" s="139"/>
      <c r="AN292" s="139"/>
      <c r="AO292" s="139"/>
      <c r="AP292" s="139"/>
      <c r="AQ292" s="139"/>
      <c r="AR292" s="139"/>
      <c r="AS292" s="139"/>
      <c r="AT292" s="139"/>
      <c r="AU292" s="139"/>
      <c r="AV292" s="139"/>
    </row>
    <row r="293">
      <c r="A293" s="139"/>
      <c r="B293" s="234"/>
      <c r="C293" s="139"/>
      <c r="D293" s="139"/>
      <c r="E293" s="139"/>
      <c r="F293" s="139"/>
      <c r="G293" s="139"/>
      <c r="H293" s="139"/>
      <c r="I293" s="139"/>
      <c r="J293" s="139"/>
      <c r="K293" s="139"/>
      <c r="L293" s="139"/>
      <c r="M293" s="139"/>
      <c r="N293" s="145"/>
      <c r="O293" s="139"/>
      <c r="P293" s="139"/>
      <c r="Q293" s="231"/>
      <c r="R293" s="139"/>
      <c r="S293" s="235"/>
      <c r="T293" s="235"/>
      <c r="U293" s="145"/>
      <c r="V293" s="145"/>
      <c r="W293" s="111"/>
      <c r="X293" s="233"/>
      <c r="Y293" s="226"/>
      <c r="Z293" s="139"/>
      <c r="AA293" s="139"/>
      <c r="AB293" s="139"/>
      <c r="AC293" s="139"/>
      <c r="AD293" s="139"/>
      <c r="AE293" s="139"/>
      <c r="AF293" s="139"/>
      <c r="AG293" s="139"/>
      <c r="AH293" s="139"/>
      <c r="AI293" s="139"/>
      <c r="AJ293" s="139"/>
      <c r="AK293" s="139"/>
      <c r="AL293" s="139"/>
      <c r="AM293" s="139"/>
      <c r="AN293" s="139"/>
      <c r="AO293" s="139"/>
      <c r="AP293" s="139"/>
      <c r="AQ293" s="139"/>
      <c r="AR293" s="139"/>
      <c r="AS293" s="139"/>
      <c r="AT293" s="139"/>
      <c r="AU293" s="139"/>
      <c r="AV293" s="139"/>
    </row>
    <row r="294">
      <c r="A294" s="139"/>
      <c r="B294" s="234"/>
      <c r="C294" s="139"/>
      <c r="D294" s="139"/>
      <c r="E294" s="139"/>
      <c r="F294" s="139"/>
      <c r="G294" s="139"/>
      <c r="H294" s="139"/>
      <c r="I294" s="139"/>
      <c r="J294" s="139"/>
      <c r="K294" s="139"/>
      <c r="L294" s="139"/>
      <c r="M294" s="139"/>
      <c r="N294" s="145"/>
      <c r="O294" s="139"/>
      <c r="P294" s="139"/>
      <c r="Q294" s="231"/>
      <c r="R294" s="139"/>
      <c r="S294" s="235"/>
      <c r="T294" s="235"/>
      <c r="U294" s="145"/>
      <c r="V294" s="145"/>
      <c r="W294" s="111"/>
      <c r="X294" s="233"/>
      <c r="Y294" s="226"/>
      <c r="Z294" s="139"/>
      <c r="AA294" s="139"/>
      <c r="AB294" s="139"/>
      <c r="AC294" s="139"/>
      <c r="AD294" s="139"/>
      <c r="AE294" s="139"/>
      <c r="AF294" s="139"/>
      <c r="AG294" s="139"/>
      <c r="AH294" s="139"/>
      <c r="AI294" s="139"/>
      <c r="AJ294" s="139"/>
      <c r="AK294" s="139"/>
      <c r="AL294" s="139"/>
      <c r="AM294" s="139"/>
      <c r="AN294" s="139"/>
      <c r="AO294" s="139"/>
      <c r="AP294" s="139"/>
      <c r="AQ294" s="139"/>
      <c r="AR294" s="139"/>
      <c r="AS294" s="139"/>
      <c r="AT294" s="139"/>
      <c r="AU294" s="139"/>
      <c r="AV294" s="139"/>
    </row>
    <row r="295">
      <c r="A295" s="139"/>
      <c r="B295" s="234"/>
      <c r="C295" s="139"/>
      <c r="D295" s="139"/>
      <c r="E295" s="139"/>
      <c r="F295" s="139"/>
      <c r="G295" s="139"/>
      <c r="H295" s="139"/>
      <c r="I295" s="139"/>
      <c r="J295" s="139"/>
      <c r="K295" s="139"/>
      <c r="L295" s="139"/>
      <c r="M295" s="139"/>
      <c r="N295" s="145"/>
      <c r="O295" s="139"/>
      <c r="P295" s="139"/>
      <c r="Q295" s="231"/>
      <c r="R295" s="139"/>
      <c r="S295" s="235"/>
      <c r="T295" s="235"/>
      <c r="U295" s="145"/>
      <c r="V295" s="145"/>
      <c r="W295" s="111"/>
      <c r="X295" s="233"/>
      <c r="Y295" s="226"/>
      <c r="Z295" s="139"/>
      <c r="AA295" s="139"/>
      <c r="AB295" s="139"/>
      <c r="AC295" s="139"/>
      <c r="AD295" s="139"/>
      <c r="AE295" s="139"/>
      <c r="AF295" s="139"/>
      <c r="AG295" s="139"/>
      <c r="AH295" s="139"/>
      <c r="AI295" s="139"/>
      <c r="AJ295" s="139"/>
      <c r="AK295" s="139"/>
      <c r="AL295" s="139"/>
      <c r="AM295" s="139"/>
      <c r="AN295" s="139"/>
      <c r="AO295" s="139"/>
      <c r="AP295" s="139"/>
      <c r="AQ295" s="139"/>
      <c r="AR295" s="139"/>
      <c r="AS295" s="139"/>
      <c r="AT295" s="139"/>
      <c r="AU295" s="139"/>
      <c r="AV295" s="139"/>
    </row>
    <row r="296">
      <c r="A296" s="139"/>
      <c r="B296" s="234"/>
      <c r="C296" s="139"/>
      <c r="D296" s="139"/>
      <c r="E296" s="139"/>
      <c r="F296" s="139"/>
      <c r="G296" s="139"/>
      <c r="H296" s="139"/>
      <c r="I296" s="139"/>
      <c r="J296" s="139"/>
      <c r="K296" s="139"/>
      <c r="L296" s="139"/>
      <c r="M296" s="139"/>
      <c r="N296" s="145"/>
      <c r="O296" s="139"/>
      <c r="P296" s="139"/>
      <c r="Q296" s="231"/>
      <c r="R296" s="139"/>
      <c r="S296" s="235"/>
      <c r="T296" s="235"/>
      <c r="U296" s="145"/>
      <c r="V296" s="145"/>
      <c r="W296" s="111"/>
      <c r="X296" s="233"/>
      <c r="Y296" s="226"/>
      <c r="Z296" s="139"/>
      <c r="AA296" s="139"/>
      <c r="AB296" s="139"/>
      <c r="AC296" s="139"/>
      <c r="AD296" s="139"/>
      <c r="AE296" s="139"/>
      <c r="AF296" s="139"/>
      <c r="AG296" s="139"/>
      <c r="AH296" s="139"/>
      <c r="AI296" s="139"/>
      <c r="AJ296" s="139"/>
      <c r="AK296" s="139"/>
      <c r="AL296" s="139"/>
      <c r="AM296" s="139"/>
      <c r="AN296" s="139"/>
      <c r="AO296" s="139"/>
      <c r="AP296" s="139"/>
      <c r="AQ296" s="139"/>
      <c r="AR296" s="139"/>
      <c r="AS296" s="139"/>
      <c r="AT296" s="139"/>
      <c r="AU296" s="139"/>
      <c r="AV296" s="139"/>
    </row>
    <row r="297">
      <c r="A297" s="139"/>
      <c r="B297" s="234"/>
      <c r="C297" s="139"/>
      <c r="D297" s="139"/>
      <c r="E297" s="139"/>
      <c r="F297" s="139"/>
      <c r="G297" s="139"/>
      <c r="H297" s="139"/>
      <c r="I297" s="139"/>
      <c r="J297" s="139"/>
      <c r="K297" s="139"/>
      <c r="L297" s="139"/>
      <c r="M297" s="139"/>
      <c r="N297" s="145"/>
      <c r="O297" s="139"/>
      <c r="P297" s="139"/>
      <c r="Q297" s="231"/>
      <c r="R297" s="139"/>
      <c r="S297" s="235"/>
      <c r="T297" s="235"/>
      <c r="U297" s="145"/>
      <c r="V297" s="145"/>
      <c r="W297" s="111"/>
      <c r="X297" s="233"/>
      <c r="Y297" s="226"/>
      <c r="Z297" s="139"/>
      <c r="AA297" s="139"/>
      <c r="AB297" s="139"/>
      <c r="AC297" s="139"/>
      <c r="AD297" s="139"/>
      <c r="AE297" s="139"/>
      <c r="AF297" s="139"/>
      <c r="AG297" s="139"/>
      <c r="AH297" s="139"/>
      <c r="AI297" s="139"/>
      <c r="AJ297" s="139"/>
      <c r="AK297" s="139"/>
      <c r="AL297" s="139"/>
      <c r="AM297" s="139"/>
      <c r="AN297" s="139"/>
      <c r="AO297" s="139"/>
      <c r="AP297" s="139"/>
      <c r="AQ297" s="139"/>
      <c r="AR297" s="139"/>
      <c r="AS297" s="139"/>
      <c r="AT297" s="139"/>
      <c r="AU297" s="139"/>
      <c r="AV297" s="139"/>
    </row>
    <row r="298">
      <c r="A298" s="139"/>
      <c r="B298" s="234"/>
      <c r="C298" s="139"/>
      <c r="D298" s="139"/>
      <c r="E298" s="139"/>
      <c r="F298" s="139"/>
      <c r="G298" s="139"/>
      <c r="H298" s="139"/>
      <c r="I298" s="139"/>
      <c r="J298" s="139"/>
      <c r="K298" s="139"/>
      <c r="L298" s="139"/>
      <c r="M298" s="139"/>
      <c r="N298" s="145"/>
      <c r="O298" s="139"/>
      <c r="P298" s="139"/>
      <c r="Q298" s="231"/>
      <c r="R298" s="139"/>
      <c r="S298" s="235"/>
      <c r="T298" s="235"/>
      <c r="U298" s="145"/>
      <c r="V298" s="145"/>
      <c r="W298" s="111"/>
      <c r="X298" s="233"/>
      <c r="Y298" s="226"/>
      <c r="Z298" s="139"/>
      <c r="AA298" s="139"/>
      <c r="AB298" s="139"/>
      <c r="AC298" s="139"/>
      <c r="AD298" s="139"/>
      <c r="AE298" s="139"/>
      <c r="AF298" s="139"/>
      <c r="AG298" s="139"/>
      <c r="AH298" s="139"/>
      <c r="AI298" s="139"/>
      <c r="AJ298" s="139"/>
      <c r="AK298" s="139"/>
      <c r="AL298" s="139"/>
      <c r="AM298" s="139"/>
      <c r="AN298" s="139"/>
      <c r="AO298" s="139"/>
      <c r="AP298" s="139"/>
      <c r="AQ298" s="139"/>
      <c r="AR298" s="139"/>
      <c r="AS298" s="139"/>
      <c r="AT298" s="139"/>
      <c r="AU298" s="139"/>
      <c r="AV298" s="139"/>
    </row>
    <row r="299">
      <c r="A299" s="139"/>
      <c r="B299" s="234"/>
      <c r="C299" s="139"/>
      <c r="D299" s="139"/>
      <c r="E299" s="139"/>
      <c r="F299" s="139"/>
      <c r="G299" s="139"/>
      <c r="H299" s="139"/>
      <c r="I299" s="139"/>
      <c r="J299" s="139"/>
      <c r="K299" s="139"/>
      <c r="L299" s="139"/>
      <c r="M299" s="139"/>
      <c r="N299" s="145"/>
      <c r="O299" s="139"/>
      <c r="P299" s="139"/>
      <c r="Q299" s="231"/>
      <c r="R299" s="139"/>
      <c r="S299" s="235"/>
      <c r="T299" s="235"/>
      <c r="U299" s="145"/>
      <c r="V299" s="145"/>
      <c r="W299" s="111"/>
      <c r="X299" s="233"/>
      <c r="Y299" s="226"/>
      <c r="Z299" s="139"/>
      <c r="AA299" s="139"/>
      <c r="AB299" s="139"/>
      <c r="AC299" s="139"/>
      <c r="AD299" s="139"/>
      <c r="AE299" s="139"/>
      <c r="AF299" s="139"/>
      <c r="AG299" s="139"/>
      <c r="AH299" s="139"/>
      <c r="AI299" s="139"/>
      <c r="AJ299" s="139"/>
      <c r="AK299" s="139"/>
      <c r="AL299" s="139"/>
      <c r="AM299" s="139"/>
      <c r="AN299" s="139"/>
      <c r="AO299" s="139"/>
      <c r="AP299" s="139"/>
      <c r="AQ299" s="139"/>
      <c r="AR299" s="139"/>
      <c r="AS299" s="139"/>
      <c r="AT299" s="139"/>
      <c r="AU299" s="139"/>
      <c r="AV299" s="139"/>
    </row>
    <row r="300">
      <c r="A300" s="139"/>
      <c r="B300" s="234"/>
      <c r="C300" s="139"/>
      <c r="D300" s="139"/>
      <c r="E300" s="139"/>
      <c r="F300" s="139"/>
      <c r="G300" s="139"/>
      <c r="H300" s="139"/>
      <c r="I300" s="139"/>
      <c r="J300" s="139"/>
      <c r="K300" s="139"/>
      <c r="L300" s="139"/>
      <c r="M300" s="139"/>
      <c r="N300" s="145"/>
      <c r="O300" s="139"/>
      <c r="P300" s="139"/>
      <c r="Q300" s="231"/>
      <c r="R300" s="139"/>
      <c r="S300" s="235"/>
      <c r="T300" s="235"/>
      <c r="U300" s="145"/>
      <c r="V300" s="145"/>
      <c r="W300" s="111"/>
      <c r="X300" s="233"/>
      <c r="Y300" s="226"/>
      <c r="Z300" s="139"/>
      <c r="AA300" s="139"/>
      <c r="AB300" s="139"/>
      <c r="AC300" s="139"/>
      <c r="AD300" s="139"/>
      <c r="AE300" s="139"/>
      <c r="AF300" s="139"/>
      <c r="AG300" s="139"/>
      <c r="AH300" s="139"/>
      <c r="AI300" s="139"/>
      <c r="AJ300" s="139"/>
      <c r="AK300" s="139"/>
      <c r="AL300" s="139"/>
      <c r="AM300" s="139"/>
      <c r="AN300" s="139"/>
      <c r="AO300" s="139"/>
      <c r="AP300" s="139"/>
      <c r="AQ300" s="139"/>
      <c r="AR300" s="139"/>
      <c r="AS300" s="139"/>
      <c r="AT300" s="139"/>
      <c r="AU300" s="139"/>
      <c r="AV300" s="139"/>
    </row>
    <row r="301">
      <c r="A301" s="139"/>
      <c r="B301" s="234"/>
      <c r="C301" s="139"/>
      <c r="D301" s="139"/>
      <c r="E301" s="139"/>
      <c r="F301" s="139"/>
      <c r="G301" s="139"/>
      <c r="H301" s="139"/>
      <c r="I301" s="139"/>
      <c r="J301" s="139"/>
      <c r="K301" s="139"/>
      <c r="L301" s="139"/>
      <c r="M301" s="139"/>
      <c r="N301" s="145"/>
      <c r="O301" s="139"/>
      <c r="P301" s="139"/>
      <c r="Q301" s="231"/>
      <c r="R301" s="139"/>
      <c r="S301" s="235"/>
      <c r="T301" s="235"/>
      <c r="U301" s="145"/>
      <c r="V301" s="145"/>
      <c r="W301" s="111"/>
      <c r="X301" s="233"/>
      <c r="Y301" s="226"/>
      <c r="Z301" s="139"/>
      <c r="AA301" s="139"/>
      <c r="AB301" s="139"/>
      <c r="AC301" s="139"/>
      <c r="AD301" s="139"/>
      <c r="AE301" s="139"/>
      <c r="AF301" s="139"/>
      <c r="AG301" s="139"/>
      <c r="AH301" s="139"/>
      <c r="AI301" s="139"/>
      <c r="AJ301" s="139"/>
      <c r="AK301" s="139"/>
      <c r="AL301" s="139"/>
      <c r="AM301" s="139"/>
      <c r="AN301" s="139"/>
      <c r="AO301" s="139"/>
      <c r="AP301" s="139"/>
      <c r="AQ301" s="139"/>
      <c r="AR301" s="139"/>
      <c r="AS301" s="139"/>
      <c r="AT301" s="139"/>
      <c r="AU301" s="139"/>
      <c r="AV301" s="139"/>
    </row>
    <row r="302">
      <c r="A302" s="139"/>
      <c r="B302" s="234"/>
      <c r="C302" s="139"/>
      <c r="D302" s="139"/>
      <c r="E302" s="139"/>
      <c r="F302" s="139"/>
      <c r="G302" s="139"/>
      <c r="H302" s="139"/>
      <c r="I302" s="139"/>
      <c r="J302" s="139"/>
      <c r="K302" s="139"/>
      <c r="L302" s="139"/>
      <c r="M302" s="139"/>
      <c r="N302" s="145"/>
      <c r="O302" s="139"/>
      <c r="P302" s="139"/>
      <c r="Q302" s="231"/>
      <c r="R302" s="139"/>
      <c r="S302" s="235"/>
      <c r="T302" s="235"/>
      <c r="U302" s="145"/>
      <c r="V302" s="145"/>
      <c r="W302" s="111"/>
      <c r="X302" s="233"/>
      <c r="Y302" s="226"/>
      <c r="Z302" s="139"/>
      <c r="AA302" s="139"/>
      <c r="AB302" s="139"/>
      <c r="AC302" s="139"/>
      <c r="AD302" s="139"/>
      <c r="AE302" s="139"/>
      <c r="AF302" s="139"/>
      <c r="AG302" s="139"/>
      <c r="AH302" s="139"/>
      <c r="AI302" s="139"/>
      <c r="AJ302" s="139"/>
      <c r="AK302" s="139"/>
      <c r="AL302" s="139"/>
      <c r="AM302" s="139"/>
      <c r="AN302" s="139"/>
      <c r="AO302" s="139"/>
      <c r="AP302" s="139"/>
      <c r="AQ302" s="139"/>
      <c r="AR302" s="139"/>
      <c r="AS302" s="139"/>
      <c r="AT302" s="139"/>
      <c r="AU302" s="139"/>
      <c r="AV302" s="139"/>
    </row>
    <row r="303">
      <c r="A303" s="139"/>
      <c r="B303" s="234"/>
      <c r="C303" s="139"/>
      <c r="D303" s="139"/>
      <c r="E303" s="139"/>
      <c r="F303" s="139"/>
      <c r="G303" s="139"/>
      <c r="H303" s="139"/>
      <c r="I303" s="139"/>
      <c r="J303" s="139"/>
      <c r="K303" s="139"/>
      <c r="L303" s="139"/>
      <c r="M303" s="139"/>
      <c r="N303" s="145"/>
      <c r="O303" s="139"/>
      <c r="P303" s="139"/>
      <c r="Q303" s="231"/>
      <c r="R303" s="139"/>
      <c r="S303" s="235"/>
      <c r="T303" s="235"/>
      <c r="U303" s="145"/>
      <c r="V303" s="145"/>
      <c r="W303" s="111"/>
      <c r="X303" s="233"/>
      <c r="Y303" s="226"/>
      <c r="Z303" s="139"/>
      <c r="AA303" s="139"/>
      <c r="AB303" s="139"/>
      <c r="AC303" s="139"/>
      <c r="AD303" s="139"/>
      <c r="AE303" s="139"/>
      <c r="AF303" s="139"/>
      <c r="AG303" s="139"/>
      <c r="AH303" s="139"/>
      <c r="AI303" s="139"/>
      <c r="AJ303" s="139"/>
      <c r="AK303" s="139"/>
      <c r="AL303" s="139"/>
      <c r="AM303" s="139"/>
      <c r="AN303" s="139"/>
      <c r="AO303" s="139"/>
      <c r="AP303" s="139"/>
      <c r="AQ303" s="139"/>
      <c r="AR303" s="139"/>
      <c r="AS303" s="139"/>
      <c r="AT303" s="139"/>
      <c r="AU303" s="139"/>
      <c r="AV303" s="139"/>
    </row>
    <row r="304">
      <c r="A304" s="139"/>
      <c r="B304" s="234"/>
      <c r="C304" s="139"/>
      <c r="D304" s="139"/>
      <c r="E304" s="139"/>
      <c r="F304" s="139"/>
      <c r="G304" s="139"/>
      <c r="H304" s="139"/>
      <c r="I304" s="139"/>
      <c r="J304" s="139"/>
      <c r="K304" s="139"/>
      <c r="L304" s="139"/>
      <c r="M304" s="139"/>
      <c r="N304" s="145"/>
      <c r="O304" s="139"/>
      <c r="P304" s="139"/>
      <c r="Q304" s="231"/>
      <c r="R304" s="139"/>
      <c r="S304" s="235"/>
      <c r="T304" s="235"/>
      <c r="U304" s="145"/>
      <c r="V304" s="145"/>
      <c r="W304" s="111"/>
      <c r="X304" s="233"/>
      <c r="Y304" s="226"/>
      <c r="Z304" s="139"/>
      <c r="AA304" s="139"/>
      <c r="AB304" s="139"/>
      <c r="AC304" s="139"/>
      <c r="AD304" s="139"/>
      <c r="AE304" s="139"/>
      <c r="AF304" s="139"/>
      <c r="AG304" s="139"/>
      <c r="AH304" s="139"/>
      <c r="AI304" s="139"/>
      <c r="AJ304" s="139"/>
      <c r="AK304" s="139"/>
      <c r="AL304" s="139"/>
      <c r="AM304" s="139"/>
      <c r="AN304" s="139"/>
      <c r="AO304" s="139"/>
      <c r="AP304" s="139"/>
      <c r="AQ304" s="139"/>
      <c r="AR304" s="139"/>
      <c r="AS304" s="139"/>
      <c r="AT304" s="139"/>
      <c r="AU304" s="139"/>
      <c r="AV304" s="139"/>
    </row>
    <row r="305">
      <c r="A305" s="139"/>
      <c r="B305" s="234"/>
      <c r="C305" s="139"/>
      <c r="D305" s="139"/>
      <c r="E305" s="139"/>
      <c r="F305" s="139"/>
      <c r="G305" s="139"/>
      <c r="H305" s="139"/>
      <c r="I305" s="139"/>
      <c r="J305" s="139"/>
      <c r="K305" s="139"/>
      <c r="L305" s="139"/>
      <c r="M305" s="139"/>
      <c r="N305" s="145"/>
      <c r="O305" s="139"/>
      <c r="P305" s="139"/>
      <c r="Q305" s="231"/>
      <c r="R305" s="139"/>
      <c r="S305" s="235"/>
      <c r="T305" s="235"/>
      <c r="U305" s="145"/>
      <c r="V305" s="145"/>
      <c r="W305" s="111"/>
      <c r="X305" s="233"/>
      <c r="Y305" s="226"/>
      <c r="Z305" s="139"/>
      <c r="AA305" s="139"/>
      <c r="AB305" s="139"/>
      <c r="AC305" s="139"/>
      <c r="AD305" s="139"/>
      <c r="AE305" s="139"/>
      <c r="AF305" s="139"/>
      <c r="AG305" s="139"/>
      <c r="AH305" s="139"/>
      <c r="AI305" s="139"/>
      <c r="AJ305" s="139"/>
      <c r="AK305" s="139"/>
      <c r="AL305" s="139"/>
      <c r="AM305" s="139"/>
      <c r="AN305" s="139"/>
      <c r="AO305" s="139"/>
      <c r="AP305" s="139"/>
      <c r="AQ305" s="139"/>
      <c r="AR305" s="139"/>
      <c r="AS305" s="139"/>
      <c r="AT305" s="139"/>
      <c r="AU305" s="139"/>
      <c r="AV305" s="139"/>
    </row>
    <row r="306">
      <c r="A306" s="139"/>
      <c r="B306" s="234"/>
      <c r="C306" s="139"/>
      <c r="D306" s="139"/>
      <c r="E306" s="139"/>
      <c r="F306" s="139"/>
      <c r="G306" s="139"/>
      <c r="H306" s="139"/>
      <c r="I306" s="139"/>
      <c r="J306" s="139"/>
      <c r="K306" s="139"/>
      <c r="L306" s="139"/>
      <c r="M306" s="139"/>
      <c r="N306" s="145"/>
      <c r="O306" s="139"/>
      <c r="P306" s="139"/>
      <c r="Q306" s="231"/>
      <c r="R306" s="139"/>
      <c r="S306" s="235"/>
      <c r="T306" s="235"/>
      <c r="U306" s="145"/>
      <c r="V306" s="145"/>
      <c r="W306" s="111"/>
      <c r="X306" s="233"/>
      <c r="Y306" s="226"/>
      <c r="Z306" s="139"/>
      <c r="AA306" s="139"/>
      <c r="AB306" s="139"/>
      <c r="AC306" s="139"/>
      <c r="AD306" s="139"/>
      <c r="AE306" s="139"/>
      <c r="AF306" s="139"/>
      <c r="AG306" s="139"/>
      <c r="AH306" s="139"/>
      <c r="AI306" s="139"/>
      <c r="AJ306" s="139"/>
      <c r="AK306" s="139"/>
      <c r="AL306" s="139"/>
      <c r="AM306" s="139"/>
      <c r="AN306" s="139"/>
      <c r="AO306" s="139"/>
      <c r="AP306" s="139"/>
      <c r="AQ306" s="139"/>
      <c r="AR306" s="139"/>
      <c r="AS306" s="139"/>
      <c r="AT306" s="139"/>
      <c r="AU306" s="139"/>
      <c r="AV306" s="139"/>
    </row>
    <row r="307">
      <c r="A307" s="139"/>
      <c r="B307" s="234"/>
      <c r="C307" s="139"/>
      <c r="D307" s="139"/>
      <c r="E307" s="139"/>
      <c r="F307" s="139"/>
      <c r="G307" s="139"/>
      <c r="H307" s="139"/>
      <c r="I307" s="139"/>
      <c r="J307" s="139"/>
      <c r="K307" s="139"/>
      <c r="L307" s="139"/>
      <c r="M307" s="139"/>
      <c r="N307" s="145"/>
      <c r="O307" s="139"/>
      <c r="P307" s="139"/>
      <c r="Q307" s="231"/>
      <c r="R307" s="139"/>
      <c r="S307" s="235"/>
      <c r="T307" s="235"/>
      <c r="U307" s="145"/>
      <c r="V307" s="145"/>
      <c r="W307" s="111"/>
      <c r="X307" s="233"/>
      <c r="Y307" s="226"/>
      <c r="Z307" s="139"/>
      <c r="AA307" s="139"/>
      <c r="AB307" s="139"/>
      <c r="AC307" s="139"/>
      <c r="AD307" s="139"/>
      <c r="AE307" s="139"/>
      <c r="AF307" s="139"/>
      <c r="AG307" s="139"/>
      <c r="AH307" s="139"/>
      <c r="AI307" s="139"/>
      <c r="AJ307" s="139"/>
      <c r="AK307" s="139"/>
      <c r="AL307" s="139"/>
      <c r="AM307" s="139"/>
      <c r="AN307" s="139"/>
      <c r="AO307" s="139"/>
      <c r="AP307" s="139"/>
      <c r="AQ307" s="139"/>
      <c r="AR307" s="139"/>
      <c r="AS307" s="139"/>
      <c r="AT307" s="139"/>
      <c r="AU307" s="139"/>
      <c r="AV307" s="139"/>
    </row>
    <row r="308">
      <c r="A308" s="139"/>
      <c r="B308" s="234"/>
      <c r="C308" s="139"/>
      <c r="D308" s="139"/>
      <c r="E308" s="139"/>
      <c r="F308" s="139"/>
      <c r="G308" s="139"/>
      <c r="H308" s="139"/>
      <c r="I308" s="139"/>
      <c r="J308" s="139"/>
      <c r="K308" s="139"/>
      <c r="L308" s="139"/>
      <c r="M308" s="139"/>
      <c r="N308" s="145"/>
      <c r="O308" s="139"/>
      <c r="P308" s="139"/>
      <c r="Q308" s="231"/>
      <c r="R308" s="139"/>
      <c r="S308" s="235"/>
      <c r="T308" s="235"/>
      <c r="U308" s="145"/>
      <c r="V308" s="145"/>
      <c r="W308" s="111"/>
      <c r="X308" s="233"/>
      <c r="Y308" s="226"/>
      <c r="Z308" s="139"/>
      <c r="AA308" s="139"/>
      <c r="AB308" s="139"/>
      <c r="AC308" s="139"/>
      <c r="AD308" s="139"/>
      <c r="AE308" s="139"/>
      <c r="AF308" s="139"/>
      <c r="AG308" s="139"/>
      <c r="AH308" s="139"/>
      <c r="AI308" s="139"/>
      <c r="AJ308" s="139"/>
      <c r="AK308" s="139"/>
      <c r="AL308" s="139"/>
      <c r="AM308" s="139"/>
      <c r="AN308" s="139"/>
      <c r="AO308" s="139"/>
      <c r="AP308" s="139"/>
      <c r="AQ308" s="139"/>
      <c r="AR308" s="139"/>
      <c r="AS308" s="139"/>
      <c r="AT308" s="139"/>
      <c r="AU308" s="139"/>
      <c r="AV308" s="139"/>
    </row>
    <row r="309">
      <c r="A309" s="139"/>
      <c r="B309" s="234"/>
      <c r="C309" s="139"/>
      <c r="D309" s="139"/>
      <c r="E309" s="139"/>
      <c r="F309" s="139"/>
      <c r="G309" s="139"/>
      <c r="H309" s="139"/>
      <c r="I309" s="139"/>
      <c r="J309" s="139"/>
      <c r="K309" s="139"/>
      <c r="L309" s="139"/>
      <c r="M309" s="139"/>
      <c r="N309" s="145"/>
      <c r="O309" s="139"/>
      <c r="P309" s="139"/>
      <c r="Q309" s="231"/>
      <c r="R309" s="139"/>
      <c r="S309" s="235"/>
      <c r="T309" s="235"/>
      <c r="U309" s="145"/>
      <c r="V309" s="145"/>
      <c r="W309" s="111"/>
      <c r="X309" s="233"/>
      <c r="Y309" s="226"/>
      <c r="Z309" s="139"/>
      <c r="AA309" s="139"/>
      <c r="AB309" s="139"/>
      <c r="AC309" s="139"/>
      <c r="AD309" s="139"/>
      <c r="AE309" s="139"/>
      <c r="AF309" s="139"/>
      <c r="AG309" s="139"/>
      <c r="AH309" s="139"/>
      <c r="AI309" s="139"/>
      <c r="AJ309" s="139"/>
      <c r="AK309" s="139"/>
      <c r="AL309" s="139"/>
      <c r="AM309" s="139"/>
      <c r="AN309" s="139"/>
      <c r="AO309" s="139"/>
      <c r="AP309" s="139"/>
      <c r="AQ309" s="139"/>
      <c r="AR309" s="139"/>
      <c r="AS309" s="139"/>
      <c r="AT309" s="139"/>
      <c r="AU309" s="139"/>
      <c r="AV309" s="139"/>
    </row>
    <row r="310">
      <c r="A310" s="139"/>
      <c r="B310" s="234"/>
      <c r="C310" s="139"/>
      <c r="D310" s="139"/>
      <c r="E310" s="139"/>
      <c r="F310" s="139"/>
      <c r="G310" s="139"/>
      <c r="H310" s="139"/>
      <c r="I310" s="139"/>
      <c r="J310" s="139"/>
      <c r="K310" s="139"/>
      <c r="L310" s="139"/>
      <c r="M310" s="139"/>
      <c r="N310" s="145"/>
      <c r="O310" s="139"/>
      <c r="P310" s="139"/>
      <c r="Q310" s="231"/>
      <c r="R310" s="139"/>
      <c r="S310" s="235"/>
      <c r="T310" s="235"/>
      <c r="U310" s="145"/>
      <c r="V310" s="145"/>
      <c r="W310" s="111"/>
      <c r="X310" s="233"/>
      <c r="Y310" s="226"/>
      <c r="Z310" s="139"/>
      <c r="AA310" s="139"/>
      <c r="AB310" s="139"/>
      <c r="AC310" s="139"/>
      <c r="AD310" s="139"/>
      <c r="AE310" s="139"/>
      <c r="AF310" s="139"/>
      <c r="AG310" s="139"/>
      <c r="AH310" s="139"/>
      <c r="AI310" s="139"/>
      <c r="AJ310" s="139"/>
      <c r="AK310" s="139"/>
      <c r="AL310" s="139"/>
      <c r="AM310" s="139"/>
      <c r="AN310" s="139"/>
      <c r="AO310" s="139"/>
      <c r="AP310" s="139"/>
      <c r="AQ310" s="139"/>
      <c r="AR310" s="139"/>
      <c r="AS310" s="139"/>
      <c r="AT310" s="139"/>
      <c r="AU310" s="139"/>
      <c r="AV310" s="139"/>
    </row>
    <row r="311">
      <c r="A311" s="139"/>
      <c r="B311" s="234"/>
      <c r="C311" s="139"/>
      <c r="D311" s="139"/>
      <c r="E311" s="139"/>
      <c r="F311" s="139"/>
      <c r="G311" s="139"/>
      <c r="H311" s="139"/>
      <c r="I311" s="139"/>
      <c r="J311" s="139"/>
      <c r="K311" s="139"/>
      <c r="L311" s="139"/>
      <c r="M311" s="139"/>
      <c r="N311" s="145"/>
      <c r="O311" s="139"/>
      <c r="P311" s="139"/>
      <c r="Q311" s="231"/>
      <c r="R311" s="139"/>
      <c r="S311" s="235"/>
      <c r="T311" s="235"/>
      <c r="U311" s="145"/>
      <c r="V311" s="145"/>
      <c r="W311" s="111"/>
      <c r="X311" s="233"/>
      <c r="Y311" s="226"/>
      <c r="Z311" s="139"/>
      <c r="AA311" s="139"/>
      <c r="AB311" s="139"/>
      <c r="AC311" s="139"/>
      <c r="AD311" s="139"/>
      <c r="AE311" s="139"/>
      <c r="AF311" s="139"/>
      <c r="AG311" s="139"/>
      <c r="AH311" s="139"/>
      <c r="AI311" s="139"/>
      <c r="AJ311" s="139"/>
      <c r="AK311" s="139"/>
      <c r="AL311" s="139"/>
      <c r="AM311" s="139"/>
      <c r="AN311" s="139"/>
      <c r="AO311" s="139"/>
      <c r="AP311" s="139"/>
      <c r="AQ311" s="139"/>
      <c r="AR311" s="139"/>
      <c r="AS311" s="139"/>
      <c r="AT311" s="139"/>
      <c r="AU311" s="139"/>
      <c r="AV311" s="139"/>
    </row>
    <row r="312">
      <c r="A312" s="139"/>
      <c r="B312" s="234"/>
      <c r="C312" s="139"/>
      <c r="D312" s="139"/>
      <c r="E312" s="139"/>
      <c r="F312" s="139"/>
      <c r="G312" s="139"/>
      <c r="H312" s="139"/>
      <c r="I312" s="139"/>
      <c r="J312" s="139"/>
      <c r="K312" s="139"/>
      <c r="L312" s="139"/>
      <c r="M312" s="139"/>
      <c r="N312" s="145"/>
      <c r="O312" s="139"/>
      <c r="P312" s="139"/>
      <c r="Q312" s="231"/>
      <c r="R312" s="139"/>
      <c r="S312" s="235"/>
      <c r="T312" s="235"/>
      <c r="U312" s="145"/>
      <c r="V312" s="145"/>
      <c r="W312" s="111"/>
      <c r="X312" s="233"/>
      <c r="Y312" s="226"/>
      <c r="Z312" s="139"/>
      <c r="AA312" s="139"/>
      <c r="AB312" s="139"/>
      <c r="AC312" s="139"/>
      <c r="AD312" s="139"/>
      <c r="AE312" s="139"/>
      <c r="AF312" s="139"/>
      <c r="AG312" s="139"/>
      <c r="AH312" s="139"/>
      <c r="AI312" s="139"/>
      <c r="AJ312" s="139"/>
      <c r="AK312" s="139"/>
      <c r="AL312" s="139"/>
      <c r="AM312" s="139"/>
      <c r="AN312" s="139"/>
      <c r="AO312" s="139"/>
      <c r="AP312" s="139"/>
      <c r="AQ312" s="139"/>
      <c r="AR312" s="139"/>
      <c r="AS312" s="139"/>
      <c r="AT312" s="139"/>
      <c r="AU312" s="139"/>
      <c r="AV312" s="139"/>
    </row>
    <row r="313">
      <c r="A313" s="139"/>
      <c r="B313" s="234"/>
      <c r="C313" s="139"/>
      <c r="D313" s="139"/>
      <c r="E313" s="139"/>
      <c r="F313" s="139"/>
      <c r="G313" s="139"/>
      <c r="H313" s="139"/>
      <c r="I313" s="139"/>
      <c r="J313" s="139"/>
      <c r="K313" s="139"/>
      <c r="L313" s="139"/>
      <c r="M313" s="139"/>
      <c r="N313" s="145"/>
      <c r="O313" s="139"/>
      <c r="P313" s="139"/>
      <c r="Q313" s="231"/>
      <c r="R313" s="139"/>
      <c r="S313" s="235"/>
      <c r="T313" s="235"/>
      <c r="U313" s="145"/>
      <c r="V313" s="145"/>
      <c r="W313" s="111"/>
      <c r="X313" s="233"/>
      <c r="Y313" s="226"/>
      <c r="Z313" s="139"/>
      <c r="AA313" s="139"/>
      <c r="AB313" s="139"/>
      <c r="AC313" s="139"/>
      <c r="AD313" s="139"/>
      <c r="AE313" s="139"/>
      <c r="AF313" s="139"/>
      <c r="AG313" s="139"/>
      <c r="AH313" s="139"/>
      <c r="AI313" s="139"/>
      <c r="AJ313" s="139"/>
      <c r="AK313" s="139"/>
      <c r="AL313" s="139"/>
      <c r="AM313" s="139"/>
      <c r="AN313" s="139"/>
      <c r="AO313" s="139"/>
      <c r="AP313" s="139"/>
      <c r="AQ313" s="139"/>
      <c r="AR313" s="139"/>
      <c r="AS313" s="139"/>
      <c r="AT313" s="139"/>
      <c r="AU313" s="139"/>
      <c r="AV313" s="139"/>
    </row>
    <row r="314">
      <c r="A314" s="139"/>
      <c r="B314" s="234"/>
      <c r="C314" s="139"/>
      <c r="D314" s="139"/>
      <c r="E314" s="139"/>
      <c r="F314" s="139"/>
      <c r="G314" s="139"/>
      <c r="H314" s="139"/>
      <c r="I314" s="139"/>
      <c r="J314" s="139"/>
      <c r="K314" s="139"/>
      <c r="L314" s="139"/>
      <c r="M314" s="139"/>
      <c r="N314" s="145"/>
      <c r="O314" s="139"/>
      <c r="P314" s="139"/>
      <c r="Q314" s="231"/>
      <c r="R314" s="139"/>
      <c r="S314" s="235"/>
      <c r="T314" s="235"/>
      <c r="U314" s="145"/>
      <c r="V314" s="145"/>
      <c r="W314" s="111"/>
      <c r="X314" s="233"/>
      <c r="Y314" s="226"/>
      <c r="Z314" s="139"/>
      <c r="AA314" s="139"/>
      <c r="AB314" s="139"/>
      <c r="AC314" s="139"/>
      <c r="AD314" s="139"/>
      <c r="AE314" s="139"/>
      <c r="AF314" s="139"/>
      <c r="AG314" s="139"/>
      <c r="AH314" s="139"/>
      <c r="AI314" s="139"/>
      <c r="AJ314" s="139"/>
      <c r="AK314" s="139"/>
      <c r="AL314" s="139"/>
      <c r="AM314" s="139"/>
      <c r="AN314" s="139"/>
      <c r="AO314" s="139"/>
      <c r="AP314" s="139"/>
      <c r="AQ314" s="139"/>
      <c r="AR314" s="139"/>
      <c r="AS314" s="139"/>
      <c r="AT314" s="139"/>
      <c r="AU314" s="139"/>
      <c r="AV314" s="139"/>
    </row>
    <row r="315">
      <c r="A315" s="139"/>
      <c r="B315" s="234"/>
      <c r="C315" s="139"/>
      <c r="D315" s="139"/>
      <c r="E315" s="139"/>
      <c r="F315" s="139"/>
      <c r="G315" s="139"/>
      <c r="H315" s="139"/>
      <c r="I315" s="139"/>
      <c r="J315" s="139"/>
      <c r="K315" s="139"/>
      <c r="L315" s="139"/>
      <c r="M315" s="139"/>
      <c r="N315" s="145"/>
      <c r="O315" s="139"/>
      <c r="P315" s="139"/>
      <c r="Q315" s="231"/>
      <c r="R315" s="139"/>
      <c r="S315" s="235"/>
      <c r="T315" s="235"/>
      <c r="U315" s="145"/>
      <c r="V315" s="145"/>
      <c r="W315" s="111"/>
      <c r="X315" s="233"/>
      <c r="Y315" s="226"/>
      <c r="Z315" s="139"/>
      <c r="AA315" s="139"/>
      <c r="AB315" s="139"/>
      <c r="AC315" s="139"/>
      <c r="AD315" s="139"/>
      <c r="AE315" s="139"/>
      <c r="AF315" s="139"/>
      <c r="AG315" s="139"/>
      <c r="AH315" s="139"/>
      <c r="AI315" s="139"/>
      <c r="AJ315" s="139"/>
      <c r="AK315" s="139"/>
      <c r="AL315" s="139"/>
      <c r="AM315" s="139"/>
      <c r="AN315" s="139"/>
      <c r="AO315" s="139"/>
      <c r="AP315" s="139"/>
      <c r="AQ315" s="139"/>
      <c r="AR315" s="139"/>
      <c r="AS315" s="139"/>
      <c r="AT315" s="139"/>
      <c r="AU315" s="139"/>
      <c r="AV315" s="139"/>
    </row>
    <row r="316">
      <c r="A316" s="139"/>
      <c r="B316" s="234"/>
      <c r="C316" s="139"/>
      <c r="D316" s="139"/>
      <c r="E316" s="139"/>
      <c r="F316" s="139"/>
      <c r="G316" s="139"/>
      <c r="H316" s="139"/>
      <c r="I316" s="139"/>
      <c r="J316" s="139"/>
      <c r="K316" s="139"/>
      <c r="L316" s="139"/>
      <c r="M316" s="139"/>
      <c r="N316" s="145"/>
      <c r="O316" s="139"/>
      <c r="P316" s="139"/>
      <c r="Q316" s="231"/>
      <c r="R316" s="139"/>
      <c r="S316" s="235"/>
      <c r="T316" s="235"/>
      <c r="U316" s="145"/>
      <c r="V316" s="145"/>
      <c r="W316" s="111"/>
      <c r="X316" s="233"/>
      <c r="Y316" s="226"/>
      <c r="Z316" s="139"/>
      <c r="AA316" s="139"/>
      <c r="AB316" s="139"/>
      <c r="AC316" s="139"/>
      <c r="AD316" s="139"/>
      <c r="AE316" s="139"/>
      <c r="AF316" s="139"/>
      <c r="AG316" s="139"/>
      <c r="AH316" s="139"/>
      <c r="AI316" s="139"/>
      <c r="AJ316" s="139"/>
      <c r="AK316" s="139"/>
      <c r="AL316" s="139"/>
      <c r="AM316" s="139"/>
      <c r="AN316" s="139"/>
      <c r="AO316" s="139"/>
      <c r="AP316" s="139"/>
      <c r="AQ316" s="139"/>
      <c r="AR316" s="139"/>
      <c r="AS316" s="139"/>
      <c r="AT316" s="139"/>
      <c r="AU316" s="139"/>
      <c r="AV316" s="139"/>
    </row>
    <row r="317">
      <c r="A317" s="139"/>
      <c r="B317" s="234"/>
      <c r="C317" s="139"/>
      <c r="D317" s="139"/>
      <c r="E317" s="139"/>
      <c r="F317" s="139"/>
      <c r="G317" s="139"/>
      <c r="H317" s="139"/>
      <c r="I317" s="139"/>
      <c r="J317" s="139"/>
      <c r="K317" s="139"/>
      <c r="L317" s="139"/>
      <c r="M317" s="139"/>
      <c r="N317" s="145"/>
      <c r="O317" s="139"/>
      <c r="P317" s="139"/>
      <c r="Q317" s="231"/>
      <c r="R317" s="139"/>
      <c r="S317" s="235"/>
      <c r="T317" s="235"/>
      <c r="U317" s="145"/>
      <c r="V317" s="145"/>
      <c r="W317" s="111"/>
      <c r="X317" s="233"/>
      <c r="Y317" s="226"/>
      <c r="Z317" s="139"/>
      <c r="AA317" s="139"/>
      <c r="AB317" s="139"/>
      <c r="AC317" s="139"/>
      <c r="AD317" s="139"/>
      <c r="AE317" s="139"/>
      <c r="AF317" s="139"/>
      <c r="AG317" s="139"/>
      <c r="AH317" s="139"/>
      <c r="AI317" s="139"/>
      <c r="AJ317" s="139"/>
      <c r="AK317" s="139"/>
      <c r="AL317" s="139"/>
      <c r="AM317" s="139"/>
      <c r="AN317" s="139"/>
      <c r="AO317" s="139"/>
      <c r="AP317" s="139"/>
      <c r="AQ317" s="139"/>
      <c r="AR317" s="139"/>
      <c r="AS317" s="139"/>
      <c r="AT317" s="139"/>
      <c r="AU317" s="139"/>
      <c r="AV317" s="139"/>
    </row>
    <row r="318">
      <c r="A318" s="139"/>
      <c r="B318" s="234"/>
      <c r="C318" s="139"/>
      <c r="D318" s="139"/>
      <c r="E318" s="139"/>
      <c r="F318" s="139"/>
      <c r="G318" s="139"/>
      <c r="H318" s="139"/>
      <c r="I318" s="139"/>
      <c r="J318" s="139"/>
      <c r="K318" s="139"/>
      <c r="L318" s="139"/>
      <c r="M318" s="139"/>
      <c r="N318" s="145"/>
      <c r="O318" s="139"/>
      <c r="P318" s="139"/>
      <c r="Q318" s="231"/>
      <c r="R318" s="139"/>
      <c r="S318" s="235"/>
      <c r="T318" s="235"/>
      <c r="U318" s="145"/>
      <c r="V318" s="145"/>
      <c r="W318" s="111"/>
      <c r="X318" s="233"/>
      <c r="Y318" s="226"/>
      <c r="Z318" s="139"/>
      <c r="AA318" s="139"/>
      <c r="AB318" s="139"/>
      <c r="AC318" s="139"/>
      <c r="AD318" s="139"/>
      <c r="AE318" s="139"/>
      <c r="AF318" s="139"/>
      <c r="AG318" s="139"/>
      <c r="AH318" s="139"/>
      <c r="AI318" s="139"/>
      <c r="AJ318" s="139"/>
      <c r="AK318" s="139"/>
      <c r="AL318" s="139"/>
      <c r="AM318" s="139"/>
      <c r="AN318" s="139"/>
      <c r="AO318" s="139"/>
      <c r="AP318" s="139"/>
      <c r="AQ318" s="139"/>
      <c r="AR318" s="139"/>
      <c r="AS318" s="139"/>
      <c r="AT318" s="139"/>
      <c r="AU318" s="139"/>
      <c r="AV318" s="139"/>
    </row>
    <row r="319">
      <c r="A319" s="139"/>
      <c r="B319" s="234"/>
      <c r="C319" s="139"/>
      <c r="D319" s="139"/>
      <c r="E319" s="139"/>
      <c r="F319" s="139"/>
      <c r="G319" s="139"/>
      <c r="H319" s="139"/>
      <c r="I319" s="139"/>
      <c r="J319" s="139"/>
      <c r="K319" s="139"/>
      <c r="L319" s="139"/>
      <c r="M319" s="139"/>
      <c r="N319" s="145"/>
      <c r="O319" s="139"/>
      <c r="P319" s="139"/>
      <c r="Q319" s="231"/>
      <c r="R319" s="139"/>
      <c r="S319" s="235"/>
      <c r="T319" s="235"/>
      <c r="U319" s="145"/>
      <c r="V319" s="145"/>
      <c r="W319" s="111"/>
      <c r="X319" s="233"/>
      <c r="Y319" s="226"/>
      <c r="Z319" s="139"/>
      <c r="AA319" s="139"/>
      <c r="AB319" s="139"/>
      <c r="AC319" s="139"/>
      <c r="AD319" s="139"/>
      <c r="AE319" s="139"/>
      <c r="AF319" s="139"/>
      <c r="AG319" s="139"/>
      <c r="AH319" s="139"/>
      <c r="AI319" s="139"/>
      <c r="AJ319" s="139"/>
      <c r="AK319" s="139"/>
      <c r="AL319" s="139"/>
      <c r="AM319" s="139"/>
      <c r="AN319" s="139"/>
      <c r="AO319" s="139"/>
      <c r="AP319" s="139"/>
      <c r="AQ319" s="139"/>
      <c r="AR319" s="139"/>
      <c r="AS319" s="139"/>
      <c r="AT319" s="139"/>
      <c r="AU319" s="139"/>
      <c r="AV319" s="139"/>
    </row>
    <row r="320">
      <c r="A320" s="139"/>
      <c r="B320" s="234"/>
      <c r="C320" s="139"/>
      <c r="D320" s="139"/>
      <c r="E320" s="139"/>
      <c r="F320" s="139"/>
      <c r="G320" s="139"/>
      <c r="H320" s="139"/>
      <c r="I320" s="139"/>
      <c r="J320" s="139"/>
      <c r="K320" s="139"/>
      <c r="L320" s="139"/>
      <c r="M320" s="139"/>
      <c r="N320" s="145"/>
      <c r="O320" s="139"/>
      <c r="P320" s="139"/>
      <c r="Q320" s="231"/>
      <c r="R320" s="139"/>
      <c r="S320" s="235"/>
      <c r="T320" s="235"/>
      <c r="U320" s="145"/>
      <c r="V320" s="145"/>
      <c r="W320" s="111"/>
      <c r="X320" s="233"/>
      <c r="Y320" s="226"/>
      <c r="Z320" s="139"/>
      <c r="AA320" s="139"/>
      <c r="AB320" s="139"/>
      <c r="AC320" s="139"/>
      <c r="AD320" s="139"/>
      <c r="AE320" s="139"/>
      <c r="AF320" s="139"/>
      <c r="AG320" s="139"/>
      <c r="AH320" s="139"/>
      <c r="AI320" s="139"/>
      <c r="AJ320" s="139"/>
      <c r="AK320" s="139"/>
      <c r="AL320" s="139"/>
      <c r="AM320" s="139"/>
      <c r="AN320" s="139"/>
      <c r="AO320" s="139"/>
      <c r="AP320" s="139"/>
      <c r="AQ320" s="139"/>
      <c r="AR320" s="139"/>
      <c r="AS320" s="139"/>
      <c r="AT320" s="139"/>
      <c r="AU320" s="139"/>
      <c r="AV320" s="139"/>
    </row>
    <row r="321">
      <c r="A321" s="139"/>
      <c r="B321" s="234"/>
      <c r="C321" s="139"/>
      <c r="D321" s="139"/>
      <c r="E321" s="139"/>
      <c r="F321" s="139"/>
      <c r="G321" s="139"/>
      <c r="H321" s="139"/>
      <c r="I321" s="139"/>
      <c r="J321" s="139"/>
      <c r="K321" s="139"/>
      <c r="L321" s="139"/>
      <c r="M321" s="139"/>
      <c r="N321" s="145"/>
      <c r="O321" s="139"/>
      <c r="P321" s="139"/>
      <c r="Q321" s="231"/>
      <c r="R321" s="139"/>
      <c r="S321" s="235"/>
      <c r="T321" s="235"/>
      <c r="U321" s="145"/>
      <c r="V321" s="145"/>
      <c r="W321" s="111"/>
      <c r="X321" s="233"/>
      <c r="Y321" s="226"/>
      <c r="Z321" s="139"/>
      <c r="AA321" s="139"/>
      <c r="AB321" s="139"/>
      <c r="AC321" s="139"/>
      <c r="AD321" s="139"/>
      <c r="AE321" s="139"/>
      <c r="AF321" s="139"/>
      <c r="AG321" s="139"/>
      <c r="AH321" s="139"/>
      <c r="AI321" s="139"/>
      <c r="AJ321" s="139"/>
      <c r="AK321" s="139"/>
      <c r="AL321" s="139"/>
      <c r="AM321" s="139"/>
      <c r="AN321" s="139"/>
      <c r="AO321" s="139"/>
      <c r="AP321" s="139"/>
      <c r="AQ321" s="139"/>
      <c r="AR321" s="139"/>
      <c r="AS321" s="139"/>
      <c r="AT321" s="139"/>
      <c r="AU321" s="139"/>
      <c r="AV321" s="139"/>
    </row>
    <row r="322">
      <c r="A322" s="139"/>
      <c r="B322" s="234"/>
      <c r="C322" s="139"/>
      <c r="D322" s="139"/>
      <c r="E322" s="139"/>
      <c r="F322" s="139"/>
      <c r="G322" s="139"/>
      <c r="H322" s="139"/>
      <c r="I322" s="139"/>
      <c r="J322" s="139"/>
      <c r="K322" s="139"/>
      <c r="L322" s="139"/>
      <c r="M322" s="139"/>
      <c r="N322" s="145"/>
      <c r="O322" s="139"/>
      <c r="P322" s="139"/>
      <c r="Q322" s="231"/>
      <c r="R322" s="139"/>
      <c r="S322" s="235"/>
      <c r="T322" s="235"/>
      <c r="U322" s="145"/>
      <c r="V322" s="145"/>
      <c r="W322" s="111"/>
      <c r="X322" s="233"/>
      <c r="Y322" s="226"/>
      <c r="Z322" s="139"/>
      <c r="AA322" s="139"/>
      <c r="AB322" s="139"/>
      <c r="AC322" s="139"/>
      <c r="AD322" s="139"/>
      <c r="AE322" s="139"/>
      <c r="AF322" s="139"/>
      <c r="AG322" s="139"/>
      <c r="AH322" s="139"/>
      <c r="AI322" s="139"/>
      <c r="AJ322" s="139"/>
      <c r="AK322" s="139"/>
      <c r="AL322" s="139"/>
      <c r="AM322" s="139"/>
      <c r="AN322" s="139"/>
      <c r="AO322" s="139"/>
      <c r="AP322" s="139"/>
      <c r="AQ322" s="139"/>
      <c r="AR322" s="139"/>
      <c r="AS322" s="139"/>
      <c r="AT322" s="139"/>
      <c r="AU322" s="139"/>
      <c r="AV322" s="139"/>
    </row>
    <row r="323">
      <c r="A323" s="139"/>
      <c r="B323" s="234"/>
      <c r="C323" s="139"/>
      <c r="D323" s="139"/>
      <c r="E323" s="139"/>
      <c r="F323" s="139"/>
      <c r="G323" s="139"/>
      <c r="H323" s="139"/>
      <c r="I323" s="139"/>
      <c r="J323" s="139"/>
      <c r="K323" s="139"/>
      <c r="L323" s="139"/>
      <c r="M323" s="139"/>
      <c r="N323" s="145"/>
      <c r="O323" s="139"/>
      <c r="P323" s="139"/>
      <c r="Q323" s="231"/>
      <c r="R323" s="139"/>
      <c r="S323" s="235"/>
      <c r="T323" s="235"/>
      <c r="U323" s="145"/>
      <c r="V323" s="145"/>
      <c r="W323" s="111"/>
      <c r="X323" s="233"/>
      <c r="Y323" s="226"/>
      <c r="Z323" s="139"/>
      <c r="AA323" s="139"/>
      <c r="AB323" s="139"/>
      <c r="AC323" s="139"/>
      <c r="AD323" s="139"/>
      <c r="AE323" s="139"/>
      <c r="AF323" s="139"/>
      <c r="AG323" s="139"/>
      <c r="AH323" s="139"/>
      <c r="AI323" s="139"/>
      <c r="AJ323" s="139"/>
      <c r="AK323" s="139"/>
      <c r="AL323" s="139"/>
      <c r="AM323" s="139"/>
      <c r="AN323" s="139"/>
      <c r="AO323" s="139"/>
      <c r="AP323" s="139"/>
      <c r="AQ323" s="139"/>
      <c r="AR323" s="139"/>
      <c r="AS323" s="139"/>
      <c r="AT323" s="139"/>
      <c r="AU323" s="139"/>
      <c r="AV323" s="139"/>
    </row>
    <row r="324">
      <c r="A324" s="139"/>
      <c r="B324" s="234"/>
      <c r="C324" s="139"/>
      <c r="D324" s="139"/>
      <c r="E324" s="139"/>
      <c r="F324" s="139"/>
      <c r="G324" s="139"/>
      <c r="H324" s="139"/>
      <c r="I324" s="139"/>
      <c r="J324" s="139"/>
      <c r="K324" s="139"/>
      <c r="L324" s="139"/>
      <c r="M324" s="139"/>
      <c r="N324" s="145"/>
      <c r="O324" s="139"/>
      <c r="P324" s="139"/>
      <c r="Q324" s="231"/>
      <c r="R324" s="139"/>
      <c r="S324" s="235"/>
      <c r="T324" s="235"/>
      <c r="U324" s="145"/>
      <c r="V324" s="145"/>
      <c r="W324" s="111"/>
      <c r="X324" s="233"/>
      <c r="Y324" s="226"/>
      <c r="Z324" s="139"/>
      <c r="AA324" s="139"/>
      <c r="AB324" s="139"/>
      <c r="AC324" s="139"/>
      <c r="AD324" s="139"/>
      <c r="AE324" s="139"/>
      <c r="AF324" s="139"/>
      <c r="AG324" s="139"/>
      <c r="AH324" s="139"/>
      <c r="AI324" s="139"/>
      <c r="AJ324" s="139"/>
      <c r="AK324" s="139"/>
      <c r="AL324" s="139"/>
      <c r="AM324" s="139"/>
      <c r="AN324" s="139"/>
      <c r="AO324" s="139"/>
      <c r="AP324" s="139"/>
      <c r="AQ324" s="139"/>
      <c r="AR324" s="139"/>
      <c r="AS324" s="139"/>
      <c r="AT324" s="139"/>
      <c r="AU324" s="139"/>
      <c r="AV324" s="139"/>
    </row>
    <row r="325">
      <c r="A325" s="139"/>
      <c r="B325" s="234"/>
      <c r="C325" s="139"/>
      <c r="D325" s="139"/>
      <c r="E325" s="139"/>
      <c r="F325" s="139"/>
      <c r="G325" s="139"/>
      <c r="H325" s="139"/>
      <c r="I325" s="139"/>
      <c r="J325" s="139"/>
      <c r="K325" s="139"/>
      <c r="L325" s="139"/>
      <c r="M325" s="139"/>
      <c r="N325" s="145"/>
      <c r="O325" s="139"/>
      <c r="P325" s="139"/>
      <c r="Q325" s="231"/>
      <c r="R325" s="139"/>
      <c r="S325" s="235"/>
      <c r="T325" s="235"/>
      <c r="U325" s="145"/>
      <c r="V325" s="145"/>
      <c r="W325" s="111"/>
      <c r="X325" s="233"/>
      <c r="Y325" s="226"/>
      <c r="Z325" s="139"/>
      <c r="AA325" s="139"/>
      <c r="AB325" s="139"/>
      <c r="AC325" s="139"/>
      <c r="AD325" s="139"/>
      <c r="AE325" s="139"/>
      <c r="AF325" s="139"/>
      <c r="AG325" s="139"/>
      <c r="AH325" s="139"/>
      <c r="AI325" s="139"/>
      <c r="AJ325" s="139"/>
      <c r="AK325" s="139"/>
      <c r="AL325" s="139"/>
      <c r="AM325" s="139"/>
      <c r="AN325" s="139"/>
      <c r="AO325" s="139"/>
      <c r="AP325" s="139"/>
      <c r="AQ325" s="139"/>
      <c r="AR325" s="139"/>
      <c r="AS325" s="139"/>
      <c r="AT325" s="139"/>
      <c r="AU325" s="139"/>
      <c r="AV325" s="139"/>
    </row>
    <row r="326">
      <c r="A326" s="139"/>
      <c r="B326" s="234"/>
      <c r="C326" s="139"/>
      <c r="D326" s="139"/>
      <c r="E326" s="139"/>
      <c r="F326" s="139"/>
      <c r="G326" s="139"/>
      <c r="H326" s="139"/>
      <c r="I326" s="139"/>
      <c r="J326" s="139"/>
      <c r="K326" s="139"/>
      <c r="L326" s="139"/>
      <c r="M326" s="139"/>
      <c r="N326" s="145"/>
      <c r="O326" s="139"/>
      <c r="P326" s="139"/>
      <c r="Q326" s="231"/>
      <c r="R326" s="139"/>
      <c r="S326" s="235"/>
      <c r="T326" s="235"/>
      <c r="U326" s="145"/>
      <c r="V326" s="145"/>
      <c r="W326" s="111"/>
      <c r="X326" s="233"/>
      <c r="Y326" s="226"/>
      <c r="Z326" s="139"/>
      <c r="AA326" s="139"/>
      <c r="AB326" s="139"/>
      <c r="AC326" s="139"/>
      <c r="AD326" s="139"/>
      <c r="AE326" s="139"/>
      <c r="AF326" s="139"/>
      <c r="AG326" s="139"/>
      <c r="AH326" s="139"/>
      <c r="AI326" s="139"/>
      <c r="AJ326" s="139"/>
      <c r="AK326" s="139"/>
      <c r="AL326" s="139"/>
      <c r="AM326" s="139"/>
      <c r="AN326" s="139"/>
      <c r="AO326" s="139"/>
      <c r="AP326" s="139"/>
      <c r="AQ326" s="139"/>
      <c r="AR326" s="139"/>
      <c r="AS326" s="139"/>
      <c r="AT326" s="139"/>
      <c r="AU326" s="139"/>
      <c r="AV326" s="139"/>
    </row>
    <row r="327">
      <c r="A327" s="139"/>
      <c r="B327" s="234"/>
      <c r="C327" s="139"/>
      <c r="D327" s="139"/>
      <c r="E327" s="139"/>
      <c r="F327" s="139"/>
      <c r="G327" s="139"/>
      <c r="H327" s="139"/>
      <c r="I327" s="139"/>
      <c r="J327" s="139"/>
      <c r="K327" s="139"/>
      <c r="L327" s="139"/>
      <c r="M327" s="139"/>
      <c r="N327" s="145"/>
      <c r="O327" s="139"/>
      <c r="P327" s="139"/>
      <c r="Q327" s="231"/>
      <c r="R327" s="139"/>
      <c r="S327" s="235"/>
      <c r="T327" s="235"/>
      <c r="U327" s="145"/>
      <c r="V327" s="145"/>
      <c r="W327" s="111"/>
      <c r="X327" s="233"/>
      <c r="Y327" s="226"/>
      <c r="Z327" s="139"/>
      <c r="AA327" s="139"/>
      <c r="AB327" s="139"/>
      <c r="AC327" s="139"/>
      <c r="AD327" s="139"/>
      <c r="AE327" s="139"/>
      <c r="AF327" s="139"/>
      <c r="AG327" s="139"/>
      <c r="AH327" s="139"/>
      <c r="AI327" s="139"/>
      <c r="AJ327" s="139"/>
      <c r="AK327" s="139"/>
      <c r="AL327" s="139"/>
      <c r="AM327" s="139"/>
      <c r="AN327" s="139"/>
      <c r="AO327" s="139"/>
      <c r="AP327" s="139"/>
      <c r="AQ327" s="139"/>
      <c r="AR327" s="139"/>
      <c r="AS327" s="139"/>
      <c r="AT327" s="139"/>
      <c r="AU327" s="139"/>
      <c r="AV327" s="139"/>
    </row>
    <row r="328">
      <c r="A328" s="139"/>
      <c r="B328" s="234"/>
      <c r="C328" s="139"/>
      <c r="D328" s="139"/>
      <c r="E328" s="139"/>
      <c r="F328" s="139"/>
      <c r="G328" s="139"/>
      <c r="H328" s="139"/>
      <c r="I328" s="139"/>
      <c r="J328" s="139"/>
      <c r="K328" s="139"/>
      <c r="L328" s="139"/>
      <c r="M328" s="139"/>
      <c r="N328" s="145"/>
      <c r="O328" s="139"/>
      <c r="P328" s="139"/>
      <c r="Q328" s="231"/>
      <c r="R328" s="139"/>
      <c r="S328" s="235"/>
      <c r="T328" s="235"/>
      <c r="U328" s="145"/>
      <c r="V328" s="145"/>
      <c r="W328" s="111"/>
      <c r="X328" s="233"/>
      <c r="Y328" s="226"/>
      <c r="Z328" s="139"/>
      <c r="AA328" s="139"/>
      <c r="AB328" s="139"/>
      <c r="AC328" s="139"/>
      <c r="AD328" s="139"/>
      <c r="AE328" s="139"/>
      <c r="AF328" s="139"/>
      <c r="AG328" s="139"/>
      <c r="AH328" s="139"/>
      <c r="AI328" s="139"/>
      <c r="AJ328" s="139"/>
      <c r="AK328" s="139"/>
      <c r="AL328" s="139"/>
      <c r="AM328" s="139"/>
      <c r="AN328" s="139"/>
      <c r="AO328" s="139"/>
      <c r="AP328" s="139"/>
      <c r="AQ328" s="139"/>
      <c r="AR328" s="139"/>
      <c r="AS328" s="139"/>
      <c r="AT328" s="139"/>
      <c r="AU328" s="139"/>
      <c r="AV328" s="139"/>
    </row>
    <row r="329">
      <c r="A329" s="139"/>
      <c r="B329" s="234"/>
      <c r="C329" s="139"/>
      <c r="D329" s="139"/>
      <c r="E329" s="139"/>
      <c r="F329" s="139"/>
      <c r="G329" s="139"/>
      <c r="H329" s="139"/>
      <c r="I329" s="139"/>
      <c r="J329" s="139"/>
      <c r="K329" s="139"/>
      <c r="L329" s="139"/>
      <c r="M329" s="139"/>
      <c r="N329" s="145"/>
      <c r="O329" s="139"/>
      <c r="P329" s="139"/>
      <c r="Q329" s="231"/>
      <c r="R329" s="139"/>
      <c r="S329" s="235"/>
      <c r="T329" s="235"/>
      <c r="U329" s="145"/>
      <c r="V329" s="145"/>
      <c r="W329" s="111"/>
      <c r="X329" s="233"/>
      <c r="Y329" s="226"/>
      <c r="Z329" s="139"/>
      <c r="AA329" s="139"/>
      <c r="AB329" s="139"/>
      <c r="AC329" s="139"/>
      <c r="AD329" s="139"/>
      <c r="AE329" s="139"/>
      <c r="AF329" s="139"/>
      <c r="AG329" s="139"/>
      <c r="AH329" s="139"/>
      <c r="AI329" s="139"/>
      <c r="AJ329" s="139"/>
      <c r="AK329" s="139"/>
      <c r="AL329" s="139"/>
      <c r="AM329" s="139"/>
      <c r="AN329" s="139"/>
      <c r="AO329" s="139"/>
      <c r="AP329" s="139"/>
      <c r="AQ329" s="139"/>
      <c r="AR329" s="139"/>
      <c r="AS329" s="139"/>
      <c r="AT329" s="139"/>
      <c r="AU329" s="139"/>
      <c r="AV329" s="139"/>
    </row>
    <row r="330">
      <c r="A330" s="139"/>
      <c r="B330" s="234"/>
      <c r="C330" s="139"/>
      <c r="D330" s="139"/>
      <c r="E330" s="139"/>
      <c r="F330" s="139"/>
      <c r="G330" s="139"/>
      <c r="H330" s="139"/>
      <c r="I330" s="139"/>
      <c r="J330" s="139"/>
      <c r="K330" s="139"/>
      <c r="L330" s="139"/>
      <c r="M330" s="139"/>
      <c r="N330" s="145"/>
      <c r="O330" s="139"/>
      <c r="P330" s="139"/>
      <c r="Q330" s="231"/>
      <c r="R330" s="139"/>
      <c r="S330" s="235"/>
      <c r="T330" s="235"/>
      <c r="U330" s="145"/>
      <c r="V330" s="145"/>
      <c r="W330" s="111"/>
      <c r="X330" s="233"/>
      <c r="Y330" s="226"/>
      <c r="Z330" s="139"/>
      <c r="AA330" s="139"/>
      <c r="AB330" s="139"/>
      <c r="AC330" s="139"/>
      <c r="AD330" s="139"/>
      <c r="AE330" s="139"/>
      <c r="AF330" s="139"/>
      <c r="AG330" s="139"/>
      <c r="AH330" s="139"/>
      <c r="AI330" s="139"/>
      <c r="AJ330" s="139"/>
      <c r="AK330" s="139"/>
      <c r="AL330" s="139"/>
      <c r="AM330" s="139"/>
      <c r="AN330" s="139"/>
      <c r="AO330" s="139"/>
      <c r="AP330" s="139"/>
      <c r="AQ330" s="139"/>
      <c r="AR330" s="139"/>
      <c r="AS330" s="139"/>
      <c r="AT330" s="139"/>
      <c r="AU330" s="139"/>
      <c r="AV330" s="139"/>
    </row>
    <row r="331">
      <c r="A331" s="139"/>
      <c r="B331" s="234"/>
      <c r="C331" s="139"/>
      <c r="D331" s="139"/>
      <c r="E331" s="139"/>
      <c r="F331" s="139"/>
      <c r="G331" s="139"/>
      <c r="H331" s="139"/>
      <c r="I331" s="139"/>
      <c r="J331" s="139"/>
      <c r="K331" s="139"/>
      <c r="L331" s="139"/>
      <c r="M331" s="139"/>
      <c r="N331" s="145"/>
      <c r="O331" s="139"/>
      <c r="P331" s="139"/>
      <c r="Q331" s="231"/>
      <c r="R331" s="139"/>
      <c r="S331" s="235"/>
      <c r="T331" s="235"/>
      <c r="U331" s="145"/>
      <c r="V331" s="145"/>
      <c r="W331" s="111"/>
      <c r="X331" s="233"/>
      <c r="Y331" s="226"/>
      <c r="Z331" s="139"/>
      <c r="AA331" s="139"/>
      <c r="AB331" s="139"/>
      <c r="AC331" s="139"/>
      <c r="AD331" s="139"/>
      <c r="AE331" s="139"/>
      <c r="AF331" s="139"/>
      <c r="AG331" s="139"/>
      <c r="AH331" s="139"/>
      <c r="AI331" s="139"/>
      <c r="AJ331" s="139"/>
      <c r="AK331" s="139"/>
      <c r="AL331" s="139"/>
      <c r="AM331" s="139"/>
      <c r="AN331" s="139"/>
      <c r="AO331" s="139"/>
      <c r="AP331" s="139"/>
      <c r="AQ331" s="139"/>
      <c r="AR331" s="139"/>
      <c r="AS331" s="139"/>
      <c r="AT331" s="139"/>
      <c r="AU331" s="139"/>
      <c r="AV331" s="139"/>
    </row>
    <row r="332">
      <c r="A332" s="139"/>
      <c r="B332" s="234"/>
      <c r="C332" s="139"/>
      <c r="D332" s="139"/>
      <c r="E332" s="139"/>
      <c r="F332" s="139"/>
      <c r="G332" s="139"/>
      <c r="H332" s="139"/>
      <c r="I332" s="139"/>
      <c r="J332" s="139"/>
      <c r="K332" s="139"/>
      <c r="L332" s="139"/>
      <c r="M332" s="139"/>
      <c r="N332" s="145"/>
      <c r="O332" s="139"/>
      <c r="P332" s="139"/>
      <c r="Q332" s="231"/>
      <c r="R332" s="139"/>
      <c r="S332" s="235"/>
      <c r="T332" s="235"/>
      <c r="U332" s="145"/>
      <c r="V332" s="145"/>
      <c r="W332" s="111"/>
      <c r="X332" s="233"/>
      <c r="Y332" s="226"/>
      <c r="Z332" s="139"/>
      <c r="AA332" s="139"/>
      <c r="AB332" s="139"/>
      <c r="AC332" s="139"/>
      <c r="AD332" s="139"/>
      <c r="AE332" s="139"/>
      <c r="AF332" s="139"/>
      <c r="AG332" s="139"/>
      <c r="AH332" s="139"/>
      <c r="AI332" s="139"/>
      <c r="AJ332" s="139"/>
      <c r="AK332" s="139"/>
      <c r="AL332" s="139"/>
      <c r="AM332" s="139"/>
      <c r="AN332" s="139"/>
      <c r="AO332" s="139"/>
      <c r="AP332" s="139"/>
      <c r="AQ332" s="139"/>
      <c r="AR332" s="139"/>
      <c r="AS332" s="139"/>
      <c r="AT332" s="139"/>
      <c r="AU332" s="139"/>
      <c r="AV332" s="139"/>
    </row>
    <row r="333">
      <c r="A333" s="139"/>
      <c r="B333" s="234"/>
      <c r="C333" s="139"/>
      <c r="D333" s="139"/>
      <c r="E333" s="139"/>
      <c r="F333" s="139"/>
      <c r="G333" s="139"/>
      <c r="H333" s="139"/>
      <c r="I333" s="139"/>
      <c r="J333" s="139"/>
      <c r="K333" s="139"/>
      <c r="L333" s="139"/>
      <c r="M333" s="139"/>
      <c r="N333" s="145"/>
      <c r="O333" s="139"/>
      <c r="P333" s="139"/>
      <c r="Q333" s="231"/>
      <c r="R333" s="139"/>
      <c r="S333" s="235"/>
      <c r="T333" s="235"/>
      <c r="U333" s="145"/>
      <c r="V333" s="145"/>
      <c r="W333" s="111"/>
      <c r="X333" s="233"/>
      <c r="Y333" s="226"/>
      <c r="Z333" s="139"/>
      <c r="AA333" s="139"/>
      <c r="AB333" s="139"/>
      <c r="AC333" s="139"/>
      <c r="AD333" s="139"/>
      <c r="AE333" s="139"/>
      <c r="AF333" s="139"/>
      <c r="AG333" s="139"/>
      <c r="AH333" s="139"/>
      <c r="AI333" s="139"/>
      <c r="AJ333" s="139"/>
      <c r="AK333" s="139"/>
      <c r="AL333" s="139"/>
      <c r="AM333" s="139"/>
      <c r="AN333" s="139"/>
      <c r="AO333" s="139"/>
      <c r="AP333" s="139"/>
      <c r="AQ333" s="139"/>
      <c r="AR333" s="139"/>
      <c r="AS333" s="139"/>
      <c r="AT333" s="139"/>
      <c r="AU333" s="139"/>
      <c r="AV333" s="139"/>
    </row>
    <row r="334">
      <c r="A334" s="139"/>
      <c r="B334" s="234"/>
      <c r="C334" s="139"/>
      <c r="D334" s="139"/>
      <c r="E334" s="139"/>
      <c r="F334" s="139"/>
      <c r="G334" s="139"/>
      <c r="H334" s="139"/>
      <c r="I334" s="139"/>
      <c r="J334" s="139"/>
      <c r="K334" s="139"/>
      <c r="L334" s="139"/>
      <c r="M334" s="139"/>
      <c r="N334" s="145"/>
      <c r="O334" s="139"/>
      <c r="P334" s="139"/>
      <c r="Q334" s="231"/>
      <c r="R334" s="139"/>
      <c r="S334" s="235"/>
      <c r="T334" s="235"/>
      <c r="U334" s="145"/>
      <c r="V334" s="145"/>
      <c r="W334" s="111"/>
      <c r="X334" s="233"/>
      <c r="Y334" s="226"/>
      <c r="Z334" s="139"/>
      <c r="AA334" s="139"/>
      <c r="AB334" s="139"/>
      <c r="AC334" s="139"/>
      <c r="AD334" s="139"/>
      <c r="AE334" s="139"/>
      <c r="AF334" s="139"/>
      <c r="AG334" s="139"/>
      <c r="AH334" s="139"/>
      <c r="AI334" s="139"/>
      <c r="AJ334" s="139"/>
      <c r="AK334" s="139"/>
      <c r="AL334" s="139"/>
      <c r="AM334" s="139"/>
      <c r="AN334" s="139"/>
      <c r="AO334" s="139"/>
      <c r="AP334" s="139"/>
      <c r="AQ334" s="139"/>
      <c r="AR334" s="139"/>
      <c r="AS334" s="139"/>
      <c r="AT334" s="139"/>
      <c r="AU334" s="139"/>
      <c r="AV334" s="139"/>
    </row>
    <row r="335">
      <c r="A335" s="139"/>
      <c r="B335" s="234"/>
      <c r="C335" s="139"/>
      <c r="D335" s="139"/>
      <c r="E335" s="139"/>
      <c r="F335" s="139"/>
      <c r="G335" s="139"/>
      <c r="H335" s="139"/>
      <c r="I335" s="139"/>
      <c r="J335" s="139"/>
      <c r="K335" s="139"/>
      <c r="L335" s="139"/>
      <c r="M335" s="139"/>
      <c r="N335" s="145"/>
      <c r="O335" s="139"/>
      <c r="P335" s="139"/>
      <c r="Q335" s="231"/>
      <c r="R335" s="139"/>
      <c r="S335" s="235"/>
      <c r="T335" s="235"/>
      <c r="U335" s="145"/>
      <c r="V335" s="145"/>
      <c r="W335" s="111"/>
      <c r="X335" s="233"/>
      <c r="Y335" s="226"/>
      <c r="Z335" s="139"/>
      <c r="AA335" s="139"/>
      <c r="AB335" s="139"/>
      <c r="AC335" s="139"/>
      <c r="AD335" s="139"/>
      <c r="AE335" s="139"/>
      <c r="AF335" s="139"/>
      <c r="AG335" s="139"/>
      <c r="AH335" s="139"/>
      <c r="AI335" s="139"/>
      <c r="AJ335" s="139"/>
      <c r="AK335" s="139"/>
      <c r="AL335" s="139"/>
      <c r="AM335" s="139"/>
      <c r="AN335" s="139"/>
      <c r="AO335" s="139"/>
      <c r="AP335" s="139"/>
      <c r="AQ335" s="139"/>
      <c r="AR335" s="139"/>
      <c r="AS335" s="139"/>
      <c r="AT335" s="139"/>
      <c r="AU335" s="139"/>
      <c r="AV335" s="139"/>
    </row>
    <row r="336">
      <c r="A336" s="139"/>
      <c r="B336" s="234"/>
      <c r="C336" s="139"/>
      <c r="D336" s="139"/>
      <c r="E336" s="139"/>
      <c r="F336" s="139"/>
      <c r="G336" s="139"/>
      <c r="H336" s="139"/>
      <c r="I336" s="139"/>
      <c r="J336" s="139"/>
      <c r="K336" s="139"/>
      <c r="L336" s="139"/>
      <c r="M336" s="139"/>
      <c r="N336" s="145"/>
      <c r="O336" s="139"/>
      <c r="P336" s="139"/>
      <c r="Q336" s="231"/>
      <c r="R336" s="139"/>
      <c r="S336" s="235"/>
      <c r="T336" s="235"/>
      <c r="U336" s="145"/>
      <c r="V336" s="145"/>
      <c r="W336" s="111"/>
      <c r="X336" s="233"/>
      <c r="Y336" s="226"/>
      <c r="Z336" s="139"/>
      <c r="AA336" s="139"/>
      <c r="AB336" s="139"/>
      <c r="AC336" s="139"/>
      <c r="AD336" s="139"/>
      <c r="AE336" s="139"/>
      <c r="AF336" s="139"/>
      <c r="AG336" s="139"/>
      <c r="AH336" s="139"/>
      <c r="AI336" s="139"/>
      <c r="AJ336" s="139"/>
      <c r="AK336" s="139"/>
      <c r="AL336" s="139"/>
      <c r="AM336" s="139"/>
      <c r="AN336" s="139"/>
      <c r="AO336" s="139"/>
      <c r="AP336" s="139"/>
      <c r="AQ336" s="139"/>
      <c r="AR336" s="139"/>
      <c r="AS336" s="139"/>
      <c r="AT336" s="139"/>
      <c r="AU336" s="139"/>
      <c r="AV336" s="139"/>
    </row>
    <row r="337">
      <c r="A337" s="139"/>
      <c r="B337" s="234"/>
      <c r="C337" s="139"/>
      <c r="D337" s="139"/>
      <c r="E337" s="139"/>
      <c r="F337" s="139"/>
      <c r="G337" s="139"/>
      <c r="H337" s="139"/>
      <c r="I337" s="139"/>
      <c r="J337" s="139"/>
      <c r="K337" s="139"/>
      <c r="L337" s="139"/>
      <c r="M337" s="139"/>
      <c r="N337" s="145"/>
      <c r="O337" s="139"/>
      <c r="P337" s="139"/>
      <c r="Q337" s="231"/>
      <c r="R337" s="139"/>
      <c r="S337" s="235"/>
      <c r="T337" s="235"/>
      <c r="U337" s="145"/>
      <c r="V337" s="145"/>
      <c r="W337" s="111"/>
      <c r="X337" s="233"/>
      <c r="Y337" s="226"/>
      <c r="Z337" s="139"/>
      <c r="AA337" s="139"/>
      <c r="AB337" s="139"/>
      <c r="AC337" s="139"/>
      <c r="AD337" s="139"/>
      <c r="AE337" s="139"/>
      <c r="AF337" s="139"/>
      <c r="AG337" s="139"/>
      <c r="AH337" s="139"/>
      <c r="AI337" s="139"/>
      <c r="AJ337" s="139"/>
      <c r="AK337" s="139"/>
      <c r="AL337" s="139"/>
      <c r="AM337" s="139"/>
      <c r="AN337" s="139"/>
      <c r="AO337" s="139"/>
      <c r="AP337" s="139"/>
      <c r="AQ337" s="139"/>
      <c r="AR337" s="139"/>
      <c r="AS337" s="139"/>
      <c r="AT337" s="139"/>
      <c r="AU337" s="139"/>
      <c r="AV337" s="139"/>
    </row>
    <row r="338">
      <c r="A338" s="139"/>
      <c r="B338" s="234"/>
      <c r="C338" s="139"/>
      <c r="D338" s="139"/>
      <c r="E338" s="139"/>
      <c r="F338" s="139"/>
      <c r="G338" s="139"/>
      <c r="H338" s="139"/>
      <c r="I338" s="139"/>
      <c r="J338" s="139"/>
      <c r="K338" s="139"/>
      <c r="L338" s="139"/>
      <c r="M338" s="139"/>
      <c r="N338" s="145"/>
      <c r="O338" s="139"/>
      <c r="P338" s="139"/>
      <c r="Q338" s="231"/>
      <c r="R338" s="139"/>
      <c r="S338" s="235"/>
      <c r="T338" s="235"/>
      <c r="U338" s="145"/>
      <c r="V338" s="145"/>
      <c r="W338" s="111"/>
      <c r="X338" s="233"/>
      <c r="Y338" s="226"/>
      <c r="Z338" s="139"/>
      <c r="AA338" s="139"/>
      <c r="AB338" s="139"/>
      <c r="AC338" s="139"/>
      <c r="AD338" s="139"/>
      <c r="AE338" s="139"/>
      <c r="AF338" s="139"/>
      <c r="AG338" s="139"/>
      <c r="AH338" s="139"/>
      <c r="AI338" s="139"/>
      <c r="AJ338" s="139"/>
      <c r="AK338" s="139"/>
      <c r="AL338" s="139"/>
      <c r="AM338" s="139"/>
      <c r="AN338" s="139"/>
      <c r="AO338" s="139"/>
      <c r="AP338" s="139"/>
      <c r="AQ338" s="139"/>
      <c r="AR338" s="139"/>
      <c r="AS338" s="139"/>
      <c r="AT338" s="139"/>
      <c r="AU338" s="139"/>
      <c r="AV338" s="139"/>
    </row>
    <row r="339">
      <c r="A339" s="139"/>
      <c r="B339" s="234"/>
      <c r="C339" s="139"/>
      <c r="D339" s="139"/>
      <c r="E339" s="139"/>
      <c r="F339" s="139"/>
      <c r="G339" s="139"/>
      <c r="H339" s="139"/>
      <c r="I339" s="139"/>
      <c r="J339" s="139"/>
      <c r="K339" s="139"/>
      <c r="L339" s="139"/>
      <c r="M339" s="139"/>
      <c r="N339" s="145"/>
      <c r="O339" s="139"/>
      <c r="P339" s="139"/>
      <c r="Q339" s="231"/>
      <c r="R339" s="139"/>
      <c r="S339" s="235"/>
      <c r="T339" s="235"/>
      <c r="U339" s="145"/>
      <c r="V339" s="145"/>
      <c r="W339" s="111"/>
      <c r="X339" s="233"/>
      <c r="Y339" s="226"/>
      <c r="Z339" s="139"/>
      <c r="AA339" s="139"/>
      <c r="AB339" s="139"/>
      <c r="AC339" s="139"/>
      <c r="AD339" s="139"/>
      <c r="AE339" s="139"/>
      <c r="AF339" s="139"/>
      <c r="AG339" s="139"/>
      <c r="AH339" s="139"/>
      <c r="AI339" s="139"/>
      <c r="AJ339" s="139"/>
      <c r="AK339" s="139"/>
      <c r="AL339" s="139"/>
      <c r="AM339" s="139"/>
      <c r="AN339" s="139"/>
      <c r="AO339" s="139"/>
      <c r="AP339" s="139"/>
      <c r="AQ339" s="139"/>
      <c r="AR339" s="139"/>
      <c r="AS339" s="139"/>
      <c r="AT339" s="139"/>
      <c r="AU339" s="139"/>
      <c r="AV339" s="139"/>
    </row>
    <row r="340">
      <c r="A340" s="139"/>
      <c r="B340" s="234"/>
      <c r="C340" s="139"/>
      <c r="D340" s="139"/>
      <c r="E340" s="139"/>
      <c r="F340" s="139"/>
      <c r="G340" s="139"/>
      <c r="H340" s="139"/>
      <c r="I340" s="139"/>
      <c r="J340" s="139"/>
      <c r="K340" s="139"/>
      <c r="L340" s="139"/>
      <c r="M340" s="139"/>
      <c r="N340" s="145"/>
      <c r="O340" s="139"/>
      <c r="P340" s="139"/>
      <c r="Q340" s="231"/>
      <c r="R340" s="139"/>
      <c r="S340" s="235"/>
      <c r="T340" s="235"/>
      <c r="U340" s="145"/>
      <c r="V340" s="145"/>
      <c r="W340" s="111"/>
      <c r="X340" s="233"/>
      <c r="Y340" s="226"/>
      <c r="Z340" s="139"/>
      <c r="AA340" s="139"/>
      <c r="AB340" s="139"/>
      <c r="AC340" s="139"/>
      <c r="AD340" s="139"/>
      <c r="AE340" s="139"/>
      <c r="AF340" s="139"/>
      <c r="AG340" s="139"/>
      <c r="AH340" s="139"/>
      <c r="AI340" s="139"/>
      <c r="AJ340" s="139"/>
      <c r="AK340" s="139"/>
      <c r="AL340" s="139"/>
      <c r="AM340" s="139"/>
      <c r="AN340" s="139"/>
      <c r="AO340" s="139"/>
      <c r="AP340" s="139"/>
      <c r="AQ340" s="139"/>
      <c r="AR340" s="139"/>
      <c r="AS340" s="139"/>
      <c r="AT340" s="139"/>
      <c r="AU340" s="139"/>
      <c r="AV340" s="139"/>
    </row>
    <row r="341">
      <c r="A341" s="139"/>
      <c r="B341" s="234"/>
      <c r="C341" s="139"/>
      <c r="D341" s="139"/>
      <c r="E341" s="139"/>
      <c r="F341" s="139"/>
      <c r="G341" s="139"/>
      <c r="H341" s="139"/>
      <c r="I341" s="139"/>
      <c r="J341" s="139"/>
      <c r="K341" s="139"/>
      <c r="L341" s="139"/>
      <c r="M341" s="139"/>
      <c r="N341" s="145"/>
      <c r="O341" s="139"/>
      <c r="P341" s="139"/>
      <c r="Q341" s="231"/>
      <c r="R341" s="139"/>
      <c r="S341" s="235"/>
      <c r="T341" s="235"/>
      <c r="U341" s="145"/>
      <c r="V341" s="145"/>
      <c r="W341" s="111"/>
      <c r="X341" s="233"/>
      <c r="Y341" s="226"/>
      <c r="Z341" s="139"/>
      <c r="AA341" s="139"/>
      <c r="AB341" s="139"/>
      <c r="AC341" s="139"/>
      <c r="AD341" s="139"/>
      <c r="AE341" s="139"/>
      <c r="AF341" s="139"/>
      <c r="AG341" s="139"/>
      <c r="AH341" s="139"/>
      <c r="AI341" s="139"/>
      <c r="AJ341" s="139"/>
      <c r="AK341" s="139"/>
      <c r="AL341" s="139"/>
      <c r="AM341" s="139"/>
      <c r="AN341" s="139"/>
      <c r="AO341" s="139"/>
      <c r="AP341" s="139"/>
      <c r="AQ341" s="139"/>
      <c r="AR341" s="139"/>
      <c r="AS341" s="139"/>
      <c r="AT341" s="139"/>
      <c r="AU341" s="139"/>
      <c r="AV341" s="139"/>
    </row>
    <row r="342">
      <c r="A342" s="139"/>
      <c r="B342" s="234"/>
      <c r="C342" s="139"/>
      <c r="D342" s="139"/>
      <c r="E342" s="139"/>
      <c r="F342" s="139"/>
      <c r="G342" s="139"/>
      <c r="H342" s="139"/>
      <c r="I342" s="139"/>
      <c r="J342" s="139"/>
      <c r="K342" s="139"/>
      <c r="L342" s="139"/>
      <c r="M342" s="139"/>
      <c r="N342" s="145"/>
      <c r="O342" s="139"/>
      <c r="P342" s="139"/>
      <c r="Q342" s="231"/>
      <c r="R342" s="139"/>
      <c r="S342" s="235"/>
      <c r="T342" s="235"/>
      <c r="U342" s="145"/>
      <c r="V342" s="145"/>
      <c r="W342" s="111"/>
      <c r="X342" s="233"/>
      <c r="Y342" s="226"/>
      <c r="Z342" s="139"/>
      <c r="AA342" s="139"/>
      <c r="AB342" s="139"/>
      <c r="AC342" s="139"/>
      <c r="AD342" s="139"/>
      <c r="AE342" s="139"/>
      <c r="AF342" s="139"/>
      <c r="AG342" s="139"/>
      <c r="AH342" s="139"/>
      <c r="AI342" s="139"/>
      <c r="AJ342" s="139"/>
      <c r="AK342" s="139"/>
      <c r="AL342" s="139"/>
      <c r="AM342" s="139"/>
      <c r="AN342" s="139"/>
      <c r="AO342" s="139"/>
      <c r="AP342" s="139"/>
      <c r="AQ342" s="139"/>
      <c r="AR342" s="139"/>
      <c r="AS342" s="139"/>
      <c r="AT342" s="139"/>
      <c r="AU342" s="139"/>
      <c r="AV342" s="139"/>
    </row>
    <row r="343">
      <c r="A343" s="139"/>
      <c r="B343" s="234"/>
      <c r="C343" s="139"/>
      <c r="D343" s="139"/>
      <c r="E343" s="139"/>
      <c r="F343" s="139"/>
      <c r="G343" s="139"/>
      <c r="H343" s="139"/>
      <c r="I343" s="139"/>
      <c r="J343" s="139"/>
      <c r="K343" s="139"/>
      <c r="L343" s="139"/>
      <c r="M343" s="139"/>
      <c r="N343" s="145"/>
      <c r="O343" s="139"/>
      <c r="P343" s="139"/>
      <c r="Q343" s="231"/>
      <c r="R343" s="139"/>
      <c r="S343" s="235"/>
      <c r="T343" s="235"/>
      <c r="U343" s="145"/>
      <c r="V343" s="145"/>
      <c r="W343" s="111"/>
      <c r="X343" s="233"/>
      <c r="Y343" s="226"/>
      <c r="Z343" s="139"/>
      <c r="AA343" s="139"/>
      <c r="AB343" s="139"/>
      <c r="AC343" s="139"/>
      <c r="AD343" s="139"/>
      <c r="AE343" s="139"/>
      <c r="AF343" s="139"/>
      <c r="AG343" s="139"/>
      <c r="AH343" s="139"/>
      <c r="AI343" s="139"/>
      <c r="AJ343" s="139"/>
      <c r="AK343" s="139"/>
      <c r="AL343" s="139"/>
      <c r="AM343" s="139"/>
      <c r="AN343" s="139"/>
      <c r="AO343" s="139"/>
      <c r="AP343" s="139"/>
      <c r="AQ343" s="139"/>
      <c r="AR343" s="139"/>
      <c r="AS343" s="139"/>
      <c r="AT343" s="139"/>
      <c r="AU343" s="139"/>
      <c r="AV343" s="139"/>
    </row>
    <row r="344">
      <c r="A344" s="139"/>
      <c r="B344" s="234"/>
      <c r="C344" s="139"/>
      <c r="D344" s="139"/>
      <c r="E344" s="139"/>
      <c r="F344" s="139"/>
      <c r="G344" s="139"/>
      <c r="H344" s="139"/>
      <c r="I344" s="139"/>
      <c r="J344" s="139"/>
      <c r="K344" s="139"/>
      <c r="L344" s="139"/>
      <c r="M344" s="139"/>
      <c r="N344" s="145"/>
      <c r="O344" s="139"/>
      <c r="P344" s="139"/>
      <c r="Q344" s="231"/>
      <c r="R344" s="139"/>
      <c r="S344" s="235"/>
      <c r="T344" s="235"/>
      <c r="U344" s="145"/>
      <c r="V344" s="145"/>
      <c r="W344" s="111"/>
      <c r="X344" s="233"/>
      <c r="Y344" s="226"/>
      <c r="Z344" s="139"/>
      <c r="AA344" s="139"/>
      <c r="AB344" s="139"/>
      <c r="AC344" s="139"/>
      <c r="AD344" s="139"/>
      <c r="AE344" s="139"/>
      <c r="AF344" s="139"/>
      <c r="AG344" s="139"/>
      <c r="AH344" s="139"/>
      <c r="AI344" s="139"/>
      <c r="AJ344" s="139"/>
      <c r="AK344" s="139"/>
      <c r="AL344" s="139"/>
      <c r="AM344" s="139"/>
      <c r="AN344" s="139"/>
      <c r="AO344" s="139"/>
      <c r="AP344" s="139"/>
      <c r="AQ344" s="139"/>
      <c r="AR344" s="139"/>
      <c r="AS344" s="139"/>
      <c r="AT344" s="139"/>
      <c r="AU344" s="139"/>
      <c r="AV344" s="139"/>
    </row>
    <row r="345">
      <c r="A345" s="139"/>
      <c r="B345" s="234"/>
      <c r="C345" s="139"/>
      <c r="D345" s="139"/>
      <c r="E345" s="139"/>
      <c r="F345" s="139"/>
      <c r="G345" s="139"/>
      <c r="H345" s="139"/>
      <c r="I345" s="139"/>
      <c r="J345" s="139"/>
      <c r="K345" s="139"/>
      <c r="L345" s="139"/>
      <c r="M345" s="139"/>
      <c r="N345" s="145"/>
      <c r="O345" s="139"/>
      <c r="P345" s="139"/>
      <c r="Q345" s="231"/>
      <c r="R345" s="139"/>
      <c r="S345" s="235"/>
      <c r="T345" s="235"/>
      <c r="U345" s="145"/>
      <c r="V345" s="145"/>
      <c r="W345" s="111"/>
      <c r="X345" s="233"/>
      <c r="Y345" s="226"/>
      <c r="Z345" s="139"/>
      <c r="AA345" s="139"/>
      <c r="AB345" s="139"/>
      <c r="AC345" s="139"/>
      <c r="AD345" s="139"/>
      <c r="AE345" s="139"/>
      <c r="AF345" s="139"/>
      <c r="AG345" s="139"/>
      <c r="AH345" s="139"/>
      <c r="AI345" s="139"/>
      <c r="AJ345" s="139"/>
      <c r="AK345" s="139"/>
      <c r="AL345" s="139"/>
      <c r="AM345" s="139"/>
      <c r="AN345" s="139"/>
      <c r="AO345" s="139"/>
      <c r="AP345" s="139"/>
      <c r="AQ345" s="139"/>
      <c r="AR345" s="139"/>
      <c r="AS345" s="139"/>
      <c r="AT345" s="139"/>
      <c r="AU345" s="139"/>
      <c r="AV345" s="139"/>
    </row>
    <row r="346">
      <c r="A346" s="139"/>
      <c r="B346" s="234"/>
      <c r="C346" s="139"/>
      <c r="D346" s="139"/>
      <c r="E346" s="139"/>
      <c r="F346" s="139"/>
      <c r="G346" s="139"/>
      <c r="H346" s="139"/>
      <c r="I346" s="139"/>
      <c r="J346" s="139"/>
      <c r="K346" s="139"/>
      <c r="L346" s="139"/>
      <c r="M346" s="139"/>
      <c r="N346" s="145"/>
      <c r="O346" s="139"/>
      <c r="P346" s="139"/>
      <c r="Q346" s="231"/>
      <c r="R346" s="139"/>
      <c r="S346" s="235"/>
      <c r="T346" s="235"/>
      <c r="U346" s="145"/>
      <c r="V346" s="145"/>
      <c r="W346" s="111"/>
      <c r="X346" s="233"/>
      <c r="Y346" s="226"/>
      <c r="Z346" s="139"/>
      <c r="AA346" s="139"/>
      <c r="AB346" s="139"/>
      <c r="AC346" s="139"/>
      <c r="AD346" s="139"/>
      <c r="AE346" s="139"/>
      <c r="AF346" s="139"/>
      <c r="AG346" s="139"/>
      <c r="AH346" s="139"/>
      <c r="AI346" s="139"/>
      <c r="AJ346" s="139"/>
      <c r="AK346" s="139"/>
      <c r="AL346" s="139"/>
      <c r="AM346" s="139"/>
      <c r="AN346" s="139"/>
      <c r="AO346" s="139"/>
      <c r="AP346" s="139"/>
      <c r="AQ346" s="139"/>
      <c r="AR346" s="139"/>
      <c r="AS346" s="139"/>
      <c r="AT346" s="139"/>
      <c r="AU346" s="139"/>
      <c r="AV346" s="139"/>
    </row>
    <row r="347">
      <c r="A347" s="139"/>
      <c r="B347" s="234"/>
      <c r="C347" s="139"/>
      <c r="D347" s="139"/>
      <c r="E347" s="139"/>
      <c r="F347" s="139"/>
      <c r="G347" s="139"/>
      <c r="H347" s="139"/>
      <c r="I347" s="139"/>
      <c r="J347" s="139"/>
      <c r="K347" s="139"/>
      <c r="L347" s="139"/>
      <c r="M347" s="139"/>
      <c r="N347" s="145"/>
      <c r="O347" s="139"/>
      <c r="P347" s="139"/>
      <c r="Q347" s="231"/>
      <c r="R347" s="139"/>
      <c r="S347" s="235"/>
      <c r="T347" s="235"/>
      <c r="U347" s="145"/>
      <c r="V347" s="145"/>
      <c r="W347" s="111"/>
      <c r="X347" s="233"/>
      <c r="Y347" s="226"/>
      <c r="Z347" s="139"/>
      <c r="AA347" s="139"/>
      <c r="AB347" s="139"/>
      <c r="AC347" s="139"/>
      <c r="AD347" s="139"/>
      <c r="AE347" s="139"/>
      <c r="AF347" s="139"/>
      <c r="AG347" s="139"/>
      <c r="AH347" s="139"/>
      <c r="AI347" s="139"/>
      <c r="AJ347" s="139"/>
      <c r="AK347" s="139"/>
      <c r="AL347" s="139"/>
      <c r="AM347" s="139"/>
      <c r="AN347" s="139"/>
      <c r="AO347" s="139"/>
      <c r="AP347" s="139"/>
      <c r="AQ347" s="139"/>
      <c r="AR347" s="139"/>
      <c r="AS347" s="139"/>
      <c r="AT347" s="139"/>
      <c r="AU347" s="139"/>
      <c r="AV347" s="139"/>
    </row>
    <row r="348">
      <c r="A348" s="139"/>
      <c r="B348" s="234"/>
      <c r="C348" s="139"/>
      <c r="D348" s="139"/>
      <c r="E348" s="139"/>
      <c r="F348" s="139"/>
      <c r="G348" s="139"/>
      <c r="H348" s="139"/>
      <c r="I348" s="139"/>
      <c r="J348" s="139"/>
      <c r="K348" s="139"/>
      <c r="L348" s="139"/>
      <c r="M348" s="139"/>
      <c r="N348" s="145"/>
      <c r="O348" s="139"/>
      <c r="P348" s="139"/>
      <c r="Q348" s="231"/>
      <c r="R348" s="139"/>
      <c r="S348" s="235"/>
      <c r="T348" s="235"/>
      <c r="U348" s="145"/>
      <c r="V348" s="145"/>
      <c r="W348" s="111"/>
      <c r="X348" s="233"/>
      <c r="Y348" s="226"/>
      <c r="Z348" s="139"/>
      <c r="AA348" s="139"/>
      <c r="AB348" s="139"/>
      <c r="AC348" s="139"/>
      <c r="AD348" s="139"/>
      <c r="AE348" s="139"/>
      <c r="AF348" s="139"/>
      <c r="AG348" s="139"/>
      <c r="AH348" s="139"/>
      <c r="AI348" s="139"/>
      <c r="AJ348" s="139"/>
      <c r="AK348" s="139"/>
      <c r="AL348" s="139"/>
      <c r="AM348" s="139"/>
      <c r="AN348" s="139"/>
      <c r="AO348" s="139"/>
      <c r="AP348" s="139"/>
      <c r="AQ348" s="139"/>
      <c r="AR348" s="139"/>
      <c r="AS348" s="139"/>
      <c r="AT348" s="139"/>
      <c r="AU348" s="139"/>
      <c r="AV348" s="139"/>
    </row>
    <row r="349">
      <c r="A349" s="139"/>
      <c r="B349" s="234"/>
      <c r="C349" s="139"/>
      <c r="D349" s="139"/>
      <c r="E349" s="139"/>
      <c r="F349" s="139"/>
      <c r="G349" s="139"/>
      <c r="H349" s="139"/>
      <c r="I349" s="139"/>
      <c r="J349" s="139"/>
      <c r="K349" s="139"/>
      <c r="L349" s="139"/>
      <c r="M349" s="139"/>
      <c r="N349" s="145"/>
      <c r="O349" s="139"/>
      <c r="P349" s="139"/>
      <c r="Q349" s="231"/>
      <c r="R349" s="139"/>
      <c r="S349" s="235"/>
      <c r="T349" s="235"/>
      <c r="U349" s="145"/>
      <c r="V349" s="145"/>
      <c r="W349" s="111"/>
      <c r="X349" s="233"/>
      <c r="Y349" s="226"/>
      <c r="Z349" s="139"/>
      <c r="AA349" s="139"/>
      <c r="AB349" s="139"/>
      <c r="AC349" s="139"/>
      <c r="AD349" s="139"/>
      <c r="AE349" s="139"/>
      <c r="AF349" s="139"/>
      <c r="AG349" s="139"/>
      <c r="AH349" s="139"/>
      <c r="AI349" s="139"/>
      <c r="AJ349" s="139"/>
      <c r="AK349" s="139"/>
      <c r="AL349" s="139"/>
      <c r="AM349" s="139"/>
      <c r="AN349" s="139"/>
      <c r="AO349" s="139"/>
      <c r="AP349" s="139"/>
      <c r="AQ349" s="139"/>
      <c r="AR349" s="139"/>
      <c r="AS349" s="139"/>
      <c r="AT349" s="139"/>
      <c r="AU349" s="139"/>
      <c r="AV349" s="139"/>
    </row>
    <row r="350">
      <c r="A350" s="139"/>
      <c r="B350" s="234"/>
      <c r="C350" s="139"/>
      <c r="D350" s="139"/>
      <c r="E350" s="139"/>
      <c r="F350" s="139"/>
      <c r="G350" s="139"/>
      <c r="H350" s="139"/>
      <c r="I350" s="139"/>
      <c r="J350" s="139"/>
      <c r="K350" s="139"/>
      <c r="L350" s="139"/>
      <c r="M350" s="139"/>
      <c r="N350" s="145"/>
      <c r="O350" s="139"/>
      <c r="P350" s="139"/>
      <c r="Q350" s="231"/>
      <c r="R350" s="139"/>
      <c r="S350" s="235"/>
      <c r="T350" s="235"/>
      <c r="U350" s="145"/>
      <c r="V350" s="145"/>
      <c r="W350" s="111"/>
      <c r="X350" s="233"/>
      <c r="Y350" s="226"/>
      <c r="Z350" s="139"/>
      <c r="AA350" s="139"/>
      <c r="AB350" s="139"/>
      <c r="AC350" s="139"/>
      <c r="AD350" s="139"/>
      <c r="AE350" s="139"/>
      <c r="AF350" s="139"/>
      <c r="AG350" s="139"/>
      <c r="AH350" s="139"/>
      <c r="AI350" s="139"/>
      <c r="AJ350" s="139"/>
      <c r="AK350" s="139"/>
      <c r="AL350" s="139"/>
      <c r="AM350" s="139"/>
      <c r="AN350" s="139"/>
      <c r="AO350" s="139"/>
      <c r="AP350" s="139"/>
      <c r="AQ350" s="139"/>
      <c r="AR350" s="139"/>
      <c r="AS350" s="139"/>
      <c r="AT350" s="139"/>
      <c r="AU350" s="139"/>
      <c r="AV350" s="139"/>
    </row>
    <row r="351">
      <c r="A351" s="139"/>
      <c r="B351" s="234"/>
      <c r="C351" s="139"/>
      <c r="D351" s="139"/>
      <c r="E351" s="139"/>
      <c r="F351" s="139"/>
      <c r="G351" s="139"/>
      <c r="H351" s="139"/>
      <c r="I351" s="139"/>
      <c r="J351" s="139"/>
      <c r="K351" s="139"/>
      <c r="L351" s="139"/>
      <c r="M351" s="139"/>
      <c r="N351" s="145"/>
      <c r="O351" s="139"/>
      <c r="P351" s="139"/>
      <c r="Q351" s="231"/>
      <c r="R351" s="139"/>
      <c r="S351" s="235"/>
      <c r="T351" s="235"/>
      <c r="U351" s="145"/>
      <c r="V351" s="145"/>
      <c r="W351" s="111"/>
      <c r="X351" s="233"/>
      <c r="Y351" s="226"/>
      <c r="Z351" s="139"/>
      <c r="AA351" s="139"/>
      <c r="AB351" s="139"/>
      <c r="AC351" s="139"/>
      <c r="AD351" s="139"/>
      <c r="AE351" s="139"/>
      <c r="AF351" s="139"/>
      <c r="AG351" s="139"/>
      <c r="AH351" s="139"/>
      <c r="AI351" s="139"/>
      <c r="AJ351" s="139"/>
      <c r="AK351" s="139"/>
      <c r="AL351" s="139"/>
      <c r="AM351" s="139"/>
      <c r="AN351" s="139"/>
      <c r="AO351" s="139"/>
      <c r="AP351" s="139"/>
      <c r="AQ351" s="139"/>
      <c r="AR351" s="139"/>
      <c r="AS351" s="139"/>
      <c r="AT351" s="139"/>
      <c r="AU351" s="139"/>
      <c r="AV351" s="139"/>
    </row>
    <row r="352">
      <c r="A352" s="139"/>
      <c r="B352" s="234"/>
      <c r="C352" s="139"/>
      <c r="D352" s="139"/>
      <c r="E352" s="139"/>
      <c r="F352" s="139"/>
      <c r="G352" s="139"/>
      <c r="H352" s="139"/>
      <c r="I352" s="139"/>
      <c r="J352" s="139"/>
      <c r="K352" s="139"/>
      <c r="L352" s="139"/>
      <c r="M352" s="139"/>
      <c r="N352" s="145"/>
      <c r="O352" s="139"/>
      <c r="P352" s="139"/>
      <c r="Q352" s="231"/>
      <c r="R352" s="139"/>
      <c r="S352" s="235"/>
      <c r="T352" s="235"/>
      <c r="U352" s="145"/>
      <c r="V352" s="145"/>
      <c r="W352" s="111"/>
      <c r="X352" s="233"/>
      <c r="Y352" s="226"/>
      <c r="Z352" s="139"/>
      <c r="AA352" s="139"/>
      <c r="AB352" s="139"/>
      <c r="AC352" s="139"/>
      <c r="AD352" s="139"/>
      <c r="AE352" s="139"/>
      <c r="AF352" s="139"/>
      <c r="AG352" s="139"/>
      <c r="AH352" s="139"/>
      <c r="AI352" s="139"/>
      <c r="AJ352" s="139"/>
      <c r="AK352" s="139"/>
      <c r="AL352" s="139"/>
      <c r="AM352" s="139"/>
      <c r="AN352" s="139"/>
      <c r="AO352" s="139"/>
      <c r="AP352" s="139"/>
      <c r="AQ352" s="139"/>
      <c r="AR352" s="139"/>
      <c r="AS352" s="139"/>
      <c r="AT352" s="139"/>
      <c r="AU352" s="139"/>
      <c r="AV352" s="139"/>
    </row>
    <row r="353">
      <c r="A353" s="139"/>
      <c r="B353" s="234"/>
      <c r="C353" s="139"/>
      <c r="D353" s="139"/>
      <c r="E353" s="139"/>
      <c r="F353" s="139"/>
      <c r="G353" s="139"/>
      <c r="H353" s="139"/>
      <c r="I353" s="139"/>
      <c r="J353" s="139"/>
      <c r="K353" s="139"/>
      <c r="L353" s="139"/>
      <c r="M353" s="139"/>
      <c r="N353" s="145"/>
      <c r="O353" s="139"/>
      <c r="P353" s="139"/>
      <c r="Q353" s="231"/>
      <c r="R353" s="139"/>
      <c r="S353" s="235"/>
      <c r="T353" s="235"/>
      <c r="U353" s="145"/>
      <c r="V353" s="145"/>
      <c r="W353" s="111"/>
      <c r="X353" s="233"/>
      <c r="Y353" s="226"/>
      <c r="Z353" s="139"/>
      <c r="AA353" s="139"/>
      <c r="AB353" s="139"/>
      <c r="AC353" s="139"/>
      <c r="AD353" s="139"/>
      <c r="AE353" s="139"/>
      <c r="AF353" s="139"/>
      <c r="AG353" s="139"/>
      <c r="AH353" s="139"/>
      <c r="AI353" s="139"/>
      <c r="AJ353" s="139"/>
      <c r="AK353" s="139"/>
      <c r="AL353" s="139"/>
      <c r="AM353" s="139"/>
      <c r="AN353" s="139"/>
      <c r="AO353" s="139"/>
      <c r="AP353" s="139"/>
      <c r="AQ353" s="139"/>
      <c r="AR353" s="139"/>
      <c r="AS353" s="139"/>
      <c r="AT353" s="139"/>
      <c r="AU353" s="139"/>
      <c r="AV353" s="139"/>
    </row>
    <row r="354">
      <c r="A354" s="139"/>
      <c r="B354" s="234"/>
      <c r="C354" s="139"/>
      <c r="D354" s="139"/>
      <c r="E354" s="139"/>
      <c r="F354" s="139"/>
      <c r="G354" s="139"/>
      <c r="H354" s="139"/>
      <c r="I354" s="139"/>
      <c r="J354" s="139"/>
      <c r="K354" s="139"/>
      <c r="L354" s="139"/>
      <c r="M354" s="139"/>
      <c r="N354" s="145"/>
      <c r="O354" s="139"/>
      <c r="P354" s="139"/>
      <c r="Q354" s="231"/>
      <c r="R354" s="139"/>
      <c r="S354" s="235"/>
      <c r="T354" s="235"/>
      <c r="U354" s="145"/>
      <c r="V354" s="145"/>
      <c r="W354" s="111"/>
      <c r="X354" s="233"/>
      <c r="Y354" s="226"/>
      <c r="Z354" s="139"/>
      <c r="AA354" s="139"/>
      <c r="AB354" s="139"/>
      <c r="AC354" s="139"/>
      <c r="AD354" s="139"/>
      <c r="AE354" s="139"/>
      <c r="AF354" s="139"/>
      <c r="AG354" s="139"/>
      <c r="AH354" s="139"/>
      <c r="AI354" s="139"/>
      <c r="AJ354" s="139"/>
      <c r="AK354" s="139"/>
      <c r="AL354" s="139"/>
      <c r="AM354" s="139"/>
      <c r="AN354" s="139"/>
      <c r="AO354" s="139"/>
      <c r="AP354" s="139"/>
      <c r="AQ354" s="139"/>
      <c r="AR354" s="139"/>
      <c r="AS354" s="139"/>
      <c r="AT354" s="139"/>
      <c r="AU354" s="139"/>
      <c r="AV354" s="139"/>
    </row>
    <row r="355">
      <c r="A355" s="139"/>
      <c r="B355" s="234"/>
      <c r="C355" s="139"/>
      <c r="D355" s="139"/>
      <c r="E355" s="139"/>
      <c r="F355" s="139"/>
      <c r="G355" s="139"/>
      <c r="H355" s="139"/>
      <c r="I355" s="139"/>
      <c r="J355" s="139"/>
      <c r="K355" s="139"/>
      <c r="L355" s="139"/>
      <c r="M355" s="139"/>
      <c r="N355" s="145"/>
      <c r="O355" s="139"/>
      <c r="P355" s="139"/>
      <c r="Q355" s="231"/>
      <c r="R355" s="139"/>
      <c r="S355" s="235"/>
      <c r="T355" s="235"/>
      <c r="U355" s="145"/>
      <c r="V355" s="145"/>
      <c r="W355" s="111"/>
      <c r="X355" s="233"/>
      <c r="Y355" s="226"/>
      <c r="Z355" s="139"/>
      <c r="AA355" s="139"/>
      <c r="AB355" s="139"/>
      <c r="AC355" s="139"/>
      <c r="AD355" s="139"/>
      <c r="AE355" s="139"/>
      <c r="AF355" s="139"/>
      <c r="AG355" s="139"/>
      <c r="AH355" s="139"/>
      <c r="AI355" s="139"/>
      <c r="AJ355" s="139"/>
      <c r="AK355" s="139"/>
      <c r="AL355" s="139"/>
      <c r="AM355" s="139"/>
      <c r="AN355" s="139"/>
      <c r="AO355" s="139"/>
      <c r="AP355" s="139"/>
      <c r="AQ355" s="139"/>
      <c r="AR355" s="139"/>
      <c r="AS355" s="139"/>
      <c r="AT355" s="139"/>
      <c r="AU355" s="139"/>
      <c r="AV355" s="139"/>
    </row>
    <row r="356">
      <c r="A356" s="139"/>
      <c r="B356" s="234"/>
      <c r="C356" s="139"/>
      <c r="D356" s="139"/>
      <c r="E356" s="139"/>
      <c r="F356" s="139"/>
      <c r="G356" s="139"/>
      <c r="H356" s="139"/>
      <c r="I356" s="139"/>
      <c r="J356" s="139"/>
      <c r="K356" s="139"/>
      <c r="L356" s="139"/>
      <c r="M356" s="139"/>
      <c r="N356" s="145"/>
      <c r="O356" s="139"/>
      <c r="P356" s="139"/>
      <c r="Q356" s="231"/>
      <c r="R356" s="139"/>
      <c r="S356" s="235"/>
      <c r="T356" s="235"/>
      <c r="U356" s="145"/>
      <c r="V356" s="145"/>
      <c r="W356" s="111"/>
      <c r="X356" s="233"/>
      <c r="Y356" s="226"/>
      <c r="Z356" s="139"/>
      <c r="AA356" s="139"/>
      <c r="AB356" s="139"/>
      <c r="AC356" s="139"/>
      <c r="AD356" s="139"/>
      <c r="AE356" s="139"/>
      <c r="AF356" s="139"/>
      <c r="AG356" s="139"/>
      <c r="AH356" s="139"/>
      <c r="AI356" s="139"/>
      <c r="AJ356" s="139"/>
      <c r="AK356" s="139"/>
      <c r="AL356" s="139"/>
      <c r="AM356" s="139"/>
      <c r="AN356" s="139"/>
      <c r="AO356" s="139"/>
      <c r="AP356" s="139"/>
      <c r="AQ356" s="139"/>
      <c r="AR356" s="139"/>
      <c r="AS356" s="139"/>
      <c r="AT356" s="139"/>
      <c r="AU356" s="139"/>
      <c r="AV356" s="139"/>
    </row>
    <row r="357">
      <c r="A357" s="139"/>
      <c r="B357" s="234"/>
      <c r="C357" s="139"/>
      <c r="D357" s="139"/>
      <c r="E357" s="139"/>
      <c r="F357" s="139"/>
      <c r="G357" s="139"/>
      <c r="H357" s="139"/>
      <c r="I357" s="139"/>
      <c r="J357" s="139"/>
      <c r="K357" s="139"/>
      <c r="L357" s="139"/>
      <c r="M357" s="139"/>
      <c r="N357" s="145"/>
      <c r="O357" s="139"/>
      <c r="P357" s="139"/>
      <c r="Q357" s="231"/>
      <c r="R357" s="139"/>
      <c r="S357" s="235"/>
      <c r="T357" s="235"/>
      <c r="U357" s="145"/>
      <c r="V357" s="145"/>
      <c r="W357" s="111"/>
      <c r="X357" s="233"/>
      <c r="Y357" s="226"/>
      <c r="Z357" s="139"/>
      <c r="AA357" s="139"/>
      <c r="AB357" s="139"/>
      <c r="AC357" s="139"/>
      <c r="AD357" s="139"/>
      <c r="AE357" s="139"/>
      <c r="AF357" s="139"/>
      <c r="AG357" s="139"/>
      <c r="AH357" s="139"/>
      <c r="AI357" s="139"/>
      <c r="AJ357" s="139"/>
      <c r="AK357" s="139"/>
      <c r="AL357" s="139"/>
      <c r="AM357" s="139"/>
      <c r="AN357" s="139"/>
      <c r="AO357" s="139"/>
      <c r="AP357" s="139"/>
      <c r="AQ357" s="139"/>
      <c r="AR357" s="139"/>
      <c r="AS357" s="139"/>
      <c r="AT357" s="139"/>
      <c r="AU357" s="139"/>
      <c r="AV357" s="139"/>
    </row>
    <row r="358">
      <c r="A358" s="139"/>
      <c r="B358" s="234"/>
      <c r="C358" s="139"/>
      <c r="D358" s="139"/>
      <c r="E358" s="139"/>
      <c r="F358" s="139"/>
      <c r="G358" s="139"/>
      <c r="H358" s="139"/>
      <c r="I358" s="139"/>
      <c r="J358" s="139"/>
      <c r="K358" s="139"/>
      <c r="L358" s="139"/>
      <c r="M358" s="139"/>
      <c r="N358" s="145"/>
      <c r="O358" s="139"/>
      <c r="P358" s="139"/>
      <c r="Q358" s="231"/>
      <c r="R358" s="139"/>
      <c r="S358" s="235"/>
      <c r="T358" s="235"/>
      <c r="U358" s="145"/>
      <c r="V358" s="145"/>
      <c r="W358" s="111"/>
      <c r="X358" s="233"/>
      <c r="Y358" s="226"/>
      <c r="Z358" s="139"/>
      <c r="AA358" s="139"/>
      <c r="AB358" s="139"/>
      <c r="AC358" s="139"/>
      <c r="AD358" s="139"/>
      <c r="AE358" s="139"/>
      <c r="AF358" s="139"/>
      <c r="AG358" s="139"/>
      <c r="AH358" s="139"/>
      <c r="AI358" s="139"/>
      <c r="AJ358" s="139"/>
      <c r="AK358" s="139"/>
      <c r="AL358" s="139"/>
      <c r="AM358" s="139"/>
      <c r="AN358" s="139"/>
      <c r="AO358" s="139"/>
      <c r="AP358" s="139"/>
      <c r="AQ358" s="139"/>
      <c r="AR358" s="139"/>
      <c r="AS358" s="139"/>
      <c r="AT358" s="139"/>
      <c r="AU358" s="139"/>
      <c r="AV358" s="139"/>
    </row>
    <row r="359">
      <c r="A359" s="139"/>
      <c r="B359" s="234"/>
      <c r="C359" s="139"/>
      <c r="D359" s="139"/>
      <c r="E359" s="139"/>
      <c r="F359" s="139"/>
      <c r="G359" s="139"/>
      <c r="H359" s="139"/>
      <c r="I359" s="139"/>
      <c r="J359" s="139"/>
      <c r="K359" s="139"/>
      <c r="L359" s="139"/>
      <c r="M359" s="139"/>
      <c r="N359" s="145"/>
      <c r="O359" s="139"/>
      <c r="P359" s="139"/>
      <c r="Q359" s="231"/>
      <c r="R359" s="139"/>
      <c r="S359" s="235"/>
      <c r="T359" s="235"/>
      <c r="U359" s="145"/>
      <c r="V359" s="145"/>
      <c r="W359" s="111"/>
      <c r="X359" s="233"/>
      <c r="Y359" s="226"/>
      <c r="Z359" s="139"/>
      <c r="AA359" s="139"/>
      <c r="AB359" s="139"/>
      <c r="AC359" s="139"/>
      <c r="AD359" s="139"/>
      <c r="AE359" s="139"/>
      <c r="AF359" s="139"/>
      <c r="AG359" s="139"/>
      <c r="AH359" s="139"/>
      <c r="AI359" s="139"/>
      <c r="AJ359" s="139"/>
      <c r="AK359" s="139"/>
      <c r="AL359" s="139"/>
      <c r="AM359" s="139"/>
      <c r="AN359" s="139"/>
      <c r="AO359" s="139"/>
      <c r="AP359" s="139"/>
      <c r="AQ359" s="139"/>
      <c r="AR359" s="139"/>
      <c r="AS359" s="139"/>
      <c r="AT359" s="139"/>
      <c r="AU359" s="139"/>
      <c r="AV359" s="139"/>
    </row>
    <row r="360">
      <c r="A360" s="139"/>
      <c r="B360" s="234"/>
      <c r="C360" s="139"/>
      <c r="D360" s="139"/>
      <c r="E360" s="139"/>
      <c r="F360" s="139"/>
      <c r="G360" s="139"/>
      <c r="H360" s="139"/>
      <c r="I360" s="139"/>
      <c r="J360" s="139"/>
      <c r="K360" s="139"/>
      <c r="L360" s="139"/>
      <c r="M360" s="139"/>
      <c r="N360" s="145"/>
      <c r="O360" s="139"/>
      <c r="P360" s="139"/>
      <c r="Q360" s="231"/>
      <c r="R360" s="139"/>
      <c r="S360" s="235"/>
      <c r="T360" s="235"/>
      <c r="U360" s="145"/>
      <c r="V360" s="145"/>
      <c r="W360" s="111"/>
      <c r="X360" s="233"/>
      <c r="Y360" s="226"/>
      <c r="Z360" s="139"/>
      <c r="AA360" s="139"/>
      <c r="AB360" s="139"/>
      <c r="AC360" s="139"/>
      <c r="AD360" s="139"/>
      <c r="AE360" s="139"/>
      <c r="AF360" s="139"/>
      <c r="AG360" s="139"/>
      <c r="AH360" s="139"/>
      <c r="AI360" s="139"/>
      <c r="AJ360" s="139"/>
      <c r="AK360" s="139"/>
      <c r="AL360" s="139"/>
      <c r="AM360" s="139"/>
      <c r="AN360" s="139"/>
      <c r="AO360" s="139"/>
      <c r="AP360" s="139"/>
      <c r="AQ360" s="139"/>
      <c r="AR360" s="139"/>
      <c r="AS360" s="139"/>
      <c r="AT360" s="139"/>
      <c r="AU360" s="139"/>
      <c r="AV360" s="139"/>
    </row>
    <row r="361">
      <c r="A361" s="139"/>
      <c r="B361" s="234"/>
      <c r="C361" s="139"/>
      <c r="D361" s="139"/>
      <c r="E361" s="139"/>
      <c r="F361" s="139"/>
      <c r="G361" s="139"/>
      <c r="H361" s="139"/>
      <c r="I361" s="139"/>
      <c r="J361" s="139"/>
      <c r="K361" s="139"/>
      <c r="L361" s="139"/>
      <c r="M361" s="139"/>
      <c r="N361" s="145"/>
      <c r="O361" s="139"/>
      <c r="P361" s="139"/>
      <c r="Q361" s="231"/>
      <c r="R361" s="139"/>
      <c r="S361" s="235"/>
      <c r="T361" s="235"/>
      <c r="U361" s="145"/>
      <c r="V361" s="145"/>
      <c r="W361" s="111"/>
      <c r="X361" s="233"/>
      <c r="Y361" s="226"/>
      <c r="Z361" s="139"/>
      <c r="AA361" s="139"/>
      <c r="AB361" s="139"/>
      <c r="AC361" s="139"/>
      <c r="AD361" s="139"/>
      <c r="AE361" s="139"/>
      <c r="AF361" s="139"/>
      <c r="AG361" s="139"/>
      <c r="AH361" s="139"/>
      <c r="AI361" s="139"/>
      <c r="AJ361" s="139"/>
      <c r="AK361" s="139"/>
      <c r="AL361" s="139"/>
      <c r="AM361" s="139"/>
      <c r="AN361" s="139"/>
      <c r="AO361" s="139"/>
      <c r="AP361" s="139"/>
      <c r="AQ361" s="139"/>
      <c r="AR361" s="139"/>
      <c r="AS361" s="139"/>
      <c r="AT361" s="139"/>
      <c r="AU361" s="139"/>
      <c r="AV361" s="139"/>
    </row>
    <row r="362">
      <c r="A362" s="139"/>
      <c r="B362" s="234"/>
      <c r="C362" s="139"/>
      <c r="D362" s="139"/>
      <c r="E362" s="139"/>
      <c r="F362" s="139"/>
      <c r="G362" s="139"/>
      <c r="H362" s="139"/>
      <c r="I362" s="139"/>
      <c r="J362" s="139"/>
      <c r="K362" s="139"/>
      <c r="L362" s="139"/>
      <c r="M362" s="139"/>
      <c r="N362" s="145"/>
      <c r="O362" s="139"/>
      <c r="P362" s="139"/>
      <c r="Q362" s="231"/>
      <c r="R362" s="139"/>
      <c r="S362" s="235"/>
      <c r="T362" s="235"/>
      <c r="U362" s="145"/>
      <c r="V362" s="145"/>
      <c r="W362" s="111"/>
      <c r="X362" s="233"/>
      <c r="Y362" s="226"/>
      <c r="Z362" s="139"/>
      <c r="AA362" s="139"/>
      <c r="AB362" s="139"/>
      <c r="AC362" s="139"/>
      <c r="AD362" s="139"/>
      <c r="AE362" s="139"/>
      <c r="AF362" s="139"/>
      <c r="AG362" s="139"/>
      <c r="AH362" s="139"/>
      <c r="AI362" s="139"/>
      <c r="AJ362" s="139"/>
      <c r="AK362" s="139"/>
      <c r="AL362" s="139"/>
      <c r="AM362" s="139"/>
      <c r="AN362" s="139"/>
      <c r="AO362" s="139"/>
      <c r="AP362" s="139"/>
      <c r="AQ362" s="139"/>
      <c r="AR362" s="139"/>
      <c r="AS362" s="139"/>
      <c r="AT362" s="139"/>
      <c r="AU362" s="139"/>
      <c r="AV362" s="139"/>
    </row>
    <row r="363">
      <c r="A363" s="139"/>
      <c r="B363" s="234"/>
      <c r="C363" s="139"/>
      <c r="D363" s="139"/>
      <c r="E363" s="139"/>
      <c r="F363" s="139"/>
      <c r="G363" s="139"/>
      <c r="H363" s="139"/>
      <c r="I363" s="139"/>
      <c r="J363" s="139"/>
      <c r="K363" s="139"/>
      <c r="L363" s="139"/>
      <c r="M363" s="139"/>
      <c r="N363" s="145"/>
      <c r="O363" s="139"/>
      <c r="P363" s="139"/>
      <c r="Q363" s="231"/>
      <c r="R363" s="139"/>
      <c r="S363" s="235"/>
      <c r="T363" s="235"/>
      <c r="U363" s="145"/>
      <c r="V363" s="145"/>
      <c r="W363" s="111"/>
      <c r="X363" s="233"/>
      <c r="Y363" s="226"/>
      <c r="Z363" s="139"/>
      <c r="AA363" s="139"/>
      <c r="AB363" s="139"/>
      <c r="AC363" s="139"/>
      <c r="AD363" s="139"/>
      <c r="AE363" s="139"/>
      <c r="AF363" s="139"/>
      <c r="AG363" s="139"/>
      <c r="AH363" s="139"/>
      <c r="AI363" s="139"/>
      <c r="AJ363" s="139"/>
      <c r="AK363" s="139"/>
      <c r="AL363" s="139"/>
      <c r="AM363" s="139"/>
      <c r="AN363" s="139"/>
      <c r="AO363" s="139"/>
      <c r="AP363" s="139"/>
      <c r="AQ363" s="139"/>
      <c r="AR363" s="139"/>
      <c r="AS363" s="139"/>
      <c r="AT363" s="139"/>
      <c r="AU363" s="139"/>
      <c r="AV363" s="139"/>
    </row>
    <row r="364">
      <c r="A364" s="139"/>
      <c r="B364" s="234"/>
      <c r="C364" s="139"/>
      <c r="D364" s="139"/>
      <c r="E364" s="139"/>
      <c r="F364" s="139"/>
      <c r="G364" s="139"/>
      <c r="H364" s="139"/>
      <c r="I364" s="139"/>
      <c r="J364" s="139"/>
      <c r="K364" s="139"/>
      <c r="L364" s="139"/>
      <c r="M364" s="139"/>
      <c r="N364" s="145"/>
      <c r="O364" s="139"/>
      <c r="P364" s="139"/>
      <c r="Q364" s="231"/>
      <c r="R364" s="139"/>
      <c r="S364" s="235"/>
      <c r="T364" s="235"/>
      <c r="U364" s="145"/>
      <c r="V364" s="145"/>
      <c r="W364" s="111"/>
      <c r="X364" s="233"/>
      <c r="Y364" s="226"/>
      <c r="Z364" s="139"/>
      <c r="AA364" s="139"/>
      <c r="AB364" s="139"/>
      <c r="AC364" s="139"/>
      <c r="AD364" s="139"/>
      <c r="AE364" s="139"/>
      <c r="AF364" s="139"/>
      <c r="AG364" s="139"/>
      <c r="AH364" s="139"/>
      <c r="AI364" s="139"/>
      <c r="AJ364" s="139"/>
      <c r="AK364" s="139"/>
      <c r="AL364" s="139"/>
      <c r="AM364" s="139"/>
      <c r="AN364" s="139"/>
      <c r="AO364" s="139"/>
      <c r="AP364" s="139"/>
      <c r="AQ364" s="139"/>
      <c r="AR364" s="139"/>
      <c r="AS364" s="139"/>
      <c r="AT364" s="139"/>
      <c r="AU364" s="139"/>
      <c r="AV364" s="139"/>
    </row>
    <row r="365">
      <c r="A365" s="139"/>
      <c r="B365" s="234"/>
      <c r="C365" s="139"/>
      <c r="D365" s="139"/>
      <c r="E365" s="139"/>
      <c r="F365" s="139"/>
      <c r="G365" s="139"/>
      <c r="H365" s="139"/>
      <c r="I365" s="139"/>
      <c r="J365" s="139"/>
      <c r="K365" s="139"/>
      <c r="L365" s="139"/>
      <c r="M365" s="139"/>
      <c r="N365" s="145"/>
      <c r="O365" s="139"/>
      <c r="P365" s="139"/>
      <c r="Q365" s="231"/>
      <c r="R365" s="139"/>
      <c r="S365" s="235"/>
      <c r="T365" s="235"/>
      <c r="U365" s="145"/>
      <c r="V365" s="145"/>
      <c r="W365" s="111"/>
      <c r="X365" s="233"/>
      <c r="Y365" s="226"/>
      <c r="Z365" s="139"/>
      <c r="AA365" s="139"/>
      <c r="AB365" s="139"/>
      <c r="AC365" s="139"/>
      <c r="AD365" s="139"/>
      <c r="AE365" s="139"/>
      <c r="AF365" s="139"/>
      <c r="AG365" s="139"/>
      <c r="AH365" s="139"/>
      <c r="AI365" s="139"/>
      <c r="AJ365" s="139"/>
      <c r="AK365" s="139"/>
      <c r="AL365" s="139"/>
      <c r="AM365" s="139"/>
      <c r="AN365" s="139"/>
      <c r="AO365" s="139"/>
      <c r="AP365" s="139"/>
      <c r="AQ365" s="139"/>
      <c r="AR365" s="139"/>
      <c r="AS365" s="139"/>
      <c r="AT365" s="139"/>
      <c r="AU365" s="139"/>
      <c r="AV365" s="139"/>
    </row>
    <row r="366">
      <c r="A366" s="139"/>
      <c r="B366" s="234"/>
      <c r="C366" s="139"/>
      <c r="D366" s="139"/>
      <c r="E366" s="139"/>
      <c r="F366" s="139"/>
      <c r="G366" s="139"/>
      <c r="H366" s="139"/>
      <c r="I366" s="139"/>
      <c r="J366" s="139"/>
      <c r="K366" s="139"/>
      <c r="L366" s="139"/>
      <c r="M366" s="139"/>
      <c r="N366" s="145"/>
      <c r="O366" s="139"/>
      <c r="P366" s="139"/>
      <c r="Q366" s="231"/>
      <c r="R366" s="139"/>
      <c r="S366" s="235"/>
      <c r="T366" s="235"/>
      <c r="U366" s="145"/>
      <c r="V366" s="145"/>
      <c r="W366" s="111"/>
      <c r="X366" s="233"/>
      <c r="Y366" s="226"/>
      <c r="Z366" s="139"/>
      <c r="AA366" s="139"/>
      <c r="AB366" s="139"/>
      <c r="AC366" s="139"/>
      <c r="AD366" s="139"/>
      <c r="AE366" s="139"/>
      <c r="AF366" s="139"/>
      <c r="AG366" s="139"/>
      <c r="AH366" s="139"/>
      <c r="AI366" s="139"/>
      <c r="AJ366" s="139"/>
      <c r="AK366" s="139"/>
      <c r="AL366" s="139"/>
      <c r="AM366" s="139"/>
      <c r="AN366" s="139"/>
      <c r="AO366" s="139"/>
      <c r="AP366" s="139"/>
      <c r="AQ366" s="139"/>
      <c r="AR366" s="139"/>
      <c r="AS366" s="139"/>
      <c r="AT366" s="139"/>
      <c r="AU366" s="139"/>
      <c r="AV366" s="139"/>
    </row>
    <row r="367">
      <c r="A367" s="139"/>
      <c r="B367" s="234"/>
      <c r="C367" s="139"/>
      <c r="D367" s="139"/>
      <c r="E367" s="139"/>
      <c r="F367" s="139"/>
      <c r="G367" s="139"/>
      <c r="H367" s="139"/>
      <c r="I367" s="139"/>
      <c r="J367" s="139"/>
      <c r="K367" s="139"/>
      <c r="L367" s="139"/>
      <c r="M367" s="139"/>
      <c r="N367" s="145"/>
      <c r="O367" s="139"/>
      <c r="P367" s="139"/>
      <c r="Q367" s="231"/>
      <c r="R367" s="139"/>
      <c r="S367" s="235"/>
      <c r="T367" s="235"/>
      <c r="U367" s="145"/>
      <c r="V367" s="145"/>
      <c r="W367" s="111"/>
      <c r="X367" s="233"/>
      <c r="Y367" s="226"/>
      <c r="Z367" s="139"/>
      <c r="AA367" s="139"/>
      <c r="AB367" s="139"/>
      <c r="AC367" s="139"/>
      <c r="AD367" s="139"/>
      <c r="AE367" s="139"/>
      <c r="AF367" s="139"/>
      <c r="AG367" s="139"/>
      <c r="AH367" s="139"/>
      <c r="AI367" s="139"/>
      <c r="AJ367" s="139"/>
      <c r="AK367" s="139"/>
      <c r="AL367" s="139"/>
      <c r="AM367" s="139"/>
      <c r="AN367" s="139"/>
      <c r="AO367" s="139"/>
      <c r="AP367" s="139"/>
      <c r="AQ367" s="139"/>
      <c r="AR367" s="139"/>
      <c r="AS367" s="139"/>
      <c r="AT367" s="139"/>
      <c r="AU367" s="139"/>
      <c r="AV367" s="139"/>
    </row>
    <row r="368">
      <c r="A368" s="139"/>
      <c r="B368" s="234"/>
      <c r="C368" s="139"/>
      <c r="D368" s="139"/>
      <c r="E368" s="139"/>
      <c r="F368" s="139"/>
      <c r="G368" s="139"/>
      <c r="H368" s="139"/>
      <c r="I368" s="139"/>
      <c r="J368" s="139"/>
      <c r="K368" s="139"/>
      <c r="L368" s="139"/>
      <c r="M368" s="139"/>
      <c r="N368" s="145"/>
      <c r="O368" s="139"/>
      <c r="P368" s="139"/>
      <c r="Q368" s="231"/>
      <c r="R368" s="139"/>
      <c r="S368" s="235"/>
      <c r="T368" s="235"/>
      <c r="U368" s="145"/>
      <c r="V368" s="145"/>
      <c r="W368" s="111"/>
      <c r="X368" s="233"/>
      <c r="Y368" s="226"/>
      <c r="Z368" s="139"/>
      <c r="AA368" s="139"/>
      <c r="AB368" s="139"/>
      <c r="AC368" s="139"/>
      <c r="AD368" s="139"/>
      <c r="AE368" s="139"/>
      <c r="AF368" s="139"/>
      <c r="AG368" s="139"/>
      <c r="AH368" s="139"/>
      <c r="AI368" s="139"/>
      <c r="AJ368" s="139"/>
      <c r="AK368" s="139"/>
      <c r="AL368" s="139"/>
      <c r="AM368" s="139"/>
      <c r="AN368" s="139"/>
      <c r="AO368" s="139"/>
      <c r="AP368" s="139"/>
      <c r="AQ368" s="139"/>
      <c r="AR368" s="139"/>
      <c r="AS368" s="139"/>
      <c r="AT368" s="139"/>
      <c r="AU368" s="139"/>
      <c r="AV368" s="139"/>
    </row>
    <row r="369">
      <c r="A369" s="139"/>
      <c r="B369" s="234"/>
      <c r="C369" s="139"/>
      <c r="D369" s="139"/>
      <c r="E369" s="139"/>
      <c r="F369" s="139"/>
      <c r="G369" s="139"/>
      <c r="H369" s="139"/>
      <c r="I369" s="139"/>
      <c r="J369" s="139"/>
      <c r="K369" s="139"/>
      <c r="L369" s="139"/>
      <c r="M369" s="139"/>
      <c r="N369" s="145"/>
      <c r="O369" s="139"/>
      <c r="P369" s="139"/>
      <c r="Q369" s="231"/>
      <c r="R369" s="139"/>
      <c r="S369" s="235"/>
      <c r="T369" s="235"/>
      <c r="U369" s="145"/>
      <c r="V369" s="145"/>
      <c r="W369" s="111"/>
      <c r="X369" s="233"/>
      <c r="Y369" s="226"/>
      <c r="Z369" s="139"/>
      <c r="AA369" s="139"/>
      <c r="AB369" s="139"/>
      <c r="AC369" s="139"/>
      <c r="AD369" s="139"/>
      <c r="AE369" s="139"/>
      <c r="AF369" s="139"/>
      <c r="AG369" s="139"/>
      <c r="AH369" s="139"/>
      <c r="AI369" s="139"/>
      <c r="AJ369" s="139"/>
      <c r="AK369" s="139"/>
      <c r="AL369" s="139"/>
      <c r="AM369" s="139"/>
      <c r="AN369" s="139"/>
      <c r="AO369" s="139"/>
      <c r="AP369" s="139"/>
      <c r="AQ369" s="139"/>
      <c r="AR369" s="139"/>
      <c r="AS369" s="139"/>
      <c r="AT369" s="139"/>
      <c r="AU369" s="139"/>
      <c r="AV369" s="139"/>
    </row>
    <row r="370">
      <c r="A370" s="139"/>
      <c r="B370" s="234"/>
      <c r="C370" s="139"/>
      <c r="D370" s="139"/>
      <c r="E370" s="139"/>
      <c r="F370" s="139"/>
      <c r="G370" s="139"/>
      <c r="H370" s="139"/>
      <c r="I370" s="139"/>
      <c r="J370" s="139"/>
      <c r="K370" s="139"/>
      <c r="L370" s="139"/>
      <c r="M370" s="139"/>
      <c r="N370" s="145"/>
      <c r="O370" s="139"/>
      <c r="P370" s="139"/>
      <c r="Q370" s="231"/>
      <c r="R370" s="139"/>
      <c r="S370" s="235"/>
      <c r="T370" s="235"/>
      <c r="U370" s="145"/>
      <c r="V370" s="145"/>
      <c r="W370" s="111"/>
      <c r="X370" s="233"/>
      <c r="Y370" s="226"/>
      <c r="Z370" s="139"/>
      <c r="AA370" s="139"/>
      <c r="AB370" s="139"/>
      <c r="AC370" s="139"/>
      <c r="AD370" s="139"/>
      <c r="AE370" s="139"/>
      <c r="AF370" s="139"/>
      <c r="AG370" s="139"/>
      <c r="AH370" s="139"/>
      <c r="AI370" s="139"/>
      <c r="AJ370" s="139"/>
      <c r="AK370" s="139"/>
      <c r="AL370" s="139"/>
      <c r="AM370" s="139"/>
      <c r="AN370" s="139"/>
      <c r="AO370" s="139"/>
      <c r="AP370" s="139"/>
      <c r="AQ370" s="139"/>
      <c r="AR370" s="139"/>
      <c r="AS370" s="139"/>
      <c r="AT370" s="139"/>
      <c r="AU370" s="139"/>
      <c r="AV370" s="139"/>
    </row>
    <row r="371">
      <c r="A371" s="139"/>
      <c r="B371" s="234"/>
      <c r="C371" s="139"/>
      <c r="D371" s="139"/>
      <c r="E371" s="139"/>
      <c r="F371" s="139"/>
      <c r="G371" s="139"/>
      <c r="H371" s="139"/>
      <c r="I371" s="139"/>
      <c r="J371" s="139"/>
      <c r="K371" s="139"/>
      <c r="L371" s="139"/>
      <c r="M371" s="139"/>
      <c r="N371" s="145"/>
      <c r="O371" s="139"/>
      <c r="P371" s="139"/>
      <c r="Q371" s="231"/>
      <c r="R371" s="139"/>
      <c r="S371" s="235"/>
      <c r="T371" s="235"/>
      <c r="U371" s="145"/>
      <c r="V371" s="145"/>
      <c r="W371" s="111"/>
      <c r="X371" s="233"/>
      <c r="Y371" s="226"/>
      <c r="Z371" s="139"/>
      <c r="AA371" s="139"/>
      <c r="AB371" s="139"/>
      <c r="AC371" s="139"/>
      <c r="AD371" s="139"/>
      <c r="AE371" s="139"/>
      <c r="AF371" s="139"/>
      <c r="AG371" s="139"/>
      <c r="AH371" s="139"/>
      <c r="AI371" s="139"/>
      <c r="AJ371" s="139"/>
      <c r="AK371" s="139"/>
      <c r="AL371" s="139"/>
      <c r="AM371" s="139"/>
      <c r="AN371" s="139"/>
      <c r="AO371" s="139"/>
      <c r="AP371" s="139"/>
      <c r="AQ371" s="139"/>
      <c r="AR371" s="139"/>
      <c r="AS371" s="139"/>
      <c r="AT371" s="139"/>
      <c r="AU371" s="139"/>
      <c r="AV371" s="139"/>
    </row>
    <row r="372">
      <c r="A372" s="139"/>
      <c r="B372" s="234"/>
      <c r="C372" s="139"/>
      <c r="D372" s="139"/>
      <c r="E372" s="139"/>
      <c r="F372" s="139"/>
      <c r="G372" s="139"/>
      <c r="H372" s="139"/>
      <c r="I372" s="139"/>
      <c r="J372" s="139"/>
      <c r="K372" s="139"/>
      <c r="L372" s="139"/>
      <c r="M372" s="139"/>
      <c r="N372" s="145"/>
      <c r="O372" s="139"/>
      <c r="P372" s="139"/>
      <c r="Q372" s="231"/>
      <c r="R372" s="139"/>
      <c r="S372" s="235"/>
      <c r="T372" s="235"/>
      <c r="U372" s="145"/>
      <c r="V372" s="145"/>
      <c r="W372" s="111"/>
      <c r="X372" s="233"/>
      <c r="Y372" s="226"/>
      <c r="Z372" s="139"/>
      <c r="AA372" s="139"/>
      <c r="AB372" s="139"/>
      <c r="AC372" s="139"/>
      <c r="AD372" s="139"/>
      <c r="AE372" s="139"/>
      <c r="AF372" s="139"/>
      <c r="AG372" s="139"/>
      <c r="AH372" s="139"/>
      <c r="AI372" s="139"/>
      <c r="AJ372" s="139"/>
      <c r="AK372" s="139"/>
      <c r="AL372" s="139"/>
      <c r="AM372" s="139"/>
      <c r="AN372" s="139"/>
      <c r="AO372" s="139"/>
      <c r="AP372" s="139"/>
      <c r="AQ372" s="139"/>
      <c r="AR372" s="139"/>
      <c r="AS372" s="139"/>
      <c r="AT372" s="139"/>
      <c r="AU372" s="139"/>
      <c r="AV372" s="139"/>
    </row>
    <row r="373">
      <c r="A373" s="139"/>
      <c r="B373" s="234"/>
      <c r="C373" s="139"/>
      <c r="D373" s="139"/>
      <c r="E373" s="139"/>
      <c r="F373" s="139"/>
      <c r="G373" s="139"/>
      <c r="H373" s="139"/>
      <c r="I373" s="139"/>
      <c r="J373" s="139"/>
      <c r="K373" s="139"/>
      <c r="L373" s="139"/>
      <c r="M373" s="139"/>
      <c r="N373" s="145"/>
      <c r="O373" s="139"/>
      <c r="P373" s="139"/>
      <c r="Q373" s="231"/>
      <c r="R373" s="139"/>
      <c r="S373" s="235"/>
      <c r="T373" s="235"/>
      <c r="U373" s="145"/>
      <c r="V373" s="145"/>
      <c r="W373" s="111"/>
      <c r="X373" s="233"/>
      <c r="Y373" s="226"/>
      <c r="Z373" s="139"/>
      <c r="AA373" s="139"/>
      <c r="AB373" s="139"/>
      <c r="AC373" s="139"/>
      <c r="AD373" s="139"/>
      <c r="AE373" s="139"/>
      <c r="AF373" s="139"/>
      <c r="AG373" s="139"/>
      <c r="AH373" s="139"/>
      <c r="AI373" s="139"/>
      <c r="AJ373" s="139"/>
      <c r="AK373" s="139"/>
      <c r="AL373" s="139"/>
      <c r="AM373" s="139"/>
      <c r="AN373" s="139"/>
      <c r="AO373" s="139"/>
      <c r="AP373" s="139"/>
      <c r="AQ373" s="139"/>
      <c r="AR373" s="139"/>
      <c r="AS373" s="139"/>
      <c r="AT373" s="139"/>
      <c r="AU373" s="139"/>
      <c r="AV373" s="139"/>
    </row>
    <row r="374">
      <c r="A374" s="139"/>
      <c r="B374" s="234"/>
      <c r="C374" s="139"/>
      <c r="D374" s="139"/>
      <c r="E374" s="139"/>
      <c r="F374" s="139"/>
      <c r="G374" s="139"/>
      <c r="H374" s="139"/>
      <c r="I374" s="139"/>
      <c r="J374" s="139"/>
      <c r="K374" s="139"/>
      <c r="L374" s="139"/>
      <c r="M374" s="139"/>
      <c r="N374" s="145"/>
      <c r="O374" s="139"/>
      <c r="P374" s="139"/>
      <c r="Q374" s="231"/>
      <c r="R374" s="139"/>
      <c r="S374" s="235"/>
      <c r="T374" s="235"/>
      <c r="U374" s="145"/>
      <c r="V374" s="145"/>
      <c r="W374" s="111"/>
      <c r="X374" s="233"/>
      <c r="Y374" s="226"/>
      <c r="Z374" s="139"/>
      <c r="AA374" s="139"/>
      <c r="AB374" s="139"/>
      <c r="AC374" s="139"/>
      <c r="AD374" s="139"/>
      <c r="AE374" s="139"/>
      <c r="AF374" s="139"/>
      <c r="AG374" s="139"/>
      <c r="AH374" s="139"/>
      <c r="AI374" s="139"/>
      <c r="AJ374" s="139"/>
      <c r="AK374" s="139"/>
      <c r="AL374" s="139"/>
      <c r="AM374" s="139"/>
      <c r="AN374" s="139"/>
      <c r="AO374" s="139"/>
      <c r="AP374" s="139"/>
      <c r="AQ374" s="139"/>
      <c r="AR374" s="139"/>
      <c r="AS374" s="139"/>
      <c r="AT374" s="139"/>
      <c r="AU374" s="139"/>
      <c r="AV374" s="139"/>
    </row>
    <row r="375">
      <c r="A375" s="139"/>
      <c r="B375" s="234"/>
      <c r="C375" s="139"/>
      <c r="D375" s="139"/>
      <c r="E375" s="139"/>
      <c r="F375" s="139"/>
      <c r="G375" s="139"/>
      <c r="H375" s="139"/>
      <c r="I375" s="139"/>
      <c r="J375" s="139"/>
      <c r="K375" s="139"/>
      <c r="L375" s="139"/>
      <c r="M375" s="139"/>
      <c r="N375" s="145"/>
      <c r="O375" s="139"/>
      <c r="P375" s="139"/>
      <c r="Q375" s="231"/>
      <c r="R375" s="139"/>
      <c r="S375" s="235"/>
      <c r="T375" s="235"/>
      <c r="U375" s="145"/>
      <c r="V375" s="145"/>
      <c r="W375" s="111"/>
      <c r="X375" s="233"/>
      <c r="Y375" s="226"/>
      <c r="Z375" s="139"/>
      <c r="AA375" s="139"/>
      <c r="AB375" s="139"/>
      <c r="AC375" s="139"/>
      <c r="AD375" s="139"/>
      <c r="AE375" s="139"/>
      <c r="AF375" s="139"/>
      <c r="AG375" s="139"/>
      <c r="AH375" s="139"/>
      <c r="AI375" s="139"/>
      <c r="AJ375" s="139"/>
      <c r="AK375" s="139"/>
      <c r="AL375" s="139"/>
      <c r="AM375" s="139"/>
      <c r="AN375" s="139"/>
      <c r="AO375" s="139"/>
      <c r="AP375" s="139"/>
      <c r="AQ375" s="139"/>
      <c r="AR375" s="139"/>
      <c r="AS375" s="139"/>
      <c r="AT375" s="139"/>
      <c r="AU375" s="139"/>
      <c r="AV375" s="139"/>
    </row>
    <row r="376">
      <c r="A376" s="139"/>
      <c r="B376" s="234"/>
      <c r="C376" s="139"/>
      <c r="D376" s="139"/>
      <c r="E376" s="139"/>
      <c r="F376" s="139"/>
      <c r="G376" s="139"/>
      <c r="H376" s="139"/>
      <c r="I376" s="139"/>
      <c r="J376" s="139"/>
      <c r="K376" s="139"/>
      <c r="L376" s="139"/>
      <c r="M376" s="139"/>
      <c r="N376" s="145"/>
      <c r="O376" s="139"/>
      <c r="P376" s="139"/>
      <c r="Q376" s="231"/>
      <c r="R376" s="139"/>
      <c r="S376" s="235"/>
      <c r="T376" s="235"/>
      <c r="U376" s="145"/>
      <c r="V376" s="145"/>
      <c r="W376" s="111"/>
      <c r="X376" s="233"/>
      <c r="Y376" s="226"/>
      <c r="Z376" s="139"/>
      <c r="AA376" s="139"/>
      <c r="AB376" s="139"/>
      <c r="AC376" s="139"/>
      <c r="AD376" s="139"/>
      <c r="AE376" s="139"/>
      <c r="AF376" s="139"/>
      <c r="AG376" s="139"/>
      <c r="AH376" s="139"/>
      <c r="AI376" s="139"/>
      <c r="AJ376" s="139"/>
      <c r="AK376" s="139"/>
      <c r="AL376" s="139"/>
      <c r="AM376" s="139"/>
      <c r="AN376" s="139"/>
      <c r="AO376" s="139"/>
      <c r="AP376" s="139"/>
      <c r="AQ376" s="139"/>
      <c r="AR376" s="139"/>
      <c r="AS376" s="139"/>
      <c r="AT376" s="139"/>
      <c r="AU376" s="139"/>
      <c r="AV376" s="139"/>
    </row>
    <row r="377">
      <c r="A377" s="139"/>
      <c r="B377" s="234"/>
      <c r="C377" s="139"/>
      <c r="D377" s="139"/>
      <c r="E377" s="139"/>
      <c r="F377" s="139"/>
      <c r="G377" s="139"/>
      <c r="H377" s="139"/>
      <c r="I377" s="139"/>
      <c r="J377" s="139"/>
      <c r="K377" s="139"/>
      <c r="L377" s="139"/>
      <c r="M377" s="139"/>
      <c r="N377" s="145"/>
      <c r="O377" s="139"/>
      <c r="P377" s="139"/>
      <c r="Q377" s="231"/>
      <c r="R377" s="139"/>
      <c r="S377" s="235"/>
      <c r="T377" s="235"/>
      <c r="U377" s="145"/>
      <c r="V377" s="145"/>
      <c r="W377" s="111"/>
      <c r="X377" s="233"/>
      <c r="Y377" s="226"/>
      <c r="Z377" s="139"/>
      <c r="AA377" s="139"/>
      <c r="AB377" s="139"/>
      <c r="AC377" s="139"/>
      <c r="AD377" s="139"/>
      <c r="AE377" s="139"/>
      <c r="AF377" s="139"/>
      <c r="AG377" s="139"/>
      <c r="AH377" s="139"/>
      <c r="AI377" s="139"/>
      <c r="AJ377" s="139"/>
      <c r="AK377" s="139"/>
      <c r="AL377" s="139"/>
      <c r="AM377" s="139"/>
      <c r="AN377" s="139"/>
      <c r="AO377" s="139"/>
      <c r="AP377" s="139"/>
      <c r="AQ377" s="139"/>
      <c r="AR377" s="139"/>
      <c r="AS377" s="139"/>
      <c r="AT377" s="139"/>
      <c r="AU377" s="139"/>
      <c r="AV377" s="139"/>
    </row>
    <row r="378">
      <c r="A378" s="139"/>
      <c r="B378" s="234"/>
      <c r="C378" s="139"/>
      <c r="D378" s="139"/>
      <c r="E378" s="139"/>
      <c r="F378" s="139"/>
      <c r="G378" s="139"/>
      <c r="H378" s="139"/>
      <c r="I378" s="139"/>
      <c r="J378" s="139"/>
      <c r="K378" s="139"/>
      <c r="L378" s="139"/>
      <c r="M378" s="139"/>
      <c r="N378" s="145"/>
      <c r="O378" s="139"/>
      <c r="P378" s="139"/>
      <c r="Q378" s="231"/>
      <c r="R378" s="139"/>
      <c r="S378" s="235"/>
      <c r="T378" s="235"/>
      <c r="U378" s="145"/>
      <c r="V378" s="145"/>
      <c r="W378" s="111"/>
      <c r="X378" s="233"/>
      <c r="Y378" s="226"/>
      <c r="Z378" s="139"/>
      <c r="AA378" s="139"/>
      <c r="AB378" s="139"/>
      <c r="AC378" s="139"/>
      <c r="AD378" s="139"/>
      <c r="AE378" s="139"/>
      <c r="AF378" s="139"/>
      <c r="AG378" s="139"/>
      <c r="AH378" s="139"/>
      <c r="AI378" s="139"/>
      <c r="AJ378" s="139"/>
      <c r="AK378" s="139"/>
      <c r="AL378" s="139"/>
      <c r="AM378" s="139"/>
      <c r="AN378" s="139"/>
      <c r="AO378" s="139"/>
      <c r="AP378" s="139"/>
      <c r="AQ378" s="139"/>
      <c r="AR378" s="139"/>
      <c r="AS378" s="139"/>
      <c r="AT378" s="139"/>
      <c r="AU378" s="139"/>
      <c r="AV378" s="139"/>
    </row>
    <row r="379">
      <c r="A379" s="139"/>
      <c r="B379" s="234"/>
      <c r="C379" s="139"/>
      <c r="D379" s="139"/>
      <c r="E379" s="139"/>
      <c r="F379" s="139"/>
      <c r="G379" s="139"/>
      <c r="H379" s="139"/>
      <c r="I379" s="139"/>
      <c r="J379" s="139"/>
      <c r="K379" s="139"/>
      <c r="L379" s="139"/>
      <c r="M379" s="139"/>
      <c r="N379" s="145"/>
      <c r="O379" s="139"/>
      <c r="P379" s="139"/>
      <c r="Q379" s="231"/>
      <c r="R379" s="139"/>
      <c r="S379" s="235"/>
      <c r="T379" s="235"/>
      <c r="U379" s="145"/>
      <c r="V379" s="145"/>
      <c r="W379" s="111"/>
      <c r="X379" s="233"/>
      <c r="Y379" s="226"/>
      <c r="Z379" s="139"/>
      <c r="AA379" s="139"/>
      <c r="AB379" s="139"/>
      <c r="AC379" s="139"/>
      <c r="AD379" s="139"/>
      <c r="AE379" s="139"/>
      <c r="AF379" s="139"/>
      <c r="AG379" s="139"/>
      <c r="AH379" s="139"/>
      <c r="AI379" s="139"/>
      <c r="AJ379" s="139"/>
      <c r="AK379" s="139"/>
      <c r="AL379" s="139"/>
      <c r="AM379" s="139"/>
      <c r="AN379" s="139"/>
      <c r="AO379" s="139"/>
      <c r="AP379" s="139"/>
      <c r="AQ379" s="139"/>
      <c r="AR379" s="139"/>
      <c r="AS379" s="139"/>
      <c r="AT379" s="139"/>
      <c r="AU379" s="139"/>
      <c r="AV379" s="139"/>
    </row>
    <row r="380">
      <c r="A380" s="139"/>
      <c r="B380" s="234"/>
      <c r="C380" s="139"/>
      <c r="D380" s="139"/>
      <c r="E380" s="139"/>
      <c r="F380" s="139"/>
      <c r="G380" s="139"/>
      <c r="H380" s="139"/>
      <c r="I380" s="139"/>
      <c r="J380" s="139"/>
      <c r="K380" s="139"/>
      <c r="L380" s="139"/>
      <c r="M380" s="139"/>
      <c r="N380" s="145"/>
      <c r="O380" s="139"/>
      <c r="P380" s="139"/>
      <c r="Q380" s="231"/>
      <c r="R380" s="139"/>
      <c r="S380" s="235"/>
      <c r="T380" s="235"/>
      <c r="U380" s="145"/>
      <c r="V380" s="145"/>
      <c r="W380" s="111"/>
      <c r="X380" s="233"/>
      <c r="Y380" s="226"/>
      <c r="Z380" s="139"/>
      <c r="AA380" s="139"/>
      <c r="AB380" s="139"/>
      <c r="AC380" s="139"/>
      <c r="AD380" s="139"/>
      <c r="AE380" s="139"/>
      <c r="AF380" s="139"/>
      <c r="AG380" s="139"/>
      <c r="AH380" s="139"/>
      <c r="AI380" s="139"/>
      <c r="AJ380" s="139"/>
      <c r="AK380" s="139"/>
      <c r="AL380" s="139"/>
      <c r="AM380" s="139"/>
      <c r="AN380" s="139"/>
      <c r="AO380" s="139"/>
      <c r="AP380" s="139"/>
      <c r="AQ380" s="139"/>
      <c r="AR380" s="139"/>
      <c r="AS380" s="139"/>
      <c r="AT380" s="139"/>
      <c r="AU380" s="139"/>
      <c r="AV380" s="139"/>
    </row>
    <row r="381">
      <c r="A381" s="139"/>
      <c r="B381" s="234"/>
      <c r="C381" s="139"/>
      <c r="D381" s="139"/>
      <c r="E381" s="139"/>
      <c r="F381" s="139"/>
      <c r="G381" s="139"/>
      <c r="H381" s="139"/>
      <c r="I381" s="139"/>
      <c r="J381" s="139"/>
      <c r="K381" s="139"/>
      <c r="L381" s="139"/>
      <c r="M381" s="139"/>
      <c r="N381" s="145"/>
      <c r="O381" s="139"/>
      <c r="P381" s="139"/>
      <c r="Q381" s="231"/>
      <c r="R381" s="139"/>
      <c r="S381" s="235"/>
      <c r="T381" s="235"/>
      <c r="U381" s="145"/>
      <c r="V381" s="145"/>
      <c r="W381" s="111"/>
      <c r="X381" s="233"/>
      <c r="Y381" s="226"/>
      <c r="Z381" s="139"/>
      <c r="AA381" s="139"/>
      <c r="AB381" s="139"/>
      <c r="AC381" s="139"/>
      <c r="AD381" s="139"/>
      <c r="AE381" s="139"/>
      <c r="AF381" s="139"/>
      <c r="AG381" s="139"/>
      <c r="AH381" s="139"/>
      <c r="AI381" s="139"/>
      <c r="AJ381" s="139"/>
      <c r="AK381" s="139"/>
      <c r="AL381" s="139"/>
      <c r="AM381" s="139"/>
      <c r="AN381" s="139"/>
      <c r="AO381" s="139"/>
      <c r="AP381" s="139"/>
      <c r="AQ381" s="139"/>
      <c r="AR381" s="139"/>
      <c r="AS381" s="139"/>
      <c r="AT381" s="139"/>
      <c r="AU381" s="139"/>
      <c r="AV381" s="139"/>
    </row>
    <row r="382">
      <c r="A382" s="139"/>
      <c r="B382" s="234"/>
      <c r="C382" s="139"/>
      <c r="D382" s="139"/>
      <c r="E382" s="139"/>
      <c r="F382" s="139"/>
      <c r="G382" s="139"/>
      <c r="H382" s="139"/>
      <c r="I382" s="139"/>
      <c r="J382" s="139"/>
      <c r="K382" s="139"/>
      <c r="L382" s="139"/>
      <c r="M382" s="139"/>
      <c r="N382" s="145"/>
      <c r="O382" s="139"/>
      <c r="P382" s="139"/>
      <c r="Q382" s="231"/>
      <c r="R382" s="139"/>
      <c r="S382" s="235"/>
      <c r="T382" s="235"/>
      <c r="U382" s="145"/>
      <c r="V382" s="145"/>
      <c r="W382" s="111"/>
      <c r="X382" s="233"/>
      <c r="Y382" s="226"/>
      <c r="Z382" s="139"/>
      <c r="AA382" s="139"/>
      <c r="AB382" s="139"/>
      <c r="AC382" s="139"/>
      <c r="AD382" s="139"/>
      <c r="AE382" s="139"/>
      <c r="AF382" s="139"/>
      <c r="AG382" s="139"/>
      <c r="AH382" s="139"/>
      <c r="AI382" s="139"/>
      <c r="AJ382" s="139"/>
      <c r="AK382" s="139"/>
      <c r="AL382" s="139"/>
      <c r="AM382" s="139"/>
      <c r="AN382" s="139"/>
      <c r="AO382" s="139"/>
      <c r="AP382" s="139"/>
      <c r="AQ382" s="139"/>
      <c r="AR382" s="139"/>
      <c r="AS382" s="139"/>
      <c r="AT382" s="139"/>
      <c r="AU382" s="139"/>
      <c r="AV382" s="139"/>
    </row>
    <row r="383">
      <c r="A383" s="139"/>
      <c r="B383" s="234"/>
      <c r="C383" s="139"/>
      <c r="D383" s="139"/>
      <c r="E383" s="139"/>
      <c r="F383" s="139"/>
      <c r="G383" s="139"/>
      <c r="H383" s="139"/>
      <c r="I383" s="139"/>
      <c r="J383" s="139"/>
      <c r="K383" s="139"/>
      <c r="L383" s="139"/>
      <c r="M383" s="139"/>
      <c r="N383" s="145"/>
      <c r="O383" s="139"/>
      <c r="P383" s="139"/>
      <c r="Q383" s="231"/>
      <c r="R383" s="139"/>
      <c r="S383" s="235"/>
      <c r="T383" s="235"/>
      <c r="U383" s="145"/>
      <c r="V383" s="145"/>
      <c r="W383" s="111"/>
      <c r="X383" s="233"/>
      <c r="Y383" s="226"/>
      <c r="Z383" s="139"/>
      <c r="AA383" s="139"/>
      <c r="AB383" s="139"/>
      <c r="AC383" s="139"/>
      <c r="AD383" s="139"/>
      <c r="AE383" s="139"/>
      <c r="AF383" s="139"/>
      <c r="AG383" s="139"/>
      <c r="AH383" s="139"/>
      <c r="AI383" s="139"/>
      <c r="AJ383" s="139"/>
      <c r="AK383" s="139"/>
      <c r="AL383" s="139"/>
      <c r="AM383" s="139"/>
      <c r="AN383" s="139"/>
      <c r="AO383" s="139"/>
      <c r="AP383" s="139"/>
      <c r="AQ383" s="139"/>
      <c r="AR383" s="139"/>
      <c r="AS383" s="139"/>
      <c r="AT383" s="139"/>
      <c r="AU383" s="139"/>
      <c r="AV383" s="139"/>
    </row>
    <row r="384">
      <c r="A384" s="139"/>
      <c r="B384" s="234"/>
      <c r="C384" s="139"/>
      <c r="D384" s="139"/>
      <c r="E384" s="139"/>
      <c r="F384" s="139"/>
      <c r="G384" s="139"/>
      <c r="H384" s="139"/>
      <c r="I384" s="139"/>
      <c r="J384" s="139"/>
      <c r="K384" s="139"/>
      <c r="L384" s="139"/>
      <c r="M384" s="139"/>
      <c r="N384" s="145"/>
      <c r="O384" s="139"/>
      <c r="P384" s="139"/>
      <c r="Q384" s="231"/>
      <c r="R384" s="139"/>
      <c r="S384" s="235"/>
      <c r="T384" s="235"/>
      <c r="U384" s="145"/>
      <c r="V384" s="145"/>
      <c r="W384" s="111"/>
      <c r="X384" s="233"/>
      <c r="Y384" s="226"/>
      <c r="Z384" s="139"/>
      <c r="AA384" s="139"/>
      <c r="AB384" s="139"/>
      <c r="AC384" s="139"/>
      <c r="AD384" s="139"/>
      <c r="AE384" s="139"/>
      <c r="AF384" s="139"/>
      <c r="AG384" s="139"/>
      <c r="AH384" s="139"/>
      <c r="AI384" s="139"/>
      <c r="AJ384" s="139"/>
      <c r="AK384" s="139"/>
      <c r="AL384" s="139"/>
      <c r="AM384" s="139"/>
      <c r="AN384" s="139"/>
      <c r="AO384" s="139"/>
      <c r="AP384" s="139"/>
      <c r="AQ384" s="139"/>
      <c r="AR384" s="139"/>
      <c r="AS384" s="139"/>
      <c r="AT384" s="139"/>
      <c r="AU384" s="139"/>
      <c r="AV384" s="139"/>
    </row>
    <row r="385">
      <c r="A385" s="139"/>
      <c r="B385" s="234"/>
      <c r="C385" s="139"/>
      <c r="D385" s="139"/>
      <c r="E385" s="139"/>
      <c r="F385" s="139"/>
      <c r="G385" s="139"/>
      <c r="H385" s="139"/>
      <c r="I385" s="139"/>
      <c r="J385" s="139"/>
      <c r="K385" s="139"/>
      <c r="L385" s="139"/>
      <c r="M385" s="139"/>
      <c r="N385" s="145"/>
      <c r="O385" s="139"/>
      <c r="P385" s="139"/>
      <c r="Q385" s="231"/>
      <c r="R385" s="139"/>
      <c r="S385" s="235"/>
      <c r="T385" s="235"/>
      <c r="U385" s="145"/>
      <c r="V385" s="145"/>
      <c r="W385" s="111"/>
      <c r="X385" s="233"/>
      <c r="Y385" s="226"/>
      <c r="Z385" s="139"/>
      <c r="AA385" s="139"/>
      <c r="AB385" s="139"/>
      <c r="AC385" s="139"/>
      <c r="AD385" s="139"/>
      <c r="AE385" s="139"/>
      <c r="AF385" s="139"/>
      <c r="AG385" s="139"/>
      <c r="AH385" s="139"/>
      <c r="AI385" s="139"/>
      <c r="AJ385" s="139"/>
      <c r="AK385" s="139"/>
      <c r="AL385" s="139"/>
      <c r="AM385" s="139"/>
      <c r="AN385" s="139"/>
      <c r="AO385" s="139"/>
      <c r="AP385" s="139"/>
      <c r="AQ385" s="139"/>
      <c r="AR385" s="139"/>
      <c r="AS385" s="139"/>
      <c r="AT385" s="139"/>
      <c r="AU385" s="139"/>
      <c r="AV385" s="139"/>
    </row>
    <row r="386">
      <c r="A386" s="139"/>
      <c r="B386" s="234"/>
      <c r="C386" s="139"/>
      <c r="D386" s="139"/>
      <c r="E386" s="139"/>
      <c r="F386" s="139"/>
      <c r="G386" s="139"/>
      <c r="H386" s="139"/>
      <c r="I386" s="139"/>
      <c r="J386" s="139"/>
      <c r="K386" s="139"/>
      <c r="L386" s="139"/>
      <c r="M386" s="139"/>
      <c r="N386" s="145"/>
      <c r="O386" s="139"/>
      <c r="P386" s="139"/>
      <c r="Q386" s="231"/>
      <c r="R386" s="139"/>
      <c r="S386" s="235"/>
      <c r="T386" s="235"/>
      <c r="U386" s="145"/>
      <c r="V386" s="145"/>
      <c r="W386" s="111"/>
      <c r="X386" s="233"/>
      <c r="Y386" s="226"/>
      <c r="Z386" s="139"/>
      <c r="AA386" s="139"/>
      <c r="AB386" s="139"/>
      <c r="AC386" s="139"/>
      <c r="AD386" s="139"/>
      <c r="AE386" s="139"/>
      <c r="AF386" s="139"/>
      <c r="AG386" s="139"/>
      <c r="AH386" s="139"/>
      <c r="AI386" s="139"/>
      <c r="AJ386" s="139"/>
      <c r="AK386" s="139"/>
      <c r="AL386" s="139"/>
      <c r="AM386" s="139"/>
      <c r="AN386" s="139"/>
      <c r="AO386" s="139"/>
      <c r="AP386" s="139"/>
      <c r="AQ386" s="139"/>
      <c r="AR386" s="139"/>
      <c r="AS386" s="139"/>
      <c r="AT386" s="139"/>
      <c r="AU386" s="139"/>
      <c r="AV386" s="139"/>
    </row>
    <row r="387">
      <c r="A387" s="139"/>
      <c r="B387" s="234"/>
      <c r="C387" s="139"/>
      <c r="D387" s="139"/>
      <c r="E387" s="139"/>
      <c r="F387" s="139"/>
      <c r="G387" s="139"/>
      <c r="H387" s="139"/>
      <c r="I387" s="139"/>
      <c r="J387" s="139"/>
      <c r="K387" s="139"/>
      <c r="L387" s="139"/>
      <c r="M387" s="139"/>
      <c r="N387" s="145"/>
      <c r="O387" s="139"/>
      <c r="P387" s="139"/>
      <c r="Q387" s="231"/>
      <c r="R387" s="139"/>
      <c r="S387" s="235"/>
      <c r="T387" s="235"/>
      <c r="U387" s="145"/>
      <c r="V387" s="145"/>
      <c r="W387" s="111"/>
      <c r="X387" s="233"/>
      <c r="Y387" s="226"/>
      <c r="Z387" s="139"/>
      <c r="AA387" s="139"/>
      <c r="AB387" s="139"/>
      <c r="AC387" s="139"/>
      <c r="AD387" s="139"/>
      <c r="AE387" s="139"/>
      <c r="AF387" s="139"/>
      <c r="AG387" s="139"/>
      <c r="AH387" s="139"/>
      <c r="AI387" s="139"/>
      <c r="AJ387" s="139"/>
      <c r="AK387" s="139"/>
      <c r="AL387" s="139"/>
      <c r="AM387" s="139"/>
      <c r="AN387" s="139"/>
      <c r="AO387" s="139"/>
      <c r="AP387" s="139"/>
      <c r="AQ387" s="139"/>
      <c r="AR387" s="139"/>
      <c r="AS387" s="139"/>
      <c r="AT387" s="139"/>
      <c r="AU387" s="139"/>
      <c r="AV387" s="139"/>
    </row>
    <row r="388">
      <c r="A388" s="139"/>
      <c r="B388" s="234"/>
      <c r="C388" s="139"/>
      <c r="D388" s="139"/>
      <c r="E388" s="139"/>
      <c r="F388" s="139"/>
      <c r="G388" s="139"/>
      <c r="H388" s="139"/>
      <c r="I388" s="139"/>
      <c r="J388" s="139"/>
      <c r="K388" s="139"/>
      <c r="L388" s="139"/>
      <c r="M388" s="139"/>
      <c r="N388" s="145"/>
      <c r="O388" s="139"/>
      <c r="P388" s="139"/>
      <c r="Q388" s="231"/>
      <c r="R388" s="139"/>
      <c r="S388" s="235"/>
      <c r="T388" s="235"/>
      <c r="U388" s="145"/>
      <c r="V388" s="145"/>
      <c r="W388" s="111"/>
      <c r="X388" s="233"/>
      <c r="Y388" s="226"/>
      <c r="Z388" s="139"/>
      <c r="AA388" s="139"/>
      <c r="AB388" s="139"/>
      <c r="AC388" s="139"/>
      <c r="AD388" s="139"/>
      <c r="AE388" s="139"/>
      <c r="AF388" s="139"/>
      <c r="AG388" s="139"/>
      <c r="AH388" s="139"/>
      <c r="AI388" s="139"/>
      <c r="AJ388" s="139"/>
      <c r="AK388" s="139"/>
      <c r="AL388" s="139"/>
      <c r="AM388" s="139"/>
      <c r="AN388" s="139"/>
      <c r="AO388" s="139"/>
      <c r="AP388" s="139"/>
      <c r="AQ388" s="139"/>
      <c r="AR388" s="139"/>
      <c r="AS388" s="139"/>
      <c r="AT388" s="139"/>
      <c r="AU388" s="139"/>
      <c r="AV388" s="139"/>
    </row>
    <row r="389">
      <c r="A389" s="139"/>
      <c r="B389" s="234"/>
      <c r="C389" s="139"/>
      <c r="D389" s="139"/>
      <c r="E389" s="139"/>
      <c r="F389" s="139"/>
      <c r="G389" s="139"/>
      <c r="H389" s="139"/>
      <c r="I389" s="139"/>
      <c r="J389" s="139"/>
      <c r="K389" s="139"/>
      <c r="L389" s="139"/>
      <c r="M389" s="139"/>
      <c r="N389" s="145"/>
      <c r="O389" s="139"/>
      <c r="P389" s="139"/>
      <c r="Q389" s="231"/>
      <c r="R389" s="139"/>
      <c r="S389" s="235"/>
      <c r="T389" s="235"/>
      <c r="U389" s="145"/>
      <c r="V389" s="145"/>
      <c r="W389" s="111"/>
      <c r="X389" s="233"/>
      <c r="Y389" s="226"/>
      <c r="Z389" s="139"/>
      <c r="AA389" s="139"/>
      <c r="AB389" s="139"/>
      <c r="AC389" s="139"/>
      <c r="AD389" s="139"/>
      <c r="AE389" s="139"/>
      <c r="AF389" s="139"/>
      <c r="AG389" s="139"/>
      <c r="AH389" s="139"/>
      <c r="AI389" s="139"/>
      <c r="AJ389" s="139"/>
      <c r="AK389" s="139"/>
      <c r="AL389" s="139"/>
      <c r="AM389" s="139"/>
      <c r="AN389" s="139"/>
      <c r="AO389" s="139"/>
      <c r="AP389" s="139"/>
      <c r="AQ389" s="139"/>
      <c r="AR389" s="139"/>
      <c r="AS389" s="139"/>
      <c r="AT389" s="139"/>
      <c r="AU389" s="139"/>
      <c r="AV389" s="139"/>
    </row>
    <row r="390">
      <c r="A390" s="139"/>
      <c r="B390" s="234"/>
      <c r="C390" s="139"/>
      <c r="D390" s="139"/>
      <c r="E390" s="139"/>
      <c r="F390" s="139"/>
      <c r="G390" s="139"/>
      <c r="H390" s="139"/>
      <c r="I390" s="139"/>
      <c r="J390" s="139"/>
      <c r="K390" s="139"/>
      <c r="L390" s="139"/>
      <c r="M390" s="139"/>
      <c r="N390" s="145"/>
      <c r="O390" s="139"/>
      <c r="P390" s="139"/>
      <c r="Q390" s="231"/>
      <c r="R390" s="139"/>
      <c r="S390" s="235"/>
      <c r="T390" s="235"/>
      <c r="U390" s="145"/>
      <c r="V390" s="145"/>
      <c r="W390" s="111"/>
      <c r="X390" s="233"/>
      <c r="Y390" s="226"/>
      <c r="Z390" s="139"/>
      <c r="AA390" s="139"/>
      <c r="AB390" s="139"/>
      <c r="AC390" s="139"/>
      <c r="AD390" s="139"/>
      <c r="AE390" s="139"/>
      <c r="AF390" s="139"/>
      <c r="AG390" s="139"/>
      <c r="AH390" s="139"/>
      <c r="AI390" s="139"/>
      <c r="AJ390" s="139"/>
      <c r="AK390" s="139"/>
      <c r="AL390" s="139"/>
      <c r="AM390" s="139"/>
      <c r="AN390" s="139"/>
      <c r="AO390" s="139"/>
      <c r="AP390" s="139"/>
      <c r="AQ390" s="139"/>
      <c r="AR390" s="139"/>
      <c r="AS390" s="139"/>
      <c r="AT390" s="139"/>
      <c r="AU390" s="139"/>
      <c r="AV390" s="139"/>
    </row>
    <row r="391">
      <c r="A391" s="139"/>
      <c r="B391" s="234"/>
      <c r="C391" s="139"/>
      <c r="D391" s="139"/>
      <c r="E391" s="139"/>
      <c r="F391" s="139"/>
      <c r="G391" s="139"/>
      <c r="H391" s="139"/>
      <c r="I391" s="139"/>
      <c r="J391" s="139"/>
      <c r="K391" s="139"/>
      <c r="L391" s="139"/>
      <c r="M391" s="139"/>
      <c r="N391" s="145"/>
      <c r="O391" s="139"/>
      <c r="P391" s="139"/>
      <c r="Q391" s="231"/>
      <c r="R391" s="139"/>
      <c r="S391" s="235"/>
      <c r="T391" s="235"/>
      <c r="U391" s="145"/>
      <c r="V391" s="145"/>
      <c r="W391" s="111"/>
      <c r="X391" s="233"/>
      <c r="Y391" s="226"/>
      <c r="Z391" s="139"/>
      <c r="AA391" s="139"/>
      <c r="AB391" s="139"/>
      <c r="AC391" s="139"/>
      <c r="AD391" s="139"/>
      <c r="AE391" s="139"/>
      <c r="AF391" s="139"/>
      <c r="AG391" s="139"/>
      <c r="AH391" s="139"/>
      <c r="AI391" s="139"/>
      <c r="AJ391" s="139"/>
      <c r="AK391" s="139"/>
      <c r="AL391" s="139"/>
      <c r="AM391" s="139"/>
      <c r="AN391" s="139"/>
      <c r="AO391" s="139"/>
      <c r="AP391" s="139"/>
      <c r="AQ391" s="139"/>
      <c r="AR391" s="139"/>
      <c r="AS391" s="139"/>
      <c r="AT391" s="139"/>
      <c r="AU391" s="139"/>
      <c r="AV391" s="139"/>
    </row>
    <row r="392">
      <c r="A392" s="139"/>
      <c r="B392" s="234"/>
      <c r="C392" s="139"/>
      <c r="D392" s="139"/>
      <c r="E392" s="139"/>
      <c r="F392" s="139"/>
      <c r="G392" s="139"/>
      <c r="H392" s="139"/>
      <c r="I392" s="139"/>
      <c r="J392" s="139"/>
      <c r="K392" s="139"/>
      <c r="L392" s="139"/>
      <c r="M392" s="139"/>
      <c r="N392" s="145"/>
      <c r="O392" s="139"/>
      <c r="P392" s="139"/>
      <c r="Q392" s="231"/>
      <c r="R392" s="139"/>
      <c r="S392" s="235"/>
      <c r="T392" s="235"/>
      <c r="U392" s="145"/>
      <c r="V392" s="145"/>
      <c r="W392" s="111"/>
      <c r="X392" s="233"/>
      <c r="Y392" s="226"/>
      <c r="Z392" s="139"/>
      <c r="AA392" s="139"/>
      <c r="AB392" s="139"/>
      <c r="AC392" s="139"/>
      <c r="AD392" s="139"/>
      <c r="AE392" s="139"/>
      <c r="AF392" s="139"/>
      <c r="AG392" s="139"/>
      <c r="AH392" s="139"/>
      <c r="AI392" s="139"/>
      <c r="AJ392" s="139"/>
      <c r="AK392" s="139"/>
      <c r="AL392" s="139"/>
      <c r="AM392" s="139"/>
      <c r="AN392" s="139"/>
      <c r="AO392" s="139"/>
      <c r="AP392" s="139"/>
      <c r="AQ392" s="139"/>
      <c r="AR392" s="139"/>
      <c r="AS392" s="139"/>
      <c r="AT392" s="139"/>
      <c r="AU392" s="139"/>
      <c r="AV392" s="139"/>
    </row>
    <row r="393">
      <c r="A393" s="139"/>
      <c r="B393" s="234"/>
      <c r="C393" s="139"/>
      <c r="D393" s="139"/>
      <c r="E393" s="139"/>
      <c r="F393" s="139"/>
      <c r="G393" s="139"/>
      <c r="H393" s="139"/>
      <c r="I393" s="139"/>
      <c r="J393" s="139"/>
      <c r="K393" s="139"/>
      <c r="L393" s="139"/>
      <c r="M393" s="139"/>
      <c r="N393" s="145"/>
      <c r="O393" s="139"/>
      <c r="P393" s="139"/>
      <c r="Q393" s="231"/>
      <c r="R393" s="139"/>
      <c r="S393" s="235"/>
      <c r="T393" s="235"/>
      <c r="U393" s="145"/>
      <c r="V393" s="145"/>
      <c r="W393" s="111"/>
      <c r="X393" s="233"/>
      <c r="Y393" s="226"/>
      <c r="Z393" s="139"/>
      <c r="AA393" s="139"/>
      <c r="AB393" s="139"/>
      <c r="AC393" s="139"/>
      <c r="AD393" s="139"/>
      <c r="AE393" s="139"/>
      <c r="AF393" s="139"/>
      <c r="AG393" s="139"/>
      <c r="AH393" s="139"/>
      <c r="AI393" s="139"/>
      <c r="AJ393" s="139"/>
      <c r="AK393" s="139"/>
      <c r="AL393" s="139"/>
      <c r="AM393" s="139"/>
      <c r="AN393" s="139"/>
      <c r="AO393" s="139"/>
      <c r="AP393" s="139"/>
      <c r="AQ393" s="139"/>
      <c r="AR393" s="139"/>
      <c r="AS393" s="139"/>
      <c r="AT393" s="139"/>
      <c r="AU393" s="139"/>
      <c r="AV393" s="139"/>
    </row>
    <row r="394">
      <c r="A394" s="139"/>
      <c r="B394" s="234"/>
      <c r="C394" s="139"/>
      <c r="D394" s="139"/>
      <c r="E394" s="139"/>
      <c r="F394" s="139"/>
      <c r="G394" s="139"/>
      <c r="H394" s="139"/>
      <c r="I394" s="139"/>
      <c r="J394" s="139"/>
      <c r="K394" s="139"/>
      <c r="L394" s="139"/>
      <c r="M394" s="139"/>
      <c r="N394" s="145"/>
      <c r="O394" s="139"/>
      <c r="P394" s="139"/>
      <c r="Q394" s="231"/>
      <c r="R394" s="139"/>
      <c r="S394" s="235"/>
      <c r="T394" s="235"/>
      <c r="U394" s="145"/>
      <c r="V394" s="145"/>
      <c r="W394" s="111"/>
      <c r="X394" s="233"/>
      <c r="Y394" s="226"/>
      <c r="Z394" s="139"/>
      <c r="AA394" s="139"/>
      <c r="AB394" s="139"/>
      <c r="AC394" s="139"/>
      <c r="AD394" s="139"/>
      <c r="AE394" s="139"/>
      <c r="AF394" s="139"/>
      <c r="AG394" s="139"/>
      <c r="AH394" s="139"/>
      <c r="AI394" s="139"/>
      <c r="AJ394" s="139"/>
      <c r="AK394" s="139"/>
      <c r="AL394" s="139"/>
      <c r="AM394" s="139"/>
      <c r="AN394" s="139"/>
      <c r="AO394" s="139"/>
      <c r="AP394" s="139"/>
      <c r="AQ394" s="139"/>
      <c r="AR394" s="139"/>
      <c r="AS394" s="139"/>
      <c r="AT394" s="139"/>
      <c r="AU394" s="139"/>
      <c r="AV394" s="139"/>
    </row>
    <row r="395">
      <c r="A395" s="139"/>
      <c r="B395" s="234"/>
      <c r="C395" s="139"/>
      <c r="D395" s="139"/>
      <c r="E395" s="139"/>
      <c r="F395" s="139"/>
      <c r="G395" s="139"/>
      <c r="H395" s="139"/>
      <c r="I395" s="139"/>
      <c r="J395" s="139"/>
      <c r="K395" s="139"/>
      <c r="L395" s="139"/>
      <c r="M395" s="139"/>
      <c r="N395" s="145"/>
      <c r="O395" s="139"/>
      <c r="P395" s="139"/>
      <c r="Q395" s="231"/>
      <c r="R395" s="139"/>
      <c r="S395" s="235"/>
      <c r="T395" s="235"/>
      <c r="U395" s="145"/>
      <c r="V395" s="145"/>
      <c r="W395" s="111"/>
      <c r="X395" s="233"/>
      <c r="Y395" s="226"/>
      <c r="Z395" s="139"/>
      <c r="AA395" s="139"/>
      <c r="AB395" s="139"/>
      <c r="AC395" s="139"/>
      <c r="AD395" s="139"/>
      <c r="AE395" s="139"/>
      <c r="AF395" s="139"/>
      <c r="AG395" s="139"/>
      <c r="AH395" s="139"/>
      <c r="AI395" s="139"/>
      <c r="AJ395" s="139"/>
      <c r="AK395" s="139"/>
      <c r="AL395" s="139"/>
      <c r="AM395" s="139"/>
      <c r="AN395" s="139"/>
      <c r="AO395" s="139"/>
      <c r="AP395" s="139"/>
      <c r="AQ395" s="139"/>
      <c r="AR395" s="139"/>
      <c r="AS395" s="139"/>
      <c r="AT395" s="139"/>
      <c r="AU395" s="139"/>
      <c r="AV395" s="139"/>
    </row>
    <row r="396">
      <c r="A396" s="139"/>
      <c r="B396" s="234"/>
      <c r="C396" s="139"/>
      <c r="D396" s="139"/>
      <c r="E396" s="139"/>
      <c r="F396" s="139"/>
      <c r="G396" s="139"/>
      <c r="H396" s="139"/>
      <c r="I396" s="139"/>
      <c r="J396" s="139"/>
      <c r="K396" s="139"/>
      <c r="L396" s="139"/>
      <c r="M396" s="139"/>
      <c r="N396" s="145"/>
      <c r="O396" s="139"/>
      <c r="P396" s="139"/>
      <c r="Q396" s="231"/>
      <c r="R396" s="139"/>
      <c r="S396" s="235"/>
      <c r="T396" s="235"/>
      <c r="U396" s="145"/>
      <c r="V396" s="145"/>
      <c r="W396" s="111"/>
      <c r="X396" s="233"/>
      <c r="Y396" s="226"/>
      <c r="Z396" s="139"/>
      <c r="AA396" s="139"/>
      <c r="AB396" s="139"/>
      <c r="AC396" s="139"/>
      <c r="AD396" s="139"/>
      <c r="AE396" s="139"/>
      <c r="AF396" s="139"/>
      <c r="AG396" s="139"/>
      <c r="AH396" s="139"/>
      <c r="AI396" s="139"/>
      <c r="AJ396" s="139"/>
      <c r="AK396" s="139"/>
      <c r="AL396" s="139"/>
      <c r="AM396" s="139"/>
      <c r="AN396" s="139"/>
      <c r="AO396" s="139"/>
      <c r="AP396" s="139"/>
      <c r="AQ396" s="139"/>
      <c r="AR396" s="139"/>
      <c r="AS396" s="139"/>
      <c r="AT396" s="139"/>
      <c r="AU396" s="139"/>
      <c r="AV396" s="139"/>
    </row>
    <row r="397">
      <c r="A397" s="139"/>
      <c r="B397" s="234"/>
      <c r="C397" s="139"/>
      <c r="D397" s="139"/>
      <c r="E397" s="139"/>
      <c r="F397" s="139"/>
      <c r="G397" s="139"/>
      <c r="H397" s="139"/>
      <c r="I397" s="139"/>
      <c r="J397" s="139"/>
      <c r="K397" s="139"/>
      <c r="L397" s="139"/>
      <c r="M397" s="139"/>
      <c r="N397" s="145"/>
      <c r="O397" s="139"/>
      <c r="P397" s="139"/>
      <c r="Q397" s="231"/>
      <c r="R397" s="139"/>
      <c r="S397" s="235"/>
      <c r="T397" s="235"/>
      <c r="U397" s="145"/>
      <c r="V397" s="145"/>
      <c r="W397" s="111"/>
      <c r="X397" s="233"/>
      <c r="Y397" s="226"/>
      <c r="Z397" s="139"/>
      <c r="AA397" s="139"/>
      <c r="AB397" s="139"/>
      <c r="AC397" s="139"/>
      <c r="AD397" s="139"/>
      <c r="AE397" s="139"/>
      <c r="AF397" s="139"/>
      <c r="AG397" s="139"/>
      <c r="AH397" s="139"/>
      <c r="AI397" s="139"/>
      <c r="AJ397" s="139"/>
      <c r="AK397" s="139"/>
      <c r="AL397" s="139"/>
      <c r="AM397" s="139"/>
      <c r="AN397" s="139"/>
      <c r="AO397" s="139"/>
      <c r="AP397" s="139"/>
      <c r="AQ397" s="139"/>
      <c r="AR397" s="139"/>
      <c r="AS397" s="139"/>
      <c r="AT397" s="139"/>
      <c r="AU397" s="139"/>
      <c r="AV397" s="139"/>
    </row>
    <row r="398">
      <c r="A398" s="139"/>
      <c r="B398" s="234"/>
      <c r="C398" s="139"/>
      <c r="D398" s="139"/>
      <c r="E398" s="139"/>
      <c r="F398" s="139"/>
      <c r="G398" s="139"/>
      <c r="H398" s="139"/>
      <c r="I398" s="139"/>
      <c r="J398" s="139"/>
      <c r="K398" s="139"/>
      <c r="L398" s="139"/>
      <c r="M398" s="139"/>
      <c r="N398" s="145"/>
      <c r="O398" s="139"/>
      <c r="P398" s="139"/>
      <c r="Q398" s="231"/>
      <c r="R398" s="139"/>
      <c r="S398" s="235"/>
      <c r="T398" s="235"/>
      <c r="U398" s="145"/>
      <c r="V398" s="145"/>
      <c r="W398" s="111"/>
      <c r="X398" s="233"/>
      <c r="Y398" s="226"/>
      <c r="Z398" s="139"/>
      <c r="AA398" s="139"/>
      <c r="AB398" s="139"/>
      <c r="AC398" s="139"/>
      <c r="AD398" s="139"/>
      <c r="AE398" s="139"/>
      <c r="AF398" s="139"/>
      <c r="AG398" s="139"/>
      <c r="AH398" s="139"/>
      <c r="AI398" s="139"/>
      <c r="AJ398" s="139"/>
      <c r="AK398" s="139"/>
      <c r="AL398" s="139"/>
      <c r="AM398" s="139"/>
      <c r="AN398" s="139"/>
      <c r="AO398" s="139"/>
      <c r="AP398" s="139"/>
      <c r="AQ398" s="139"/>
      <c r="AR398" s="139"/>
      <c r="AS398" s="139"/>
      <c r="AT398" s="139"/>
      <c r="AU398" s="139"/>
      <c r="AV398" s="139"/>
    </row>
    <row r="399">
      <c r="A399" s="139"/>
      <c r="B399" s="234"/>
      <c r="C399" s="139"/>
      <c r="D399" s="139"/>
      <c r="E399" s="139"/>
      <c r="F399" s="139"/>
      <c r="G399" s="139"/>
      <c r="H399" s="139"/>
      <c r="I399" s="139"/>
      <c r="J399" s="139"/>
      <c r="K399" s="139"/>
      <c r="L399" s="139"/>
      <c r="M399" s="139"/>
      <c r="N399" s="145"/>
      <c r="O399" s="139"/>
      <c r="P399" s="139"/>
      <c r="Q399" s="231"/>
      <c r="R399" s="139"/>
      <c r="S399" s="235"/>
      <c r="T399" s="235"/>
      <c r="U399" s="145"/>
      <c r="V399" s="145"/>
      <c r="W399" s="111"/>
      <c r="X399" s="233"/>
      <c r="Y399" s="226"/>
      <c r="Z399" s="139"/>
      <c r="AA399" s="139"/>
      <c r="AB399" s="139"/>
      <c r="AC399" s="139"/>
      <c r="AD399" s="139"/>
      <c r="AE399" s="139"/>
      <c r="AF399" s="139"/>
      <c r="AG399" s="139"/>
      <c r="AH399" s="139"/>
      <c r="AI399" s="139"/>
      <c r="AJ399" s="139"/>
      <c r="AK399" s="139"/>
      <c r="AL399" s="139"/>
      <c r="AM399" s="139"/>
      <c r="AN399" s="139"/>
      <c r="AO399" s="139"/>
      <c r="AP399" s="139"/>
      <c r="AQ399" s="139"/>
      <c r="AR399" s="139"/>
      <c r="AS399" s="139"/>
      <c r="AT399" s="139"/>
      <c r="AU399" s="139"/>
      <c r="AV399" s="139"/>
    </row>
    <row r="400">
      <c r="A400" s="139"/>
      <c r="B400" s="234"/>
      <c r="C400" s="139"/>
      <c r="D400" s="139"/>
      <c r="E400" s="139"/>
      <c r="F400" s="139"/>
      <c r="G400" s="139"/>
      <c r="H400" s="139"/>
      <c r="I400" s="139"/>
      <c r="J400" s="139"/>
      <c r="K400" s="139"/>
      <c r="L400" s="139"/>
      <c r="M400" s="139"/>
      <c r="N400" s="145"/>
      <c r="O400" s="139"/>
      <c r="P400" s="139"/>
      <c r="Q400" s="231"/>
      <c r="R400" s="139"/>
      <c r="S400" s="235"/>
      <c r="T400" s="235"/>
      <c r="U400" s="145"/>
      <c r="V400" s="145"/>
      <c r="W400" s="111"/>
      <c r="X400" s="233"/>
      <c r="Y400" s="226"/>
      <c r="Z400" s="139"/>
      <c r="AA400" s="139"/>
      <c r="AB400" s="139"/>
      <c r="AC400" s="139"/>
      <c r="AD400" s="139"/>
      <c r="AE400" s="139"/>
      <c r="AF400" s="139"/>
      <c r="AG400" s="139"/>
      <c r="AH400" s="139"/>
      <c r="AI400" s="139"/>
      <c r="AJ400" s="139"/>
      <c r="AK400" s="139"/>
      <c r="AL400" s="139"/>
      <c r="AM400" s="139"/>
      <c r="AN400" s="139"/>
      <c r="AO400" s="139"/>
      <c r="AP400" s="139"/>
      <c r="AQ400" s="139"/>
      <c r="AR400" s="139"/>
      <c r="AS400" s="139"/>
      <c r="AT400" s="139"/>
      <c r="AU400" s="139"/>
      <c r="AV400" s="139"/>
    </row>
    <row r="401">
      <c r="A401" s="139"/>
      <c r="B401" s="234"/>
      <c r="C401" s="139"/>
      <c r="D401" s="139"/>
      <c r="E401" s="139"/>
      <c r="F401" s="139"/>
      <c r="G401" s="139"/>
      <c r="H401" s="139"/>
      <c r="I401" s="139"/>
      <c r="J401" s="139"/>
      <c r="K401" s="139"/>
      <c r="L401" s="139"/>
      <c r="M401" s="139"/>
      <c r="N401" s="145"/>
      <c r="O401" s="139"/>
      <c r="P401" s="139"/>
      <c r="Q401" s="231"/>
      <c r="R401" s="139"/>
      <c r="S401" s="235"/>
      <c r="T401" s="235"/>
      <c r="U401" s="145"/>
      <c r="V401" s="145"/>
      <c r="W401" s="111"/>
      <c r="X401" s="233"/>
      <c r="Y401" s="226"/>
      <c r="Z401" s="139"/>
      <c r="AA401" s="139"/>
      <c r="AB401" s="139"/>
      <c r="AC401" s="139"/>
      <c r="AD401" s="139"/>
      <c r="AE401" s="139"/>
      <c r="AF401" s="139"/>
      <c r="AG401" s="139"/>
      <c r="AH401" s="139"/>
      <c r="AI401" s="139"/>
      <c r="AJ401" s="139"/>
      <c r="AK401" s="139"/>
      <c r="AL401" s="139"/>
      <c r="AM401" s="139"/>
      <c r="AN401" s="139"/>
      <c r="AO401" s="139"/>
      <c r="AP401" s="139"/>
      <c r="AQ401" s="139"/>
      <c r="AR401" s="139"/>
      <c r="AS401" s="139"/>
      <c r="AT401" s="139"/>
      <c r="AU401" s="139"/>
      <c r="AV401" s="139"/>
    </row>
    <row r="402">
      <c r="A402" s="139"/>
      <c r="B402" s="234"/>
      <c r="C402" s="139"/>
      <c r="D402" s="139"/>
      <c r="E402" s="139"/>
      <c r="F402" s="139"/>
      <c r="G402" s="139"/>
      <c r="H402" s="139"/>
      <c r="I402" s="139"/>
      <c r="J402" s="139"/>
      <c r="K402" s="139"/>
      <c r="L402" s="139"/>
      <c r="M402" s="139"/>
      <c r="N402" s="145"/>
      <c r="O402" s="139"/>
      <c r="P402" s="139"/>
      <c r="Q402" s="231"/>
      <c r="R402" s="139"/>
      <c r="S402" s="235"/>
      <c r="T402" s="235"/>
      <c r="U402" s="145"/>
      <c r="V402" s="145"/>
      <c r="W402" s="111"/>
      <c r="X402" s="233"/>
      <c r="Y402" s="226"/>
      <c r="Z402" s="139"/>
      <c r="AA402" s="139"/>
      <c r="AB402" s="139"/>
      <c r="AC402" s="139"/>
      <c r="AD402" s="139"/>
      <c r="AE402" s="139"/>
      <c r="AF402" s="139"/>
      <c r="AG402" s="139"/>
      <c r="AH402" s="139"/>
      <c r="AI402" s="139"/>
      <c r="AJ402" s="139"/>
      <c r="AK402" s="139"/>
      <c r="AL402" s="139"/>
      <c r="AM402" s="139"/>
      <c r="AN402" s="139"/>
      <c r="AO402" s="139"/>
      <c r="AP402" s="139"/>
      <c r="AQ402" s="139"/>
      <c r="AR402" s="139"/>
      <c r="AS402" s="139"/>
      <c r="AT402" s="139"/>
      <c r="AU402" s="139"/>
      <c r="AV402" s="139"/>
    </row>
    <row r="403">
      <c r="A403" s="139"/>
      <c r="B403" s="234"/>
      <c r="C403" s="139"/>
      <c r="D403" s="139"/>
      <c r="E403" s="139"/>
      <c r="F403" s="139"/>
      <c r="G403" s="139"/>
      <c r="H403" s="139"/>
      <c r="I403" s="139"/>
      <c r="J403" s="139"/>
      <c r="K403" s="139"/>
      <c r="L403" s="139"/>
      <c r="M403" s="139"/>
      <c r="N403" s="145"/>
      <c r="O403" s="139"/>
      <c r="P403" s="139"/>
      <c r="Q403" s="231"/>
      <c r="R403" s="139"/>
      <c r="S403" s="235"/>
      <c r="T403" s="235"/>
      <c r="U403" s="145"/>
      <c r="V403" s="145"/>
      <c r="W403" s="111"/>
      <c r="X403" s="233"/>
      <c r="Y403" s="226"/>
      <c r="Z403" s="139"/>
      <c r="AA403" s="139"/>
      <c r="AB403" s="139"/>
      <c r="AC403" s="139"/>
      <c r="AD403" s="139"/>
      <c r="AE403" s="139"/>
      <c r="AF403" s="139"/>
      <c r="AG403" s="139"/>
      <c r="AH403" s="139"/>
      <c r="AI403" s="139"/>
      <c r="AJ403" s="139"/>
      <c r="AK403" s="139"/>
      <c r="AL403" s="139"/>
      <c r="AM403" s="139"/>
      <c r="AN403" s="139"/>
      <c r="AO403" s="139"/>
      <c r="AP403" s="139"/>
      <c r="AQ403" s="139"/>
      <c r="AR403" s="139"/>
      <c r="AS403" s="139"/>
      <c r="AT403" s="139"/>
      <c r="AU403" s="139"/>
      <c r="AV403" s="139"/>
    </row>
    <row r="404">
      <c r="A404" s="139"/>
      <c r="B404" s="234"/>
      <c r="C404" s="139"/>
      <c r="D404" s="139"/>
      <c r="E404" s="139"/>
      <c r="F404" s="139"/>
      <c r="G404" s="139"/>
      <c r="H404" s="139"/>
      <c r="I404" s="139"/>
      <c r="J404" s="139"/>
      <c r="K404" s="139"/>
      <c r="L404" s="139"/>
      <c r="M404" s="139"/>
      <c r="N404" s="145"/>
      <c r="O404" s="139"/>
      <c r="P404" s="139"/>
      <c r="Q404" s="231"/>
      <c r="R404" s="139"/>
      <c r="S404" s="235"/>
      <c r="T404" s="235"/>
      <c r="U404" s="145"/>
      <c r="V404" s="145"/>
      <c r="W404" s="111"/>
      <c r="X404" s="233"/>
      <c r="Y404" s="226"/>
      <c r="Z404" s="139"/>
      <c r="AA404" s="139"/>
      <c r="AB404" s="139"/>
      <c r="AC404" s="139"/>
      <c r="AD404" s="139"/>
      <c r="AE404" s="139"/>
      <c r="AF404" s="139"/>
      <c r="AG404" s="139"/>
      <c r="AH404" s="139"/>
      <c r="AI404" s="139"/>
      <c r="AJ404" s="139"/>
      <c r="AK404" s="139"/>
      <c r="AL404" s="139"/>
      <c r="AM404" s="139"/>
      <c r="AN404" s="139"/>
      <c r="AO404" s="139"/>
      <c r="AP404" s="139"/>
      <c r="AQ404" s="139"/>
      <c r="AR404" s="139"/>
      <c r="AS404" s="139"/>
      <c r="AT404" s="139"/>
      <c r="AU404" s="139"/>
      <c r="AV404" s="139"/>
    </row>
    <row r="405">
      <c r="A405" s="139"/>
      <c r="B405" s="234"/>
      <c r="C405" s="139"/>
      <c r="D405" s="139"/>
      <c r="E405" s="139"/>
      <c r="F405" s="139"/>
      <c r="G405" s="139"/>
      <c r="H405" s="139"/>
      <c r="I405" s="139"/>
      <c r="J405" s="139"/>
      <c r="K405" s="139"/>
      <c r="L405" s="139"/>
      <c r="M405" s="139"/>
      <c r="N405" s="145"/>
      <c r="O405" s="139"/>
      <c r="P405" s="139"/>
      <c r="Q405" s="231"/>
      <c r="R405" s="139"/>
      <c r="S405" s="235"/>
      <c r="T405" s="235"/>
      <c r="U405" s="145"/>
      <c r="V405" s="145"/>
      <c r="W405" s="111"/>
      <c r="X405" s="233"/>
      <c r="Y405" s="226"/>
      <c r="Z405" s="139"/>
      <c r="AA405" s="139"/>
      <c r="AB405" s="139"/>
      <c r="AC405" s="139"/>
      <c r="AD405" s="139"/>
      <c r="AE405" s="139"/>
      <c r="AF405" s="139"/>
      <c r="AG405" s="139"/>
      <c r="AH405" s="139"/>
      <c r="AI405" s="139"/>
      <c r="AJ405" s="139"/>
      <c r="AK405" s="139"/>
      <c r="AL405" s="139"/>
      <c r="AM405" s="139"/>
      <c r="AN405" s="139"/>
      <c r="AO405" s="139"/>
      <c r="AP405" s="139"/>
      <c r="AQ405" s="139"/>
      <c r="AR405" s="139"/>
      <c r="AS405" s="139"/>
      <c r="AT405" s="139"/>
      <c r="AU405" s="139"/>
      <c r="AV405" s="139"/>
    </row>
    <row r="406">
      <c r="A406" s="139"/>
      <c r="B406" s="234"/>
      <c r="C406" s="139"/>
      <c r="D406" s="139"/>
      <c r="E406" s="139"/>
      <c r="F406" s="139"/>
      <c r="G406" s="139"/>
      <c r="H406" s="139"/>
      <c r="I406" s="139"/>
      <c r="J406" s="139"/>
      <c r="K406" s="139"/>
      <c r="L406" s="139"/>
      <c r="M406" s="139"/>
      <c r="N406" s="145"/>
      <c r="O406" s="139"/>
      <c r="P406" s="139"/>
      <c r="Q406" s="231"/>
      <c r="R406" s="139"/>
      <c r="S406" s="235"/>
      <c r="T406" s="235"/>
      <c r="U406" s="145"/>
      <c r="V406" s="145"/>
      <c r="W406" s="111"/>
      <c r="X406" s="233"/>
      <c r="Y406" s="226"/>
      <c r="Z406" s="139"/>
      <c r="AA406" s="139"/>
      <c r="AB406" s="139"/>
      <c r="AC406" s="139"/>
      <c r="AD406" s="139"/>
      <c r="AE406" s="139"/>
      <c r="AF406" s="139"/>
      <c r="AG406" s="139"/>
      <c r="AH406" s="139"/>
      <c r="AI406" s="139"/>
      <c r="AJ406" s="139"/>
      <c r="AK406" s="139"/>
      <c r="AL406" s="139"/>
      <c r="AM406" s="139"/>
      <c r="AN406" s="139"/>
      <c r="AO406" s="139"/>
      <c r="AP406" s="139"/>
      <c r="AQ406" s="139"/>
      <c r="AR406" s="139"/>
      <c r="AS406" s="139"/>
      <c r="AT406" s="139"/>
      <c r="AU406" s="139"/>
      <c r="AV406" s="139"/>
    </row>
    <row r="407">
      <c r="A407" s="139"/>
      <c r="B407" s="234"/>
      <c r="C407" s="139"/>
      <c r="D407" s="139"/>
      <c r="E407" s="139"/>
      <c r="F407" s="139"/>
      <c r="G407" s="139"/>
      <c r="H407" s="139"/>
      <c r="I407" s="139"/>
      <c r="J407" s="139"/>
      <c r="K407" s="139"/>
      <c r="L407" s="139"/>
      <c r="M407" s="139"/>
      <c r="N407" s="145"/>
      <c r="O407" s="139"/>
      <c r="P407" s="139"/>
      <c r="Q407" s="231"/>
      <c r="R407" s="139"/>
      <c r="S407" s="235"/>
      <c r="T407" s="235"/>
      <c r="U407" s="145"/>
      <c r="V407" s="145"/>
      <c r="W407" s="111"/>
      <c r="X407" s="233"/>
      <c r="Y407" s="226"/>
      <c r="Z407" s="139"/>
      <c r="AA407" s="139"/>
      <c r="AB407" s="139"/>
      <c r="AC407" s="139"/>
      <c r="AD407" s="139"/>
      <c r="AE407" s="139"/>
      <c r="AF407" s="139"/>
      <c r="AG407" s="139"/>
      <c r="AH407" s="139"/>
      <c r="AI407" s="139"/>
      <c r="AJ407" s="139"/>
      <c r="AK407" s="139"/>
      <c r="AL407" s="139"/>
      <c r="AM407" s="139"/>
      <c r="AN407" s="139"/>
      <c r="AO407" s="139"/>
      <c r="AP407" s="139"/>
      <c r="AQ407" s="139"/>
      <c r="AR407" s="139"/>
      <c r="AS407" s="139"/>
      <c r="AT407" s="139"/>
      <c r="AU407" s="139"/>
      <c r="AV407" s="139"/>
    </row>
    <row r="408">
      <c r="A408" s="139"/>
      <c r="B408" s="234"/>
      <c r="C408" s="139"/>
      <c r="D408" s="139"/>
      <c r="E408" s="139"/>
      <c r="F408" s="139"/>
      <c r="G408" s="139"/>
      <c r="H408" s="139"/>
      <c r="I408" s="139"/>
      <c r="J408" s="139"/>
      <c r="K408" s="139"/>
      <c r="L408" s="139"/>
      <c r="M408" s="139"/>
      <c r="N408" s="145"/>
      <c r="O408" s="139"/>
      <c r="P408" s="139"/>
      <c r="Q408" s="231"/>
      <c r="R408" s="139"/>
      <c r="S408" s="235"/>
      <c r="T408" s="235"/>
      <c r="U408" s="145"/>
      <c r="V408" s="145"/>
      <c r="W408" s="111"/>
      <c r="X408" s="233"/>
      <c r="Y408" s="226"/>
      <c r="Z408" s="139"/>
      <c r="AA408" s="139"/>
      <c r="AB408" s="139"/>
      <c r="AC408" s="139"/>
      <c r="AD408" s="139"/>
      <c r="AE408" s="139"/>
      <c r="AF408" s="139"/>
      <c r="AG408" s="139"/>
      <c r="AH408" s="139"/>
      <c r="AI408" s="139"/>
      <c r="AJ408" s="139"/>
      <c r="AK408" s="139"/>
      <c r="AL408" s="139"/>
      <c r="AM408" s="139"/>
      <c r="AN408" s="139"/>
      <c r="AO408" s="139"/>
      <c r="AP408" s="139"/>
      <c r="AQ408" s="139"/>
      <c r="AR408" s="139"/>
      <c r="AS408" s="139"/>
      <c r="AT408" s="139"/>
      <c r="AU408" s="139"/>
      <c r="AV408" s="139"/>
    </row>
    <row r="409">
      <c r="A409" s="139"/>
      <c r="B409" s="234"/>
      <c r="C409" s="139"/>
      <c r="D409" s="139"/>
      <c r="E409" s="139"/>
      <c r="F409" s="139"/>
      <c r="G409" s="139"/>
      <c r="H409" s="139"/>
      <c r="I409" s="139"/>
      <c r="J409" s="139"/>
      <c r="K409" s="139"/>
      <c r="L409" s="139"/>
      <c r="M409" s="139"/>
      <c r="N409" s="145"/>
      <c r="O409" s="139"/>
      <c r="P409" s="139"/>
      <c r="Q409" s="231"/>
      <c r="R409" s="139"/>
      <c r="S409" s="235"/>
      <c r="T409" s="235"/>
      <c r="U409" s="145"/>
      <c r="V409" s="145"/>
      <c r="W409" s="111"/>
      <c r="X409" s="233"/>
      <c r="Y409" s="226"/>
      <c r="Z409" s="139"/>
      <c r="AA409" s="139"/>
      <c r="AB409" s="139"/>
      <c r="AC409" s="139"/>
      <c r="AD409" s="139"/>
      <c r="AE409" s="139"/>
      <c r="AF409" s="139"/>
      <c r="AG409" s="139"/>
      <c r="AH409" s="139"/>
      <c r="AI409" s="139"/>
      <c r="AJ409" s="139"/>
      <c r="AK409" s="139"/>
      <c r="AL409" s="139"/>
      <c r="AM409" s="139"/>
      <c r="AN409" s="139"/>
      <c r="AO409" s="139"/>
      <c r="AP409" s="139"/>
      <c r="AQ409" s="139"/>
      <c r="AR409" s="139"/>
      <c r="AS409" s="139"/>
      <c r="AT409" s="139"/>
      <c r="AU409" s="139"/>
      <c r="AV409" s="139"/>
    </row>
    <row r="410">
      <c r="A410" s="139"/>
      <c r="B410" s="234"/>
      <c r="C410" s="139"/>
      <c r="D410" s="139"/>
      <c r="E410" s="139"/>
      <c r="F410" s="139"/>
      <c r="G410" s="139"/>
      <c r="H410" s="139"/>
      <c r="I410" s="139"/>
      <c r="J410" s="139"/>
      <c r="K410" s="139"/>
      <c r="L410" s="139"/>
      <c r="M410" s="139"/>
      <c r="N410" s="145"/>
      <c r="O410" s="139"/>
      <c r="P410" s="139"/>
      <c r="Q410" s="231"/>
      <c r="R410" s="139"/>
      <c r="S410" s="235"/>
      <c r="T410" s="235"/>
      <c r="U410" s="145"/>
      <c r="V410" s="145"/>
      <c r="W410" s="111"/>
      <c r="X410" s="233"/>
      <c r="Y410" s="226"/>
      <c r="Z410" s="139"/>
      <c r="AA410" s="139"/>
      <c r="AB410" s="139"/>
      <c r="AC410" s="139"/>
      <c r="AD410" s="139"/>
      <c r="AE410" s="139"/>
      <c r="AF410" s="139"/>
      <c r="AG410" s="139"/>
      <c r="AH410" s="139"/>
      <c r="AI410" s="139"/>
      <c r="AJ410" s="139"/>
      <c r="AK410" s="139"/>
      <c r="AL410" s="139"/>
      <c r="AM410" s="139"/>
      <c r="AN410" s="139"/>
      <c r="AO410" s="139"/>
      <c r="AP410" s="139"/>
      <c r="AQ410" s="139"/>
      <c r="AR410" s="139"/>
      <c r="AS410" s="139"/>
      <c r="AT410" s="139"/>
      <c r="AU410" s="139"/>
      <c r="AV410" s="139"/>
    </row>
    <row r="411">
      <c r="A411" s="139"/>
      <c r="B411" s="234"/>
      <c r="C411" s="139"/>
      <c r="D411" s="139"/>
      <c r="E411" s="139"/>
      <c r="F411" s="139"/>
      <c r="G411" s="139"/>
      <c r="H411" s="139"/>
      <c r="I411" s="139"/>
      <c r="J411" s="139"/>
      <c r="K411" s="139"/>
      <c r="L411" s="139"/>
      <c r="M411" s="139"/>
      <c r="N411" s="145"/>
      <c r="O411" s="139"/>
      <c r="P411" s="139"/>
      <c r="Q411" s="231"/>
      <c r="R411" s="139"/>
      <c r="S411" s="235"/>
      <c r="T411" s="235"/>
      <c r="U411" s="145"/>
      <c r="V411" s="145"/>
      <c r="W411" s="111"/>
      <c r="X411" s="233"/>
      <c r="Y411" s="226"/>
      <c r="Z411" s="139"/>
      <c r="AA411" s="139"/>
      <c r="AB411" s="139"/>
      <c r="AC411" s="139"/>
      <c r="AD411" s="139"/>
      <c r="AE411" s="139"/>
      <c r="AF411" s="139"/>
      <c r="AG411" s="139"/>
      <c r="AH411" s="139"/>
      <c r="AI411" s="139"/>
      <c r="AJ411" s="139"/>
      <c r="AK411" s="139"/>
      <c r="AL411" s="139"/>
      <c r="AM411" s="139"/>
      <c r="AN411" s="139"/>
      <c r="AO411" s="139"/>
      <c r="AP411" s="139"/>
      <c r="AQ411" s="139"/>
      <c r="AR411" s="139"/>
      <c r="AS411" s="139"/>
      <c r="AT411" s="139"/>
      <c r="AU411" s="139"/>
      <c r="AV411" s="139"/>
    </row>
    <row r="412">
      <c r="A412" s="139"/>
      <c r="B412" s="234"/>
      <c r="C412" s="139"/>
      <c r="D412" s="139"/>
      <c r="E412" s="139"/>
      <c r="F412" s="139"/>
      <c r="G412" s="139"/>
      <c r="H412" s="139"/>
      <c r="I412" s="139"/>
      <c r="J412" s="139"/>
      <c r="K412" s="139"/>
      <c r="L412" s="139"/>
      <c r="M412" s="139"/>
      <c r="N412" s="145"/>
      <c r="O412" s="139"/>
      <c r="P412" s="139"/>
      <c r="Q412" s="231"/>
      <c r="R412" s="139"/>
      <c r="S412" s="235"/>
      <c r="T412" s="235"/>
      <c r="U412" s="145"/>
      <c r="V412" s="145"/>
      <c r="W412" s="111"/>
      <c r="X412" s="233"/>
      <c r="Y412" s="226"/>
      <c r="Z412" s="139"/>
      <c r="AA412" s="139"/>
      <c r="AB412" s="139"/>
      <c r="AC412" s="139"/>
      <c r="AD412" s="139"/>
      <c r="AE412" s="139"/>
      <c r="AF412" s="139"/>
      <c r="AG412" s="139"/>
      <c r="AH412" s="139"/>
      <c r="AI412" s="139"/>
      <c r="AJ412" s="139"/>
      <c r="AK412" s="139"/>
      <c r="AL412" s="139"/>
      <c r="AM412" s="139"/>
      <c r="AN412" s="139"/>
      <c r="AO412" s="139"/>
      <c r="AP412" s="139"/>
      <c r="AQ412" s="139"/>
      <c r="AR412" s="139"/>
      <c r="AS412" s="139"/>
      <c r="AT412" s="139"/>
      <c r="AU412" s="139"/>
      <c r="AV412" s="139"/>
    </row>
    <row r="413">
      <c r="A413" s="139"/>
      <c r="B413" s="234"/>
      <c r="C413" s="139"/>
      <c r="D413" s="139"/>
      <c r="E413" s="139"/>
      <c r="F413" s="139"/>
      <c r="G413" s="139"/>
      <c r="H413" s="139"/>
      <c r="I413" s="139"/>
      <c r="J413" s="139"/>
      <c r="K413" s="139"/>
      <c r="L413" s="139"/>
      <c r="M413" s="139"/>
      <c r="N413" s="145"/>
      <c r="O413" s="139"/>
      <c r="P413" s="139"/>
      <c r="Q413" s="231"/>
      <c r="R413" s="139"/>
      <c r="S413" s="235"/>
      <c r="T413" s="235"/>
      <c r="U413" s="145"/>
      <c r="V413" s="145"/>
      <c r="W413" s="111"/>
      <c r="X413" s="233"/>
      <c r="Y413" s="226"/>
      <c r="Z413" s="139"/>
      <c r="AA413" s="139"/>
      <c r="AB413" s="139"/>
      <c r="AC413" s="139"/>
      <c r="AD413" s="139"/>
      <c r="AE413" s="139"/>
      <c r="AF413" s="139"/>
      <c r="AG413" s="139"/>
      <c r="AH413" s="139"/>
      <c r="AI413" s="139"/>
      <c r="AJ413" s="139"/>
      <c r="AK413" s="139"/>
      <c r="AL413" s="139"/>
      <c r="AM413" s="139"/>
      <c r="AN413" s="139"/>
      <c r="AO413" s="139"/>
      <c r="AP413" s="139"/>
      <c r="AQ413" s="139"/>
      <c r="AR413" s="139"/>
      <c r="AS413" s="139"/>
      <c r="AT413" s="139"/>
      <c r="AU413" s="139"/>
      <c r="AV413" s="139"/>
    </row>
    <row r="414">
      <c r="A414" s="139"/>
      <c r="B414" s="234"/>
      <c r="C414" s="139"/>
      <c r="D414" s="139"/>
      <c r="E414" s="139"/>
      <c r="F414" s="139"/>
      <c r="G414" s="139"/>
      <c r="H414" s="139"/>
      <c r="I414" s="139"/>
      <c r="J414" s="139"/>
      <c r="K414" s="139"/>
      <c r="L414" s="139"/>
      <c r="M414" s="139"/>
      <c r="N414" s="145"/>
      <c r="O414" s="139"/>
      <c r="P414" s="139"/>
      <c r="Q414" s="231"/>
      <c r="R414" s="139"/>
      <c r="S414" s="235"/>
      <c r="T414" s="235"/>
      <c r="U414" s="145"/>
      <c r="V414" s="145"/>
      <c r="W414" s="111"/>
      <c r="X414" s="233"/>
      <c r="Y414" s="226"/>
      <c r="Z414" s="139"/>
      <c r="AA414" s="139"/>
      <c r="AB414" s="139"/>
      <c r="AC414" s="139"/>
      <c r="AD414" s="139"/>
      <c r="AE414" s="139"/>
      <c r="AF414" s="139"/>
      <c r="AG414" s="139"/>
      <c r="AH414" s="139"/>
      <c r="AI414" s="139"/>
      <c r="AJ414" s="139"/>
      <c r="AK414" s="139"/>
      <c r="AL414" s="139"/>
      <c r="AM414" s="139"/>
      <c r="AN414" s="139"/>
      <c r="AO414" s="139"/>
      <c r="AP414" s="139"/>
      <c r="AQ414" s="139"/>
      <c r="AR414" s="139"/>
      <c r="AS414" s="139"/>
      <c r="AT414" s="139"/>
      <c r="AU414" s="139"/>
      <c r="AV414" s="139"/>
    </row>
    <row r="415">
      <c r="A415" s="139"/>
      <c r="B415" s="234"/>
      <c r="C415" s="139"/>
      <c r="D415" s="139"/>
      <c r="E415" s="139"/>
      <c r="F415" s="139"/>
      <c r="G415" s="139"/>
      <c r="H415" s="139"/>
      <c r="I415" s="139"/>
      <c r="J415" s="139"/>
      <c r="K415" s="139"/>
      <c r="L415" s="139"/>
      <c r="M415" s="139"/>
      <c r="N415" s="145"/>
      <c r="O415" s="139"/>
      <c r="P415" s="139"/>
      <c r="Q415" s="231"/>
      <c r="R415" s="139"/>
      <c r="S415" s="235"/>
      <c r="T415" s="235"/>
      <c r="U415" s="145"/>
      <c r="V415" s="145"/>
      <c r="W415" s="111"/>
      <c r="X415" s="233"/>
      <c r="Y415" s="226"/>
      <c r="Z415" s="139"/>
      <c r="AA415" s="139"/>
      <c r="AB415" s="139"/>
      <c r="AC415" s="139"/>
      <c r="AD415" s="139"/>
      <c r="AE415" s="139"/>
      <c r="AF415" s="139"/>
      <c r="AG415" s="139"/>
      <c r="AH415" s="139"/>
      <c r="AI415" s="139"/>
      <c r="AJ415" s="139"/>
      <c r="AK415" s="139"/>
      <c r="AL415" s="139"/>
      <c r="AM415" s="139"/>
      <c r="AN415" s="139"/>
      <c r="AO415" s="139"/>
      <c r="AP415" s="139"/>
      <c r="AQ415" s="139"/>
      <c r="AR415" s="139"/>
      <c r="AS415" s="139"/>
      <c r="AT415" s="139"/>
      <c r="AU415" s="139"/>
      <c r="AV415" s="139"/>
    </row>
    <row r="416">
      <c r="A416" s="139"/>
      <c r="B416" s="234"/>
      <c r="C416" s="139"/>
      <c r="D416" s="139"/>
      <c r="E416" s="139"/>
      <c r="F416" s="139"/>
      <c r="G416" s="139"/>
      <c r="H416" s="139"/>
      <c r="I416" s="139"/>
      <c r="J416" s="139"/>
      <c r="K416" s="139"/>
      <c r="L416" s="139"/>
      <c r="M416" s="139"/>
      <c r="N416" s="145"/>
      <c r="O416" s="139"/>
      <c r="P416" s="139"/>
      <c r="Q416" s="231"/>
      <c r="R416" s="139"/>
      <c r="S416" s="235"/>
      <c r="T416" s="235"/>
      <c r="U416" s="145"/>
      <c r="V416" s="145"/>
      <c r="W416" s="111"/>
      <c r="X416" s="233"/>
      <c r="Y416" s="226"/>
      <c r="Z416" s="139"/>
      <c r="AA416" s="139"/>
      <c r="AB416" s="139"/>
      <c r="AC416" s="139"/>
      <c r="AD416" s="139"/>
      <c r="AE416" s="139"/>
      <c r="AF416" s="139"/>
      <c r="AG416" s="139"/>
      <c r="AH416" s="139"/>
      <c r="AI416" s="139"/>
      <c r="AJ416" s="139"/>
      <c r="AK416" s="139"/>
      <c r="AL416" s="139"/>
      <c r="AM416" s="139"/>
      <c r="AN416" s="139"/>
      <c r="AO416" s="139"/>
      <c r="AP416" s="139"/>
      <c r="AQ416" s="139"/>
      <c r="AR416" s="139"/>
      <c r="AS416" s="139"/>
      <c r="AT416" s="139"/>
      <c r="AU416" s="139"/>
      <c r="AV416" s="139"/>
    </row>
    <row r="417">
      <c r="A417" s="139"/>
      <c r="B417" s="234"/>
      <c r="C417" s="139"/>
      <c r="D417" s="139"/>
      <c r="E417" s="139"/>
      <c r="F417" s="139"/>
      <c r="G417" s="139"/>
      <c r="H417" s="139"/>
      <c r="I417" s="139"/>
      <c r="J417" s="139"/>
      <c r="K417" s="139"/>
      <c r="L417" s="139"/>
      <c r="M417" s="139"/>
      <c r="N417" s="145"/>
      <c r="O417" s="139"/>
      <c r="P417" s="139"/>
      <c r="Q417" s="231"/>
      <c r="R417" s="139"/>
      <c r="S417" s="235"/>
      <c r="T417" s="235"/>
      <c r="U417" s="145"/>
      <c r="V417" s="145"/>
      <c r="W417" s="111"/>
      <c r="X417" s="233"/>
      <c r="Y417" s="226"/>
      <c r="Z417" s="139"/>
      <c r="AA417" s="139"/>
      <c r="AB417" s="139"/>
      <c r="AC417" s="139"/>
      <c r="AD417" s="139"/>
      <c r="AE417" s="139"/>
      <c r="AF417" s="139"/>
      <c r="AG417" s="139"/>
      <c r="AH417" s="139"/>
      <c r="AI417" s="139"/>
      <c r="AJ417" s="139"/>
      <c r="AK417" s="139"/>
      <c r="AL417" s="139"/>
      <c r="AM417" s="139"/>
      <c r="AN417" s="139"/>
      <c r="AO417" s="139"/>
      <c r="AP417" s="139"/>
      <c r="AQ417" s="139"/>
      <c r="AR417" s="139"/>
      <c r="AS417" s="139"/>
      <c r="AT417" s="139"/>
      <c r="AU417" s="139"/>
      <c r="AV417" s="139"/>
    </row>
    <row r="418">
      <c r="A418" s="139"/>
      <c r="B418" s="234"/>
      <c r="C418" s="139"/>
      <c r="D418" s="139"/>
      <c r="E418" s="139"/>
      <c r="F418" s="139"/>
      <c r="G418" s="139"/>
      <c r="H418" s="139"/>
      <c r="I418" s="139"/>
      <c r="J418" s="139"/>
      <c r="K418" s="139"/>
      <c r="L418" s="139"/>
      <c r="M418" s="139"/>
      <c r="N418" s="145"/>
      <c r="O418" s="139"/>
      <c r="P418" s="139"/>
      <c r="Q418" s="231"/>
      <c r="R418" s="139"/>
      <c r="S418" s="235"/>
      <c r="T418" s="235"/>
      <c r="U418" s="145"/>
      <c r="V418" s="145"/>
      <c r="W418" s="111"/>
      <c r="X418" s="233"/>
      <c r="Y418" s="226"/>
      <c r="Z418" s="139"/>
      <c r="AA418" s="139"/>
      <c r="AB418" s="139"/>
      <c r="AC418" s="139"/>
      <c r="AD418" s="139"/>
      <c r="AE418" s="139"/>
      <c r="AF418" s="139"/>
      <c r="AG418" s="139"/>
      <c r="AH418" s="139"/>
      <c r="AI418" s="139"/>
      <c r="AJ418" s="139"/>
      <c r="AK418" s="139"/>
      <c r="AL418" s="139"/>
      <c r="AM418" s="139"/>
      <c r="AN418" s="139"/>
      <c r="AO418" s="139"/>
      <c r="AP418" s="139"/>
      <c r="AQ418" s="139"/>
      <c r="AR418" s="139"/>
      <c r="AS418" s="139"/>
      <c r="AT418" s="139"/>
      <c r="AU418" s="139"/>
      <c r="AV418" s="139"/>
    </row>
    <row r="419">
      <c r="A419" s="139"/>
      <c r="B419" s="234"/>
      <c r="C419" s="139"/>
      <c r="D419" s="139"/>
      <c r="E419" s="139"/>
      <c r="F419" s="139"/>
      <c r="G419" s="139"/>
      <c r="H419" s="139"/>
      <c r="I419" s="139"/>
      <c r="J419" s="139"/>
      <c r="K419" s="139"/>
      <c r="L419" s="139"/>
      <c r="M419" s="139"/>
      <c r="N419" s="145"/>
      <c r="O419" s="139"/>
      <c r="P419" s="139"/>
      <c r="Q419" s="231"/>
      <c r="R419" s="139"/>
      <c r="S419" s="235"/>
      <c r="T419" s="235"/>
      <c r="U419" s="145"/>
      <c r="V419" s="145"/>
      <c r="W419" s="111"/>
      <c r="X419" s="233"/>
      <c r="Y419" s="226"/>
      <c r="Z419" s="139"/>
      <c r="AA419" s="139"/>
      <c r="AB419" s="139"/>
      <c r="AC419" s="139"/>
      <c r="AD419" s="139"/>
      <c r="AE419" s="139"/>
      <c r="AF419" s="139"/>
      <c r="AG419" s="139"/>
      <c r="AH419" s="139"/>
      <c r="AI419" s="139"/>
      <c r="AJ419" s="139"/>
      <c r="AK419" s="139"/>
      <c r="AL419" s="139"/>
      <c r="AM419" s="139"/>
      <c r="AN419" s="139"/>
      <c r="AO419" s="139"/>
      <c r="AP419" s="139"/>
      <c r="AQ419" s="139"/>
      <c r="AR419" s="139"/>
      <c r="AS419" s="139"/>
      <c r="AT419" s="139"/>
      <c r="AU419" s="139"/>
      <c r="AV419" s="139"/>
    </row>
    <row r="420">
      <c r="A420" s="139"/>
      <c r="B420" s="234"/>
      <c r="C420" s="139"/>
      <c r="D420" s="139"/>
      <c r="E420" s="139"/>
      <c r="F420" s="139"/>
      <c r="G420" s="139"/>
      <c r="H420" s="139"/>
      <c r="I420" s="139"/>
      <c r="J420" s="139"/>
      <c r="K420" s="139"/>
      <c r="L420" s="139"/>
      <c r="M420" s="139"/>
      <c r="N420" s="145"/>
      <c r="O420" s="139"/>
      <c r="P420" s="139"/>
      <c r="Q420" s="231"/>
      <c r="R420" s="139"/>
      <c r="S420" s="235"/>
      <c r="T420" s="235"/>
      <c r="U420" s="145"/>
      <c r="V420" s="145"/>
      <c r="W420" s="111"/>
      <c r="X420" s="233"/>
      <c r="Y420" s="226"/>
      <c r="Z420" s="139"/>
      <c r="AA420" s="139"/>
      <c r="AB420" s="139"/>
      <c r="AC420" s="139"/>
      <c r="AD420" s="139"/>
      <c r="AE420" s="139"/>
      <c r="AF420" s="139"/>
      <c r="AG420" s="139"/>
      <c r="AH420" s="139"/>
      <c r="AI420" s="139"/>
      <c r="AJ420" s="139"/>
      <c r="AK420" s="139"/>
      <c r="AL420" s="139"/>
      <c r="AM420" s="139"/>
      <c r="AN420" s="139"/>
      <c r="AO420" s="139"/>
      <c r="AP420" s="139"/>
      <c r="AQ420" s="139"/>
      <c r="AR420" s="139"/>
      <c r="AS420" s="139"/>
      <c r="AT420" s="139"/>
      <c r="AU420" s="139"/>
      <c r="AV420" s="139"/>
    </row>
    <row r="421">
      <c r="A421" s="139"/>
      <c r="B421" s="234"/>
      <c r="C421" s="139"/>
      <c r="D421" s="139"/>
      <c r="E421" s="139"/>
      <c r="F421" s="139"/>
      <c r="G421" s="139"/>
      <c r="H421" s="139"/>
      <c r="I421" s="139"/>
      <c r="J421" s="139"/>
      <c r="K421" s="139"/>
      <c r="L421" s="139"/>
      <c r="M421" s="139"/>
      <c r="N421" s="145"/>
      <c r="O421" s="139"/>
      <c r="P421" s="139"/>
      <c r="Q421" s="231"/>
      <c r="R421" s="139"/>
      <c r="S421" s="235"/>
      <c r="T421" s="235"/>
      <c r="U421" s="145"/>
      <c r="V421" s="145"/>
      <c r="W421" s="111"/>
      <c r="X421" s="233"/>
      <c r="Y421" s="226"/>
      <c r="Z421" s="139"/>
      <c r="AA421" s="139"/>
      <c r="AB421" s="139"/>
      <c r="AC421" s="139"/>
      <c r="AD421" s="139"/>
      <c r="AE421" s="139"/>
      <c r="AF421" s="139"/>
      <c r="AG421" s="139"/>
      <c r="AH421" s="139"/>
      <c r="AI421" s="139"/>
      <c r="AJ421" s="139"/>
      <c r="AK421" s="139"/>
      <c r="AL421" s="139"/>
      <c r="AM421" s="139"/>
      <c r="AN421" s="139"/>
      <c r="AO421" s="139"/>
      <c r="AP421" s="139"/>
      <c r="AQ421" s="139"/>
      <c r="AR421" s="139"/>
      <c r="AS421" s="139"/>
      <c r="AT421" s="139"/>
      <c r="AU421" s="139"/>
      <c r="AV421" s="139"/>
    </row>
    <row r="422">
      <c r="A422" s="139"/>
      <c r="B422" s="234"/>
      <c r="C422" s="139"/>
      <c r="D422" s="139"/>
      <c r="E422" s="139"/>
      <c r="F422" s="139"/>
      <c r="G422" s="139"/>
      <c r="H422" s="139"/>
      <c r="I422" s="139"/>
      <c r="J422" s="139"/>
      <c r="K422" s="139"/>
      <c r="L422" s="139"/>
      <c r="M422" s="139"/>
      <c r="N422" s="145"/>
      <c r="O422" s="139"/>
      <c r="P422" s="139"/>
      <c r="Q422" s="231"/>
      <c r="R422" s="139"/>
      <c r="S422" s="235"/>
      <c r="T422" s="235"/>
      <c r="U422" s="145"/>
      <c r="V422" s="145"/>
      <c r="W422" s="111"/>
      <c r="X422" s="233"/>
      <c r="Y422" s="226"/>
      <c r="Z422" s="139"/>
      <c r="AA422" s="139"/>
      <c r="AB422" s="139"/>
      <c r="AC422" s="139"/>
      <c r="AD422" s="139"/>
      <c r="AE422" s="139"/>
      <c r="AF422" s="139"/>
      <c r="AG422" s="139"/>
      <c r="AH422" s="139"/>
      <c r="AI422" s="139"/>
      <c r="AJ422" s="139"/>
      <c r="AK422" s="139"/>
      <c r="AL422" s="139"/>
      <c r="AM422" s="139"/>
      <c r="AN422" s="139"/>
      <c r="AO422" s="139"/>
      <c r="AP422" s="139"/>
      <c r="AQ422" s="139"/>
      <c r="AR422" s="139"/>
      <c r="AS422" s="139"/>
      <c r="AT422" s="139"/>
      <c r="AU422" s="139"/>
      <c r="AV422" s="139"/>
    </row>
    <row r="423">
      <c r="A423" s="139"/>
      <c r="B423" s="234"/>
      <c r="C423" s="139"/>
      <c r="D423" s="139"/>
      <c r="E423" s="139"/>
      <c r="F423" s="139"/>
      <c r="G423" s="139"/>
      <c r="H423" s="139"/>
      <c r="I423" s="139"/>
      <c r="J423" s="139"/>
      <c r="K423" s="139"/>
      <c r="L423" s="139"/>
      <c r="M423" s="139"/>
      <c r="N423" s="145"/>
      <c r="O423" s="139"/>
      <c r="P423" s="139"/>
      <c r="Q423" s="231"/>
      <c r="R423" s="139"/>
      <c r="S423" s="235"/>
      <c r="T423" s="235"/>
      <c r="U423" s="145"/>
      <c r="V423" s="145"/>
      <c r="W423" s="111"/>
      <c r="X423" s="233"/>
      <c r="Y423" s="226"/>
      <c r="Z423" s="139"/>
      <c r="AA423" s="139"/>
      <c r="AB423" s="139"/>
      <c r="AC423" s="139"/>
      <c r="AD423" s="139"/>
      <c r="AE423" s="139"/>
      <c r="AF423" s="139"/>
      <c r="AG423" s="139"/>
      <c r="AH423" s="139"/>
      <c r="AI423" s="139"/>
      <c r="AJ423" s="139"/>
      <c r="AK423" s="139"/>
      <c r="AL423" s="139"/>
      <c r="AM423" s="139"/>
      <c r="AN423" s="139"/>
      <c r="AO423" s="139"/>
      <c r="AP423" s="139"/>
      <c r="AQ423" s="139"/>
      <c r="AR423" s="139"/>
      <c r="AS423" s="139"/>
      <c r="AT423" s="139"/>
      <c r="AU423" s="139"/>
      <c r="AV423" s="139"/>
    </row>
    <row r="424">
      <c r="A424" s="139"/>
      <c r="B424" s="234"/>
      <c r="C424" s="139"/>
      <c r="D424" s="139"/>
      <c r="E424" s="139"/>
      <c r="F424" s="139"/>
      <c r="G424" s="139"/>
      <c r="H424" s="139"/>
      <c r="I424" s="139"/>
      <c r="J424" s="139"/>
      <c r="K424" s="139"/>
      <c r="L424" s="139"/>
      <c r="M424" s="139"/>
      <c r="N424" s="145"/>
      <c r="O424" s="139"/>
      <c r="P424" s="139"/>
      <c r="Q424" s="231"/>
      <c r="R424" s="139"/>
      <c r="S424" s="235"/>
      <c r="T424" s="235"/>
      <c r="U424" s="145"/>
      <c r="V424" s="145"/>
      <c r="W424" s="111"/>
      <c r="X424" s="233"/>
      <c r="Y424" s="226"/>
      <c r="Z424" s="139"/>
      <c r="AA424" s="139"/>
      <c r="AB424" s="139"/>
      <c r="AC424" s="139"/>
      <c r="AD424" s="139"/>
      <c r="AE424" s="139"/>
      <c r="AF424" s="139"/>
      <c r="AG424" s="139"/>
      <c r="AH424" s="139"/>
      <c r="AI424" s="139"/>
      <c r="AJ424" s="139"/>
      <c r="AK424" s="139"/>
      <c r="AL424" s="139"/>
      <c r="AM424" s="139"/>
      <c r="AN424" s="139"/>
      <c r="AO424" s="139"/>
      <c r="AP424" s="139"/>
      <c r="AQ424" s="139"/>
      <c r="AR424" s="139"/>
      <c r="AS424" s="139"/>
      <c r="AT424" s="139"/>
      <c r="AU424" s="139"/>
      <c r="AV424" s="139"/>
    </row>
    <row r="425">
      <c r="A425" s="139"/>
      <c r="B425" s="234"/>
      <c r="C425" s="139"/>
      <c r="D425" s="139"/>
      <c r="E425" s="139"/>
      <c r="F425" s="139"/>
      <c r="G425" s="139"/>
      <c r="H425" s="139"/>
      <c r="I425" s="139"/>
      <c r="J425" s="139"/>
      <c r="K425" s="139"/>
      <c r="L425" s="139"/>
      <c r="M425" s="139"/>
      <c r="N425" s="145"/>
      <c r="O425" s="139"/>
      <c r="P425" s="139"/>
      <c r="Q425" s="231"/>
      <c r="R425" s="139"/>
      <c r="S425" s="235"/>
      <c r="T425" s="235"/>
      <c r="U425" s="145"/>
      <c r="V425" s="145"/>
      <c r="W425" s="111"/>
      <c r="X425" s="233"/>
      <c r="Y425" s="226"/>
      <c r="Z425" s="139"/>
      <c r="AA425" s="139"/>
      <c r="AB425" s="139"/>
      <c r="AC425" s="139"/>
      <c r="AD425" s="139"/>
      <c r="AE425" s="139"/>
      <c r="AF425" s="139"/>
      <c r="AG425" s="139"/>
      <c r="AH425" s="139"/>
      <c r="AI425" s="139"/>
      <c r="AJ425" s="139"/>
      <c r="AK425" s="139"/>
      <c r="AL425" s="139"/>
      <c r="AM425" s="139"/>
      <c r="AN425" s="139"/>
      <c r="AO425" s="139"/>
      <c r="AP425" s="139"/>
      <c r="AQ425" s="139"/>
      <c r="AR425" s="139"/>
      <c r="AS425" s="139"/>
      <c r="AT425" s="139"/>
      <c r="AU425" s="139"/>
      <c r="AV425" s="139"/>
    </row>
    <row r="426">
      <c r="A426" s="139"/>
      <c r="B426" s="234"/>
      <c r="C426" s="139"/>
      <c r="D426" s="139"/>
      <c r="E426" s="139"/>
      <c r="F426" s="139"/>
      <c r="G426" s="139"/>
      <c r="H426" s="139"/>
      <c r="I426" s="139"/>
      <c r="J426" s="139"/>
      <c r="K426" s="139"/>
      <c r="L426" s="139"/>
      <c r="M426" s="139"/>
      <c r="N426" s="145"/>
      <c r="O426" s="139"/>
      <c r="P426" s="139"/>
      <c r="Q426" s="231"/>
      <c r="R426" s="139"/>
      <c r="S426" s="235"/>
      <c r="T426" s="235"/>
      <c r="U426" s="145"/>
      <c r="V426" s="145"/>
      <c r="W426" s="111"/>
      <c r="X426" s="233"/>
      <c r="Y426" s="226"/>
      <c r="Z426" s="139"/>
      <c r="AA426" s="139"/>
      <c r="AB426" s="139"/>
      <c r="AC426" s="139"/>
      <c r="AD426" s="139"/>
      <c r="AE426" s="139"/>
      <c r="AF426" s="139"/>
      <c r="AG426" s="139"/>
      <c r="AH426" s="139"/>
      <c r="AI426" s="139"/>
      <c r="AJ426" s="139"/>
      <c r="AK426" s="139"/>
      <c r="AL426" s="139"/>
      <c r="AM426" s="139"/>
      <c r="AN426" s="139"/>
      <c r="AO426" s="139"/>
      <c r="AP426" s="139"/>
      <c r="AQ426" s="139"/>
      <c r="AR426" s="139"/>
      <c r="AS426" s="139"/>
      <c r="AT426" s="139"/>
      <c r="AU426" s="139"/>
      <c r="AV426" s="139"/>
    </row>
    <row r="427">
      <c r="A427" s="139"/>
      <c r="B427" s="234"/>
      <c r="C427" s="139"/>
      <c r="D427" s="139"/>
      <c r="E427" s="139"/>
      <c r="F427" s="139"/>
      <c r="G427" s="139"/>
      <c r="H427" s="139"/>
      <c r="I427" s="139"/>
      <c r="J427" s="139"/>
      <c r="K427" s="139"/>
      <c r="L427" s="139"/>
      <c r="M427" s="139"/>
      <c r="N427" s="145"/>
      <c r="O427" s="139"/>
      <c r="P427" s="139"/>
      <c r="Q427" s="231"/>
      <c r="R427" s="139"/>
      <c r="S427" s="235"/>
      <c r="T427" s="235"/>
      <c r="U427" s="145"/>
      <c r="V427" s="145"/>
      <c r="W427" s="111"/>
      <c r="X427" s="233"/>
      <c r="Y427" s="226"/>
      <c r="Z427" s="139"/>
      <c r="AA427" s="139"/>
      <c r="AB427" s="139"/>
      <c r="AC427" s="139"/>
      <c r="AD427" s="139"/>
      <c r="AE427" s="139"/>
      <c r="AF427" s="139"/>
      <c r="AG427" s="139"/>
      <c r="AH427" s="139"/>
      <c r="AI427" s="139"/>
      <c r="AJ427" s="139"/>
      <c r="AK427" s="139"/>
      <c r="AL427" s="139"/>
      <c r="AM427" s="139"/>
      <c r="AN427" s="139"/>
      <c r="AO427" s="139"/>
      <c r="AP427" s="139"/>
      <c r="AQ427" s="139"/>
      <c r="AR427" s="139"/>
      <c r="AS427" s="139"/>
      <c r="AT427" s="139"/>
      <c r="AU427" s="139"/>
      <c r="AV427" s="139"/>
    </row>
    <row r="428">
      <c r="A428" s="139"/>
      <c r="B428" s="234"/>
      <c r="C428" s="139"/>
      <c r="D428" s="139"/>
      <c r="E428" s="139"/>
      <c r="F428" s="139"/>
      <c r="G428" s="139"/>
      <c r="H428" s="139"/>
      <c r="I428" s="139"/>
      <c r="J428" s="139"/>
      <c r="K428" s="139"/>
      <c r="L428" s="139"/>
      <c r="M428" s="139"/>
      <c r="N428" s="145"/>
      <c r="O428" s="139"/>
      <c r="P428" s="139"/>
      <c r="Q428" s="231"/>
      <c r="R428" s="139"/>
      <c r="S428" s="235"/>
      <c r="T428" s="235"/>
      <c r="U428" s="145"/>
      <c r="V428" s="145"/>
      <c r="W428" s="111"/>
      <c r="X428" s="233"/>
      <c r="Y428" s="226"/>
      <c r="Z428" s="139"/>
      <c r="AA428" s="139"/>
      <c r="AB428" s="139"/>
      <c r="AC428" s="139"/>
      <c r="AD428" s="139"/>
      <c r="AE428" s="139"/>
      <c r="AF428" s="139"/>
      <c r="AG428" s="139"/>
      <c r="AH428" s="139"/>
      <c r="AI428" s="139"/>
      <c r="AJ428" s="139"/>
      <c r="AK428" s="139"/>
      <c r="AL428" s="139"/>
      <c r="AM428" s="139"/>
      <c r="AN428" s="139"/>
      <c r="AO428" s="139"/>
      <c r="AP428" s="139"/>
      <c r="AQ428" s="139"/>
      <c r="AR428" s="139"/>
      <c r="AS428" s="139"/>
      <c r="AT428" s="139"/>
      <c r="AU428" s="139"/>
      <c r="AV428" s="139"/>
    </row>
    <row r="429">
      <c r="A429" s="139"/>
      <c r="B429" s="234"/>
      <c r="C429" s="139"/>
      <c r="D429" s="139"/>
      <c r="E429" s="139"/>
      <c r="F429" s="139"/>
      <c r="G429" s="139"/>
      <c r="H429" s="139"/>
      <c r="I429" s="139"/>
      <c r="J429" s="139"/>
      <c r="K429" s="139"/>
      <c r="L429" s="139"/>
      <c r="M429" s="139"/>
      <c r="N429" s="145"/>
      <c r="O429" s="139"/>
      <c r="P429" s="139"/>
      <c r="Q429" s="231"/>
      <c r="R429" s="139"/>
      <c r="S429" s="235"/>
      <c r="T429" s="235"/>
      <c r="U429" s="145"/>
      <c r="V429" s="145"/>
      <c r="W429" s="111"/>
      <c r="X429" s="233"/>
      <c r="Y429" s="226"/>
      <c r="Z429" s="139"/>
      <c r="AA429" s="139"/>
      <c r="AB429" s="139"/>
      <c r="AC429" s="139"/>
      <c r="AD429" s="139"/>
      <c r="AE429" s="139"/>
      <c r="AF429" s="139"/>
      <c r="AG429" s="139"/>
      <c r="AH429" s="139"/>
      <c r="AI429" s="139"/>
      <c r="AJ429" s="139"/>
      <c r="AK429" s="139"/>
      <c r="AL429" s="139"/>
      <c r="AM429" s="139"/>
      <c r="AN429" s="139"/>
      <c r="AO429" s="139"/>
      <c r="AP429" s="139"/>
      <c r="AQ429" s="139"/>
      <c r="AR429" s="139"/>
      <c r="AS429" s="139"/>
      <c r="AT429" s="139"/>
      <c r="AU429" s="139"/>
      <c r="AV429" s="139"/>
    </row>
    <row r="430">
      <c r="A430" s="139"/>
      <c r="B430" s="234"/>
      <c r="C430" s="139"/>
      <c r="D430" s="139"/>
      <c r="E430" s="139"/>
      <c r="F430" s="139"/>
      <c r="G430" s="139"/>
      <c r="H430" s="139"/>
      <c r="I430" s="139"/>
      <c r="J430" s="139"/>
      <c r="K430" s="139"/>
      <c r="L430" s="139"/>
      <c r="M430" s="139"/>
      <c r="N430" s="145"/>
      <c r="O430" s="139"/>
      <c r="P430" s="139"/>
      <c r="Q430" s="231"/>
      <c r="R430" s="139"/>
      <c r="S430" s="235"/>
      <c r="T430" s="235"/>
      <c r="U430" s="145"/>
      <c r="V430" s="145"/>
      <c r="W430" s="111"/>
      <c r="X430" s="233"/>
      <c r="Y430" s="226"/>
      <c r="Z430" s="139"/>
      <c r="AA430" s="139"/>
      <c r="AB430" s="139"/>
      <c r="AC430" s="139"/>
      <c r="AD430" s="139"/>
      <c r="AE430" s="139"/>
      <c r="AF430" s="139"/>
      <c r="AG430" s="139"/>
      <c r="AH430" s="139"/>
      <c r="AI430" s="139"/>
      <c r="AJ430" s="139"/>
      <c r="AK430" s="139"/>
      <c r="AL430" s="139"/>
      <c r="AM430" s="139"/>
      <c r="AN430" s="139"/>
      <c r="AO430" s="139"/>
      <c r="AP430" s="139"/>
      <c r="AQ430" s="139"/>
      <c r="AR430" s="139"/>
      <c r="AS430" s="139"/>
      <c r="AT430" s="139"/>
      <c r="AU430" s="139"/>
      <c r="AV430" s="139"/>
    </row>
    <row r="431">
      <c r="A431" s="139"/>
      <c r="B431" s="234"/>
      <c r="C431" s="139"/>
      <c r="D431" s="139"/>
      <c r="E431" s="139"/>
      <c r="F431" s="139"/>
      <c r="G431" s="139"/>
      <c r="H431" s="139"/>
      <c r="I431" s="139"/>
      <c r="J431" s="139"/>
      <c r="K431" s="139"/>
      <c r="L431" s="139"/>
      <c r="M431" s="139"/>
      <c r="N431" s="145"/>
      <c r="O431" s="139"/>
      <c r="P431" s="139"/>
      <c r="Q431" s="231"/>
      <c r="R431" s="139"/>
      <c r="S431" s="235"/>
      <c r="T431" s="235"/>
      <c r="U431" s="145"/>
      <c r="V431" s="145"/>
      <c r="W431" s="111"/>
      <c r="X431" s="233"/>
      <c r="Y431" s="226"/>
      <c r="Z431" s="139"/>
      <c r="AA431" s="139"/>
      <c r="AB431" s="139"/>
      <c r="AC431" s="139"/>
      <c r="AD431" s="139"/>
      <c r="AE431" s="139"/>
      <c r="AF431" s="139"/>
      <c r="AG431" s="139"/>
      <c r="AH431" s="139"/>
      <c r="AI431" s="139"/>
      <c r="AJ431" s="139"/>
      <c r="AK431" s="139"/>
      <c r="AL431" s="139"/>
      <c r="AM431" s="139"/>
      <c r="AN431" s="139"/>
      <c r="AO431" s="139"/>
      <c r="AP431" s="139"/>
      <c r="AQ431" s="139"/>
      <c r="AR431" s="139"/>
      <c r="AS431" s="139"/>
      <c r="AT431" s="139"/>
      <c r="AU431" s="139"/>
      <c r="AV431" s="139"/>
    </row>
    <row r="432">
      <c r="A432" s="139"/>
      <c r="B432" s="234"/>
      <c r="C432" s="139"/>
      <c r="D432" s="139"/>
      <c r="E432" s="139"/>
      <c r="F432" s="139"/>
      <c r="G432" s="139"/>
      <c r="H432" s="139"/>
      <c r="I432" s="139"/>
      <c r="J432" s="139"/>
      <c r="K432" s="139"/>
      <c r="L432" s="139"/>
      <c r="M432" s="139"/>
      <c r="N432" s="145"/>
      <c r="O432" s="139"/>
      <c r="P432" s="139"/>
      <c r="Q432" s="231"/>
      <c r="R432" s="139"/>
      <c r="S432" s="235"/>
      <c r="T432" s="235"/>
      <c r="U432" s="145"/>
      <c r="V432" s="145"/>
      <c r="W432" s="111"/>
      <c r="X432" s="233"/>
      <c r="Y432" s="226"/>
      <c r="Z432" s="139"/>
      <c r="AA432" s="139"/>
      <c r="AB432" s="139"/>
      <c r="AC432" s="139"/>
      <c r="AD432" s="139"/>
      <c r="AE432" s="139"/>
      <c r="AF432" s="139"/>
      <c r="AG432" s="139"/>
      <c r="AH432" s="139"/>
      <c r="AI432" s="139"/>
      <c r="AJ432" s="139"/>
      <c r="AK432" s="139"/>
      <c r="AL432" s="139"/>
      <c r="AM432" s="139"/>
      <c r="AN432" s="139"/>
      <c r="AO432" s="139"/>
      <c r="AP432" s="139"/>
      <c r="AQ432" s="139"/>
      <c r="AR432" s="139"/>
      <c r="AS432" s="139"/>
      <c r="AT432" s="139"/>
      <c r="AU432" s="139"/>
      <c r="AV432" s="139"/>
    </row>
    <row r="433">
      <c r="A433" s="139"/>
      <c r="B433" s="234"/>
      <c r="C433" s="139"/>
      <c r="D433" s="139"/>
      <c r="E433" s="139"/>
      <c r="F433" s="139"/>
      <c r="G433" s="139"/>
      <c r="H433" s="139"/>
      <c r="I433" s="139"/>
      <c r="J433" s="139"/>
      <c r="K433" s="139"/>
      <c r="L433" s="139"/>
      <c r="M433" s="139"/>
      <c r="N433" s="145"/>
      <c r="O433" s="139"/>
      <c r="P433" s="139"/>
      <c r="Q433" s="231"/>
      <c r="R433" s="139"/>
      <c r="S433" s="235"/>
      <c r="T433" s="235"/>
      <c r="U433" s="145"/>
      <c r="V433" s="145"/>
      <c r="W433" s="111"/>
      <c r="X433" s="233"/>
      <c r="Y433" s="226"/>
      <c r="Z433" s="139"/>
      <c r="AA433" s="139"/>
      <c r="AB433" s="139"/>
      <c r="AC433" s="139"/>
      <c r="AD433" s="139"/>
      <c r="AE433" s="139"/>
      <c r="AF433" s="139"/>
      <c r="AG433" s="139"/>
      <c r="AH433" s="139"/>
      <c r="AI433" s="139"/>
      <c r="AJ433" s="139"/>
      <c r="AK433" s="139"/>
      <c r="AL433" s="139"/>
      <c r="AM433" s="139"/>
      <c r="AN433" s="139"/>
      <c r="AO433" s="139"/>
      <c r="AP433" s="139"/>
      <c r="AQ433" s="139"/>
      <c r="AR433" s="139"/>
      <c r="AS433" s="139"/>
      <c r="AT433" s="139"/>
      <c r="AU433" s="139"/>
      <c r="AV433" s="139"/>
    </row>
    <row r="434">
      <c r="A434" s="139"/>
      <c r="B434" s="234"/>
      <c r="C434" s="139"/>
      <c r="D434" s="139"/>
      <c r="E434" s="139"/>
      <c r="F434" s="139"/>
      <c r="G434" s="139"/>
      <c r="H434" s="139"/>
      <c r="I434" s="139"/>
      <c r="J434" s="139"/>
      <c r="K434" s="139"/>
      <c r="L434" s="139"/>
      <c r="M434" s="139"/>
      <c r="N434" s="145"/>
      <c r="O434" s="139"/>
      <c r="P434" s="139"/>
      <c r="Q434" s="231"/>
      <c r="R434" s="139"/>
      <c r="S434" s="235"/>
      <c r="T434" s="235"/>
      <c r="U434" s="145"/>
      <c r="V434" s="145"/>
      <c r="W434" s="111"/>
      <c r="X434" s="233"/>
      <c r="Y434" s="226"/>
      <c r="Z434" s="139"/>
      <c r="AA434" s="139"/>
      <c r="AB434" s="139"/>
      <c r="AC434" s="139"/>
      <c r="AD434" s="139"/>
      <c r="AE434" s="139"/>
      <c r="AF434" s="139"/>
      <c r="AG434" s="139"/>
      <c r="AH434" s="139"/>
      <c r="AI434" s="139"/>
      <c r="AJ434" s="139"/>
      <c r="AK434" s="139"/>
      <c r="AL434" s="139"/>
      <c r="AM434" s="139"/>
      <c r="AN434" s="139"/>
      <c r="AO434" s="139"/>
      <c r="AP434" s="139"/>
      <c r="AQ434" s="139"/>
      <c r="AR434" s="139"/>
      <c r="AS434" s="139"/>
      <c r="AT434" s="139"/>
      <c r="AU434" s="139"/>
      <c r="AV434" s="139"/>
    </row>
    <row r="435">
      <c r="A435" s="139"/>
      <c r="B435" s="234"/>
      <c r="C435" s="139"/>
      <c r="D435" s="139"/>
      <c r="E435" s="139"/>
      <c r="F435" s="139"/>
      <c r="G435" s="139"/>
      <c r="H435" s="139"/>
      <c r="I435" s="139"/>
      <c r="J435" s="139"/>
      <c r="K435" s="139"/>
      <c r="L435" s="139"/>
      <c r="M435" s="139"/>
      <c r="N435" s="145"/>
      <c r="O435" s="139"/>
      <c r="P435" s="139"/>
      <c r="Q435" s="231"/>
      <c r="R435" s="139"/>
      <c r="S435" s="235"/>
      <c r="T435" s="235"/>
      <c r="U435" s="145"/>
      <c r="V435" s="145"/>
      <c r="W435" s="111"/>
      <c r="X435" s="233"/>
      <c r="Y435" s="226"/>
      <c r="Z435" s="139"/>
      <c r="AA435" s="139"/>
      <c r="AB435" s="139"/>
      <c r="AC435" s="139"/>
      <c r="AD435" s="139"/>
      <c r="AE435" s="139"/>
      <c r="AF435" s="139"/>
      <c r="AG435" s="139"/>
      <c r="AH435" s="139"/>
      <c r="AI435" s="139"/>
      <c r="AJ435" s="139"/>
      <c r="AK435" s="139"/>
      <c r="AL435" s="139"/>
      <c r="AM435" s="139"/>
      <c r="AN435" s="139"/>
      <c r="AO435" s="139"/>
      <c r="AP435" s="139"/>
      <c r="AQ435" s="139"/>
      <c r="AR435" s="139"/>
      <c r="AS435" s="139"/>
      <c r="AT435" s="139"/>
      <c r="AU435" s="139"/>
      <c r="AV435" s="139"/>
    </row>
    <row r="436">
      <c r="A436" s="139"/>
      <c r="B436" s="234"/>
      <c r="C436" s="139"/>
      <c r="D436" s="139"/>
      <c r="E436" s="139"/>
      <c r="F436" s="139"/>
      <c r="G436" s="139"/>
      <c r="H436" s="139"/>
      <c r="I436" s="139"/>
      <c r="J436" s="139"/>
      <c r="K436" s="139"/>
      <c r="L436" s="139"/>
      <c r="M436" s="139"/>
      <c r="N436" s="145"/>
      <c r="O436" s="139"/>
      <c r="P436" s="139"/>
      <c r="Q436" s="231"/>
      <c r="R436" s="139"/>
      <c r="S436" s="235"/>
      <c r="T436" s="235"/>
      <c r="U436" s="145"/>
      <c r="V436" s="145"/>
      <c r="W436" s="111"/>
      <c r="X436" s="233"/>
      <c r="Y436" s="226"/>
      <c r="Z436" s="139"/>
      <c r="AA436" s="139"/>
      <c r="AB436" s="139"/>
      <c r="AC436" s="139"/>
      <c r="AD436" s="139"/>
      <c r="AE436" s="139"/>
      <c r="AF436" s="139"/>
      <c r="AG436" s="139"/>
      <c r="AH436" s="139"/>
      <c r="AI436" s="139"/>
      <c r="AJ436" s="139"/>
      <c r="AK436" s="139"/>
      <c r="AL436" s="139"/>
      <c r="AM436" s="139"/>
      <c r="AN436" s="139"/>
      <c r="AO436" s="139"/>
      <c r="AP436" s="139"/>
      <c r="AQ436" s="139"/>
      <c r="AR436" s="139"/>
      <c r="AS436" s="139"/>
      <c r="AT436" s="139"/>
      <c r="AU436" s="139"/>
      <c r="AV436" s="139"/>
    </row>
    <row r="437">
      <c r="A437" s="139"/>
      <c r="B437" s="234"/>
      <c r="C437" s="139"/>
      <c r="D437" s="139"/>
      <c r="E437" s="139"/>
      <c r="F437" s="139"/>
      <c r="G437" s="139"/>
      <c r="H437" s="139"/>
      <c r="I437" s="139"/>
      <c r="J437" s="139"/>
      <c r="K437" s="139"/>
      <c r="L437" s="139"/>
      <c r="M437" s="139"/>
      <c r="N437" s="145"/>
      <c r="O437" s="139"/>
      <c r="P437" s="139"/>
      <c r="Q437" s="231"/>
      <c r="R437" s="139"/>
      <c r="S437" s="235"/>
      <c r="T437" s="235"/>
      <c r="U437" s="145"/>
      <c r="V437" s="145"/>
      <c r="W437" s="111"/>
      <c r="X437" s="233"/>
      <c r="Y437" s="226"/>
      <c r="Z437" s="139"/>
      <c r="AA437" s="139"/>
      <c r="AB437" s="139"/>
      <c r="AC437" s="139"/>
      <c r="AD437" s="139"/>
      <c r="AE437" s="139"/>
      <c r="AF437" s="139"/>
      <c r="AG437" s="139"/>
      <c r="AH437" s="139"/>
      <c r="AI437" s="139"/>
      <c r="AJ437" s="139"/>
      <c r="AK437" s="139"/>
      <c r="AL437" s="139"/>
      <c r="AM437" s="139"/>
      <c r="AN437" s="139"/>
      <c r="AO437" s="139"/>
      <c r="AP437" s="139"/>
      <c r="AQ437" s="139"/>
      <c r="AR437" s="139"/>
      <c r="AS437" s="139"/>
      <c r="AT437" s="139"/>
      <c r="AU437" s="139"/>
      <c r="AV437" s="139"/>
    </row>
    <row r="438">
      <c r="A438" s="139"/>
      <c r="B438" s="234"/>
      <c r="C438" s="139"/>
      <c r="D438" s="139"/>
      <c r="E438" s="139"/>
      <c r="F438" s="139"/>
      <c r="G438" s="139"/>
      <c r="H438" s="139"/>
      <c r="I438" s="139"/>
      <c r="J438" s="139"/>
      <c r="K438" s="139"/>
      <c r="L438" s="139"/>
      <c r="M438" s="139"/>
      <c r="N438" s="145"/>
      <c r="O438" s="139"/>
      <c r="P438" s="139"/>
      <c r="Q438" s="231"/>
      <c r="R438" s="139"/>
      <c r="S438" s="235"/>
      <c r="T438" s="235"/>
      <c r="U438" s="145"/>
      <c r="V438" s="145"/>
      <c r="W438" s="111"/>
      <c r="X438" s="233"/>
      <c r="Y438" s="226"/>
      <c r="Z438" s="139"/>
      <c r="AA438" s="139"/>
      <c r="AB438" s="139"/>
      <c r="AC438" s="139"/>
      <c r="AD438" s="139"/>
      <c r="AE438" s="139"/>
      <c r="AF438" s="139"/>
      <c r="AG438" s="139"/>
      <c r="AH438" s="139"/>
      <c r="AI438" s="139"/>
      <c r="AJ438" s="139"/>
      <c r="AK438" s="139"/>
      <c r="AL438" s="139"/>
      <c r="AM438" s="139"/>
      <c r="AN438" s="139"/>
      <c r="AO438" s="139"/>
      <c r="AP438" s="139"/>
      <c r="AQ438" s="139"/>
      <c r="AR438" s="139"/>
      <c r="AS438" s="139"/>
      <c r="AT438" s="139"/>
      <c r="AU438" s="139"/>
      <c r="AV438" s="139"/>
    </row>
    <row r="439">
      <c r="A439" s="139"/>
      <c r="B439" s="234"/>
      <c r="C439" s="139"/>
      <c r="D439" s="139"/>
      <c r="E439" s="139"/>
      <c r="F439" s="139"/>
      <c r="G439" s="139"/>
      <c r="H439" s="139"/>
      <c r="I439" s="139"/>
      <c r="J439" s="139"/>
      <c r="K439" s="139"/>
      <c r="L439" s="139"/>
      <c r="M439" s="139"/>
      <c r="N439" s="145"/>
      <c r="O439" s="139"/>
      <c r="P439" s="139"/>
      <c r="Q439" s="231"/>
      <c r="R439" s="139"/>
      <c r="S439" s="235"/>
      <c r="T439" s="235"/>
      <c r="U439" s="145"/>
      <c r="V439" s="145"/>
      <c r="W439" s="111"/>
      <c r="X439" s="233"/>
      <c r="Y439" s="226"/>
      <c r="Z439" s="139"/>
      <c r="AA439" s="139"/>
      <c r="AB439" s="139"/>
      <c r="AC439" s="139"/>
      <c r="AD439" s="139"/>
      <c r="AE439" s="139"/>
      <c r="AF439" s="139"/>
      <c r="AG439" s="139"/>
      <c r="AH439" s="139"/>
      <c r="AI439" s="139"/>
      <c r="AJ439" s="139"/>
      <c r="AK439" s="139"/>
      <c r="AL439" s="139"/>
      <c r="AM439" s="139"/>
      <c r="AN439" s="139"/>
      <c r="AO439" s="139"/>
      <c r="AP439" s="139"/>
      <c r="AQ439" s="139"/>
      <c r="AR439" s="139"/>
      <c r="AS439" s="139"/>
      <c r="AT439" s="139"/>
      <c r="AU439" s="139"/>
      <c r="AV439" s="139"/>
    </row>
    <row r="440">
      <c r="A440" s="139"/>
      <c r="B440" s="234"/>
      <c r="C440" s="139"/>
      <c r="D440" s="139"/>
      <c r="E440" s="139"/>
      <c r="F440" s="139"/>
      <c r="G440" s="139"/>
      <c r="H440" s="139"/>
      <c r="I440" s="139"/>
      <c r="J440" s="139"/>
      <c r="K440" s="139"/>
      <c r="L440" s="139"/>
      <c r="M440" s="139"/>
      <c r="N440" s="145"/>
      <c r="O440" s="139"/>
      <c r="P440" s="139"/>
      <c r="Q440" s="231"/>
      <c r="R440" s="139"/>
      <c r="S440" s="235"/>
      <c r="T440" s="235"/>
      <c r="U440" s="145"/>
      <c r="V440" s="145"/>
      <c r="W440" s="111"/>
      <c r="X440" s="233"/>
      <c r="Y440" s="226"/>
      <c r="Z440" s="139"/>
      <c r="AA440" s="139"/>
      <c r="AB440" s="139"/>
      <c r="AC440" s="139"/>
      <c r="AD440" s="139"/>
      <c r="AE440" s="139"/>
      <c r="AF440" s="139"/>
      <c r="AG440" s="139"/>
      <c r="AH440" s="139"/>
      <c r="AI440" s="139"/>
      <c r="AJ440" s="139"/>
      <c r="AK440" s="139"/>
      <c r="AL440" s="139"/>
      <c r="AM440" s="139"/>
      <c r="AN440" s="139"/>
      <c r="AO440" s="139"/>
      <c r="AP440" s="139"/>
      <c r="AQ440" s="139"/>
      <c r="AR440" s="139"/>
      <c r="AS440" s="139"/>
      <c r="AT440" s="139"/>
      <c r="AU440" s="139"/>
      <c r="AV440" s="139"/>
    </row>
    <row r="441">
      <c r="A441" s="139"/>
      <c r="B441" s="234"/>
      <c r="C441" s="139"/>
      <c r="D441" s="139"/>
      <c r="E441" s="139"/>
      <c r="F441" s="139"/>
      <c r="G441" s="139"/>
      <c r="H441" s="139"/>
      <c r="I441" s="139"/>
      <c r="J441" s="139"/>
      <c r="K441" s="139"/>
      <c r="L441" s="139"/>
      <c r="M441" s="139"/>
      <c r="N441" s="145"/>
      <c r="O441" s="139"/>
      <c r="P441" s="139"/>
      <c r="Q441" s="231"/>
      <c r="R441" s="139"/>
      <c r="S441" s="235"/>
      <c r="T441" s="235"/>
      <c r="U441" s="145"/>
      <c r="V441" s="145"/>
      <c r="W441" s="111"/>
      <c r="X441" s="233"/>
      <c r="Y441" s="226"/>
      <c r="Z441" s="139"/>
      <c r="AA441" s="139"/>
      <c r="AB441" s="139"/>
      <c r="AC441" s="139"/>
      <c r="AD441" s="139"/>
      <c r="AE441" s="139"/>
      <c r="AF441" s="139"/>
      <c r="AG441" s="139"/>
      <c r="AH441" s="139"/>
      <c r="AI441" s="139"/>
      <c r="AJ441" s="139"/>
      <c r="AK441" s="139"/>
      <c r="AL441" s="139"/>
      <c r="AM441" s="139"/>
      <c r="AN441" s="139"/>
      <c r="AO441" s="139"/>
      <c r="AP441" s="139"/>
      <c r="AQ441" s="139"/>
      <c r="AR441" s="139"/>
      <c r="AS441" s="139"/>
      <c r="AT441" s="139"/>
      <c r="AU441" s="139"/>
      <c r="AV441" s="139"/>
    </row>
    <row r="442">
      <c r="A442" s="139"/>
      <c r="B442" s="234"/>
      <c r="C442" s="139"/>
      <c r="D442" s="139"/>
      <c r="E442" s="139"/>
      <c r="F442" s="139"/>
      <c r="G442" s="139"/>
      <c r="H442" s="139"/>
      <c r="I442" s="139"/>
      <c r="J442" s="139"/>
      <c r="K442" s="139"/>
      <c r="L442" s="139"/>
      <c r="M442" s="139"/>
      <c r="N442" s="145"/>
      <c r="O442" s="139"/>
      <c r="P442" s="139"/>
      <c r="Q442" s="231"/>
      <c r="R442" s="139"/>
      <c r="S442" s="235"/>
      <c r="T442" s="235"/>
      <c r="U442" s="145"/>
      <c r="V442" s="145"/>
      <c r="W442" s="111"/>
      <c r="X442" s="233"/>
      <c r="Y442" s="226"/>
      <c r="Z442" s="139"/>
      <c r="AA442" s="139"/>
      <c r="AB442" s="139"/>
      <c r="AC442" s="139"/>
      <c r="AD442" s="139"/>
      <c r="AE442" s="139"/>
      <c r="AF442" s="139"/>
      <c r="AG442" s="139"/>
      <c r="AH442" s="139"/>
      <c r="AI442" s="139"/>
      <c r="AJ442" s="139"/>
      <c r="AK442" s="139"/>
      <c r="AL442" s="139"/>
      <c r="AM442" s="139"/>
      <c r="AN442" s="139"/>
      <c r="AO442" s="139"/>
      <c r="AP442" s="139"/>
      <c r="AQ442" s="139"/>
      <c r="AR442" s="139"/>
      <c r="AS442" s="139"/>
      <c r="AT442" s="139"/>
      <c r="AU442" s="139"/>
      <c r="AV442" s="139"/>
    </row>
    <row r="443">
      <c r="A443" s="139"/>
      <c r="B443" s="234"/>
      <c r="C443" s="139"/>
      <c r="D443" s="139"/>
      <c r="E443" s="139"/>
      <c r="F443" s="139"/>
      <c r="G443" s="139"/>
      <c r="H443" s="139"/>
      <c r="I443" s="139"/>
      <c r="J443" s="139"/>
      <c r="K443" s="139"/>
      <c r="L443" s="139"/>
      <c r="M443" s="139"/>
      <c r="N443" s="145"/>
      <c r="O443" s="139"/>
      <c r="P443" s="139"/>
      <c r="Q443" s="231"/>
      <c r="R443" s="139"/>
      <c r="S443" s="235"/>
      <c r="T443" s="235"/>
      <c r="U443" s="145"/>
      <c r="V443" s="145"/>
      <c r="W443" s="111"/>
      <c r="X443" s="233"/>
      <c r="Y443" s="226"/>
      <c r="Z443" s="139"/>
      <c r="AA443" s="139"/>
      <c r="AB443" s="139"/>
      <c r="AC443" s="139"/>
      <c r="AD443" s="139"/>
      <c r="AE443" s="139"/>
      <c r="AF443" s="139"/>
      <c r="AG443" s="139"/>
      <c r="AH443" s="139"/>
      <c r="AI443" s="139"/>
      <c r="AJ443" s="139"/>
      <c r="AK443" s="139"/>
      <c r="AL443" s="139"/>
      <c r="AM443" s="139"/>
      <c r="AN443" s="139"/>
      <c r="AO443" s="139"/>
      <c r="AP443" s="139"/>
      <c r="AQ443" s="139"/>
      <c r="AR443" s="139"/>
      <c r="AS443" s="139"/>
      <c r="AT443" s="139"/>
      <c r="AU443" s="139"/>
      <c r="AV443" s="139"/>
    </row>
    <row r="444">
      <c r="A444" s="139"/>
      <c r="B444" s="234"/>
      <c r="C444" s="139"/>
      <c r="D444" s="139"/>
      <c r="E444" s="139"/>
      <c r="F444" s="139"/>
      <c r="G444" s="139"/>
      <c r="H444" s="139"/>
      <c r="I444" s="139"/>
      <c r="J444" s="139"/>
      <c r="K444" s="139"/>
      <c r="L444" s="139"/>
      <c r="M444" s="139"/>
      <c r="N444" s="145"/>
      <c r="O444" s="139"/>
      <c r="P444" s="139"/>
      <c r="Q444" s="231"/>
      <c r="R444" s="139"/>
      <c r="S444" s="235"/>
      <c r="T444" s="235"/>
      <c r="U444" s="145"/>
      <c r="V444" s="145"/>
      <c r="W444" s="111"/>
      <c r="X444" s="233"/>
      <c r="Y444" s="226"/>
      <c r="Z444" s="139"/>
      <c r="AA444" s="139"/>
      <c r="AB444" s="139"/>
      <c r="AC444" s="139"/>
      <c r="AD444" s="139"/>
      <c r="AE444" s="139"/>
      <c r="AF444" s="139"/>
      <c r="AG444" s="139"/>
      <c r="AH444" s="139"/>
      <c r="AI444" s="139"/>
      <c r="AJ444" s="139"/>
      <c r="AK444" s="139"/>
      <c r="AL444" s="139"/>
      <c r="AM444" s="139"/>
      <c r="AN444" s="139"/>
      <c r="AO444" s="139"/>
      <c r="AP444" s="139"/>
      <c r="AQ444" s="139"/>
      <c r="AR444" s="139"/>
      <c r="AS444" s="139"/>
      <c r="AT444" s="139"/>
      <c r="AU444" s="139"/>
      <c r="AV444" s="139"/>
    </row>
    <row r="445">
      <c r="A445" s="139"/>
      <c r="B445" s="234"/>
      <c r="C445" s="139"/>
      <c r="D445" s="139"/>
      <c r="E445" s="139"/>
      <c r="F445" s="139"/>
      <c r="G445" s="139"/>
      <c r="H445" s="139"/>
      <c r="I445" s="139"/>
      <c r="J445" s="139"/>
      <c r="K445" s="139"/>
      <c r="L445" s="139"/>
      <c r="M445" s="139"/>
      <c r="N445" s="145"/>
      <c r="O445" s="139"/>
      <c r="P445" s="139"/>
      <c r="Q445" s="231"/>
      <c r="R445" s="139"/>
      <c r="S445" s="235"/>
      <c r="T445" s="235"/>
      <c r="U445" s="145"/>
      <c r="V445" s="145"/>
      <c r="W445" s="111"/>
      <c r="X445" s="233"/>
      <c r="Y445" s="226"/>
      <c r="Z445" s="139"/>
      <c r="AA445" s="139"/>
      <c r="AB445" s="139"/>
      <c r="AC445" s="139"/>
      <c r="AD445" s="139"/>
      <c r="AE445" s="139"/>
      <c r="AF445" s="139"/>
      <c r="AG445" s="139"/>
      <c r="AH445" s="139"/>
      <c r="AI445" s="139"/>
      <c r="AJ445" s="139"/>
      <c r="AK445" s="139"/>
      <c r="AL445" s="139"/>
      <c r="AM445" s="139"/>
      <c r="AN445" s="139"/>
      <c r="AO445" s="139"/>
      <c r="AP445" s="139"/>
      <c r="AQ445" s="139"/>
      <c r="AR445" s="139"/>
      <c r="AS445" s="139"/>
      <c r="AT445" s="139"/>
      <c r="AU445" s="139"/>
      <c r="AV445" s="139"/>
    </row>
    <row r="446">
      <c r="A446" s="139"/>
      <c r="B446" s="234"/>
      <c r="C446" s="139"/>
      <c r="D446" s="139"/>
      <c r="E446" s="139"/>
      <c r="F446" s="139"/>
      <c r="G446" s="139"/>
      <c r="H446" s="139"/>
      <c r="I446" s="139"/>
      <c r="J446" s="139"/>
      <c r="K446" s="139"/>
      <c r="L446" s="139"/>
      <c r="M446" s="139"/>
      <c r="N446" s="145"/>
      <c r="O446" s="139"/>
      <c r="P446" s="139"/>
      <c r="Q446" s="231"/>
      <c r="R446" s="139"/>
      <c r="S446" s="235"/>
      <c r="T446" s="235"/>
      <c r="U446" s="145"/>
      <c r="V446" s="145"/>
      <c r="W446" s="111"/>
      <c r="X446" s="233"/>
      <c r="Y446" s="226"/>
      <c r="Z446" s="139"/>
      <c r="AA446" s="139"/>
      <c r="AB446" s="139"/>
      <c r="AC446" s="139"/>
      <c r="AD446" s="139"/>
      <c r="AE446" s="139"/>
      <c r="AF446" s="139"/>
      <c r="AG446" s="139"/>
      <c r="AH446" s="139"/>
      <c r="AI446" s="139"/>
      <c r="AJ446" s="139"/>
      <c r="AK446" s="139"/>
      <c r="AL446" s="139"/>
      <c r="AM446" s="139"/>
      <c r="AN446" s="139"/>
      <c r="AO446" s="139"/>
      <c r="AP446" s="139"/>
      <c r="AQ446" s="139"/>
      <c r="AR446" s="139"/>
      <c r="AS446" s="139"/>
      <c r="AT446" s="139"/>
      <c r="AU446" s="139"/>
      <c r="AV446" s="139"/>
    </row>
    <row r="447">
      <c r="A447" s="139"/>
      <c r="B447" s="234"/>
      <c r="C447" s="139"/>
      <c r="D447" s="139"/>
      <c r="E447" s="139"/>
      <c r="F447" s="139"/>
      <c r="G447" s="139"/>
      <c r="H447" s="139"/>
      <c r="I447" s="139"/>
      <c r="J447" s="139"/>
      <c r="K447" s="139"/>
      <c r="L447" s="139"/>
      <c r="M447" s="139"/>
      <c r="N447" s="145"/>
      <c r="O447" s="139"/>
      <c r="P447" s="139"/>
      <c r="Q447" s="231"/>
      <c r="R447" s="139"/>
      <c r="S447" s="235"/>
      <c r="T447" s="235"/>
      <c r="U447" s="145"/>
      <c r="V447" s="145"/>
      <c r="W447" s="111"/>
      <c r="X447" s="233"/>
      <c r="Y447" s="226"/>
      <c r="Z447" s="139"/>
      <c r="AA447" s="139"/>
      <c r="AB447" s="139"/>
      <c r="AC447" s="139"/>
      <c r="AD447" s="139"/>
      <c r="AE447" s="139"/>
      <c r="AF447" s="139"/>
      <c r="AG447" s="139"/>
      <c r="AH447" s="139"/>
      <c r="AI447" s="139"/>
      <c r="AJ447" s="139"/>
      <c r="AK447" s="139"/>
      <c r="AL447" s="139"/>
      <c r="AM447" s="139"/>
      <c r="AN447" s="139"/>
      <c r="AO447" s="139"/>
      <c r="AP447" s="139"/>
      <c r="AQ447" s="139"/>
      <c r="AR447" s="139"/>
      <c r="AS447" s="139"/>
      <c r="AT447" s="139"/>
      <c r="AU447" s="139"/>
      <c r="AV447" s="139"/>
    </row>
    <row r="448">
      <c r="A448" s="139"/>
      <c r="B448" s="234"/>
      <c r="C448" s="139"/>
      <c r="D448" s="139"/>
      <c r="E448" s="139"/>
      <c r="F448" s="139"/>
      <c r="G448" s="139"/>
      <c r="H448" s="139"/>
      <c r="I448" s="139"/>
      <c r="J448" s="139"/>
      <c r="K448" s="139"/>
      <c r="L448" s="139"/>
      <c r="M448" s="139"/>
      <c r="N448" s="145"/>
      <c r="O448" s="139"/>
      <c r="P448" s="139"/>
      <c r="Q448" s="231"/>
      <c r="R448" s="139"/>
      <c r="S448" s="235"/>
      <c r="T448" s="235"/>
      <c r="U448" s="145"/>
      <c r="V448" s="145"/>
      <c r="W448" s="111"/>
      <c r="X448" s="233"/>
      <c r="Y448" s="226"/>
      <c r="Z448" s="139"/>
      <c r="AA448" s="139"/>
      <c r="AB448" s="139"/>
      <c r="AC448" s="139"/>
      <c r="AD448" s="139"/>
      <c r="AE448" s="139"/>
      <c r="AF448" s="139"/>
      <c r="AG448" s="139"/>
      <c r="AH448" s="139"/>
      <c r="AI448" s="139"/>
      <c r="AJ448" s="139"/>
      <c r="AK448" s="139"/>
      <c r="AL448" s="139"/>
      <c r="AM448" s="139"/>
      <c r="AN448" s="139"/>
      <c r="AO448" s="139"/>
      <c r="AP448" s="139"/>
      <c r="AQ448" s="139"/>
      <c r="AR448" s="139"/>
      <c r="AS448" s="139"/>
      <c r="AT448" s="139"/>
      <c r="AU448" s="139"/>
      <c r="AV448" s="139"/>
    </row>
    <row r="449">
      <c r="A449" s="139"/>
      <c r="B449" s="234"/>
      <c r="C449" s="139"/>
      <c r="D449" s="139"/>
      <c r="E449" s="139"/>
      <c r="F449" s="139"/>
      <c r="G449" s="139"/>
      <c r="H449" s="139"/>
      <c r="I449" s="139"/>
      <c r="J449" s="139"/>
      <c r="K449" s="139"/>
      <c r="L449" s="139"/>
      <c r="M449" s="139"/>
      <c r="N449" s="145"/>
      <c r="O449" s="139"/>
      <c r="P449" s="139"/>
      <c r="Q449" s="231"/>
      <c r="R449" s="139"/>
      <c r="S449" s="235"/>
      <c r="T449" s="235"/>
      <c r="U449" s="145"/>
      <c r="V449" s="145"/>
      <c r="W449" s="111"/>
      <c r="X449" s="233"/>
      <c r="Y449" s="226"/>
      <c r="Z449" s="139"/>
      <c r="AA449" s="139"/>
      <c r="AB449" s="139"/>
      <c r="AC449" s="139"/>
      <c r="AD449" s="139"/>
      <c r="AE449" s="139"/>
      <c r="AF449" s="139"/>
      <c r="AG449" s="139"/>
      <c r="AH449" s="139"/>
      <c r="AI449" s="139"/>
      <c r="AJ449" s="139"/>
      <c r="AK449" s="139"/>
      <c r="AL449" s="139"/>
      <c r="AM449" s="139"/>
      <c r="AN449" s="139"/>
      <c r="AO449" s="139"/>
      <c r="AP449" s="139"/>
      <c r="AQ449" s="139"/>
      <c r="AR449" s="139"/>
      <c r="AS449" s="139"/>
      <c r="AT449" s="139"/>
      <c r="AU449" s="139"/>
      <c r="AV449" s="139"/>
    </row>
    <row r="450">
      <c r="A450" s="139"/>
      <c r="B450" s="234"/>
      <c r="C450" s="139"/>
      <c r="D450" s="139"/>
      <c r="E450" s="139"/>
      <c r="F450" s="139"/>
      <c r="G450" s="139"/>
      <c r="H450" s="139"/>
      <c r="I450" s="139"/>
      <c r="J450" s="139"/>
      <c r="K450" s="139"/>
      <c r="L450" s="139"/>
      <c r="M450" s="139"/>
      <c r="N450" s="145"/>
      <c r="O450" s="139"/>
      <c r="P450" s="139"/>
      <c r="Q450" s="231"/>
      <c r="R450" s="139"/>
      <c r="S450" s="235"/>
      <c r="T450" s="235"/>
      <c r="U450" s="145"/>
      <c r="V450" s="145"/>
      <c r="W450" s="111"/>
      <c r="X450" s="233"/>
      <c r="Y450" s="226"/>
      <c r="Z450" s="139"/>
      <c r="AA450" s="139"/>
      <c r="AB450" s="139"/>
      <c r="AC450" s="139"/>
      <c r="AD450" s="139"/>
      <c r="AE450" s="139"/>
      <c r="AF450" s="139"/>
      <c r="AG450" s="139"/>
      <c r="AH450" s="139"/>
      <c r="AI450" s="139"/>
      <c r="AJ450" s="139"/>
      <c r="AK450" s="139"/>
      <c r="AL450" s="139"/>
      <c r="AM450" s="139"/>
      <c r="AN450" s="139"/>
      <c r="AO450" s="139"/>
      <c r="AP450" s="139"/>
      <c r="AQ450" s="139"/>
      <c r="AR450" s="139"/>
      <c r="AS450" s="139"/>
      <c r="AT450" s="139"/>
      <c r="AU450" s="139"/>
      <c r="AV450" s="139"/>
    </row>
    <row r="451">
      <c r="A451" s="139"/>
      <c r="B451" s="234"/>
      <c r="C451" s="139"/>
      <c r="D451" s="139"/>
      <c r="E451" s="139"/>
      <c r="F451" s="139"/>
      <c r="G451" s="139"/>
      <c r="H451" s="139"/>
      <c r="I451" s="139"/>
      <c r="J451" s="139"/>
      <c r="K451" s="139"/>
      <c r="L451" s="139"/>
      <c r="M451" s="139"/>
      <c r="N451" s="145"/>
      <c r="O451" s="139"/>
      <c r="P451" s="139"/>
      <c r="Q451" s="231"/>
      <c r="R451" s="139"/>
      <c r="S451" s="235"/>
      <c r="T451" s="235"/>
      <c r="U451" s="145"/>
      <c r="V451" s="145"/>
      <c r="W451" s="111"/>
      <c r="X451" s="233"/>
      <c r="Y451" s="226"/>
      <c r="Z451" s="139"/>
      <c r="AA451" s="139"/>
      <c r="AB451" s="139"/>
      <c r="AC451" s="139"/>
      <c r="AD451" s="139"/>
      <c r="AE451" s="139"/>
      <c r="AF451" s="139"/>
      <c r="AG451" s="139"/>
      <c r="AH451" s="139"/>
      <c r="AI451" s="139"/>
      <c r="AJ451" s="139"/>
      <c r="AK451" s="139"/>
      <c r="AL451" s="139"/>
      <c r="AM451" s="139"/>
      <c r="AN451" s="139"/>
      <c r="AO451" s="139"/>
      <c r="AP451" s="139"/>
      <c r="AQ451" s="139"/>
      <c r="AR451" s="139"/>
      <c r="AS451" s="139"/>
      <c r="AT451" s="139"/>
      <c r="AU451" s="139"/>
      <c r="AV451" s="139"/>
    </row>
    <row r="452">
      <c r="A452" s="139"/>
      <c r="B452" s="234"/>
      <c r="C452" s="139"/>
      <c r="D452" s="139"/>
      <c r="E452" s="139"/>
      <c r="F452" s="139"/>
      <c r="G452" s="139"/>
      <c r="H452" s="139"/>
      <c r="I452" s="139"/>
      <c r="J452" s="139"/>
      <c r="K452" s="139"/>
      <c r="L452" s="139"/>
      <c r="M452" s="139"/>
      <c r="N452" s="145"/>
      <c r="O452" s="139"/>
      <c r="P452" s="139"/>
      <c r="Q452" s="231"/>
      <c r="R452" s="139"/>
      <c r="S452" s="235"/>
      <c r="T452" s="235"/>
      <c r="U452" s="145"/>
      <c r="V452" s="145"/>
      <c r="W452" s="111"/>
      <c r="X452" s="233"/>
      <c r="Y452" s="226"/>
      <c r="Z452" s="139"/>
      <c r="AA452" s="139"/>
      <c r="AB452" s="139"/>
      <c r="AC452" s="139"/>
      <c r="AD452" s="139"/>
      <c r="AE452" s="139"/>
      <c r="AF452" s="139"/>
      <c r="AG452" s="139"/>
      <c r="AH452" s="139"/>
      <c r="AI452" s="139"/>
      <c r="AJ452" s="139"/>
      <c r="AK452" s="139"/>
      <c r="AL452" s="139"/>
      <c r="AM452" s="139"/>
      <c r="AN452" s="139"/>
      <c r="AO452" s="139"/>
      <c r="AP452" s="139"/>
      <c r="AQ452" s="139"/>
      <c r="AR452" s="139"/>
      <c r="AS452" s="139"/>
      <c r="AT452" s="139"/>
      <c r="AU452" s="139"/>
      <c r="AV452" s="139"/>
    </row>
    <row r="453">
      <c r="A453" s="139"/>
      <c r="B453" s="234"/>
      <c r="C453" s="139"/>
      <c r="D453" s="139"/>
      <c r="E453" s="139"/>
      <c r="F453" s="139"/>
      <c r="G453" s="139"/>
      <c r="H453" s="139"/>
      <c r="I453" s="139"/>
      <c r="J453" s="139"/>
      <c r="K453" s="139"/>
      <c r="L453" s="139"/>
      <c r="M453" s="139"/>
      <c r="N453" s="145"/>
      <c r="O453" s="139"/>
      <c r="P453" s="139"/>
      <c r="Q453" s="231"/>
      <c r="R453" s="139"/>
      <c r="S453" s="235"/>
      <c r="T453" s="235"/>
      <c r="U453" s="145"/>
      <c r="V453" s="145"/>
      <c r="W453" s="111"/>
      <c r="X453" s="233"/>
      <c r="Y453" s="226"/>
      <c r="Z453" s="139"/>
      <c r="AA453" s="139"/>
      <c r="AB453" s="139"/>
      <c r="AC453" s="139"/>
      <c r="AD453" s="139"/>
      <c r="AE453" s="139"/>
      <c r="AF453" s="139"/>
      <c r="AG453" s="139"/>
      <c r="AH453" s="139"/>
      <c r="AI453" s="139"/>
      <c r="AJ453" s="139"/>
      <c r="AK453" s="139"/>
      <c r="AL453" s="139"/>
      <c r="AM453" s="139"/>
      <c r="AN453" s="139"/>
      <c r="AO453" s="139"/>
      <c r="AP453" s="139"/>
      <c r="AQ453" s="139"/>
      <c r="AR453" s="139"/>
      <c r="AS453" s="139"/>
      <c r="AT453" s="139"/>
      <c r="AU453" s="139"/>
      <c r="AV453" s="139"/>
    </row>
    <row r="454">
      <c r="A454" s="139"/>
      <c r="B454" s="234"/>
      <c r="C454" s="139"/>
      <c r="D454" s="139"/>
      <c r="E454" s="139"/>
      <c r="F454" s="139"/>
      <c r="G454" s="139"/>
      <c r="H454" s="139"/>
      <c r="I454" s="139"/>
      <c r="J454" s="139"/>
      <c r="K454" s="139"/>
      <c r="L454" s="139"/>
      <c r="M454" s="139"/>
      <c r="N454" s="145"/>
      <c r="O454" s="139"/>
      <c r="P454" s="139"/>
      <c r="Q454" s="231"/>
      <c r="R454" s="139"/>
      <c r="S454" s="235"/>
      <c r="T454" s="235"/>
      <c r="U454" s="145"/>
      <c r="V454" s="145"/>
      <c r="W454" s="111"/>
      <c r="X454" s="233"/>
      <c r="Y454" s="226"/>
      <c r="Z454" s="139"/>
      <c r="AA454" s="139"/>
      <c r="AB454" s="139"/>
      <c r="AC454" s="139"/>
      <c r="AD454" s="139"/>
      <c r="AE454" s="139"/>
      <c r="AF454" s="139"/>
      <c r="AG454" s="139"/>
      <c r="AH454" s="139"/>
      <c r="AI454" s="139"/>
      <c r="AJ454" s="139"/>
      <c r="AK454" s="139"/>
      <c r="AL454" s="139"/>
      <c r="AM454" s="139"/>
      <c r="AN454" s="139"/>
      <c r="AO454" s="139"/>
      <c r="AP454" s="139"/>
      <c r="AQ454" s="139"/>
      <c r="AR454" s="139"/>
      <c r="AS454" s="139"/>
      <c r="AT454" s="139"/>
      <c r="AU454" s="139"/>
      <c r="AV454" s="139"/>
    </row>
    <row r="455">
      <c r="A455" s="139"/>
      <c r="B455" s="234"/>
      <c r="C455" s="139"/>
      <c r="D455" s="139"/>
      <c r="E455" s="139"/>
      <c r="F455" s="139"/>
      <c r="G455" s="139"/>
      <c r="H455" s="139"/>
      <c r="I455" s="139"/>
      <c r="J455" s="139"/>
      <c r="K455" s="139"/>
      <c r="L455" s="139"/>
      <c r="M455" s="139"/>
      <c r="N455" s="145"/>
      <c r="O455" s="139"/>
      <c r="P455" s="139"/>
      <c r="Q455" s="231"/>
      <c r="R455" s="139"/>
      <c r="S455" s="235"/>
      <c r="T455" s="235"/>
      <c r="U455" s="145"/>
      <c r="V455" s="145"/>
      <c r="W455" s="111"/>
      <c r="X455" s="233"/>
      <c r="Y455" s="226"/>
      <c r="Z455" s="139"/>
      <c r="AA455" s="139"/>
      <c r="AB455" s="139"/>
      <c r="AC455" s="139"/>
      <c r="AD455" s="139"/>
      <c r="AE455" s="139"/>
      <c r="AF455" s="139"/>
      <c r="AG455" s="139"/>
      <c r="AH455" s="139"/>
      <c r="AI455" s="139"/>
      <c r="AJ455" s="139"/>
      <c r="AK455" s="139"/>
      <c r="AL455" s="139"/>
      <c r="AM455" s="139"/>
      <c r="AN455" s="139"/>
      <c r="AO455" s="139"/>
      <c r="AP455" s="139"/>
      <c r="AQ455" s="139"/>
      <c r="AR455" s="139"/>
      <c r="AS455" s="139"/>
      <c r="AT455" s="139"/>
      <c r="AU455" s="139"/>
      <c r="AV455" s="139"/>
    </row>
    <row r="456">
      <c r="A456" s="139"/>
      <c r="B456" s="234"/>
      <c r="C456" s="139"/>
      <c r="D456" s="139"/>
      <c r="E456" s="139"/>
      <c r="F456" s="139"/>
      <c r="G456" s="139"/>
      <c r="H456" s="139"/>
      <c r="I456" s="139"/>
      <c r="J456" s="139"/>
      <c r="K456" s="139"/>
      <c r="L456" s="139"/>
      <c r="M456" s="139"/>
      <c r="N456" s="145"/>
      <c r="O456" s="139"/>
      <c r="P456" s="139"/>
      <c r="Q456" s="231"/>
      <c r="R456" s="139"/>
      <c r="S456" s="235"/>
      <c r="T456" s="235"/>
      <c r="U456" s="145"/>
      <c r="V456" s="145"/>
      <c r="W456" s="111"/>
      <c r="X456" s="233"/>
      <c r="Y456" s="226"/>
      <c r="Z456" s="139"/>
      <c r="AA456" s="139"/>
      <c r="AB456" s="139"/>
      <c r="AC456" s="139"/>
      <c r="AD456" s="139"/>
      <c r="AE456" s="139"/>
      <c r="AF456" s="139"/>
      <c r="AG456" s="139"/>
      <c r="AH456" s="139"/>
      <c r="AI456" s="139"/>
      <c r="AJ456" s="139"/>
      <c r="AK456" s="139"/>
      <c r="AL456" s="139"/>
      <c r="AM456" s="139"/>
      <c r="AN456" s="139"/>
      <c r="AO456" s="139"/>
      <c r="AP456" s="139"/>
      <c r="AQ456" s="139"/>
      <c r="AR456" s="139"/>
      <c r="AS456" s="139"/>
      <c r="AT456" s="139"/>
      <c r="AU456" s="139"/>
      <c r="AV456" s="139"/>
    </row>
    <row r="457">
      <c r="A457" s="139"/>
      <c r="B457" s="234"/>
      <c r="C457" s="139"/>
      <c r="D457" s="139"/>
      <c r="E457" s="139"/>
      <c r="F457" s="139"/>
      <c r="G457" s="139"/>
      <c r="H457" s="139"/>
      <c r="I457" s="139"/>
      <c r="J457" s="139"/>
      <c r="K457" s="139"/>
      <c r="L457" s="139"/>
      <c r="M457" s="139"/>
      <c r="N457" s="145"/>
      <c r="O457" s="139"/>
      <c r="P457" s="139"/>
      <c r="Q457" s="231"/>
      <c r="R457" s="139"/>
      <c r="S457" s="235"/>
      <c r="T457" s="235"/>
      <c r="U457" s="145"/>
      <c r="V457" s="145"/>
      <c r="W457" s="111"/>
      <c r="X457" s="233"/>
      <c r="Y457" s="226"/>
      <c r="Z457" s="139"/>
      <c r="AA457" s="139"/>
      <c r="AB457" s="139"/>
      <c r="AC457" s="139"/>
      <c r="AD457" s="139"/>
      <c r="AE457" s="139"/>
      <c r="AF457" s="139"/>
      <c r="AG457" s="139"/>
      <c r="AH457" s="139"/>
      <c r="AI457" s="139"/>
      <c r="AJ457" s="139"/>
      <c r="AK457" s="139"/>
      <c r="AL457" s="139"/>
      <c r="AM457" s="139"/>
      <c r="AN457" s="139"/>
      <c r="AO457" s="139"/>
      <c r="AP457" s="139"/>
      <c r="AQ457" s="139"/>
      <c r="AR457" s="139"/>
      <c r="AS457" s="139"/>
      <c r="AT457" s="139"/>
      <c r="AU457" s="139"/>
      <c r="AV457" s="139"/>
    </row>
    <row r="458">
      <c r="A458" s="139"/>
      <c r="B458" s="234"/>
      <c r="C458" s="139"/>
      <c r="D458" s="139"/>
      <c r="E458" s="139"/>
      <c r="F458" s="139"/>
      <c r="G458" s="139"/>
      <c r="H458" s="139"/>
      <c r="I458" s="139"/>
      <c r="J458" s="139"/>
      <c r="K458" s="139"/>
      <c r="L458" s="139"/>
      <c r="M458" s="139"/>
      <c r="N458" s="145"/>
      <c r="O458" s="139"/>
      <c r="P458" s="139"/>
      <c r="Q458" s="231"/>
      <c r="R458" s="139"/>
      <c r="S458" s="235"/>
      <c r="T458" s="235"/>
      <c r="U458" s="145"/>
      <c r="V458" s="145"/>
      <c r="W458" s="111"/>
      <c r="X458" s="233"/>
      <c r="Y458" s="226"/>
      <c r="Z458" s="139"/>
      <c r="AA458" s="139"/>
      <c r="AB458" s="139"/>
      <c r="AC458" s="139"/>
      <c r="AD458" s="139"/>
      <c r="AE458" s="139"/>
      <c r="AF458" s="139"/>
      <c r="AG458" s="139"/>
      <c r="AH458" s="139"/>
      <c r="AI458" s="139"/>
      <c r="AJ458" s="139"/>
      <c r="AK458" s="139"/>
      <c r="AL458" s="139"/>
      <c r="AM458" s="139"/>
      <c r="AN458" s="139"/>
      <c r="AO458" s="139"/>
      <c r="AP458" s="139"/>
      <c r="AQ458" s="139"/>
      <c r="AR458" s="139"/>
      <c r="AS458" s="139"/>
      <c r="AT458" s="139"/>
      <c r="AU458" s="139"/>
      <c r="AV458" s="139"/>
    </row>
    <row r="459">
      <c r="A459" s="139"/>
      <c r="B459" s="234"/>
      <c r="C459" s="139"/>
      <c r="D459" s="139"/>
      <c r="E459" s="139"/>
      <c r="F459" s="139"/>
      <c r="G459" s="139"/>
      <c r="H459" s="139"/>
      <c r="I459" s="139"/>
      <c r="J459" s="139"/>
      <c r="K459" s="139"/>
      <c r="L459" s="139"/>
      <c r="M459" s="139"/>
      <c r="N459" s="145"/>
      <c r="O459" s="139"/>
      <c r="P459" s="139"/>
      <c r="Q459" s="231"/>
      <c r="R459" s="139"/>
      <c r="S459" s="235"/>
      <c r="T459" s="235"/>
      <c r="U459" s="145"/>
      <c r="V459" s="145"/>
      <c r="W459" s="111"/>
      <c r="X459" s="233"/>
      <c r="Y459" s="226"/>
      <c r="Z459" s="139"/>
      <c r="AA459" s="139"/>
      <c r="AB459" s="139"/>
      <c r="AC459" s="139"/>
      <c r="AD459" s="139"/>
      <c r="AE459" s="139"/>
      <c r="AF459" s="139"/>
      <c r="AG459" s="139"/>
      <c r="AH459" s="139"/>
      <c r="AI459" s="139"/>
      <c r="AJ459" s="139"/>
      <c r="AK459" s="139"/>
      <c r="AL459" s="139"/>
      <c r="AM459" s="139"/>
      <c r="AN459" s="139"/>
      <c r="AO459" s="139"/>
      <c r="AP459" s="139"/>
      <c r="AQ459" s="139"/>
      <c r="AR459" s="139"/>
      <c r="AS459" s="139"/>
      <c r="AT459" s="139"/>
      <c r="AU459" s="139"/>
      <c r="AV459" s="139"/>
    </row>
    <row r="460">
      <c r="A460" s="139"/>
      <c r="B460" s="234"/>
      <c r="C460" s="139"/>
      <c r="D460" s="139"/>
      <c r="E460" s="139"/>
      <c r="F460" s="139"/>
      <c r="G460" s="139"/>
      <c r="H460" s="139"/>
      <c r="I460" s="139"/>
      <c r="J460" s="139"/>
      <c r="K460" s="139"/>
      <c r="L460" s="139"/>
      <c r="M460" s="139"/>
      <c r="N460" s="145"/>
      <c r="O460" s="139"/>
      <c r="P460" s="139"/>
      <c r="Q460" s="231"/>
      <c r="R460" s="139"/>
      <c r="S460" s="235"/>
      <c r="T460" s="235"/>
      <c r="U460" s="145"/>
      <c r="V460" s="145"/>
      <c r="W460" s="111"/>
      <c r="X460" s="233"/>
      <c r="Y460" s="226"/>
      <c r="Z460" s="139"/>
      <c r="AA460" s="139"/>
      <c r="AB460" s="139"/>
      <c r="AC460" s="139"/>
      <c r="AD460" s="139"/>
      <c r="AE460" s="139"/>
      <c r="AF460" s="139"/>
      <c r="AG460" s="139"/>
      <c r="AH460" s="139"/>
      <c r="AI460" s="139"/>
      <c r="AJ460" s="139"/>
      <c r="AK460" s="139"/>
      <c r="AL460" s="139"/>
      <c r="AM460" s="139"/>
      <c r="AN460" s="139"/>
      <c r="AO460" s="139"/>
      <c r="AP460" s="139"/>
      <c r="AQ460" s="139"/>
      <c r="AR460" s="139"/>
      <c r="AS460" s="139"/>
      <c r="AT460" s="139"/>
      <c r="AU460" s="139"/>
      <c r="AV460" s="139"/>
    </row>
    <row r="461">
      <c r="A461" s="139"/>
      <c r="B461" s="234"/>
      <c r="C461" s="139"/>
      <c r="D461" s="139"/>
      <c r="E461" s="139"/>
      <c r="F461" s="139"/>
      <c r="G461" s="139"/>
      <c r="H461" s="139"/>
      <c r="I461" s="139"/>
      <c r="J461" s="139"/>
      <c r="K461" s="139"/>
      <c r="L461" s="139"/>
      <c r="M461" s="139"/>
      <c r="N461" s="145"/>
      <c r="O461" s="139"/>
      <c r="P461" s="139"/>
      <c r="Q461" s="231"/>
      <c r="R461" s="139"/>
      <c r="S461" s="235"/>
      <c r="T461" s="235"/>
      <c r="U461" s="145"/>
      <c r="V461" s="145"/>
      <c r="W461" s="111"/>
      <c r="X461" s="233"/>
      <c r="Y461" s="226"/>
      <c r="Z461" s="139"/>
      <c r="AA461" s="139"/>
      <c r="AB461" s="139"/>
      <c r="AC461" s="139"/>
      <c r="AD461" s="139"/>
      <c r="AE461" s="139"/>
      <c r="AF461" s="139"/>
      <c r="AG461" s="139"/>
      <c r="AH461" s="139"/>
      <c r="AI461" s="139"/>
      <c r="AJ461" s="139"/>
      <c r="AK461" s="139"/>
      <c r="AL461" s="139"/>
      <c r="AM461" s="139"/>
      <c r="AN461" s="139"/>
      <c r="AO461" s="139"/>
      <c r="AP461" s="139"/>
      <c r="AQ461" s="139"/>
      <c r="AR461" s="139"/>
      <c r="AS461" s="139"/>
      <c r="AT461" s="139"/>
      <c r="AU461" s="139"/>
      <c r="AV461" s="139"/>
    </row>
    <row r="462">
      <c r="A462" s="139"/>
      <c r="B462" s="234"/>
      <c r="C462" s="139"/>
      <c r="D462" s="139"/>
      <c r="E462" s="139"/>
      <c r="F462" s="139"/>
      <c r="G462" s="139"/>
      <c r="H462" s="139"/>
      <c r="I462" s="139"/>
      <c r="J462" s="139"/>
      <c r="K462" s="139"/>
      <c r="L462" s="139"/>
      <c r="M462" s="139"/>
      <c r="N462" s="145"/>
      <c r="O462" s="139"/>
      <c r="P462" s="139"/>
      <c r="Q462" s="231"/>
      <c r="R462" s="139"/>
      <c r="S462" s="235"/>
      <c r="T462" s="235"/>
      <c r="U462" s="145"/>
      <c r="V462" s="145"/>
      <c r="W462" s="111"/>
      <c r="X462" s="233"/>
      <c r="Y462" s="226"/>
      <c r="Z462" s="139"/>
      <c r="AA462" s="139"/>
      <c r="AB462" s="139"/>
      <c r="AC462" s="139"/>
      <c r="AD462" s="139"/>
      <c r="AE462" s="139"/>
      <c r="AF462" s="139"/>
      <c r="AG462" s="139"/>
      <c r="AH462" s="139"/>
      <c r="AI462" s="139"/>
      <c r="AJ462" s="139"/>
      <c r="AK462" s="139"/>
      <c r="AL462" s="139"/>
      <c r="AM462" s="139"/>
      <c r="AN462" s="139"/>
      <c r="AO462" s="139"/>
      <c r="AP462" s="139"/>
      <c r="AQ462" s="139"/>
      <c r="AR462" s="139"/>
      <c r="AS462" s="139"/>
      <c r="AT462" s="139"/>
      <c r="AU462" s="139"/>
      <c r="AV462" s="139"/>
    </row>
    <row r="463">
      <c r="A463" s="139"/>
      <c r="B463" s="234"/>
      <c r="C463" s="139"/>
      <c r="D463" s="139"/>
      <c r="E463" s="139"/>
      <c r="F463" s="139"/>
      <c r="G463" s="139"/>
      <c r="H463" s="139"/>
      <c r="I463" s="139"/>
      <c r="J463" s="139"/>
      <c r="K463" s="139"/>
      <c r="L463" s="139"/>
      <c r="M463" s="139"/>
      <c r="N463" s="145"/>
      <c r="O463" s="139"/>
      <c r="P463" s="139"/>
      <c r="Q463" s="231"/>
      <c r="R463" s="139"/>
      <c r="S463" s="235"/>
      <c r="T463" s="235"/>
      <c r="U463" s="145"/>
      <c r="V463" s="145"/>
      <c r="W463" s="111"/>
      <c r="X463" s="233"/>
      <c r="Y463" s="226"/>
      <c r="Z463" s="139"/>
      <c r="AA463" s="139"/>
      <c r="AB463" s="139"/>
      <c r="AC463" s="139"/>
      <c r="AD463" s="139"/>
      <c r="AE463" s="139"/>
      <c r="AF463" s="139"/>
      <c r="AG463" s="139"/>
      <c r="AH463" s="139"/>
      <c r="AI463" s="139"/>
      <c r="AJ463" s="139"/>
      <c r="AK463" s="139"/>
      <c r="AL463" s="139"/>
      <c r="AM463" s="139"/>
      <c r="AN463" s="139"/>
      <c r="AO463" s="139"/>
      <c r="AP463" s="139"/>
      <c r="AQ463" s="139"/>
      <c r="AR463" s="139"/>
      <c r="AS463" s="139"/>
      <c r="AT463" s="139"/>
      <c r="AU463" s="139"/>
      <c r="AV463" s="139"/>
    </row>
    <row r="464">
      <c r="A464" s="139"/>
      <c r="B464" s="234"/>
      <c r="C464" s="139"/>
      <c r="D464" s="139"/>
      <c r="E464" s="139"/>
      <c r="F464" s="139"/>
      <c r="G464" s="139"/>
      <c r="H464" s="139"/>
      <c r="I464" s="139"/>
      <c r="J464" s="139"/>
      <c r="K464" s="139"/>
      <c r="L464" s="139"/>
      <c r="M464" s="139"/>
      <c r="N464" s="145"/>
      <c r="O464" s="139"/>
      <c r="P464" s="139"/>
      <c r="Q464" s="231"/>
      <c r="R464" s="139"/>
      <c r="S464" s="235"/>
      <c r="T464" s="235"/>
      <c r="U464" s="145"/>
      <c r="V464" s="145"/>
      <c r="W464" s="111"/>
      <c r="X464" s="233"/>
      <c r="Y464" s="226"/>
      <c r="Z464" s="139"/>
      <c r="AA464" s="139"/>
      <c r="AB464" s="139"/>
      <c r="AC464" s="139"/>
      <c r="AD464" s="139"/>
      <c r="AE464" s="139"/>
      <c r="AF464" s="139"/>
      <c r="AG464" s="139"/>
      <c r="AH464" s="139"/>
      <c r="AI464" s="139"/>
      <c r="AJ464" s="139"/>
      <c r="AK464" s="139"/>
      <c r="AL464" s="139"/>
      <c r="AM464" s="139"/>
      <c r="AN464" s="139"/>
      <c r="AO464" s="139"/>
      <c r="AP464" s="139"/>
      <c r="AQ464" s="139"/>
      <c r="AR464" s="139"/>
      <c r="AS464" s="139"/>
      <c r="AT464" s="139"/>
      <c r="AU464" s="139"/>
      <c r="AV464" s="139"/>
    </row>
    <row r="465">
      <c r="A465" s="139"/>
      <c r="B465" s="234"/>
      <c r="C465" s="139"/>
      <c r="D465" s="139"/>
      <c r="E465" s="139"/>
      <c r="F465" s="139"/>
      <c r="G465" s="139"/>
      <c r="H465" s="139"/>
      <c r="I465" s="139"/>
      <c r="J465" s="139"/>
      <c r="K465" s="139"/>
      <c r="L465" s="139"/>
      <c r="M465" s="139"/>
      <c r="N465" s="145"/>
      <c r="O465" s="139"/>
      <c r="P465" s="139"/>
      <c r="Q465" s="231"/>
      <c r="R465" s="139"/>
      <c r="S465" s="235"/>
      <c r="T465" s="235"/>
      <c r="U465" s="145"/>
      <c r="V465" s="145"/>
      <c r="W465" s="111"/>
      <c r="X465" s="233"/>
      <c r="Y465" s="226"/>
      <c r="Z465" s="139"/>
      <c r="AA465" s="139"/>
      <c r="AB465" s="139"/>
      <c r="AC465" s="139"/>
      <c r="AD465" s="139"/>
      <c r="AE465" s="139"/>
      <c r="AF465" s="139"/>
      <c r="AG465" s="139"/>
      <c r="AH465" s="139"/>
      <c r="AI465" s="139"/>
      <c r="AJ465" s="139"/>
      <c r="AK465" s="139"/>
      <c r="AL465" s="139"/>
      <c r="AM465" s="139"/>
      <c r="AN465" s="139"/>
      <c r="AO465" s="139"/>
      <c r="AP465" s="139"/>
      <c r="AQ465" s="139"/>
      <c r="AR465" s="139"/>
      <c r="AS465" s="139"/>
      <c r="AT465" s="139"/>
      <c r="AU465" s="139"/>
      <c r="AV465" s="139"/>
    </row>
    <row r="466">
      <c r="A466" s="139"/>
      <c r="B466" s="234"/>
      <c r="C466" s="139"/>
      <c r="D466" s="139"/>
      <c r="E466" s="139"/>
      <c r="F466" s="139"/>
      <c r="G466" s="139"/>
      <c r="H466" s="139"/>
      <c r="I466" s="139"/>
      <c r="J466" s="139"/>
      <c r="K466" s="139"/>
      <c r="L466" s="139"/>
      <c r="M466" s="139"/>
      <c r="N466" s="145"/>
      <c r="O466" s="139"/>
      <c r="P466" s="139"/>
      <c r="Q466" s="231"/>
      <c r="R466" s="139"/>
      <c r="S466" s="235"/>
      <c r="T466" s="235"/>
      <c r="U466" s="145"/>
      <c r="V466" s="145"/>
      <c r="W466" s="111"/>
      <c r="X466" s="233"/>
      <c r="Y466" s="226"/>
      <c r="Z466" s="139"/>
      <c r="AA466" s="139"/>
      <c r="AB466" s="139"/>
      <c r="AC466" s="139"/>
      <c r="AD466" s="139"/>
      <c r="AE466" s="139"/>
      <c r="AF466" s="139"/>
      <c r="AG466" s="139"/>
      <c r="AH466" s="139"/>
      <c r="AI466" s="139"/>
      <c r="AJ466" s="139"/>
      <c r="AK466" s="139"/>
      <c r="AL466" s="139"/>
      <c r="AM466" s="139"/>
      <c r="AN466" s="139"/>
      <c r="AO466" s="139"/>
      <c r="AP466" s="139"/>
      <c r="AQ466" s="139"/>
      <c r="AR466" s="139"/>
      <c r="AS466" s="139"/>
      <c r="AT466" s="139"/>
      <c r="AU466" s="139"/>
      <c r="AV466" s="139"/>
    </row>
    <row r="467">
      <c r="A467" s="139"/>
      <c r="B467" s="234"/>
      <c r="C467" s="139"/>
      <c r="D467" s="139"/>
      <c r="E467" s="139"/>
      <c r="F467" s="139"/>
      <c r="G467" s="139"/>
      <c r="H467" s="139"/>
      <c r="I467" s="139"/>
      <c r="J467" s="139"/>
      <c r="K467" s="139"/>
      <c r="L467" s="139"/>
      <c r="M467" s="139"/>
      <c r="N467" s="145"/>
      <c r="O467" s="139"/>
      <c r="P467" s="139"/>
      <c r="Q467" s="231"/>
      <c r="R467" s="139"/>
      <c r="S467" s="235"/>
      <c r="T467" s="235"/>
      <c r="U467" s="145"/>
      <c r="V467" s="145"/>
      <c r="W467" s="111"/>
      <c r="X467" s="233"/>
      <c r="Y467" s="226"/>
      <c r="Z467" s="139"/>
      <c r="AA467" s="139"/>
      <c r="AB467" s="139"/>
      <c r="AC467" s="139"/>
      <c r="AD467" s="139"/>
      <c r="AE467" s="139"/>
      <c r="AF467" s="139"/>
      <c r="AG467" s="139"/>
      <c r="AH467" s="139"/>
      <c r="AI467" s="139"/>
      <c r="AJ467" s="139"/>
      <c r="AK467" s="139"/>
      <c r="AL467" s="139"/>
      <c r="AM467" s="139"/>
      <c r="AN467" s="139"/>
      <c r="AO467" s="139"/>
      <c r="AP467" s="139"/>
      <c r="AQ467" s="139"/>
      <c r="AR467" s="139"/>
      <c r="AS467" s="139"/>
      <c r="AT467" s="139"/>
      <c r="AU467" s="139"/>
      <c r="AV467" s="139"/>
    </row>
    <row r="468">
      <c r="A468" s="139"/>
      <c r="B468" s="234"/>
      <c r="C468" s="139"/>
      <c r="D468" s="139"/>
      <c r="E468" s="139"/>
      <c r="F468" s="139"/>
      <c r="G468" s="139"/>
      <c r="H468" s="139"/>
      <c r="I468" s="139"/>
      <c r="J468" s="139"/>
      <c r="K468" s="139"/>
      <c r="L468" s="139"/>
      <c r="M468" s="139"/>
      <c r="N468" s="145"/>
      <c r="O468" s="139"/>
      <c r="P468" s="139"/>
      <c r="Q468" s="231"/>
      <c r="R468" s="139"/>
      <c r="S468" s="235"/>
      <c r="T468" s="235"/>
      <c r="U468" s="145"/>
      <c r="V468" s="145"/>
      <c r="W468" s="111"/>
      <c r="X468" s="233"/>
      <c r="Y468" s="226"/>
      <c r="Z468" s="139"/>
      <c r="AA468" s="139"/>
      <c r="AB468" s="139"/>
      <c r="AC468" s="139"/>
      <c r="AD468" s="139"/>
      <c r="AE468" s="139"/>
      <c r="AF468" s="139"/>
      <c r="AG468" s="139"/>
      <c r="AH468" s="139"/>
      <c r="AI468" s="139"/>
      <c r="AJ468" s="139"/>
      <c r="AK468" s="139"/>
      <c r="AL468" s="139"/>
      <c r="AM468" s="139"/>
      <c r="AN468" s="139"/>
      <c r="AO468" s="139"/>
      <c r="AP468" s="139"/>
      <c r="AQ468" s="139"/>
      <c r="AR468" s="139"/>
      <c r="AS468" s="139"/>
      <c r="AT468" s="139"/>
      <c r="AU468" s="139"/>
      <c r="AV468" s="139"/>
    </row>
    <row r="469">
      <c r="A469" s="139"/>
      <c r="B469" s="234"/>
      <c r="C469" s="139"/>
      <c r="D469" s="139"/>
      <c r="E469" s="139"/>
      <c r="F469" s="139"/>
      <c r="G469" s="139"/>
      <c r="H469" s="139"/>
      <c r="I469" s="139"/>
      <c r="J469" s="139"/>
      <c r="K469" s="139"/>
      <c r="L469" s="139"/>
      <c r="M469" s="139"/>
      <c r="N469" s="145"/>
      <c r="O469" s="139"/>
      <c r="P469" s="139"/>
      <c r="Q469" s="231"/>
      <c r="R469" s="139"/>
      <c r="S469" s="235"/>
      <c r="T469" s="235"/>
      <c r="U469" s="145"/>
      <c r="V469" s="145"/>
      <c r="W469" s="111"/>
      <c r="X469" s="233"/>
      <c r="Y469" s="226"/>
      <c r="Z469" s="139"/>
      <c r="AA469" s="139"/>
      <c r="AB469" s="139"/>
      <c r="AC469" s="139"/>
      <c r="AD469" s="139"/>
      <c r="AE469" s="139"/>
      <c r="AF469" s="139"/>
      <c r="AG469" s="139"/>
      <c r="AH469" s="139"/>
      <c r="AI469" s="139"/>
      <c r="AJ469" s="139"/>
      <c r="AK469" s="139"/>
      <c r="AL469" s="139"/>
      <c r="AM469" s="139"/>
      <c r="AN469" s="139"/>
      <c r="AO469" s="139"/>
      <c r="AP469" s="139"/>
      <c r="AQ469" s="139"/>
      <c r="AR469" s="139"/>
      <c r="AS469" s="139"/>
      <c r="AT469" s="139"/>
      <c r="AU469" s="139"/>
      <c r="AV469" s="139"/>
    </row>
    <row r="470">
      <c r="A470" s="139"/>
      <c r="B470" s="234"/>
      <c r="C470" s="139"/>
      <c r="D470" s="139"/>
      <c r="E470" s="139"/>
      <c r="F470" s="139"/>
      <c r="G470" s="139"/>
      <c r="H470" s="139"/>
      <c r="I470" s="139"/>
      <c r="J470" s="139"/>
      <c r="K470" s="139"/>
      <c r="L470" s="139"/>
      <c r="M470" s="139"/>
      <c r="N470" s="145"/>
      <c r="O470" s="139"/>
      <c r="P470" s="139"/>
      <c r="Q470" s="231"/>
      <c r="R470" s="139"/>
      <c r="S470" s="235"/>
      <c r="T470" s="235"/>
      <c r="U470" s="145"/>
      <c r="V470" s="145"/>
      <c r="W470" s="111"/>
      <c r="X470" s="233"/>
      <c r="Y470" s="226"/>
      <c r="Z470" s="139"/>
      <c r="AA470" s="139"/>
      <c r="AB470" s="139"/>
      <c r="AC470" s="139"/>
      <c r="AD470" s="139"/>
      <c r="AE470" s="139"/>
      <c r="AF470" s="139"/>
      <c r="AG470" s="139"/>
      <c r="AH470" s="139"/>
      <c r="AI470" s="139"/>
      <c r="AJ470" s="139"/>
      <c r="AK470" s="139"/>
      <c r="AL470" s="139"/>
      <c r="AM470" s="139"/>
      <c r="AN470" s="139"/>
      <c r="AO470" s="139"/>
      <c r="AP470" s="139"/>
      <c r="AQ470" s="139"/>
      <c r="AR470" s="139"/>
      <c r="AS470" s="139"/>
      <c r="AT470" s="139"/>
      <c r="AU470" s="139"/>
      <c r="AV470" s="139"/>
    </row>
    <row r="471">
      <c r="A471" s="139"/>
      <c r="B471" s="234"/>
      <c r="C471" s="139"/>
      <c r="D471" s="139"/>
      <c r="E471" s="139"/>
      <c r="F471" s="139"/>
      <c r="G471" s="139"/>
      <c r="H471" s="139"/>
      <c r="I471" s="139"/>
      <c r="J471" s="139"/>
      <c r="K471" s="139"/>
      <c r="L471" s="139"/>
      <c r="M471" s="139"/>
      <c r="N471" s="145"/>
      <c r="O471" s="139"/>
      <c r="P471" s="139"/>
      <c r="Q471" s="231"/>
      <c r="R471" s="139"/>
      <c r="S471" s="235"/>
      <c r="T471" s="235"/>
      <c r="U471" s="145"/>
      <c r="V471" s="145"/>
      <c r="W471" s="111"/>
      <c r="X471" s="233"/>
      <c r="Y471" s="226"/>
      <c r="Z471" s="139"/>
      <c r="AA471" s="139"/>
      <c r="AB471" s="139"/>
      <c r="AC471" s="139"/>
      <c r="AD471" s="139"/>
      <c r="AE471" s="139"/>
      <c r="AF471" s="139"/>
      <c r="AG471" s="139"/>
      <c r="AH471" s="139"/>
      <c r="AI471" s="139"/>
      <c r="AJ471" s="139"/>
      <c r="AK471" s="139"/>
      <c r="AL471" s="139"/>
      <c r="AM471" s="139"/>
      <c r="AN471" s="139"/>
      <c r="AO471" s="139"/>
      <c r="AP471" s="139"/>
      <c r="AQ471" s="139"/>
      <c r="AR471" s="139"/>
      <c r="AS471" s="139"/>
      <c r="AT471" s="139"/>
      <c r="AU471" s="139"/>
      <c r="AV471" s="139"/>
    </row>
    <row r="472">
      <c r="A472" s="139"/>
      <c r="B472" s="234"/>
      <c r="C472" s="139"/>
      <c r="D472" s="139"/>
      <c r="E472" s="139"/>
      <c r="F472" s="139"/>
      <c r="G472" s="139"/>
      <c r="H472" s="139"/>
      <c r="I472" s="139"/>
      <c r="J472" s="139"/>
      <c r="K472" s="139"/>
      <c r="L472" s="139"/>
      <c r="M472" s="139"/>
      <c r="N472" s="145"/>
      <c r="O472" s="139"/>
      <c r="P472" s="139"/>
      <c r="Q472" s="231"/>
      <c r="R472" s="139"/>
      <c r="S472" s="235"/>
      <c r="T472" s="235"/>
      <c r="U472" s="145"/>
      <c r="V472" s="145"/>
      <c r="W472" s="111"/>
      <c r="X472" s="233"/>
      <c r="Y472" s="226"/>
      <c r="Z472" s="139"/>
      <c r="AA472" s="139"/>
      <c r="AB472" s="139"/>
      <c r="AC472" s="139"/>
      <c r="AD472" s="139"/>
      <c r="AE472" s="139"/>
      <c r="AF472" s="139"/>
      <c r="AG472" s="139"/>
      <c r="AH472" s="139"/>
      <c r="AI472" s="139"/>
      <c r="AJ472" s="139"/>
      <c r="AK472" s="139"/>
      <c r="AL472" s="139"/>
      <c r="AM472" s="139"/>
      <c r="AN472" s="139"/>
      <c r="AO472" s="139"/>
      <c r="AP472" s="139"/>
      <c r="AQ472" s="139"/>
      <c r="AR472" s="139"/>
      <c r="AS472" s="139"/>
      <c r="AT472" s="139"/>
      <c r="AU472" s="139"/>
      <c r="AV472" s="139"/>
    </row>
    <row r="473">
      <c r="A473" s="139"/>
      <c r="B473" s="234"/>
      <c r="C473" s="139"/>
      <c r="D473" s="139"/>
      <c r="E473" s="139"/>
      <c r="F473" s="139"/>
      <c r="G473" s="139"/>
      <c r="H473" s="139"/>
      <c r="I473" s="139"/>
      <c r="J473" s="139"/>
      <c r="K473" s="139"/>
      <c r="L473" s="139"/>
      <c r="M473" s="139"/>
      <c r="N473" s="145"/>
      <c r="O473" s="139"/>
      <c r="P473" s="139"/>
      <c r="Q473" s="231"/>
      <c r="R473" s="139"/>
      <c r="S473" s="235"/>
      <c r="T473" s="235"/>
      <c r="U473" s="145"/>
      <c r="V473" s="145"/>
      <c r="W473" s="111"/>
      <c r="X473" s="233"/>
      <c r="Y473" s="226"/>
      <c r="Z473" s="139"/>
      <c r="AA473" s="139"/>
      <c r="AB473" s="139"/>
      <c r="AC473" s="139"/>
      <c r="AD473" s="139"/>
      <c r="AE473" s="139"/>
      <c r="AF473" s="139"/>
      <c r="AG473" s="139"/>
      <c r="AH473" s="139"/>
      <c r="AI473" s="139"/>
      <c r="AJ473" s="139"/>
      <c r="AK473" s="139"/>
      <c r="AL473" s="139"/>
      <c r="AM473" s="139"/>
      <c r="AN473" s="139"/>
      <c r="AO473" s="139"/>
      <c r="AP473" s="139"/>
      <c r="AQ473" s="139"/>
      <c r="AR473" s="139"/>
      <c r="AS473" s="139"/>
      <c r="AT473" s="139"/>
      <c r="AU473" s="139"/>
      <c r="AV473" s="139"/>
    </row>
    <row r="474">
      <c r="A474" s="139"/>
      <c r="B474" s="234"/>
      <c r="C474" s="139"/>
      <c r="D474" s="139"/>
      <c r="E474" s="139"/>
      <c r="F474" s="139"/>
      <c r="G474" s="139"/>
      <c r="H474" s="139"/>
      <c r="I474" s="139"/>
      <c r="J474" s="139"/>
      <c r="K474" s="139"/>
      <c r="L474" s="139"/>
      <c r="M474" s="139"/>
      <c r="N474" s="145"/>
      <c r="O474" s="139"/>
      <c r="P474" s="139"/>
      <c r="Q474" s="231"/>
      <c r="R474" s="139"/>
      <c r="S474" s="235"/>
      <c r="T474" s="235"/>
      <c r="U474" s="145"/>
      <c r="V474" s="145"/>
      <c r="W474" s="111"/>
      <c r="X474" s="233"/>
      <c r="Y474" s="226"/>
      <c r="Z474" s="139"/>
      <c r="AA474" s="139"/>
      <c r="AB474" s="139"/>
      <c r="AC474" s="139"/>
      <c r="AD474" s="139"/>
      <c r="AE474" s="139"/>
      <c r="AF474" s="139"/>
      <c r="AG474" s="139"/>
      <c r="AH474" s="139"/>
      <c r="AI474" s="139"/>
      <c r="AJ474" s="139"/>
      <c r="AK474" s="139"/>
      <c r="AL474" s="139"/>
      <c r="AM474" s="139"/>
      <c r="AN474" s="139"/>
      <c r="AO474" s="139"/>
      <c r="AP474" s="139"/>
      <c r="AQ474" s="139"/>
      <c r="AR474" s="139"/>
      <c r="AS474" s="139"/>
      <c r="AT474" s="139"/>
      <c r="AU474" s="139"/>
      <c r="AV474" s="139"/>
    </row>
    <row r="475">
      <c r="A475" s="139"/>
      <c r="B475" s="234"/>
      <c r="C475" s="139"/>
      <c r="D475" s="139"/>
      <c r="E475" s="139"/>
      <c r="F475" s="139"/>
      <c r="G475" s="139"/>
      <c r="H475" s="139"/>
      <c r="I475" s="139"/>
      <c r="J475" s="139"/>
      <c r="K475" s="139"/>
      <c r="L475" s="139"/>
      <c r="M475" s="139"/>
      <c r="N475" s="145"/>
      <c r="O475" s="139"/>
      <c r="P475" s="139"/>
      <c r="Q475" s="231"/>
      <c r="R475" s="139"/>
      <c r="S475" s="235"/>
      <c r="T475" s="235"/>
      <c r="U475" s="145"/>
      <c r="V475" s="145"/>
      <c r="W475" s="111"/>
      <c r="X475" s="233"/>
      <c r="Y475" s="226"/>
      <c r="Z475" s="139"/>
      <c r="AA475" s="139"/>
      <c r="AB475" s="139"/>
      <c r="AC475" s="139"/>
      <c r="AD475" s="139"/>
      <c r="AE475" s="139"/>
      <c r="AF475" s="139"/>
      <c r="AG475" s="139"/>
      <c r="AH475" s="139"/>
      <c r="AI475" s="139"/>
      <c r="AJ475" s="139"/>
      <c r="AK475" s="139"/>
      <c r="AL475" s="139"/>
      <c r="AM475" s="139"/>
      <c r="AN475" s="139"/>
      <c r="AO475" s="139"/>
      <c r="AP475" s="139"/>
      <c r="AQ475" s="139"/>
      <c r="AR475" s="139"/>
      <c r="AS475" s="139"/>
      <c r="AT475" s="139"/>
      <c r="AU475" s="139"/>
      <c r="AV475" s="139"/>
    </row>
    <row r="476">
      <c r="A476" s="139"/>
      <c r="B476" s="234"/>
      <c r="C476" s="139"/>
      <c r="D476" s="139"/>
      <c r="E476" s="139"/>
      <c r="F476" s="139"/>
      <c r="G476" s="139"/>
      <c r="H476" s="139"/>
      <c r="I476" s="139"/>
      <c r="J476" s="139"/>
      <c r="K476" s="139"/>
      <c r="L476" s="139"/>
      <c r="M476" s="139"/>
      <c r="N476" s="145"/>
      <c r="O476" s="139"/>
      <c r="P476" s="139"/>
      <c r="Q476" s="231"/>
      <c r="R476" s="139"/>
      <c r="S476" s="235"/>
      <c r="T476" s="235"/>
      <c r="U476" s="145"/>
      <c r="V476" s="145"/>
      <c r="W476" s="111"/>
      <c r="X476" s="233"/>
      <c r="Y476" s="226"/>
      <c r="Z476" s="139"/>
      <c r="AA476" s="139"/>
      <c r="AB476" s="139"/>
      <c r="AC476" s="139"/>
      <c r="AD476" s="139"/>
      <c r="AE476" s="139"/>
      <c r="AF476" s="139"/>
      <c r="AG476" s="139"/>
      <c r="AH476" s="139"/>
      <c r="AI476" s="139"/>
      <c r="AJ476" s="139"/>
      <c r="AK476" s="139"/>
      <c r="AL476" s="139"/>
      <c r="AM476" s="139"/>
      <c r="AN476" s="139"/>
      <c r="AO476" s="139"/>
      <c r="AP476" s="139"/>
      <c r="AQ476" s="139"/>
      <c r="AR476" s="139"/>
      <c r="AS476" s="139"/>
      <c r="AT476" s="139"/>
      <c r="AU476" s="139"/>
      <c r="AV476" s="139"/>
    </row>
    <row r="477">
      <c r="A477" s="139"/>
      <c r="B477" s="234"/>
      <c r="C477" s="139"/>
      <c r="D477" s="139"/>
      <c r="E477" s="139"/>
      <c r="F477" s="139"/>
      <c r="G477" s="139"/>
      <c r="H477" s="139"/>
      <c r="I477" s="139"/>
      <c r="J477" s="139"/>
      <c r="K477" s="139"/>
      <c r="L477" s="139"/>
      <c r="M477" s="139"/>
      <c r="N477" s="145"/>
      <c r="O477" s="139"/>
      <c r="P477" s="139"/>
      <c r="Q477" s="231"/>
      <c r="R477" s="139"/>
      <c r="S477" s="235"/>
      <c r="T477" s="235"/>
      <c r="U477" s="145"/>
      <c r="V477" s="145"/>
      <c r="W477" s="111"/>
      <c r="X477" s="233"/>
      <c r="Y477" s="226"/>
      <c r="Z477" s="139"/>
      <c r="AA477" s="139"/>
      <c r="AB477" s="139"/>
      <c r="AC477" s="139"/>
      <c r="AD477" s="139"/>
      <c r="AE477" s="139"/>
      <c r="AF477" s="139"/>
      <c r="AG477" s="139"/>
      <c r="AH477" s="139"/>
      <c r="AI477" s="139"/>
      <c r="AJ477" s="139"/>
      <c r="AK477" s="139"/>
      <c r="AL477" s="139"/>
      <c r="AM477" s="139"/>
      <c r="AN477" s="139"/>
      <c r="AO477" s="139"/>
      <c r="AP477" s="139"/>
      <c r="AQ477" s="139"/>
      <c r="AR477" s="139"/>
      <c r="AS477" s="139"/>
      <c r="AT477" s="139"/>
      <c r="AU477" s="139"/>
      <c r="AV477" s="139"/>
    </row>
    <row r="478">
      <c r="A478" s="139"/>
      <c r="B478" s="234"/>
      <c r="C478" s="139"/>
      <c r="D478" s="139"/>
      <c r="E478" s="139"/>
      <c r="F478" s="139"/>
      <c r="G478" s="139"/>
      <c r="H478" s="139"/>
      <c r="I478" s="139"/>
      <c r="J478" s="139"/>
      <c r="K478" s="139"/>
      <c r="L478" s="139"/>
      <c r="M478" s="139"/>
      <c r="N478" s="145"/>
      <c r="O478" s="139"/>
      <c r="P478" s="139"/>
      <c r="Q478" s="231"/>
      <c r="R478" s="139"/>
      <c r="S478" s="235"/>
      <c r="T478" s="235"/>
      <c r="U478" s="145"/>
      <c r="V478" s="145"/>
      <c r="W478" s="111"/>
      <c r="X478" s="233"/>
      <c r="Y478" s="226"/>
      <c r="Z478" s="139"/>
      <c r="AA478" s="139"/>
      <c r="AB478" s="139"/>
      <c r="AC478" s="139"/>
      <c r="AD478" s="139"/>
      <c r="AE478" s="139"/>
      <c r="AF478" s="139"/>
      <c r="AG478" s="139"/>
      <c r="AH478" s="139"/>
      <c r="AI478" s="139"/>
      <c r="AJ478" s="139"/>
      <c r="AK478" s="139"/>
      <c r="AL478" s="139"/>
      <c r="AM478" s="139"/>
      <c r="AN478" s="139"/>
      <c r="AO478" s="139"/>
      <c r="AP478" s="139"/>
      <c r="AQ478" s="139"/>
      <c r="AR478" s="139"/>
      <c r="AS478" s="139"/>
      <c r="AT478" s="139"/>
      <c r="AU478" s="139"/>
      <c r="AV478" s="139"/>
    </row>
    <row r="479">
      <c r="A479" s="139"/>
      <c r="B479" s="234"/>
      <c r="C479" s="139"/>
      <c r="D479" s="139"/>
      <c r="E479" s="139"/>
      <c r="F479" s="139"/>
      <c r="G479" s="139"/>
      <c r="H479" s="139"/>
      <c r="I479" s="139"/>
      <c r="J479" s="139"/>
      <c r="K479" s="139"/>
      <c r="L479" s="139"/>
      <c r="M479" s="139"/>
      <c r="N479" s="145"/>
      <c r="O479" s="139"/>
      <c r="P479" s="139"/>
      <c r="Q479" s="231"/>
      <c r="R479" s="139"/>
      <c r="S479" s="235"/>
      <c r="T479" s="235"/>
      <c r="U479" s="145"/>
      <c r="V479" s="145"/>
      <c r="W479" s="111"/>
      <c r="X479" s="233"/>
      <c r="Y479" s="226"/>
      <c r="Z479" s="139"/>
      <c r="AA479" s="139"/>
      <c r="AB479" s="139"/>
      <c r="AC479" s="139"/>
      <c r="AD479" s="139"/>
      <c r="AE479" s="139"/>
      <c r="AF479" s="139"/>
      <c r="AG479" s="139"/>
      <c r="AH479" s="139"/>
      <c r="AI479" s="139"/>
      <c r="AJ479" s="139"/>
      <c r="AK479" s="139"/>
      <c r="AL479" s="139"/>
      <c r="AM479" s="139"/>
      <c r="AN479" s="139"/>
      <c r="AO479" s="139"/>
      <c r="AP479" s="139"/>
      <c r="AQ479" s="139"/>
      <c r="AR479" s="139"/>
      <c r="AS479" s="139"/>
      <c r="AT479" s="139"/>
      <c r="AU479" s="139"/>
      <c r="AV479" s="139"/>
    </row>
    <row r="480">
      <c r="A480" s="139"/>
      <c r="B480" s="234"/>
      <c r="C480" s="139"/>
      <c r="D480" s="139"/>
      <c r="E480" s="139"/>
      <c r="F480" s="139"/>
      <c r="G480" s="139"/>
      <c r="H480" s="139"/>
      <c r="I480" s="139"/>
      <c r="J480" s="139"/>
      <c r="K480" s="139"/>
      <c r="L480" s="139"/>
      <c r="M480" s="139"/>
      <c r="N480" s="145"/>
      <c r="O480" s="139"/>
      <c r="P480" s="139"/>
      <c r="Q480" s="231"/>
      <c r="R480" s="139"/>
      <c r="S480" s="235"/>
      <c r="T480" s="235"/>
      <c r="U480" s="145"/>
      <c r="V480" s="145"/>
      <c r="W480" s="111"/>
      <c r="X480" s="233"/>
      <c r="Y480" s="226"/>
      <c r="Z480" s="139"/>
      <c r="AA480" s="139"/>
      <c r="AB480" s="139"/>
      <c r="AC480" s="139"/>
      <c r="AD480" s="139"/>
      <c r="AE480" s="139"/>
      <c r="AF480" s="139"/>
      <c r="AG480" s="139"/>
      <c r="AH480" s="139"/>
      <c r="AI480" s="139"/>
      <c r="AJ480" s="139"/>
      <c r="AK480" s="139"/>
      <c r="AL480" s="139"/>
      <c r="AM480" s="139"/>
      <c r="AN480" s="139"/>
      <c r="AO480" s="139"/>
      <c r="AP480" s="139"/>
      <c r="AQ480" s="139"/>
      <c r="AR480" s="139"/>
      <c r="AS480" s="139"/>
      <c r="AT480" s="139"/>
      <c r="AU480" s="139"/>
      <c r="AV480" s="139"/>
    </row>
    <row r="481">
      <c r="A481" s="139"/>
      <c r="B481" s="234"/>
      <c r="C481" s="139"/>
      <c r="D481" s="139"/>
      <c r="E481" s="139"/>
      <c r="F481" s="139"/>
      <c r="G481" s="139"/>
      <c r="H481" s="139"/>
      <c r="I481" s="139"/>
      <c r="J481" s="139"/>
      <c r="K481" s="139"/>
      <c r="L481" s="139"/>
      <c r="M481" s="139"/>
      <c r="N481" s="145"/>
      <c r="O481" s="139"/>
      <c r="P481" s="139"/>
      <c r="Q481" s="231"/>
      <c r="R481" s="139"/>
      <c r="S481" s="235"/>
      <c r="T481" s="235"/>
      <c r="U481" s="145"/>
      <c r="V481" s="145"/>
      <c r="W481" s="111"/>
      <c r="X481" s="233"/>
      <c r="Y481" s="226"/>
      <c r="Z481" s="139"/>
      <c r="AA481" s="139"/>
      <c r="AB481" s="139"/>
      <c r="AC481" s="139"/>
      <c r="AD481" s="139"/>
      <c r="AE481" s="139"/>
      <c r="AF481" s="139"/>
      <c r="AG481" s="139"/>
      <c r="AH481" s="139"/>
      <c r="AI481" s="139"/>
      <c r="AJ481" s="139"/>
      <c r="AK481" s="139"/>
      <c r="AL481" s="139"/>
      <c r="AM481" s="139"/>
      <c r="AN481" s="139"/>
      <c r="AO481" s="139"/>
      <c r="AP481" s="139"/>
      <c r="AQ481" s="139"/>
      <c r="AR481" s="139"/>
      <c r="AS481" s="139"/>
      <c r="AT481" s="139"/>
      <c r="AU481" s="139"/>
      <c r="AV481" s="139"/>
    </row>
    <row r="482">
      <c r="A482" s="139"/>
      <c r="B482" s="234"/>
      <c r="C482" s="139"/>
      <c r="D482" s="139"/>
      <c r="E482" s="139"/>
      <c r="F482" s="139"/>
      <c r="G482" s="139"/>
      <c r="H482" s="139"/>
      <c r="I482" s="139"/>
      <c r="J482" s="139"/>
      <c r="K482" s="139"/>
      <c r="L482" s="139"/>
      <c r="M482" s="139"/>
      <c r="N482" s="145"/>
      <c r="O482" s="139"/>
      <c r="P482" s="139"/>
      <c r="Q482" s="231"/>
      <c r="R482" s="139"/>
      <c r="S482" s="235"/>
      <c r="T482" s="235"/>
      <c r="U482" s="145"/>
      <c r="V482" s="145"/>
      <c r="W482" s="111"/>
      <c r="X482" s="233"/>
      <c r="Y482" s="226"/>
      <c r="Z482" s="139"/>
      <c r="AA482" s="139"/>
      <c r="AB482" s="139"/>
      <c r="AC482" s="139"/>
      <c r="AD482" s="139"/>
      <c r="AE482" s="139"/>
      <c r="AF482" s="139"/>
      <c r="AG482" s="139"/>
      <c r="AH482" s="139"/>
      <c r="AI482" s="139"/>
      <c r="AJ482" s="139"/>
      <c r="AK482" s="139"/>
      <c r="AL482" s="139"/>
      <c r="AM482" s="139"/>
      <c r="AN482" s="139"/>
      <c r="AO482" s="139"/>
      <c r="AP482" s="139"/>
      <c r="AQ482" s="139"/>
      <c r="AR482" s="139"/>
      <c r="AS482" s="139"/>
      <c r="AT482" s="139"/>
      <c r="AU482" s="139"/>
      <c r="AV482" s="139"/>
    </row>
    <row r="483">
      <c r="A483" s="139"/>
      <c r="B483" s="234"/>
      <c r="C483" s="139"/>
      <c r="D483" s="139"/>
      <c r="E483" s="139"/>
      <c r="F483" s="139"/>
      <c r="G483" s="139"/>
      <c r="H483" s="139"/>
      <c r="I483" s="139"/>
      <c r="J483" s="139"/>
      <c r="K483" s="139"/>
      <c r="L483" s="139"/>
      <c r="M483" s="139"/>
      <c r="N483" s="145"/>
      <c r="O483" s="139"/>
      <c r="P483" s="139"/>
      <c r="Q483" s="231"/>
      <c r="R483" s="139"/>
      <c r="S483" s="235"/>
      <c r="T483" s="235"/>
      <c r="U483" s="145"/>
      <c r="V483" s="145"/>
      <c r="W483" s="111"/>
      <c r="X483" s="233"/>
      <c r="Y483" s="226"/>
      <c r="Z483" s="139"/>
      <c r="AA483" s="139"/>
      <c r="AB483" s="139"/>
      <c r="AC483" s="139"/>
      <c r="AD483" s="139"/>
      <c r="AE483" s="139"/>
      <c r="AF483" s="139"/>
      <c r="AG483" s="139"/>
      <c r="AH483" s="139"/>
      <c r="AI483" s="139"/>
      <c r="AJ483" s="139"/>
      <c r="AK483" s="139"/>
      <c r="AL483" s="139"/>
      <c r="AM483" s="139"/>
      <c r="AN483" s="139"/>
      <c r="AO483" s="139"/>
      <c r="AP483" s="139"/>
      <c r="AQ483" s="139"/>
      <c r="AR483" s="139"/>
      <c r="AS483" s="139"/>
      <c r="AT483" s="139"/>
      <c r="AU483" s="139"/>
      <c r="AV483" s="139"/>
    </row>
    <row r="484">
      <c r="A484" s="139"/>
      <c r="B484" s="234"/>
      <c r="C484" s="139"/>
      <c r="D484" s="139"/>
      <c r="E484" s="139"/>
      <c r="F484" s="139"/>
      <c r="G484" s="139"/>
      <c r="H484" s="139"/>
      <c r="I484" s="139"/>
      <c r="J484" s="139"/>
      <c r="K484" s="139"/>
      <c r="L484" s="139"/>
      <c r="M484" s="139"/>
      <c r="N484" s="145"/>
      <c r="O484" s="139"/>
      <c r="P484" s="139"/>
      <c r="Q484" s="231"/>
      <c r="R484" s="139"/>
      <c r="S484" s="235"/>
      <c r="T484" s="235"/>
      <c r="U484" s="145"/>
      <c r="V484" s="145"/>
      <c r="W484" s="111"/>
      <c r="X484" s="233"/>
      <c r="Y484" s="226"/>
      <c r="Z484" s="139"/>
      <c r="AA484" s="139"/>
      <c r="AB484" s="139"/>
      <c r="AC484" s="139"/>
      <c r="AD484" s="139"/>
      <c r="AE484" s="139"/>
      <c r="AF484" s="139"/>
      <c r="AG484" s="139"/>
      <c r="AH484" s="139"/>
      <c r="AI484" s="139"/>
      <c r="AJ484" s="139"/>
      <c r="AK484" s="139"/>
      <c r="AL484" s="139"/>
      <c r="AM484" s="139"/>
      <c r="AN484" s="139"/>
      <c r="AO484" s="139"/>
      <c r="AP484" s="139"/>
      <c r="AQ484" s="139"/>
      <c r="AR484" s="139"/>
      <c r="AS484" s="139"/>
      <c r="AT484" s="139"/>
      <c r="AU484" s="139"/>
      <c r="AV484" s="139"/>
    </row>
    <row r="485">
      <c r="A485" s="139"/>
      <c r="B485" s="234"/>
      <c r="C485" s="139"/>
      <c r="D485" s="139"/>
      <c r="E485" s="139"/>
      <c r="F485" s="139"/>
      <c r="G485" s="139"/>
      <c r="H485" s="139"/>
      <c r="I485" s="139"/>
      <c r="J485" s="139"/>
      <c r="K485" s="139"/>
      <c r="L485" s="139"/>
      <c r="M485" s="139"/>
      <c r="N485" s="145"/>
      <c r="O485" s="139"/>
      <c r="P485" s="139"/>
      <c r="Q485" s="231"/>
      <c r="R485" s="139"/>
      <c r="S485" s="235"/>
      <c r="T485" s="235"/>
      <c r="U485" s="145"/>
      <c r="V485" s="145"/>
      <c r="W485" s="111"/>
      <c r="X485" s="233"/>
      <c r="Y485" s="226"/>
      <c r="Z485" s="139"/>
      <c r="AA485" s="139"/>
      <c r="AB485" s="139"/>
      <c r="AC485" s="139"/>
      <c r="AD485" s="139"/>
      <c r="AE485" s="139"/>
      <c r="AF485" s="139"/>
      <c r="AG485" s="139"/>
      <c r="AH485" s="139"/>
      <c r="AI485" s="139"/>
      <c r="AJ485" s="139"/>
      <c r="AK485" s="139"/>
      <c r="AL485" s="139"/>
      <c r="AM485" s="139"/>
      <c r="AN485" s="139"/>
      <c r="AO485" s="139"/>
      <c r="AP485" s="139"/>
      <c r="AQ485" s="139"/>
      <c r="AR485" s="139"/>
      <c r="AS485" s="139"/>
      <c r="AT485" s="139"/>
      <c r="AU485" s="139"/>
      <c r="AV485" s="139"/>
    </row>
    <row r="486">
      <c r="A486" s="139"/>
      <c r="B486" s="234"/>
      <c r="C486" s="139"/>
      <c r="D486" s="139"/>
      <c r="E486" s="139"/>
      <c r="F486" s="139"/>
      <c r="G486" s="139"/>
      <c r="H486" s="139"/>
      <c r="I486" s="139"/>
      <c r="J486" s="139"/>
      <c r="K486" s="139"/>
      <c r="L486" s="139"/>
      <c r="M486" s="139"/>
      <c r="N486" s="145"/>
      <c r="O486" s="139"/>
      <c r="P486" s="139"/>
      <c r="Q486" s="231"/>
      <c r="R486" s="139"/>
      <c r="S486" s="235"/>
      <c r="T486" s="235"/>
      <c r="U486" s="145"/>
      <c r="V486" s="145"/>
      <c r="W486" s="111"/>
      <c r="X486" s="233"/>
      <c r="Y486" s="226"/>
      <c r="Z486" s="139"/>
      <c r="AA486" s="139"/>
      <c r="AB486" s="139"/>
      <c r="AC486" s="139"/>
      <c r="AD486" s="139"/>
      <c r="AE486" s="139"/>
      <c r="AF486" s="139"/>
      <c r="AG486" s="139"/>
      <c r="AH486" s="139"/>
      <c r="AI486" s="139"/>
      <c r="AJ486" s="139"/>
      <c r="AK486" s="139"/>
      <c r="AL486" s="139"/>
      <c r="AM486" s="139"/>
      <c r="AN486" s="139"/>
      <c r="AO486" s="139"/>
      <c r="AP486" s="139"/>
      <c r="AQ486" s="139"/>
      <c r="AR486" s="139"/>
      <c r="AS486" s="139"/>
      <c r="AT486" s="139"/>
      <c r="AU486" s="139"/>
      <c r="AV486" s="139"/>
    </row>
    <row r="487">
      <c r="A487" s="139"/>
      <c r="B487" s="234"/>
      <c r="C487" s="139"/>
      <c r="D487" s="139"/>
      <c r="E487" s="139"/>
      <c r="F487" s="139"/>
      <c r="G487" s="139"/>
      <c r="H487" s="139"/>
      <c r="I487" s="139"/>
      <c r="J487" s="139"/>
      <c r="K487" s="139"/>
      <c r="L487" s="139"/>
      <c r="M487" s="139"/>
      <c r="N487" s="145"/>
      <c r="O487" s="139"/>
      <c r="P487" s="139"/>
      <c r="Q487" s="231"/>
      <c r="R487" s="139"/>
      <c r="S487" s="235"/>
      <c r="T487" s="235"/>
      <c r="U487" s="145"/>
      <c r="V487" s="145"/>
      <c r="W487" s="111"/>
      <c r="X487" s="233"/>
      <c r="Y487" s="226"/>
      <c r="Z487" s="139"/>
      <c r="AA487" s="139"/>
      <c r="AB487" s="139"/>
      <c r="AC487" s="139"/>
      <c r="AD487" s="139"/>
      <c r="AE487" s="139"/>
      <c r="AF487" s="139"/>
      <c r="AG487" s="139"/>
      <c r="AH487" s="139"/>
      <c r="AI487" s="139"/>
      <c r="AJ487" s="139"/>
      <c r="AK487" s="139"/>
      <c r="AL487" s="139"/>
      <c r="AM487" s="139"/>
      <c r="AN487" s="139"/>
      <c r="AO487" s="139"/>
      <c r="AP487" s="139"/>
      <c r="AQ487" s="139"/>
      <c r="AR487" s="139"/>
      <c r="AS487" s="139"/>
      <c r="AT487" s="139"/>
      <c r="AU487" s="139"/>
      <c r="AV487" s="139"/>
    </row>
    <row r="488">
      <c r="A488" s="139"/>
      <c r="B488" s="234"/>
      <c r="C488" s="139"/>
      <c r="D488" s="139"/>
      <c r="E488" s="139"/>
      <c r="F488" s="139"/>
      <c r="G488" s="139"/>
      <c r="H488" s="139"/>
      <c r="I488" s="139"/>
      <c r="J488" s="139"/>
      <c r="K488" s="139"/>
      <c r="L488" s="139"/>
      <c r="M488" s="139"/>
      <c r="N488" s="145"/>
      <c r="O488" s="139"/>
      <c r="P488" s="139"/>
      <c r="Q488" s="231"/>
      <c r="R488" s="139"/>
      <c r="S488" s="235"/>
      <c r="T488" s="235"/>
      <c r="U488" s="145"/>
      <c r="V488" s="145"/>
      <c r="W488" s="111"/>
      <c r="X488" s="233"/>
      <c r="Y488" s="226"/>
      <c r="Z488" s="139"/>
      <c r="AA488" s="139"/>
      <c r="AB488" s="139"/>
      <c r="AC488" s="139"/>
      <c r="AD488" s="139"/>
      <c r="AE488" s="139"/>
      <c r="AF488" s="139"/>
      <c r="AG488" s="139"/>
      <c r="AH488" s="139"/>
      <c r="AI488" s="139"/>
      <c r="AJ488" s="139"/>
      <c r="AK488" s="139"/>
      <c r="AL488" s="139"/>
      <c r="AM488" s="139"/>
      <c r="AN488" s="139"/>
      <c r="AO488" s="139"/>
      <c r="AP488" s="139"/>
      <c r="AQ488" s="139"/>
      <c r="AR488" s="139"/>
      <c r="AS488" s="139"/>
      <c r="AT488" s="139"/>
      <c r="AU488" s="139"/>
      <c r="AV488" s="139"/>
    </row>
    <row r="489">
      <c r="A489" s="139"/>
      <c r="B489" s="234"/>
      <c r="C489" s="139"/>
      <c r="D489" s="139"/>
      <c r="E489" s="139"/>
      <c r="F489" s="139"/>
      <c r="G489" s="139"/>
      <c r="H489" s="139"/>
      <c r="I489" s="139"/>
      <c r="J489" s="139"/>
      <c r="K489" s="139"/>
      <c r="L489" s="139"/>
      <c r="M489" s="139"/>
      <c r="N489" s="145"/>
      <c r="O489" s="139"/>
      <c r="P489" s="139"/>
      <c r="Q489" s="231"/>
      <c r="R489" s="139"/>
      <c r="S489" s="235"/>
      <c r="T489" s="235"/>
      <c r="U489" s="145"/>
      <c r="V489" s="145"/>
      <c r="W489" s="111"/>
      <c r="X489" s="233"/>
      <c r="Y489" s="226"/>
      <c r="Z489" s="139"/>
      <c r="AA489" s="139"/>
      <c r="AB489" s="139"/>
      <c r="AC489" s="139"/>
      <c r="AD489" s="139"/>
      <c r="AE489" s="139"/>
      <c r="AF489" s="139"/>
      <c r="AG489" s="139"/>
      <c r="AH489" s="139"/>
      <c r="AI489" s="139"/>
      <c r="AJ489" s="139"/>
      <c r="AK489" s="139"/>
      <c r="AL489" s="139"/>
      <c r="AM489" s="139"/>
      <c r="AN489" s="139"/>
      <c r="AO489" s="139"/>
      <c r="AP489" s="139"/>
      <c r="AQ489" s="139"/>
      <c r="AR489" s="139"/>
      <c r="AS489" s="139"/>
      <c r="AT489" s="139"/>
      <c r="AU489" s="139"/>
      <c r="AV489" s="139"/>
    </row>
    <row r="490">
      <c r="A490" s="139"/>
      <c r="B490" s="234"/>
      <c r="C490" s="139"/>
      <c r="D490" s="139"/>
      <c r="E490" s="139"/>
      <c r="F490" s="139"/>
      <c r="G490" s="139"/>
      <c r="H490" s="139"/>
      <c r="I490" s="139"/>
      <c r="J490" s="139"/>
      <c r="K490" s="139"/>
      <c r="L490" s="139"/>
      <c r="M490" s="139"/>
      <c r="N490" s="145"/>
      <c r="O490" s="139"/>
      <c r="P490" s="139"/>
      <c r="Q490" s="231"/>
      <c r="R490" s="139"/>
      <c r="S490" s="235"/>
      <c r="T490" s="235"/>
      <c r="U490" s="145"/>
      <c r="V490" s="145"/>
      <c r="W490" s="111"/>
      <c r="X490" s="233"/>
      <c r="Y490" s="226"/>
      <c r="Z490" s="139"/>
      <c r="AA490" s="139"/>
      <c r="AB490" s="139"/>
      <c r="AC490" s="139"/>
      <c r="AD490" s="139"/>
      <c r="AE490" s="139"/>
      <c r="AF490" s="139"/>
      <c r="AG490" s="139"/>
      <c r="AH490" s="139"/>
      <c r="AI490" s="139"/>
      <c r="AJ490" s="139"/>
      <c r="AK490" s="139"/>
      <c r="AL490" s="139"/>
      <c r="AM490" s="139"/>
      <c r="AN490" s="139"/>
      <c r="AO490" s="139"/>
      <c r="AP490" s="139"/>
      <c r="AQ490" s="139"/>
      <c r="AR490" s="139"/>
      <c r="AS490" s="139"/>
      <c r="AT490" s="139"/>
      <c r="AU490" s="139"/>
      <c r="AV490" s="139"/>
    </row>
    <row r="491">
      <c r="A491" s="139"/>
      <c r="B491" s="234"/>
      <c r="C491" s="139"/>
      <c r="D491" s="139"/>
      <c r="E491" s="139"/>
      <c r="F491" s="139"/>
      <c r="G491" s="139"/>
      <c r="H491" s="139"/>
      <c r="I491" s="139"/>
      <c r="J491" s="139"/>
      <c r="K491" s="139"/>
      <c r="L491" s="139"/>
      <c r="M491" s="139"/>
      <c r="N491" s="145"/>
      <c r="O491" s="139"/>
      <c r="P491" s="139"/>
      <c r="Q491" s="231"/>
      <c r="R491" s="139"/>
      <c r="S491" s="235"/>
      <c r="T491" s="235"/>
      <c r="U491" s="145"/>
      <c r="V491" s="145"/>
      <c r="W491" s="111"/>
      <c r="X491" s="233"/>
      <c r="Y491" s="226"/>
      <c r="Z491" s="139"/>
      <c r="AA491" s="139"/>
      <c r="AB491" s="139"/>
      <c r="AC491" s="139"/>
      <c r="AD491" s="139"/>
      <c r="AE491" s="139"/>
      <c r="AF491" s="139"/>
      <c r="AG491" s="139"/>
      <c r="AH491" s="139"/>
      <c r="AI491" s="139"/>
      <c r="AJ491" s="139"/>
      <c r="AK491" s="139"/>
      <c r="AL491" s="139"/>
      <c r="AM491" s="139"/>
      <c r="AN491" s="139"/>
      <c r="AO491" s="139"/>
      <c r="AP491" s="139"/>
      <c r="AQ491" s="139"/>
      <c r="AR491" s="139"/>
      <c r="AS491" s="139"/>
      <c r="AT491" s="139"/>
      <c r="AU491" s="139"/>
      <c r="AV491" s="139"/>
    </row>
    <row r="492">
      <c r="A492" s="139"/>
      <c r="B492" s="234"/>
      <c r="C492" s="139"/>
      <c r="D492" s="139"/>
      <c r="E492" s="139"/>
      <c r="F492" s="139"/>
      <c r="G492" s="139"/>
      <c r="H492" s="139"/>
      <c r="I492" s="139"/>
      <c r="J492" s="139"/>
      <c r="K492" s="139"/>
      <c r="L492" s="139"/>
      <c r="M492" s="139"/>
      <c r="N492" s="145"/>
      <c r="O492" s="139"/>
      <c r="P492" s="139"/>
      <c r="Q492" s="231"/>
      <c r="R492" s="139"/>
      <c r="S492" s="235"/>
      <c r="T492" s="235"/>
      <c r="U492" s="145"/>
      <c r="V492" s="145"/>
      <c r="W492" s="111"/>
      <c r="X492" s="233"/>
      <c r="Y492" s="226"/>
      <c r="Z492" s="139"/>
      <c r="AA492" s="139"/>
      <c r="AB492" s="139"/>
      <c r="AC492" s="139"/>
      <c r="AD492" s="139"/>
      <c r="AE492" s="139"/>
      <c r="AF492" s="139"/>
      <c r="AG492" s="139"/>
      <c r="AH492" s="139"/>
      <c r="AI492" s="139"/>
      <c r="AJ492" s="139"/>
      <c r="AK492" s="139"/>
      <c r="AL492" s="139"/>
      <c r="AM492" s="139"/>
      <c r="AN492" s="139"/>
      <c r="AO492" s="139"/>
      <c r="AP492" s="139"/>
      <c r="AQ492" s="139"/>
      <c r="AR492" s="139"/>
      <c r="AS492" s="139"/>
      <c r="AT492" s="139"/>
      <c r="AU492" s="139"/>
      <c r="AV492" s="139"/>
    </row>
    <row r="493">
      <c r="A493" s="139"/>
      <c r="B493" s="234"/>
      <c r="C493" s="139"/>
      <c r="D493" s="139"/>
      <c r="E493" s="139"/>
      <c r="F493" s="139"/>
      <c r="G493" s="139"/>
      <c r="H493" s="139"/>
      <c r="I493" s="139"/>
      <c r="J493" s="139"/>
      <c r="K493" s="139"/>
      <c r="L493" s="139"/>
      <c r="M493" s="139"/>
      <c r="N493" s="145"/>
      <c r="O493" s="139"/>
      <c r="P493" s="139"/>
      <c r="Q493" s="231"/>
      <c r="R493" s="139"/>
      <c r="S493" s="235"/>
      <c r="T493" s="235"/>
      <c r="U493" s="145"/>
      <c r="V493" s="145"/>
      <c r="W493" s="111"/>
      <c r="X493" s="233"/>
      <c r="Y493" s="226"/>
      <c r="Z493" s="139"/>
      <c r="AA493" s="139"/>
      <c r="AB493" s="139"/>
      <c r="AC493" s="139"/>
      <c r="AD493" s="139"/>
      <c r="AE493" s="139"/>
      <c r="AF493" s="139"/>
      <c r="AG493" s="139"/>
      <c r="AH493" s="139"/>
      <c r="AI493" s="139"/>
      <c r="AJ493" s="139"/>
      <c r="AK493" s="139"/>
      <c r="AL493" s="139"/>
      <c r="AM493" s="139"/>
      <c r="AN493" s="139"/>
      <c r="AO493" s="139"/>
      <c r="AP493" s="139"/>
      <c r="AQ493" s="139"/>
      <c r="AR493" s="139"/>
      <c r="AS493" s="139"/>
      <c r="AT493" s="139"/>
      <c r="AU493" s="139"/>
      <c r="AV493" s="139"/>
    </row>
    <row r="494">
      <c r="A494" s="139"/>
      <c r="B494" s="234"/>
      <c r="C494" s="139"/>
      <c r="D494" s="139"/>
      <c r="E494" s="139"/>
      <c r="F494" s="139"/>
      <c r="G494" s="139"/>
      <c r="H494" s="139"/>
      <c r="I494" s="139"/>
      <c r="J494" s="139"/>
      <c r="K494" s="139"/>
      <c r="L494" s="139"/>
      <c r="M494" s="139"/>
      <c r="N494" s="145"/>
      <c r="O494" s="139"/>
      <c r="P494" s="139"/>
      <c r="Q494" s="231"/>
      <c r="R494" s="139"/>
      <c r="S494" s="235"/>
      <c r="T494" s="235"/>
      <c r="U494" s="145"/>
      <c r="V494" s="145"/>
      <c r="W494" s="111"/>
      <c r="X494" s="233"/>
      <c r="Y494" s="226"/>
      <c r="Z494" s="139"/>
      <c r="AA494" s="139"/>
      <c r="AB494" s="139"/>
      <c r="AC494" s="139"/>
      <c r="AD494" s="139"/>
      <c r="AE494" s="139"/>
      <c r="AF494" s="139"/>
      <c r="AG494" s="139"/>
      <c r="AH494" s="139"/>
      <c r="AI494" s="139"/>
      <c r="AJ494" s="139"/>
      <c r="AK494" s="139"/>
      <c r="AL494" s="139"/>
      <c r="AM494" s="139"/>
      <c r="AN494" s="139"/>
      <c r="AO494" s="139"/>
      <c r="AP494" s="139"/>
      <c r="AQ494" s="139"/>
      <c r="AR494" s="139"/>
      <c r="AS494" s="139"/>
      <c r="AT494" s="139"/>
      <c r="AU494" s="139"/>
      <c r="AV494" s="139"/>
    </row>
    <row r="495">
      <c r="A495" s="139"/>
      <c r="B495" s="234"/>
      <c r="C495" s="139"/>
      <c r="D495" s="139"/>
      <c r="E495" s="139"/>
      <c r="F495" s="139"/>
      <c r="G495" s="139"/>
      <c r="H495" s="139"/>
      <c r="I495" s="139"/>
      <c r="J495" s="139"/>
      <c r="K495" s="139"/>
      <c r="L495" s="139"/>
      <c r="M495" s="139"/>
      <c r="N495" s="145"/>
      <c r="O495" s="139"/>
      <c r="P495" s="139"/>
      <c r="Q495" s="231"/>
      <c r="R495" s="139"/>
      <c r="S495" s="235"/>
      <c r="T495" s="235"/>
      <c r="U495" s="145"/>
      <c r="V495" s="145"/>
      <c r="W495" s="111"/>
      <c r="X495" s="233"/>
      <c r="Y495" s="226"/>
      <c r="Z495" s="139"/>
      <c r="AA495" s="139"/>
      <c r="AB495" s="139"/>
      <c r="AC495" s="139"/>
      <c r="AD495" s="139"/>
      <c r="AE495" s="139"/>
      <c r="AF495" s="139"/>
      <c r="AG495" s="139"/>
      <c r="AH495" s="139"/>
      <c r="AI495" s="139"/>
      <c r="AJ495" s="139"/>
      <c r="AK495" s="139"/>
      <c r="AL495" s="139"/>
      <c r="AM495" s="139"/>
      <c r="AN495" s="139"/>
      <c r="AO495" s="139"/>
      <c r="AP495" s="139"/>
      <c r="AQ495" s="139"/>
      <c r="AR495" s="139"/>
      <c r="AS495" s="139"/>
      <c r="AT495" s="139"/>
      <c r="AU495" s="139"/>
      <c r="AV495" s="139"/>
    </row>
    <row r="496">
      <c r="A496" s="139"/>
      <c r="B496" s="234"/>
      <c r="C496" s="139"/>
      <c r="D496" s="139"/>
      <c r="E496" s="139"/>
      <c r="F496" s="139"/>
      <c r="G496" s="139"/>
      <c r="H496" s="139"/>
      <c r="I496" s="139"/>
      <c r="J496" s="139"/>
      <c r="K496" s="139"/>
      <c r="L496" s="139"/>
      <c r="M496" s="139"/>
      <c r="N496" s="145"/>
      <c r="O496" s="139"/>
      <c r="P496" s="139"/>
      <c r="Q496" s="231"/>
      <c r="R496" s="139"/>
      <c r="S496" s="235"/>
      <c r="T496" s="235"/>
      <c r="U496" s="145"/>
      <c r="V496" s="145"/>
      <c r="W496" s="111"/>
      <c r="X496" s="233"/>
      <c r="Y496" s="226"/>
      <c r="Z496" s="139"/>
      <c r="AA496" s="139"/>
      <c r="AB496" s="139"/>
      <c r="AC496" s="139"/>
      <c r="AD496" s="139"/>
      <c r="AE496" s="139"/>
      <c r="AF496" s="139"/>
      <c r="AG496" s="139"/>
      <c r="AH496" s="139"/>
      <c r="AI496" s="139"/>
      <c r="AJ496" s="139"/>
      <c r="AK496" s="139"/>
      <c r="AL496" s="139"/>
      <c r="AM496" s="139"/>
      <c r="AN496" s="139"/>
      <c r="AO496" s="139"/>
      <c r="AP496" s="139"/>
      <c r="AQ496" s="139"/>
      <c r="AR496" s="139"/>
      <c r="AS496" s="139"/>
      <c r="AT496" s="139"/>
      <c r="AU496" s="139"/>
      <c r="AV496" s="139"/>
    </row>
    <row r="497">
      <c r="A497" s="139"/>
      <c r="B497" s="234"/>
      <c r="C497" s="139"/>
      <c r="D497" s="139"/>
      <c r="E497" s="139"/>
      <c r="F497" s="139"/>
      <c r="G497" s="139"/>
      <c r="H497" s="139"/>
      <c r="I497" s="139"/>
      <c r="J497" s="139"/>
      <c r="K497" s="139"/>
      <c r="L497" s="139"/>
      <c r="M497" s="139"/>
      <c r="N497" s="145"/>
      <c r="O497" s="139"/>
      <c r="P497" s="139"/>
      <c r="Q497" s="231"/>
      <c r="R497" s="139"/>
      <c r="S497" s="235"/>
      <c r="T497" s="235"/>
      <c r="U497" s="145"/>
      <c r="V497" s="145"/>
      <c r="W497" s="111"/>
      <c r="X497" s="233"/>
      <c r="Y497" s="226"/>
      <c r="Z497" s="139"/>
      <c r="AA497" s="139"/>
      <c r="AB497" s="139"/>
      <c r="AC497" s="139"/>
      <c r="AD497" s="139"/>
      <c r="AE497" s="139"/>
      <c r="AF497" s="139"/>
      <c r="AG497" s="139"/>
      <c r="AH497" s="139"/>
      <c r="AI497" s="139"/>
      <c r="AJ497" s="139"/>
      <c r="AK497" s="139"/>
      <c r="AL497" s="139"/>
      <c r="AM497" s="139"/>
      <c r="AN497" s="139"/>
      <c r="AO497" s="139"/>
      <c r="AP497" s="139"/>
      <c r="AQ497" s="139"/>
      <c r="AR497" s="139"/>
      <c r="AS497" s="139"/>
      <c r="AT497" s="139"/>
      <c r="AU497" s="139"/>
      <c r="AV497" s="139"/>
    </row>
    <row r="498">
      <c r="A498" s="139"/>
      <c r="B498" s="234"/>
      <c r="C498" s="139"/>
      <c r="D498" s="139"/>
      <c r="E498" s="139"/>
      <c r="F498" s="139"/>
      <c r="G498" s="139"/>
      <c r="H498" s="139"/>
      <c r="I498" s="139"/>
      <c r="J498" s="139"/>
      <c r="K498" s="139"/>
      <c r="L498" s="139"/>
      <c r="M498" s="139"/>
      <c r="N498" s="145"/>
      <c r="O498" s="139"/>
      <c r="P498" s="139"/>
      <c r="Q498" s="231"/>
      <c r="R498" s="139"/>
      <c r="S498" s="235"/>
      <c r="T498" s="235"/>
      <c r="U498" s="145"/>
      <c r="V498" s="145"/>
      <c r="W498" s="111"/>
      <c r="X498" s="233"/>
      <c r="Y498" s="226"/>
      <c r="Z498" s="139"/>
      <c r="AA498" s="139"/>
      <c r="AB498" s="139"/>
      <c r="AC498" s="139"/>
      <c r="AD498" s="139"/>
      <c r="AE498" s="139"/>
      <c r="AF498" s="139"/>
      <c r="AG498" s="139"/>
      <c r="AH498" s="139"/>
      <c r="AI498" s="139"/>
      <c r="AJ498" s="139"/>
      <c r="AK498" s="139"/>
      <c r="AL498" s="139"/>
      <c r="AM498" s="139"/>
      <c r="AN498" s="139"/>
      <c r="AO498" s="139"/>
      <c r="AP498" s="139"/>
      <c r="AQ498" s="139"/>
      <c r="AR498" s="139"/>
      <c r="AS498" s="139"/>
      <c r="AT498" s="139"/>
      <c r="AU498" s="139"/>
      <c r="AV498" s="139"/>
    </row>
    <row r="499">
      <c r="A499" s="139"/>
      <c r="B499" s="234"/>
      <c r="C499" s="139"/>
      <c r="D499" s="139"/>
      <c r="E499" s="139"/>
      <c r="F499" s="139"/>
      <c r="G499" s="139"/>
      <c r="H499" s="139"/>
      <c r="I499" s="139"/>
      <c r="J499" s="139"/>
      <c r="K499" s="139"/>
      <c r="L499" s="139"/>
      <c r="M499" s="139"/>
      <c r="N499" s="145"/>
      <c r="O499" s="139"/>
      <c r="P499" s="139"/>
      <c r="Q499" s="231"/>
      <c r="R499" s="139"/>
      <c r="S499" s="235"/>
      <c r="T499" s="235"/>
      <c r="U499" s="145"/>
      <c r="V499" s="145"/>
      <c r="W499" s="111"/>
      <c r="X499" s="233"/>
      <c r="Y499" s="226"/>
      <c r="Z499" s="139"/>
      <c r="AA499" s="139"/>
      <c r="AB499" s="139"/>
      <c r="AC499" s="139"/>
      <c r="AD499" s="139"/>
      <c r="AE499" s="139"/>
      <c r="AF499" s="139"/>
      <c r="AG499" s="139"/>
      <c r="AH499" s="139"/>
      <c r="AI499" s="139"/>
      <c r="AJ499" s="139"/>
      <c r="AK499" s="139"/>
      <c r="AL499" s="139"/>
      <c r="AM499" s="139"/>
      <c r="AN499" s="139"/>
      <c r="AO499" s="139"/>
      <c r="AP499" s="139"/>
      <c r="AQ499" s="139"/>
      <c r="AR499" s="139"/>
      <c r="AS499" s="139"/>
      <c r="AT499" s="139"/>
      <c r="AU499" s="139"/>
      <c r="AV499" s="139"/>
    </row>
    <row r="500">
      <c r="A500" s="139"/>
      <c r="B500" s="234"/>
      <c r="C500" s="139"/>
      <c r="D500" s="139"/>
      <c r="E500" s="139"/>
      <c r="F500" s="139"/>
      <c r="G500" s="139"/>
      <c r="H500" s="139"/>
      <c r="I500" s="139"/>
      <c r="J500" s="139"/>
      <c r="K500" s="139"/>
      <c r="L500" s="139"/>
      <c r="M500" s="139"/>
      <c r="N500" s="145"/>
      <c r="O500" s="139"/>
      <c r="P500" s="139"/>
      <c r="Q500" s="231"/>
      <c r="R500" s="139"/>
      <c r="S500" s="235"/>
      <c r="T500" s="235"/>
      <c r="U500" s="145"/>
      <c r="V500" s="145"/>
      <c r="W500" s="111"/>
      <c r="X500" s="233"/>
      <c r="Y500" s="226"/>
      <c r="Z500" s="139"/>
      <c r="AA500" s="139"/>
      <c r="AB500" s="139"/>
      <c r="AC500" s="139"/>
      <c r="AD500" s="139"/>
      <c r="AE500" s="139"/>
      <c r="AF500" s="139"/>
      <c r="AG500" s="139"/>
      <c r="AH500" s="139"/>
      <c r="AI500" s="139"/>
      <c r="AJ500" s="139"/>
      <c r="AK500" s="139"/>
      <c r="AL500" s="139"/>
      <c r="AM500" s="139"/>
      <c r="AN500" s="139"/>
      <c r="AO500" s="139"/>
      <c r="AP500" s="139"/>
      <c r="AQ500" s="139"/>
      <c r="AR500" s="139"/>
      <c r="AS500" s="139"/>
      <c r="AT500" s="139"/>
      <c r="AU500" s="139"/>
      <c r="AV500" s="139"/>
    </row>
    <row r="501">
      <c r="A501" s="139"/>
      <c r="B501" s="234"/>
      <c r="C501" s="139"/>
      <c r="D501" s="139"/>
      <c r="E501" s="139"/>
      <c r="F501" s="139"/>
      <c r="G501" s="139"/>
      <c r="H501" s="139"/>
      <c r="I501" s="139"/>
      <c r="J501" s="139"/>
      <c r="K501" s="139"/>
      <c r="L501" s="139"/>
      <c r="M501" s="139"/>
      <c r="N501" s="145"/>
      <c r="O501" s="139"/>
      <c r="P501" s="139"/>
      <c r="Q501" s="231"/>
      <c r="R501" s="139"/>
      <c r="S501" s="235"/>
      <c r="T501" s="235"/>
      <c r="U501" s="145"/>
      <c r="V501" s="145"/>
      <c r="W501" s="111"/>
      <c r="X501" s="233"/>
      <c r="Y501" s="226"/>
      <c r="Z501" s="139"/>
      <c r="AA501" s="139"/>
      <c r="AB501" s="139"/>
      <c r="AC501" s="139"/>
      <c r="AD501" s="139"/>
      <c r="AE501" s="139"/>
      <c r="AF501" s="139"/>
      <c r="AG501" s="139"/>
      <c r="AH501" s="139"/>
      <c r="AI501" s="139"/>
      <c r="AJ501" s="139"/>
      <c r="AK501" s="139"/>
      <c r="AL501" s="139"/>
      <c r="AM501" s="139"/>
      <c r="AN501" s="139"/>
      <c r="AO501" s="139"/>
      <c r="AP501" s="139"/>
      <c r="AQ501" s="139"/>
      <c r="AR501" s="139"/>
      <c r="AS501" s="139"/>
      <c r="AT501" s="139"/>
      <c r="AU501" s="139"/>
      <c r="AV501" s="139"/>
    </row>
    <row r="502">
      <c r="A502" s="139"/>
      <c r="B502" s="234"/>
      <c r="C502" s="139"/>
      <c r="D502" s="139"/>
      <c r="E502" s="139"/>
      <c r="F502" s="139"/>
      <c r="G502" s="139"/>
      <c r="H502" s="139"/>
      <c r="I502" s="139"/>
      <c r="J502" s="139"/>
      <c r="K502" s="139"/>
      <c r="L502" s="139"/>
      <c r="M502" s="139"/>
      <c r="N502" s="145"/>
      <c r="O502" s="139"/>
      <c r="P502" s="139"/>
      <c r="Q502" s="231"/>
      <c r="R502" s="139"/>
      <c r="S502" s="235"/>
      <c r="T502" s="235"/>
      <c r="U502" s="145"/>
      <c r="V502" s="145"/>
      <c r="W502" s="111"/>
      <c r="X502" s="233"/>
      <c r="Y502" s="226"/>
      <c r="Z502" s="139"/>
      <c r="AA502" s="139"/>
      <c r="AB502" s="139"/>
      <c r="AC502" s="139"/>
      <c r="AD502" s="139"/>
      <c r="AE502" s="139"/>
      <c r="AF502" s="139"/>
      <c r="AG502" s="139"/>
      <c r="AH502" s="139"/>
      <c r="AI502" s="139"/>
      <c r="AJ502" s="139"/>
      <c r="AK502" s="139"/>
      <c r="AL502" s="139"/>
      <c r="AM502" s="139"/>
      <c r="AN502" s="139"/>
      <c r="AO502" s="139"/>
      <c r="AP502" s="139"/>
      <c r="AQ502" s="139"/>
      <c r="AR502" s="139"/>
      <c r="AS502" s="139"/>
      <c r="AT502" s="139"/>
      <c r="AU502" s="139"/>
      <c r="AV502" s="139"/>
    </row>
    <row r="503">
      <c r="A503" s="139"/>
      <c r="B503" s="234"/>
      <c r="C503" s="139"/>
      <c r="D503" s="139"/>
      <c r="E503" s="139"/>
      <c r="F503" s="139"/>
      <c r="G503" s="139"/>
      <c r="H503" s="139"/>
      <c r="I503" s="139"/>
      <c r="J503" s="139"/>
      <c r="K503" s="139"/>
      <c r="L503" s="139"/>
      <c r="M503" s="139"/>
      <c r="N503" s="145"/>
      <c r="O503" s="139"/>
      <c r="P503" s="139"/>
      <c r="Q503" s="231"/>
      <c r="R503" s="139"/>
      <c r="S503" s="235"/>
      <c r="T503" s="235"/>
      <c r="U503" s="145"/>
      <c r="V503" s="145"/>
      <c r="W503" s="111"/>
      <c r="X503" s="233"/>
      <c r="Y503" s="226"/>
      <c r="Z503" s="139"/>
      <c r="AA503" s="139"/>
      <c r="AB503" s="139"/>
      <c r="AC503" s="139"/>
      <c r="AD503" s="139"/>
      <c r="AE503" s="139"/>
      <c r="AF503" s="139"/>
      <c r="AG503" s="139"/>
      <c r="AH503" s="139"/>
      <c r="AI503" s="139"/>
      <c r="AJ503" s="139"/>
      <c r="AK503" s="139"/>
      <c r="AL503" s="139"/>
      <c r="AM503" s="139"/>
      <c r="AN503" s="139"/>
      <c r="AO503" s="139"/>
      <c r="AP503" s="139"/>
      <c r="AQ503" s="139"/>
      <c r="AR503" s="139"/>
      <c r="AS503" s="139"/>
      <c r="AT503" s="139"/>
      <c r="AU503" s="139"/>
      <c r="AV503" s="139"/>
    </row>
    <row r="504">
      <c r="A504" s="139"/>
      <c r="B504" s="234"/>
      <c r="C504" s="139"/>
      <c r="D504" s="139"/>
      <c r="E504" s="139"/>
      <c r="F504" s="139"/>
      <c r="G504" s="139"/>
      <c r="H504" s="139"/>
      <c r="I504" s="139"/>
      <c r="J504" s="139"/>
      <c r="K504" s="139"/>
      <c r="L504" s="139"/>
      <c r="M504" s="139"/>
      <c r="N504" s="145"/>
      <c r="O504" s="139"/>
      <c r="P504" s="139"/>
      <c r="Q504" s="231"/>
      <c r="R504" s="139"/>
      <c r="S504" s="235"/>
      <c r="T504" s="235"/>
      <c r="U504" s="145"/>
      <c r="V504" s="145"/>
      <c r="W504" s="111"/>
      <c r="X504" s="233"/>
      <c r="Y504" s="226"/>
      <c r="Z504" s="139"/>
      <c r="AA504" s="139"/>
      <c r="AB504" s="139"/>
      <c r="AC504" s="139"/>
      <c r="AD504" s="139"/>
      <c r="AE504" s="139"/>
      <c r="AF504" s="139"/>
      <c r="AG504" s="139"/>
      <c r="AH504" s="139"/>
      <c r="AI504" s="139"/>
      <c r="AJ504" s="139"/>
      <c r="AK504" s="139"/>
      <c r="AL504" s="139"/>
      <c r="AM504" s="139"/>
      <c r="AN504" s="139"/>
      <c r="AO504" s="139"/>
      <c r="AP504" s="139"/>
      <c r="AQ504" s="139"/>
      <c r="AR504" s="139"/>
      <c r="AS504" s="139"/>
      <c r="AT504" s="139"/>
      <c r="AU504" s="139"/>
      <c r="AV504" s="139"/>
    </row>
    <row r="505">
      <c r="A505" s="139"/>
      <c r="B505" s="234"/>
      <c r="C505" s="139"/>
      <c r="D505" s="139"/>
      <c r="E505" s="139"/>
      <c r="F505" s="139"/>
      <c r="G505" s="139"/>
      <c r="H505" s="139"/>
      <c r="I505" s="139"/>
      <c r="J505" s="139"/>
      <c r="K505" s="139"/>
      <c r="L505" s="139"/>
      <c r="M505" s="139"/>
      <c r="N505" s="145"/>
      <c r="O505" s="139"/>
      <c r="P505" s="139"/>
      <c r="Q505" s="231"/>
      <c r="R505" s="139"/>
      <c r="S505" s="235"/>
      <c r="T505" s="235"/>
      <c r="U505" s="145"/>
      <c r="V505" s="145"/>
      <c r="W505" s="111"/>
      <c r="X505" s="233"/>
      <c r="Y505" s="226"/>
      <c r="Z505" s="139"/>
      <c r="AA505" s="139"/>
      <c r="AB505" s="139"/>
      <c r="AC505" s="139"/>
      <c r="AD505" s="139"/>
      <c r="AE505" s="139"/>
      <c r="AF505" s="139"/>
      <c r="AG505" s="139"/>
      <c r="AH505" s="139"/>
      <c r="AI505" s="139"/>
      <c r="AJ505" s="139"/>
      <c r="AK505" s="139"/>
      <c r="AL505" s="139"/>
      <c r="AM505" s="139"/>
      <c r="AN505" s="139"/>
      <c r="AO505" s="139"/>
      <c r="AP505" s="139"/>
      <c r="AQ505" s="139"/>
      <c r="AR505" s="139"/>
      <c r="AS505" s="139"/>
      <c r="AT505" s="139"/>
      <c r="AU505" s="139"/>
      <c r="AV505" s="139"/>
    </row>
    <row r="506">
      <c r="A506" s="139"/>
      <c r="B506" s="234"/>
      <c r="C506" s="139"/>
      <c r="D506" s="139"/>
      <c r="E506" s="139"/>
      <c r="F506" s="139"/>
      <c r="G506" s="139"/>
      <c r="H506" s="139"/>
      <c r="I506" s="139"/>
      <c r="J506" s="139"/>
      <c r="K506" s="139"/>
      <c r="L506" s="139"/>
      <c r="M506" s="139"/>
      <c r="N506" s="145"/>
      <c r="O506" s="139"/>
      <c r="P506" s="139"/>
      <c r="Q506" s="231"/>
      <c r="R506" s="139"/>
      <c r="S506" s="235"/>
      <c r="T506" s="235"/>
      <c r="U506" s="145"/>
      <c r="V506" s="145"/>
      <c r="W506" s="111"/>
      <c r="X506" s="233"/>
      <c r="Y506" s="226"/>
      <c r="Z506" s="139"/>
      <c r="AA506" s="139"/>
      <c r="AB506" s="139"/>
      <c r="AC506" s="139"/>
      <c r="AD506" s="139"/>
      <c r="AE506" s="139"/>
      <c r="AF506" s="139"/>
      <c r="AG506" s="139"/>
      <c r="AH506" s="139"/>
      <c r="AI506" s="139"/>
      <c r="AJ506" s="139"/>
      <c r="AK506" s="139"/>
      <c r="AL506" s="139"/>
      <c r="AM506" s="139"/>
      <c r="AN506" s="139"/>
      <c r="AO506" s="139"/>
      <c r="AP506" s="139"/>
      <c r="AQ506" s="139"/>
      <c r="AR506" s="139"/>
      <c r="AS506" s="139"/>
      <c r="AT506" s="139"/>
      <c r="AU506" s="139"/>
      <c r="AV506" s="139"/>
    </row>
    <row r="507">
      <c r="A507" s="139"/>
      <c r="B507" s="234"/>
      <c r="C507" s="139"/>
      <c r="D507" s="139"/>
      <c r="E507" s="139"/>
      <c r="F507" s="139"/>
      <c r="G507" s="139"/>
      <c r="H507" s="139"/>
      <c r="I507" s="139"/>
      <c r="J507" s="139"/>
      <c r="K507" s="139"/>
      <c r="L507" s="139"/>
      <c r="M507" s="139"/>
      <c r="N507" s="145"/>
      <c r="O507" s="139"/>
      <c r="P507" s="139"/>
      <c r="Q507" s="231"/>
      <c r="R507" s="139"/>
      <c r="S507" s="235"/>
      <c r="T507" s="235"/>
      <c r="U507" s="145"/>
      <c r="V507" s="145"/>
      <c r="W507" s="111"/>
      <c r="X507" s="233"/>
      <c r="Y507" s="226"/>
      <c r="Z507" s="139"/>
      <c r="AA507" s="139"/>
      <c r="AB507" s="139"/>
      <c r="AC507" s="139"/>
      <c r="AD507" s="139"/>
      <c r="AE507" s="139"/>
      <c r="AF507" s="139"/>
      <c r="AG507" s="139"/>
      <c r="AH507" s="139"/>
      <c r="AI507" s="139"/>
      <c r="AJ507" s="139"/>
      <c r="AK507" s="139"/>
      <c r="AL507" s="139"/>
      <c r="AM507" s="139"/>
      <c r="AN507" s="139"/>
      <c r="AO507" s="139"/>
      <c r="AP507" s="139"/>
      <c r="AQ507" s="139"/>
      <c r="AR507" s="139"/>
      <c r="AS507" s="139"/>
      <c r="AT507" s="139"/>
      <c r="AU507" s="139"/>
      <c r="AV507" s="139"/>
    </row>
    <row r="508">
      <c r="A508" s="139"/>
      <c r="B508" s="234"/>
      <c r="C508" s="139"/>
      <c r="D508" s="139"/>
      <c r="E508" s="139"/>
      <c r="F508" s="139"/>
      <c r="G508" s="139"/>
      <c r="H508" s="139"/>
      <c r="I508" s="139"/>
      <c r="J508" s="139"/>
      <c r="K508" s="139"/>
      <c r="L508" s="139"/>
      <c r="M508" s="139"/>
      <c r="N508" s="145"/>
      <c r="O508" s="139"/>
      <c r="P508" s="139"/>
      <c r="Q508" s="231"/>
      <c r="R508" s="139"/>
      <c r="S508" s="235"/>
      <c r="T508" s="235"/>
      <c r="U508" s="145"/>
      <c r="V508" s="145"/>
      <c r="W508" s="111"/>
      <c r="X508" s="233"/>
      <c r="Y508" s="226"/>
      <c r="Z508" s="139"/>
      <c r="AA508" s="139"/>
      <c r="AB508" s="139"/>
      <c r="AC508" s="139"/>
      <c r="AD508" s="139"/>
      <c r="AE508" s="139"/>
      <c r="AF508" s="139"/>
      <c r="AG508" s="139"/>
      <c r="AH508" s="139"/>
      <c r="AI508" s="139"/>
      <c r="AJ508" s="139"/>
      <c r="AK508" s="139"/>
      <c r="AL508" s="139"/>
      <c r="AM508" s="139"/>
      <c r="AN508" s="139"/>
      <c r="AO508" s="139"/>
      <c r="AP508" s="139"/>
      <c r="AQ508" s="139"/>
      <c r="AR508" s="139"/>
      <c r="AS508" s="139"/>
      <c r="AT508" s="139"/>
      <c r="AU508" s="139"/>
      <c r="AV508" s="139"/>
    </row>
    <row r="509">
      <c r="A509" s="139"/>
      <c r="B509" s="234"/>
      <c r="C509" s="139"/>
      <c r="D509" s="139"/>
      <c r="E509" s="139"/>
      <c r="F509" s="139"/>
      <c r="G509" s="139"/>
      <c r="H509" s="139"/>
      <c r="I509" s="139"/>
      <c r="J509" s="139"/>
      <c r="K509" s="139"/>
      <c r="L509" s="139"/>
      <c r="M509" s="139"/>
      <c r="N509" s="145"/>
      <c r="O509" s="139"/>
      <c r="P509" s="139"/>
      <c r="Q509" s="231"/>
      <c r="R509" s="139"/>
      <c r="S509" s="235"/>
      <c r="T509" s="235"/>
      <c r="U509" s="145"/>
      <c r="V509" s="145"/>
      <c r="W509" s="111"/>
      <c r="X509" s="233"/>
      <c r="Y509" s="226"/>
      <c r="Z509" s="139"/>
      <c r="AA509" s="139"/>
      <c r="AB509" s="139"/>
      <c r="AC509" s="139"/>
      <c r="AD509" s="139"/>
      <c r="AE509" s="139"/>
      <c r="AF509" s="139"/>
      <c r="AG509" s="139"/>
      <c r="AH509" s="139"/>
      <c r="AI509" s="139"/>
      <c r="AJ509" s="139"/>
      <c r="AK509" s="139"/>
      <c r="AL509" s="139"/>
      <c r="AM509" s="139"/>
      <c r="AN509" s="139"/>
      <c r="AO509" s="139"/>
      <c r="AP509" s="139"/>
      <c r="AQ509" s="139"/>
      <c r="AR509" s="139"/>
      <c r="AS509" s="139"/>
      <c r="AT509" s="139"/>
      <c r="AU509" s="139"/>
      <c r="AV509" s="139"/>
    </row>
    <row r="510">
      <c r="A510" s="139"/>
      <c r="B510" s="234"/>
      <c r="C510" s="139"/>
      <c r="D510" s="139"/>
      <c r="E510" s="139"/>
      <c r="F510" s="139"/>
      <c r="G510" s="139"/>
      <c r="H510" s="139"/>
      <c r="I510" s="139"/>
      <c r="J510" s="139"/>
      <c r="K510" s="139"/>
      <c r="L510" s="139"/>
      <c r="M510" s="139"/>
      <c r="N510" s="145"/>
      <c r="O510" s="139"/>
      <c r="P510" s="139"/>
      <c r="Q510" s="231"/>
      <c r="R510" s="139"/>
      <c r="S510" s="235"/>
      <c r="T510" s="235"/>
      <c r="U510" s="145"/>
      <c r="V510" s="145"/>
      <c r="W510" s="111"/>
      <c r="X510" s="233"/>
      <c r="Y510" s="226"/>
      <c r="Z510" s="139"/>
      <c r="AA510" s="139"/>
      <c r="AB510" s="139"/>
      <c r="AC510" s="139"/>
      <c r="AD510" s="139"/>
      <c r="AE510" s="139"/>
      <c r="AF510" s="139"/>
      <c r="AG510" s="139"/>
      <c r="AH510" s="139"/>
      <c r="AI510" s="139"/>
      <c r="AJ510" s="139"/>
      <c r="AK510" s="139"/>
      <c r="AL510" s="139"/>
      <c r="AM510" s="139"/>
      <c r="AN510" s="139"/>
      <c r="AO510" s="139"/>
      <c r="AP510" s="139"/>
      <c r="AQ510" s="139"/>
      <c r="AR510" s="139"/>
      <c r="AS510" s="139"/>
      <c r="AT510" s="139"/>
      <c r="AU510" s="139"/>
      <c r="AV510" s="139"/>
    </row>
    <row r="511">
      <c r="A511" s="139"/>
      <c r="B511" s="234"/>
      <c r="C511" s="139"/>
      <c r="D511" s="139"/>
      <c r="E511" s="139"/>
      <c r="F511" s="139"/>
      <c r="G511" s="139"/>
      <c r="H511" s="139"/>
      <c r="I511" s="139"/>
      <c r="J511" s="139"/>
      <c r="K511" s="139"/>
      <c r="L511" s="139"/>
      <c r="M511" s="139"/>
      <c r="N511" s="145"/>
      <c r="O511" s="139"/>
      <c r="P511" s="139"/>
      <c r="Q511" s="231"/>
      <c r="R511" s="139"/>
      <c r="S511" s="235"/>
      <c r="T511" s="235"/>
      <c r="U511" s="145"/>
      <c r="V511" s="145"/>
      <c r="W511" s="111"/>
      <c r="X511" s="233"/>
      <c r="Y511" s="226"/>
      <c r="Z511" s="139"/>
      <c r="AA511" s="139"/>
      <c r="AB511" s="139"/>
      <c r="AC511" s="139"/>
      <c r="AD511" s="139"/>
      <c r="AE511" s="139"/>
      <c r="AF511" s="139"/>
      <c r="AG511" s="139"/>
      <c r="AH511" s="139"/>
      <c r="AI511" s="139"/>
      <c r="AJ511" s="139"/>
      <c r="AK511" s="139"/>
      <c r="AL511" s="139"/>
      <c r="AM511" s="139"/>
      <c r="AN511" s="139"/>
      <c r="AO511" s="139"/>
      <c r="AP511" s="139"/>
      <c r="AQ511" s="139"/>
      <c r="AR511" s="139"/>
      <c r="AS511" s="139"/>
      <c r="AT511" s="139"/>
      <c r="AU511" s="139"/>
      <c r="AV511" s="139"/>
    </row>
    <row r="512">
      <c r="A512" s="139"/>
      <c r="B512" s="234"/>
      <c r="C512" s="139"/>
      <c r="D512" s="139"/>
      <c r="E512" s="139"/>
      <c r="F512" s="139"/>
      <c r="G512" s="139"/>
      <c r="H512" s="139"/>
      <c r="I512" s="139"/>
      <c r="J512" s="139"/>
      <c r="K512" s="139"/>
      <c r="L512" s="139"/>
      <c r="M512" s="139"/>
      <c r="N512" s="145"/>
      <c r="O512" s="139"/>
      <c r="P512" s="139"/>
      <c r="Q512" s="231"/>
      <c r="R512" s="139"/>
      <c r="S512" s="235"/>
      <c r="T512" s="235"/>
      <c r="U512" s="145"/>
      <c r="V512" s="145"/>
      <c r="W512" s="111"/>
      <c r="X512" s="233"/>
      <c r="Y512" s="226"/>
      <c r="Z512" s="139"/>
      <c r="AA512" s="139"/>
      <c r="AB512" s="139"/>
      <c r="AC512" s="139"/>
      <c r="AD512" s="139"/>
      <c r="AE512" s="139"/>
      <c r="AF512" s="139"/>
      <c r="AG512" s="139"/>
      <c r="AH512" s="139"/>
      <c r="AI512" s="139"/>
      <c r="AJ512" s="139"/>
      <c r="AK512" s="139"/>
      <c r="AL512" s="139"/>
      <c r="AM512" s="139"/>
      <c r="AN512" s="139"/>
      <c r="AO512" s="139"/>
      <c r="AP512" s="139"/>
      <c r="AQ512" s="139"/>
      <c r="AR512" s="139"/>
      <c r="AS512" s="139"/>
      <c r="AT512" s="139"/>
      <c r="AU512" s="139"/>
      <c r="AV512" s="139"/>
    </row>
    <row r="513">
      <c r="A513" s="139"/>
      <c r="B513" s="234"/>
      <c r="C513" s="139"/>
      <c r="D513" s="139"/>
      <c r="E513" s="139"/>
      <c r="F513" s="139"/>
      <c r="G513" s="139"/>
      <c r="H513" s="139"/>
      <c r="I513" s="139"/>
      <c r="J513" s="139"/>
      <c r="K513" s="139"/>
      <c r="L513" s="139"/>
      <c r="M513" s="139"/>
      <c r="N513" s="145"/>
      <c r="O513" s="139"/>
      <c r="P513" s="139"/>
      <c r="Q513" s="231"/>
      <c r="R513" s="139"/>
      <c r="S513" s="235"/>
      <c r="T513" s="235"/>
      <c r="U513" s="145"/>
      <c r="V513" s="145"/>
      <c r="W513" s="111"/>
      <c r="X513" s="233"/>
      <c r="Y513" s="226"/>
      <c r="Z513" s="139"/>
      <c r="AA513" s="139"/>
      <c r="AB513" s="139"/>
      <c r="AC513" s="139"/>
      <c r="AD513" s="139"/>
      <c r="AE513" s="139"/>
      <c r="AF513" s="139"/>
      <c r="AG513" s="139"/>
      <c r="AH513" s="139"/>
      <c r="AI513" s="139"/>
      <c r="AJ513" s="139"/>
      <c r="AK513" s="139"/>
      <c r="AL513" s="139"/>
      <c r="AM513" s="139"/>
      <c r="AN513" s="139"/>
      <c r="AO513" s="139"/>
      <c r="AP513" s="139"/>
      <c r="AQ513" s="139"/>
      <c r="AR513" s="139"/>
      <c r="AS513" s="139"/>
      <c r="AT513" s="139"/>
      <c r="AU513" s="139"/>
      <c r="AV513" s="139"/>
    </row>
    <row r="514">
      <c r="A514" s="139"/>
      <c r="B514" s="234"/>
      <c r="C514" s="139"/>
      <c r="D514" s="139"/>
      <c r="E514" s="139"/>
      <c r="F514" s="139"/>
      <c r="G514" s="139"/>
      <c r="H514" s="139"/>
      <c r="I514" s="139"/>
      <c r="J514" s="139"/>
      <c r="K514" s="139"/>
      <c r="L514" s="139"/>
      <c r="M514" s="139"/>
      <c r="N514" s="145"/>
      <c r="O514" s="139"/>
      <c r="P514" s="139"/>
      <c r="Q514" s="231"/>
      <c r="R514" s="139"/>
      <c r="S514" s="235"/>
      <c r="T514" s="235"/>
      <c r="U514" s="145"/>
      <c r="V514" s="145"/>
      <c r="W514" s="111"/>
      <c r="X514" s="233"/>
      <c r="Y514" s="226"/>
      <c r="Z514" s="139"/>
      <c r="AA514" s="139"/>
      <c r="AB514" s="139"/>
      <c r="AC514" s="139"/>
      <c r="AD514" s="139"/>
      <c r="AE514" s="139"/>
      <c r="AF514" s="139"/>
      <c r="AG514" s="139"/>
      <c r="AH514" s="139"/>
      <c r="AI514" s="139"/>
      <c r="AJ514" s="139"/>
      <c r="AK514" s="139"/>
      <c r="AL514" s="139"/>
      <c r="AM514" s="139"/>
      <c r="AN514" s="139"/>
      <c r="AO514" s="139"/>
      <c r="AP514" s="139"/>
      <c r="AQ514" s="139"/>
      <c r="AR514" s="139"/>
      <c r="AS514" s="139"/>
      <c r="AT514" s="139"/>
      <c r="AU514" s="139"/>
      <c r="AV514" s="139"/>
    </row>
    <row r="515">
      <c r="A515" s="139"/>
      <c r="B515" s="234"/>
      <c r="C515" s="139"/>
      <c r="D515" s="139"/>
      <c r="E515" s="139"/>
      <c r="F515" s="139"/>
      <c r="G515" s="139"/>
      <c r="H515" s="139"/>
      <c r="I515" s="139"/>
      <c r="J515" s="139"/>
      <c r="K515" s="139"/>
      <c r="L515" s="139"/>
      <c r="M515" s="139"/>
      <c r="N515" s="145"/>
      <c r="O515" s="139"/>
      <c r="P515" s="139"/>
      <c r="Q515" s="231"/>
      <c r="R515" s="139"/>
      <c r="S515" s="235"/>
      <c r="T515" s="235"/>
      <c r="U515" s="145"/>
      <c r="V515" s="145"/>
      <c r="W515" s="111"/>
      <c r="X515" s="233"/>
      <c r="Y515" s="226"/>
      <c r="Z515" s="139"/>
      <c r="AA515" s="139"/>
      <c r="AB515" s="139"/>
      <c r="AC515" s="139"/>
      <c r="AD515" s="139"/>
      <c r="AE515" s="139"/>
      <c r="AF515" s="139"/>
      <c r="AG515" s="139"/>
      <c r="AH515" s="139"/>
      <c r="AI515" s="139"/>
      <c r="AJ515" s="139"/>
      <c r="AK515" s="139"/>
      <c r="AL515" s="139"/>
      <c r="AM515" s="139"/>
      <c r="AN515" s="139"/>
      <c r="AO515" s="139"/>
      <c r="AP515" s="139"/>
      <c r="AQ515" s="139"/>
      <c r="AR515" s="139"/>
      <c r="AS515" s="139"/>
      <c r="AT515" s="139"/>
      <c r="AU515" s="139"/>
      <c r="AV515" s="139"/>
    </row>
    <row r="516">
      <c r="A516" s="139"/>
      <c r="B516" s="234"/>
      <c r="C516" s="139"/>
      <c r="D516" s="139"/>
      <c r="E516" s="139"/>
      <c r="F516" s="139"/>
      <c r="G516" s="139"/>
      <c r="H516" s="139"/>
      <c r="I516" s="139"/>
      <c r="J516" s="139"/>
      <c r="K516" s="139"/>
      <c r="L516" s="139"/>
      <c r="M516" s="139"/>
      <c r="N516" s="145"/>
      <c r="O516" s="139"/>
      <c r="P516" s="139"/>
      <c r="Q516" s="231"/>
      <c r="R516" s="139"/>
      <c r="S516" s="235"/>
      <c r="T516" s="235"/>
      <c r="U516" s="145"/>
      <c r="V516" s="145"/>
      <c r="W516" s="111"/>
      <c r="X516" s="233"/>
      <c r="Y516" s="226"/>
      <c r="Z516" s="139"/>
      <c r="AA516" s="139"/>
      <c r="AB516" s="139"/>
      <c r="AC516" s="139"/>
      <c r="AD516" s="139"/>
      <c r="AE516" s="139"/>
      <c r="AF516" s="139"/>
      <c r="AG516" s="139"/>
      <c r="AH516" s="139"/>
      <c r="AI516" s="139"/>
      <c r="AJ516" s="139"/>
      <c r="AK516" s="139"/>
      <c r="AL516" s="139"/>
      <c r="AM516" s="139"/>
      <c r="AN516" s="139"/>
      <c r="AO516" s="139"/>
      <c r="AP516" s="139"/>
      <c r="AQ516" s="139"/>
      <c r="AR516" s="139"/>
      <c r="AS516" s="139"/>
      <c r="AT516" s="139"/>
      <c r="AU516" s="139"/>
      <c r="AV516" s="139"/>
    </row>
    <row r="517">
      <c r="A517" s="139"/>
      <c r="B517" s="234"/>
      <c r="C517" s="139"/>
      <c r="D517" s="139"/>
      <c r="E517" s="139"/>
      <c r="F517" s="139"/>
      <c r="G517" s="139"/>
      <c r="H517" s="139"/>
      <c r="I517" s="139"/>
      <c r="J517" s="139"/>
      <c r="K517" s="139"/>
      <c r="L517" s="139"/>
      <c r="M517" s="139"/>
      <c r="N517" s="145"/>
      <c r="O517" s="139"/>
      <c r="P517" s="139"/>
      <c r="Q517" s="231"/>
      <c r="R517" s="139"/>
      <c r="S517" s="235"/>
      <c r="T517" s="235"/>
      <c r="U517" s="145"/>
      <c r="V517" s="145"/>
      <c r="W517" s="111"/>
      <c r="X517" s="233"/>
      <c r="Y517" s="226"/>
      <c r="Z517" s="139"/>
      <c r="AA517" s="139"/>
      <c r="AB517" s="139"/>
      <c r="AC517" s="139"/>
      <c r="AD517" s="139"/>
      <c r="AE517" s="139"/>
      <c r="AF517" s="139"/>
      <c r="AG517" s="139"/>
      <c r="AH517" s="139"/>
      <c r="AI517" s="139"/>
      <c r="AJ517" s="139"/>
      <c r="AK517" s="139"/>
      <c r="AL517" s="139"/>
      <c r="AM517" s="139"/>
      <c r="AN517" s="139"/>
      <c r="AO517" s="139"/>
      <c r="AP517" s="139"/>
      <c r="AQ517" s="139"/>
      <c r="AR517" s="139"/>
      <c r="AS517" s="139"/>
      <c r="AT517" s="139"/>
      <c r="AU517" s="139"/>
      <c r="AV517" s="139"/>
    </row>
    <row r="518">
      <c r="A518" s="139"/>
      <c r="B518" s="234"/>
      <c r="C518" s="139"/>
      <c r="D518" s="139"/>
      <c r="E518" s="139"/>
      <c r="F518" s="139"/>
      <c r="G518" s="139"/>
      <c r="H518" s="139"/>
      <c r="I518" s="139"/>
      <c r="J518" s="139"/>
      <c r="K518" s="139"/>
      <c r="L518" s="139"/>
      <c r="M518" s="139"/>
      <c r="N518" s="145"/>
      <c r="O518" s="139"/>
      <c r="P518" s="139"/>
      <c r="Q518" s="231"/>
      <c r="R518" s="139"/>
      <c r="S518" s="235"/>
      <c r="T518" s="235"/>
      <c r="U518" s="145"/>
      <c r="V518" s="145"/>
      <c r="W518" s="111"/>
      <c r="X518" s="233"/>
      <c r="Y518" s="226"/>
      <c r="Z518" s="139"/>
      <c r="AA518" s="139"/>
      <c r="AB518" s="139"/>
      <c r="AC518" s="139"/>
      <c r="AD518" s="139"/>
      <c r="AE518" s="139"/>
      <c r="AF518" s="139"/>
      <c r="AG518" s="139"/>
      <c r="AH518" s="139"/>
      <c r="AI518" s="139"/>
      <c r="AJ518" s="139"/>
      <c r="AK518" s="139"/>
      <c r="AL518" s="139"/>
      <c r="AM518" s="139"/>
      <c r="AN518" s="139"/>
      <c r="AO518" s="139"/>
      <c r="AP518" s="139"/>
      <c r="AQ518" s="139"/>
      <c r="AR518" s="139"/>
      <c r="AS518" s="139"/>
      <c r="AT518" s="139"/>
      <c r="AU518" s="139"/>
      <c r="AV518" s="139"/>
    </row>
    <row r="519">
      <c r="A519" s="139"/>
      <c r="B519" s="234"/>
      <c r="C519" s="139"/>
      <c r="D519" s="139"/>
      <c r="E519" s="139"/>
      <c r="F519" s="139"/>
      <c r="G519" s="139"/>
      <c r="H519" s="139"/>
      <c r="I519" s="139"/>
      <c r="J519" s="139"/>
      <c r="K519" s="139"/>
      <c r="L519" s="139"/>
      <c r="M519" s="139"/>
      <c r="N519" s="145"/>
      <c r="O519" s="139"/>
      <c r="P519" s="139"/>
      <c r="Q519" s="231"/>
      <c r="R519" s="139"/>
      <c r="S519" s="235"/>
      <c r="T519" s="235"/>
      <c r="U519" s="145"/>
      <c r="V519" s="145"/>
      <c r="W519" s="111"/>
      <c r="X519" s="233"/>
      <c r="Y519" s="226"/>
      <c r="Z519" s="139"/>
      <c r="AA519" s="139"/>
      <c r="AB519" s="139"/>
      <c r="AC519" s="139"/>
      <c r="AD519" s="139"/>
      <c r="AE519" s="139"/>
      <c r="AF519" s="139"/>
      <c r="AG519" s="139"/>
      <c r="AH519" s="139"/>
      <c r="AI519" s="139"/>
      <c r="AJ519" s="139"/>
      <c r="AK519" s="139"/>
      <c r="AL519" s="139"/>
      <c r="AM519" s="139"/>
      <c r="AN519" s="139"/>
      <c r="AO519" s="139"/>
      <c r="AP519" s="139"/>
      <c r="AQ519" s="139"/>
      <c r="AR519" s="139"/>
      <c r="AS519" s="139"/>
      <c r="AT519" s="139"/>
      <c r="AU519" s="139"/>
      <c r="AV519" s="139"/>
    </row>
    <row r="520">
      <c r="A520" s="139"/>
      <c r="B520" s="234"/>
      <c r="C520" s="139"/>
      <c r="D520" s="139"/>
      <c r="E520" s="139"/>
      <c r="F520" s="139"/>
      <c r="G520" s="139"/>
      <c r="H520" s="139"/>
      <c r="I520" s="139"/>
      <c r="J520" s="139"/>
      <c r="K520" s="139"/>
      <c r="L520" s="139"/>
      <c r="M520" s="139"/>
      <c r="N520" s="145"/>
      <c r="O520" s="139"/>
      <c r="P520" s="139"/>
      <c r="Q520" s="231"/>
      <c r="R520" s="139"/>
      <c r="S520" s="235"/>
      <c r="T520" s="235"/>
      <c r="U520" s="145"/>
      <c r="V520" s="145"/>
      <c r="W520" s="111"/>
      <c r="X520" s="233"/>
      <c r="Y520" s="226"/>
      <c r="Z520" s="139"/>
      <c r="AA520" s="139"/>
      <c r="AB520" s="139"/>
      <c r="AC520" s="139"/>
      <c r="AD520" s="139"/>
      <c r="AE520" s="139"/>
      <c r="AF520" s="139"/>
      <c r="AG520" s="139"/>
      <c r="AH520" s="139"/>
      <c r="AI520" s="139"/>
      <c r="AJ520" s="139"/>
      <c r="AK520" s="139"/>
      <c r="AL520" s="139"/>
      <c r="AM520" s="139"/>
      <c r="AN520" s="139"/>
      <c r="AO520" s="139"/>
      <c r="AP520" s="139"/>
      <c r="AQ520" s="139"/>
      <c r="AR520" s="139"/>
      <c r="AS520" s="139"/>
      <c r="AT520" s="139"/>
      <c r="AU520" s="139"/>
      <c r="AV520" s="139"/>
    </row>
    <row r="521">
      <c r="A521" s="139"/>
      <c r="B521" s="234"/>
      <c r="C521" s="139"/>
      <c r="D521" s="139"/>
      <c r="E521" s="139"/>
      <c r="F521" s="139"/>
      <c r="G521" s="139"/>
      <c r="H521" s="139"/>
      <c r="I521" s="139"/>
      <c r="J521" s="139"/>
      <c r="K521" s="139"/>
      <c r="L521" s="139"/>
      <c r="M521" s="139"/>
      <c r="N521" s="145"/>
      <c r="O521" s="139"/>
      <c r="P521" s="139"/>
      <c r="Q521" s="231"/>
      <c r="R521" s="139"/>
      <c r="S521" s="235"/>
      <c r="T521" s="235"/>
      <c r="U521" s="145"/>
      <c r="V521" s="145"/>
      <c r="W521" s="111"/>
      <c r="X521" s="233"/>
      <c r="Y521" s="226"/>
      <c r="Z521" s="139"/>
      <c r="AA521" s="139"/>
      <c r="AB521" s="139"/>
      <c r="AC521" s="139"/>
      <c r="AD521" s="139"/>
      <c r="AE521" s="139"/>
      <c r="AF521" s="139"/>
      <c r="AG521" s="139"/>
      <c r="AH521" s="139"/>
      <c r="AI521" s="139"/>
      <c r="AJ521" s="139"/>
      <c r="AK521" s="139"/>
      <c r="AL521" s="139"/>
      <c r="AM521" s="139"/>
      <c r="AN521" s="139"/>
      <c r="AO521" s="139"/>
      <c r="AP521" s="139"/>
      <c r="AQ521" s="139"/>
      <c r="AR521" s="139"/>
      <c r="AS521" s="139"/>
      <c r="AT521" s="139"/>
      <c r="AU521" s="139"/>
      <c r="AV521" s="139"/>
    </row>
    <row r="522">
      <c r="A522" s="139"/>
      <c r="B522" s="234"/>
      <c r="C522" s="139"/>
      <c r="D522" s="139"/>
      <c r="E522" s="139"/>
      <c r="F522" s="139"/>
      <c r="G522" s="139"/>
      <c r="H522" s="139"/>
      <c r="I522" s="139"/>
      <c r="J522" s="139"/>
      <c r="K522" s="139"/>
      <c r="L522" s="139"/>
      <c r="M522" s="139"/>
      <c r="N522" s="145"/>
      <c r="O522" s="139"/>
      <c r="P522" s="139"/>
      <c r="Q522" s="231"/>
      <c r="R522" s="139"/>
      <c r="S522" s="235"/>
      <c r="T522" s="235"/>
      <c r="U522" s="145"/>
      <c r="V522" s="145"/>
      <c r="W522" s="111"/>
      <c r="X522" s="233"/>
      <c r="Y522" s="226"/>
      <c r="Z522" s="139"/>
      <c r="AA522" s="139"/>
      <c r="AB522" s="139"/>
      <c r="AC522" s="139"/>
      <c r="AD522" s="139"/>
      <c r="AE522" s="139"/>
      <c r="AF522" s="139"/>
      <c r="AG522" s="139"/>
      <c r="AH522" s="139"/>
      <c r="AI522" s="139"/>
      <c r="AJ522" s="139"/>
      <c r="AK522" s="139"/>
      <c r="AL522" s="139"/>
      <c r="AM522" s="139"/>
      <c r="AN522" s="139"/>
      <c r="AO522" s="139"/>
      <c r="AP522" s="139"/>
      <c r="AQ522" s="139"/>
      <c r="AR522" s="139"/>
      <c r="AS522" s="139"/>
      <c r="AT522" s="139"/>
      <c r="AU522" s="139"/>
      <c r="AV522" s="139"/>
    </row>
    <row r="523">
      <c r="A523" s="139"/>
      <c r="B523" s="234"/>
      <c r="C523" s="139"/>
      <c r="D523" s="139"/>
      <c r="E523" s="139"/>
      <c r="F523" s="139"/>
      <c r="G523" s="139"/>
      <c r="H523" s="139"/>
      <c r="I523" s="139"/>
      <c r="J523" s="139"/>
      <c r="K523" s="139"/>
      <c r="L523" s="139"/>
      <c r="M523" s="139"/>
      <c r="N523" s="145"/>
      <c r="O523" s="139"/>
      <c r="P523" s="139"/>
      <c r="Q523" s="231"/>
      <c r="R523" s="139"/>
      <c r="S523" s="235"/>
      <c r="T523" s="235"/>
      <c r="U523" s="145"/>
      <c r="V523" s="145"/>
      <c r="W523" s="111"/>
      <c r="X523" s="233"/>
      <c r="Y523" s="226"/>
      <c r="Z523" s="139"/>
      <c r="AA523" s="139"/>
      <c r="AB523" s="139"/>
      <c r="AC523" s="139"/>
      <c r="AD523" s="139"/>
      <c r="AE523" s="139"/>
      <c r="AF523" s="139"/>
      <c r="AG523" s="139"/>
      <c r="AH523" s="139"/>
      <c r="AI523" s="139"/>
      <c r="AJ523" s="139"/>
      <c r="AK523" s="139"/>
      <c r="AL523" s="139"/>
      <c r="AM523" s="139"/>
      <c r="AN523" s="139"/>
      <c r="AO523" s="139"/>
      <c r="AP523" s="139"/>
      <c r="AQ523" s="139"/>
      <c r="AR523" s="139"/>
      <c r="AS523" s="139"/>
      <c r="AT523" s="139"/>
      <c r="AU523" s="139"/>
      <c r="AV523" s="139"/>
    </row>
    <row r="524">
      <c r="A524" s="139"/>
      <c r="B524" s="234"/>
      <c r="C524" s="139"/>
      <c r="D524" s="139"/>
      <c r="E524" s="139"/>
      <c r="F524" s="139"/>
      <c r="G524" s="139"/>
      <c r="H524" s="139"/>
      <c r="I524" s="139"/>
      <c r="J524" s="139"/>
      <c r="K524" s="139"/>
      <c r="L524" s="139"/>
      <c r="M524" s="139"/>
      <c r="N524" s="145"/>
      <c r="O524" s="139"/>
      <c r="P524" s="139"/>
      <c r="Q524" s="231"/>
      <c r="R524" s="139"/>
      <c r="S524" s="235"/>
      <c r="T524" s="235"/>
      <c r="U524" s="145"/>
      <c r="V524" s="145"/>
      <c r="W524" s="111"/>
      <c r="X524" s="233"/>
      <c r="Y524" s="226"/>
      <c r="Z524" s="139"/>
      <c r="AA524" s="139"/>
      <c r="AB524" s="139"/>
      <c r="AC524" s="139"/>
      <c r="AD524" s="139"/>
      <c r="AE524" s="139"/>
      <c r="AF524" s="139"/>
      <c r="AG524" s="139"/>
      <c r="AH524" s="139"/>
      <c r="AI524" s="139"/>
      <c r="AJ524" s="139"/>
      <c r="AK524" s="139"/>
      <c r="AL524" s="139"/>
      <c r="AM524" s="139"/>
      <c r="AN524" s="139"/>
      <c r="AO524" s="139"/>
      <c r="AP524" s="139"/>
      <c r="AQ524" s="139"/>
      <c r="AR524" s="139"/>
      <c r="AS524" s="139"/>
      <c r="AT524" s="139"/>
      <c r="AU524" s="139"/>
      <c r="AV524" s="139"/>
    </row>
    <row r="525">
      <c r="A525" s="139"/>
      <c r="B525" s="234"/>
      <c r="C525" s="139"/>
      <c r="D525" s="139"/>
      <c r="E525" s="139"/>
      <c r="F525" s="139"/>
      <c r="G525" s="139"/>
      <c r="H525" s="139"/>
      <c r="I525" s="139"/>
      <c r="J525" s="139"/>
      <c r="K525" s="139"/>
      <c r="L525" s="139"/>
      <c r="M525" s="139"/>
      <c r="N525" s="145"/>
      <c r="O525" s="139"/>
      <c r="P525" s="139"/>
      <c r="Q525" s="231"/>
      <c r="R525" s="139"/>
      <c r="S525" s="235"/>
      <c r="T525" s="235"/>
      <c r="U525" s="145"/>
      <c r="V525" s="145"/>
      <c r="W525" s="111"/>
      <c r="X525" s="233"/>
      <c r="Y525" s="226"/>
      <c r="Z525" s="139"/>
      <c r="AA525" s="139"/>
      <c r="AB525" s="139"/>
      <c r="AC525" s="139"/>
      <c r="AD525" s="139"/>
      <c r="AE525" s="139"/>
      <c r="AF525" s="139"/>
      <c r="AG525" s="139"/>
      <c r="AH525" s="139"/>
      <c r="AI525" s="139"/>
      <c r="AJ525" s="139"/>
      <c r="AK525" s="139"/>
      <c r="AL525" s="139"/>
      <c r="AM525" s="139"/>
      <c r="AN525" s="139"/>
      <c r="AO525" s="139"/>
      <c r="AP525" s="139"/>
      <c r="AQ525" s="139"/>
      <c r="AR525" s="139"/>
      <c r="AS525" s="139"/>
      <c r="AT525" s="139"/>
      <c r="AU525" s="139"/>
      <c r="AV525" s="139"/>
    </row>
    <row r="526">
      <c r="A526" s="139"/>
      <c r="B526" s="234"/>
      <c r="C526" s="139"/>
      <c r="D526" s="139"/>
      <c r="E526" s="139"/>
      <c r="F526" s="139"/>
      <c r="G526" s="139"/>
      <c r="H526" s="139"/>
      <c r="I526" s="139"/>
      <c r="J526" s="139"/>
      <c r="K526" s="139"/>
      <c r="L526" s="139"/>
      <c r="M526" s="139"/>
      <c r="N526" s="145"/>
      <c r="O526" s="139"/>
      <c r="P526" s="139"/>
      <c r="Q526" s="231"/>
      <c r="R526" s="139"/>
      <c r="S526" s="235"/>
      <c r="T526" s="235"/>
      <c r="U526" s="145"/>
      <c r="V526" s="145"/>
      <c r="W526" s="111"/>
      <c r="X526" s="233"/>
      <c r="Y526" s="226"/>
      <c r="Z526" s="139"/>
      <c r="AA526" s="139"/>
      <c r="AB526" s="139"/>
      <c r="AC526" s="139"/>
      <c r="AD526" s="139"/>
      <c r="AE526" s="139"/>
      <c r="AF526" s="139"/>
      <c r="AG526" s="139"/>
      <c r="AH526" s="139"/>
      <c r="AI526" s="139"/>
      <c r="AJ526" s="139"/>
      <c r="AK526" s="139"/>
      <c r="AL526" s="139"/>
      <c r="AM526" s="139"/>
      <c r="AN526" s="139"/>
      <c r="AO526" s="139"/>
      <c r="AP526" s="139"/>
      <c r="AQ526" s="139"/>
      <c r="AR526" s="139"/>
      <c r="AS526" s="139"/>
      <c r="AT526" s="139"/>
      <c r="AU526" s="139"/>
      <c r="AV526" s="139"/>
    </row>
    <row r="527">
      <c r="A527" s="139"/>
      <c r="B527" s="234"/>
      <c r="C527" s="139"/>
      <c r="D527" s="139"/>
      <c r="E527" s="139"/>
      <c r="F527" s="139"/>
      <c r="G527" s="139"/>
      <c r="H527" s="139"/>
      <c r="I527" s="139"/>
      <c r="J527" s="139"/>
      <c r="K527" s="139"/>
      <c r="L527" s="139"/>
      <c r="M527" s="139"/>
      <c r="N527" s="145"/>
      <c r="O527" s="139"/>
      <c r="P527" s="139"/>
      <c r="Q527" s="231"/>
      <c r="R527" s="139"/>
      <c r="S527" s="235"/>
      <c r="T527" s="235"/>
      <c r="U527" s="145"/>
      <c r="V527" s="145"/>
      <c r="W527" s="111"/>
      <c r="X527" s="233"/>
      <c r="Y527" s="226"/>
      <c r="Z527" s="139"/>
      <c r="AA527" s="139"/>
      <c r="AB527" s="139"/>
      <c r="AC527" s="139"/>
      <c r="AD527" s="139"/>
      <c r="AE527" s="139"/>
      <c r="AF527" s="139"/>
      <c r="AG527" s="139"/>
      <c r="AH527" s="139"/>
      <c r="AI527" s="139"/>
      <c r="AJ527" s="139"/>
      <c r="AK527" s="139"/>
      <c r="AL527" s="139"/>
      <c r="AM527" s="139"/>
      <c r="AN527" s="139"/>
      <c r="AO527" s="139"/>
      <c r="AP527" s="139"/>
      <c r="AQ527" s="139"/>
      <c r="AR527" s="139"/>
      <c r="AS527" s="139"/>
      <c r="AT527" s="139"/>
      <c r="AU527" s="139"/>
      <c r="AV527" s="139"/>
    </row>
    <row r="528">
      <c r="A528" s="139"/>
      <c r="B528" s="234"/>
      <c r="C528" s="139"/>
      <c r="D528" s="139"/>
      <c r="E528" s="139"/>
      <c r="F528" s="139"/>
      <c r="G528" s="139"/>
      <c r="H528" s="139"/>
      <c r="I528" s="139"/>
      <c r="J528" s="139"/>
      <c r="K528" s="139"/>
      <c r="L528" s="139"/>
      <c r="M528" s="139"/>
      <c r="N528" s="145"/>
      <c r="O528" s="139"/>
      <c r="P528" s="139"/>
      <c r="Q528" s="231"/>
      <c r="R528" s="139"/>
      <c r="S528" s="235"/>
      <c r="T528" s="235"/>
      <c r="U528" s="145"/>
      <c r="V528" s="145"/>
      <c r="W528" s="111"/>
      <c r="X528" s="233"/>
      <c r="Y528" s="226"/>
      <c r="Z528" s="139"/>
      <c r="AA528" s="139"/>
      <c r="AB528" s="139"/>
      <c r="AC528" s="139"/>
      <c r="AD528" s="139"/>
      <c r="AE528" s="139"/>
      <c r="AF528" s="139"/>
      <c r="AG528" s="139"/>
      <c r="AH528" s="139"/>
      <c r="AI528" s="139"/>
      <c r="AJ528" s="139"/>
      <c r="AK528" s="139"/>
      <c r="AL528" s="139"/>
      <c r="AM528" s="139"/>
      <c r="AN528" s="139"/>
      <c r="AO528" s="139"/>
      <c r="AP528" s="139"/>
      <c r="AQ528" s="139"/>
      <c r="AR528" s="139"/>
      <c r="AS528" s="139"/>
      <c r="AT528" s="139"/>
      <c r="AU528" s="139"/>
      <c r="AV528" s="139"/>
    </row>
    <row r="529">
      <c r="A529" s="139"/>
      <c r="B529" s="234"/>
      <c r="C529" s="139"/>
      <c r="D529" s="139"/>
      <c r="E529" s="139"/>
      <c r="F529" s="139"/>
      <c r="G529" s="139"/>
      <c r="H529" s="139"/>
      <c r="I529" s="139"/>
      <c r="J529" s="139"/>
      <c r="K529" s="139"/>
      <c r="L529" s="139"/>
      <c r="M529" s="139"/>
      <c r="N529" s="145"/>
      <c r="O529" s="139"/>
      <c r="P529" s="139"/>
      <c r="Q529" s="231"/>
      <c r="R529" s="139"/>
      <c r="S529" s="235"/>
      <c r="T529" s="235"/>
      <c r="U529" s="145"/>
      <c r="V529" s="145"/>
      <c r="W529" s="111"/>
      <c r="X529" s="233"/>
      <c r="Y529" s="226"/>
      <c r="Z529" s="139"/>
      <c r="AA529" s="139"/>
      <c r="AB529" s="139"/>
      <c r="AC529" s="139"/>
      <c r="AD529" s="139"/>
      <c r="AE529" s="139"/>
      <c r="AF529" s="139"/>
      <c r="AG529" s="139"/>
      <c r="AH529" s="139"/>
      <c r="AI529" s="139"/>
      <c r="AJ529" s="139"/>
      <c r="AK529" s="139"/>
      <c r="AL529" s="139"/>
      <c r="AM529" s="139"/>
      <c r="AN529" s="139"/>
      <c r="AO529" s="139"/>
      <c r="AP529" s="139"/>
      <c r="AQ529" s="139"/>
      <c r="AR529" s="139"/>
      <c r="AS529" s="139"/>
      <c r="AT529" s="139"/>
      <c r="AU529" s="139"/>
      <c r="AV529" s="139"/>
    </row>
    <row r="530">
      <c r="A530" s="139"/>
      <c r="B530" s="234"/>
      <c r="C530" s="139"/>
      <c r="D530" s="139"/>
      <c r="E530" s="139"/>
      <c r="F530" s="139"/>
      <c r="G530" s="139"/>
      <c r="H530" s="139"/>
      <c r="I530" s="139"/>
      <c r="J530" s="139"/>
      <c r="K530" s="139"/>
      <c r="L530" s="139"/>
      <c r="M530" s="139"/>
      <c r="N530" s="145"/>
      <c r="O530" s="139"/>
      <c r="P530" s="139"/>
      <c r="Q530" s="231"/>
      <c r="R530" s="139"/>
      <c r="S530" s="235"/>
      <c r="T530" s="235"/>
      <c r="U530" s="145"/>
      <c r="V530" s="145"/>
      <c r="W530" s="111"/>
      <c r="X530" s="233"/>
      <c r="Y530" s="226"/>
      <c r="Z530" s="139"/>
      <c r="AA530" s="139"/>
      <c r="AB530" s="139"/>
      <c r="AC530" s="139"/>
      <c r="AD530" s="139"/>
      <c r="AE530" s="139"/>
      <c r="AF530" s="139"/>
      <c r="AG530" s="139"/>
      <c r="AH530" s="139"/>
      <c r="AI530" s="139"/>
      <c r="AJ530" s="139"/>
      <c r="AK530" s="139"/>
      <c r="AL530" s="139"/>
      <c r="AM530" s="139"/>
      <c r="AN530" s="139"/>
      <c r="AO530" s="139"/>
      <c r="AP530" s="139"/>
      <c r="AQ530" s="139"/>
      <c r="AR530" s="139"/>
      <c r="AS530" s="139"/>
      <c r="AT530" s="139"/>
      <c r="AU530" s="139"/>
      <c r="AV530" s="139"/>
    </row>
    <row r="531">
      <c r="A531" s="139"/>
      <c r="B531" s="234"/>
      <c r="C531" s="139"/>
      <c r="D531" s="139"/>
      <c r="E531" s="139"/>
      <c r="F531" s="139"/>
      <c r="G531" s="139"/>
      <c r="H531" s="139"/>
      <c r="I531" s="139"/>
      <c r="J531" s="139"/>
      <c r="K531" s="139"/>
      <c r="L531" s="139"/>
      <c r="M531" s="139"/>
      <c r="N531" s="145"/>
      <c r="O531" s="139"/>
      <c r="P531" s="139"/>
      <c r="Q531" s="231"/>
      <c r="R531" s="139"/>
      <c r="S531" s="235"/>
      <c r="T531" s="235"/>
      <c r="U531" s="145"/>
      <c r="V531" s="145"/>
      <c r="W531" s="111"/>
      <c r="X531" s="233"/>
      <c r="Y531" s="226"/>
      <c r="Z531" s="139"/>
      <c r="AA531" s="139"/>
      <c r="AB531" s="139"/>
      <c r="AC531" s="139"/>
      <c r="AD531" s="139"/>
      <c r="AE531" s="139"/>
      <c r="AF531" s="139"/>
      <c r="AG531" s="139"/>
      <c r="AH531" s="139"/>
      <c r="AI531" s="139"/>
      <c r="AJ531" s="139"/>
      <c r="AK531" s="139"/>
      <c r="AL531" s="139"/>
      <c r="AM531" s="139"/>
      <c r="AN531" s="139"/>
      <c r="AO531" s="139"/>
      <c r="AP531" s="139"/>
      <c r="AQ531" s="139"/>
      <c r="AR531" s="139"/>
      <c r="AS531" s="139"/>
      <c r="AT531" s="139"/>
      <c r="AU531" s="139"/>
      <c r="AV531" s="139"/>
    </row>
    <row r="532">
      <c r="A532" s="139"/>
      <c r="B532" s="234"/>
      <c r="C532" s="139"/>
      <c r="D532" s="139"/>
      <c r="E532" s="139"/>
      <c r="F532" s="139"/>
      <c r="G532" s="139"/>
      <c r="H532" s="139"/>
      <c r="I532" s="139"/>
      <c r="J532" s="139"/>
      <c r="K532" s="139"/>
      <c r="L532" s="139"/>
      <c r="M532" s="139"/>
      <c r="N532" s="145"/>
      <c r="O532" s="139"/>
      <c r="P532" s="139"/>
      <c r="Q532" s="231"/>
      <c r="R532" s="139"/>
      <c r="S532" s="235"/>
      <c r="T532" s="235"/>
      <c r="U532" s="145"/>
      <c r="V532" s="145"/>
      <c r="W532" s="111"/>
      <c r="X532" s="233"/>
      <c r="Y532" s="226"/>
      <c r="Z532" s="139"/>
      <c r="AA532" s="139"/>
      <c r="AB532" s="139"/>
      <c r="AC532" s="139"/>
      <c r="AD532" s="139"/>
      <c r="AE532" s="139"/>
      <c r="AF532" s="139"/>
      <c r="AG532" s="139"/>
      <c r="AH532" s="139"/>
      <c r="AI532" s="139"/>
      <c r="AJ532" s="139"/>
      <c r="AK532" s="139"/>
      <c r="AL532" s="139"/>
      <c r="AM532" s="139"/>
      <c r="AN532" s="139"/>
      <c r="AO532" s="139"/>
      <c r="AP532" s="139"/>
      <c r="AQ532" s="139"/>
      <c r="AR532" s="139"/>
      <c r="AS532" s="139"/>
      <c r="AT532" s="139"/>
      <c r="AU532" s="139"/>
      <c r="AV532" s="139"/>
    </row>
    <row r="533">
      <c r="A533" s="139"/>
      <c r="B533" s="234"/>
      <c r="C533" s="139"/>
      <c r="D533" s="139"/>
      <c r="E533" s="139"/>
      <c r="F533" s="139"/>
      <c r="G533" s="139"/>
      <c r="H533" s="139"/>
      <c r="I533" s="139"/>
      <c r="J533" s="139"/>
      <c r="K533" s="139"/>
      <c r="L533" s="139"/>
      <c r="M533" s="139"/>
      <c r="N533" s="145"/>
      <c r="O533" s="139"/>
      <c r="P533" s="139"/>
      <c r="Q533" s="231"/>
      <c r="R533" s="139"/>
      <c r="S533" s="235"/>
      <c r="T533" s="235"/>
      <c r="U533" s="145"/>
      <c r="V533" s="145"/>
      <c r="W533" s="111"/>
      <c r="X533" s="233"/>
      <c r="Y533" s="226"/>
      <c r="Z533" s="139"/>
      <c r="AA533" s="139"/>
      <c r="AB533" s="139"/>
      <c r="AC533" s="139"/>
      <c r="AD533" s="139"/>
      <c r="AE533" s="139"/>
      <c r="AF533" s="139"/>
      <c r="AG533" s="139"/>
      <c r="AH533" s="139"/>
      <c r="AI533" s="139"/>
      <c r="AJ533" s="139"/>
      <c r="AK533" s="139"/>
      <c r="AL533" s="139"/>
      <c r="AM533" s="139"/>
      <c r="AN533" s="139"/>
      <c r="AO533" s="139"/>
      <c r="AP533" s="139"/>
      <c r="AQ533" s="139"/>
      <c r="AR533" s="139"/>
      <c r="AS533" s="139"/>
      <c r="AT533" s="139"/>
      <c r="AU533" s="139"/>
      <c r="AV533" s="139"/>
    </row>
    <row r="534">
      <c r="A534" s="139"/>
      <c r="B534" s="234"/>
      <c r="C534" s="139"/>
      <c r="D534" s="139"/>
      <c r="E534" s="139"/>
      <c r="F534" s="139"/>
      <c r="G534" s="139"/>
      <c r="H534" s="139"/>
      <c r="I534" s="139"/>
      <c r="J534" s="139"/>
      <c r="K534" s="139"/>
      <c r="L534" s="139"/>
      <c r="M534" s="139"/>
      <c r="N534" s="145"/>
      <c r="O534" s="139"/>
      <c r="P534" s="139"/>
      <c r="Q534" s="231"/>
      <c r="R534" s="139"/>
      <c r="S534" s="235"/>
      <c r="T534" s="235"/>
      <c r="U534" s="145"/>
      <c r="V534" s="145"/>
      <c r="W534" s="111"/>
      <c r="X534" s="233"/>
      <c r="Y534" s="226"/>
      <c r="Z534" s="139"/>
      <c r="AA534" s="139"/>
      <c r="AB534" s="139"/>
      <c r="AC534" s="139"/>
      <c r="AD534" s="139"/>
      <c r="AE534" s="139"/>
      <c r="AF534" s="139"/>
      <c r="AG534" s="139"/>
      <c r="AH534" s="139"/>
      <c r="AI534" s="139"/>
      <c r="AJ534" s="139"/>
      <c r="AK534" s="139"/>
      <c r="AL534" s="139"/>
      <c r="AM534" s="139"/>
      <c r="AN534" s="139"/>
      <c r="AO534" s="139"/>
      <c r="AP534" s="139"/>
      <c r="AQ534" s="139"/>
      <c r="AR534" s="139"/>
      <c r="AS534" s="139"/>
      <c r="AT534" s="139"/>
      <c r="AU534" s="139"/>
      <c r="AV534" s="139"/>
    </row>
    <row r="535">
      <c r="A535" s="139"/>
      <c r="B535" s="234"/>
      <c r="C535" s="139"/>
      <c r="D535" s="139"/>
      <c r="E535" s="139"/>
      <c r="F535" s="139"/>
      <c r="G535" s="139"/>
      <c r="H535" s="139"/>
      <c r="I535" s="139"/>
      <c r="J535" s="139"/>
      <c r="K535" s="139"/>
      <c r="L535" s="139"/>
      <c r="M535" s="139"/>
      <c r="N535" s="145"/>
      <c r="O535" s="139"/>
      <c r="P535" s="139"/>
      <c r="Q535" s="231"/>
      <c r="R535" s="139"/>
      <c r="S535" s="235"/>
      <c r="T535" s="235"/>
      <c r="U535" s="145"/>
      <c r="V535" s="145"/>
      <c r="W535" s="111"/>
      <c r="X535" s="233"/>
      <c r="Y535" s="226"/>
      <c r="Z535" s="139"/>
      <c r="AA535" s="139"/>
      <c r="AB535" s="139"/>
      <c r="AC535" s="139"/>
      <c r="AD535" s="139"/>
      <c r="AE535" s="139"/>
      <c r="AF535" s="139"/>
      <c r="AG535" s="139"/>
      <c r="AH535" s="139"/>
      <c r="AI535" s="139"/>
      <c r="AJ535" s="139"/>
      <c r="AK535" s="139"/>
      <c r="AL535" s="139"/>
      <c r="AM535" s="139"/>
      <c r="AN535" s="139"/>
      <c r="AO535" s="139"/>
      <c r="AP535" s="139"/>
      <c r="AQ535" s="139"/>
      <c r="AR535" s="139"/>
      <c r="AS535" s="139"/>
      <c r="AT535" s="139"/>
      <c r="AU535" s="139"/>
      <c r="AV535" s="139"/>
    </row>
    <row r="536">
      <c r="A536" s="139"/>
      <c r="B536" s="234"/>
      <c r="C536" s="139"/>
      <c r="D536" s="139"/>
      <c r="E536" s="139"/>
      <c r="F536" s="139"/>
      <c r="G536" s="139"/>
      <c r="H536" s="139"/>
      <c r="I536" s="139"/>
      <c r="J536" s="139"/>
      <c r="K536" s="139"/>
      <c r="L536" s="139"/>
      <c r="M536" s="139"/>
      <c r="N536" s="145"/>
      <c r="O536" s="139"/>
      <c r="P536" s="139"/>
      <c r="Q536" s="231"/>
      <c r="R536" s="139"/>
      <c r="S536" s="235"/>
      <c r="T536" s="235"/>
      <c r="U536" s="145"/>
      <c r="V536" s="145"/>
      <c r="W536" s="111"/>
      <c r="X536" s="233"/>
      <c r="Y536" s="226"/>
      <c r="Z536" s="139"/>
      <c r="AA536" s="139"/>
      <c r="AB536" s="139"/>
      <c r="AC536" s="139"/>
      <c r="AD536" s="139"/>
      <c r="AE536" s="139"/>
      <c r="AF536" s="139"/>
      <c r="AG536" s="139"/>
      <c r="AH536" s="139"/>
      <c r="AI536" s="139"/>
      <c r="AJ536" s="139"/>
      <c r="AK536" s="139"/>
      <c r="AL536" s="139"/>
      <c r="AM536" s="139"/>
      <c r="AN536" s="139"/>
      <c r="AO536" s="139"/>
      <c r="AP536" s="139"/>
      <c r="AQ536" s="139"/>
      <c r="AR536" s="139"/>
      <c r="AS536" s="139"/>
      <c r="AT536" s="139"/>
      <c r="AU536" s="139"/>
      <c r="AV536" s="139"/>
    </row>
    <row r="537">
      <c r="A537" s="139"/>
      <c r="B537" s="234"/>
      <c r="C537" s="139"/>
      <c r="D537" s="139"/>
      <c r="E537" s="139"/>
      <c r="F537" s="139"/>
      <c r="G537" s="139"/>
      <c r="H537" s="139"/>
      <c r="I537" s="139"/>
      <c r="J537" s="139"/>
      <c r="K537" s="139"/>
      <c r="L537" s="139"/>
      <c r="M537" s="139"/>
      <c r="N537" s="145"/>
      <c r="O537" s="139"/>
      <c r="P537" s="139"/>
      <c r="Q537" s="231"/>
      <c r="R537" s="139"/>
      <c r="S537" s="235"/>
      <c r="T537" s="235"/>
      <c r="U537" s="145"/>
      <c r="V537" s="145"/>
      <c r="W537" s="111"/>
      <c r="X537" s="233"/>
      <c r="Y537" s="226"/>
      <c r="Z537" s="139"/>
      <c r="AA537" s="139"/>
      <c r="AB537" s="139"/>
      <c r="AC537" s="139"/>
      <c r="AD537" s="139"/>
      <c r="AE537" s="139"/>
      <c r="AF537" s="139"/>
      <c r="AG537" s="139"/>
      <c r="AH537" s="139"/>
      <c r="AI537" s="139"/>
      <c r="AJ537" s="139"/>
      <c r="AK537" s="139"/>
      <c r="AL537" s="139"/>
      <c r="AM537" s="139"/>
      <c r="AN537" s="139"/>
      <c r="AO537" s="139"/>
      <c r="AP537" s="139"/>
      <c r="AQ537" s="139"/>
      <c r="AR537" s="139"/>
      <c r="AS537" s="139"/>
      <c r="AT537" s="139"/>
      <c r="AU537" s="139"/>
      <c r="AV537" s="139"/>
    </row>
    <row r="538">
      <c r="A538" s="139"/>
      <c r="B538" s="234"/>
      <c r="C538" s="139"/>
      <c r="D538" s="139"/>
      <c r="E538" s="139"/>
      <c r="F538" s="139"/>
      <c r="G538" s="139"/>
      <c r="H538" s="139"/>
      <c r="I538" s="139"/>
      <c r="J538" s="139"/>
      <c r="K538" s="139"/>
      <c r="L538" s="139"/>
      <c r="M538" s="139"/>
      <c r="N538" s="145"/>
      <c r="O538" s="139"/>
      <c r="P538" s="139"/>
      <c r="Q538" s="231"/>
      <c r="R538" s="139"/>
      <c r="S538" s="235"/>
      <c r="T538" s="235"/>
      <c r="U538" s="145"/>
      <c r="V538" s="145"/>
      <c r="W538" s="111"/>
      <c r="X538" s="233"/>
      <c r="Y538" s="226"/>
      <c r="Z538" s="139"/>
      <c r="AA538" s="139"/>
      <c r="AB538" s="139"/>
      <c r="AC538" s="139"/>
      <c r="AD538" s="139"/>
      <c r="AE538" s="139"/>
      <c r="AF538" s="139"/>
      <c r="AG538" s="139"/>
      <c r="AH538" s="139"/>
      <c r="AI538" s="139"/>
      <c r="AJ538" s="139"/>
      <c r="AK538" s="139"/>
      <c r="AL538" s="139"/>
      <c r="AM538" s="139"/>
      <c r="AN538" s="139"/>
      <c r="AO538" s="139"/>
      <c r="AP538" s="139"/>
      <c r="AQ538" s="139"/>
      <c r="AR538" s="139"/>
      <c r="AS538" s="139"/>
      <c r="AT538" s="139"/>
      <c r="AU538" s="139"/>
      <c r="AV538" s="139"/>
    </row>
    <row r="539">
      <c r="A539" s="139"/>
      <c r="B539" s="234"/>
      <c r="C539" s="139"/>
      <c r="D539" s="139"/>
      <c r="E539" s="139"/>
      <c r="F539" s="139"/>
      <c r="G539" s="139"/>
      <c r="H539" s="139"/>
      <c r="I539" s="139"/>
      <c r="J539" s="139"/>
      <c r="K539" s="139"/>
      <c r="L539" s="139"/>
      <c r="M539" s="139"/>
      <c r="N539" s="145"/>
      <c r="O539" s="139"/>
      <c r="P539" s="139"/>
      <c r="Q539" s="231"/>
      <c r="R539" s="139"/>
      <c r="S539" s="235"/>
      <c r="T539" s="235"/>
      <c r="U539" s="145"/>
      <c r="V539" s="145"/>
      <c r="W539" s="111"/>
      <c r="X539" s="233"/>
      <c r="Y539" s="226"/>
      <c r="Z539" s="139"/>
      <c r="AA539" s="139"/>
      <c r="AB539" s="139"/>
      <c r="AC539" s="139"/>
      <c r="AD539" s="139"/>
      <c r="AE539" s="139"/>
      <c r="AF539" s="139"/>
      <c r="AG539" s="139"/>
      <c r="AH539" s="139"/>
      <c r="AI539" s="139"/>
      <c r="AJ539" s="139"/>
      <c r="AK539" s="139"/>
      <c r="AL539" s="139"/>
      <c r="AM539" s="139"/>
      <c r="AN539" s="139"/>
      <c r="AO539" s="139"/>
      <c r="AP539" s="139"/>
      <c r="AQ539" s="139"/>
      <c r="AR539" s="139"/>
      <c r="AS539" s="139"/>
      <c r="AT539" s="139"/>
      <c r="AU539" s="139"/>
      <c r="AV539" s="139"/>
    </row>
    <row r="540">
      <c r="A540" s="139"/>
      <c r="B540" s="234"/>
      <c r="C540" s="139"/>
      <c r="D540" s="139"/>
      <c r="E540" s="139"/>
      <c r="F540" s="139"/>
      <c r="G540" s="139"/>
      <c r="H540" s="139"/>
      <c r="I540" s="139"/>
      <c r="J540" s="139"/>
      <c r="K540" s="139"/>
      <c r="L540" s="139"/>
      <c r="M540" s="139"/>
      <c r="N540" s="145"/>
      <c r="O540" s="139"/>
      <c r="P540" s="139"/>
      <c r="Q540" s="231"/>
      <c r="R540" s="139"/>
      <c r="S540" s="235"/>
      <c r="T540" s="235"/>
      <c r="U540" s="145"/>
      <c r="V540" s="145"/>
      <c r="W540" s="111"/>
      <c r="X540" s="233"/>
      <c r="Y540" s="226"/>
      <c r="Z540" s="139"/>
      <c r="AA540" s="139"/>
      <c r="AB540" s="139"/>
      <c r="AC540" s="139"/>
      <c r="AD540" s="139"/>
      <c r="AE540" s="139"/>
      <c r="AF540" s="139"/>
      <c r="AG540" s="139"/>
      <c r="AH540" s="139"/>
      <c r="AI540" s="139"/>
      <c r="AJ540" s="139"/>
      <c r="AK540" s="139"/>
      <c r="AL540" s="139"/>
      <c r="AM540" s="139"/>
      <c r="AN540" s="139"/>
      <c r="AO540" s="139"/>
      <c r="AP540" s="139"/>
      <c r="AQ540" s="139"/>
      <c r="AR540" s="139"/>
      <c r="AS540" s="139"/>
      <c r="AT540" s="139"/>
      <c r="AU540" s="139"/>
      <c r="AV540" s="139"/>
    </row>
    <row r="541">
      <c r="A541" s="139"/>
      <c r="B541" s="234"/>
      <c r="C541" s="139"/>
      <c r="D541" s="139"/>
      <c r="E541" s="139"/>
      <c r="F541" s="139"/>
      <c r="G541" s="139"/>
      <c r="H541" s="139"/>
      <c r="I541" s="139"/>
      <c r="J541" s="139"/>
      <c r="K541" s="139"/>
      <c r="L541" s="139"/>
      <c r="M541" s="139"/>
      <c r="N541" s="145"/>
      <c r="O541" s="139"/>
      <c r="P541" s="139"/>
      <c r="Q541" s="231"/>
      <c r="R541" s="139"/>
      <c r="S541" s="235"/>
      <c r="T541" s="235"/>
      <c r="U541" s="145"/>
      <c r="V541" s="145"/>
      <c r="W541" s="111"/>
      <c r="X541" s="233"/>
      <c r="Y541" s="226"/>
      <c r="Z541" s="139"/>
      <c r="AA541" s="139"/>
      <c r="AB541" s="139"/>
      <c r="AC541" s="139"/>
      <c r="AD541" s="139"/>
      <c r="AE541" s="139"/>
      <c r="AF541" s="139"/>
      <c r="AG541" s="139"/>
      <c r="AH541" s="139"/>
      <c r="AI541" s="139"/>
      <c r="AJ541" s="139"/>
      <c r="AK541" s="139"/>
      <c r="AL541" s="139"/>
      <c r="AM541" s="139"/>
      <c r="AN541" s="139"/>
      <c r="AO541" s="139"/>
      <c r="AP541" s="139"/>
      <c r="AQ541" s="139"/>
      <c r="AR541" s="139"/>
      <c r="AS541" s="139"/>
      <c r="AT541" s="139"/>
      <c r="AU541" s="139"/>
      <c r="AV541" s="139"/>
    </row>
    <row r="542">
      <c r="A542" s="139"/>
      <c r="B542" s="234"/>
      <c r="C542" s="139"/>
      <c r="D542" s="139"/>
      <c r="E542" s="139"/>
      <c r="F542" s="139"/>
      <c r="G542" s="139"/>
      <c r="H542" s="139"/>
      <c r="I542" s="139"/>
      <c r="J542" s="139"/>
      <c r="K542" s="139"/>
      <c r="L542" s="139"/>
      <c r="M542" s="139"/>
      <c r="N542" s="145"/>
      <c r="O542" s="139"/>
      <c r="P542" s="139"/>
      <c r="Q542" s="231"/>
      <c r="R542" s="139"/>
      <c r="S542" s="235"/>
      <c r="T542" s="235"/>
      <c r="U542" s="145"/>
      <c r="V542" s="145"/>
      <c r="W542" s="111"/>
      <c r="X542" s="233"/>
      <c r="Y542" s="226"/>
      <c r="Z542" s="139"/>
      <c r="AA542" s="139"/>
      <c r="AB542" s="139"/>
      <c r="AC542" s="139"/>
      <c r="AD542" s="139"/>
      <c r="AE542" s="139"/>
      <c r="AF542" s="139"/>
      <c r="AG542" s="139"/>
      <c r="AH542" s="139"/>
      <c r="AI542" s="139"/>
      <c r="AJ542" s="139"/>
      <c r="AK542" s="139"/>
      <c r="AL542" s="139"/>
      <c r="AM542" s="139"/>
      <c r="AN542" s="139"/>
      <c r="AO542" s="139"/>
      <c r="AP542" s="139"/>
      <c r="AQ542" s="139"/>
      <c r="AR542" s="139"/>
      <c r="AS542" s="139"/>
      <c r="AT542" s="139"/>
      <c r="AU542" s="139"/>
      <c r="AV542" s="139"/>
    </row>
    <row r="543">
      <c r="A543" s="139"/>
      <c r="B543" s="234"/>
      <c r="C543" s="139"/>
      <c r="D543" s="139"/>
      <c r="E543" s="139"/>
      <c r="F543" s="139"/>
      <c r="G543" s="139"/>
      <c r="H543" s="139"/>
      <c r="I543" s="139"/>
      <c r="J543" s="139"/>
      <c r="K543" s="139"/>
      <c r="L543" s="139"/>
      <c r="M543" s="139"/>
      <c r="N543" s="145"/>
      <c r="O543" s="139"/>
      <c r="P543" s="139"/>
      <c r="Q543" s="231"/>
      <c r="R543" s="139"/>
      <c r="S543" s="235"/>
      <c r="T543" s="235"/>
      <c r="U543" s="145"/>
      <c r="V543" s="145"/>
      <c r="W543" s="111"/>
      <c r="X543" s="233"/>
      <c r="Y543" s="226"/>
      <c r="Z543" s="139"/>
      <c r="AA543" s="139"/>
      <c r="AB543" s="139"/>
      <c r="AC543" s="139"/>
      <c r="AD543" s="139"/>
      <c r="AE543" s="139"/>
      <c r="AF543" s="139"/>
      <c r="AG543" s="139"/>
      <c r="AH543" s="139"/>
      <c r="AI543" s="139"/>
      <c r="AJ543" s="139"/>
      <c r="AK543" s="139"/>
      <c r="AL543" s="139"/>
      <c r="AM543" s="139"/>
      <c r="AN543" s="139"/>
      <c r="AO543" s="139"/>
      <c r="AP543" s="139"/>
      <c r="AQ543" s="139"/>
      <c r="AR543" s="139"/>
      <c r="AS543" s="139"/>
      <c r="AT543" s="139"/>
      <c r="AU543" s="139"/>
      <c r="AV543" s="139"/>
    </row>
    <row r="544">
      <c r="A544" s="139"/>
      <c r="B544" s="234"/>
      <c r="C544" s="139"/>
      <c r="D544" s="139"/>
      <c r="E544" s="139"/>
      <c r="F544" s="139"/>
      <c r="G544" s="139"/>
      <c r="H544" s="139"/>
      <c r="I544" s="139"/>
      <c r="J544" s="139"/>
      <c r="K544" s="139"/>
      <c r="L544" s="139"/>
      <c r="M544" s="139"/>
      <c r="N544" s="145"/>
      <c r="O544" s="139"/>
      <c r="P544" s="139"/>
      <c r="Q544" s="231"/>
      <c r="R544" s="139"/>
      <c r="S544" s="235"/>
      <c r="T544" s="235"/>
      <c r="U544" s="145"/>
      <c r="V544" s="145"/>
      <c r="W544" s="111"/>
      <c r="X544" s="233"/>
      <c r="Y544" s="226"/>
      <c r="Z544" s="139"/>
      <c r="AA544" s="139"/>
      <c r="AB544" s="139"/>
      <c r="AC544" s="139"/>
      <c r="AD544" s="139"/>
      <c r="AE544" s="139"/>
      <c r="AF544" s="139"/>
      <c r="AG544" s="139"/>
      <c r="AH544" s="139"/>
      <c r="AI544" s="139"/>
      <c r="AJ544" s="139"/>
      <c r="AK544" s="139"/>
      <c r="AL544" s="139"/>
      <c r="AM544" s="139"/>
      <c r="AN544" s="139"/>
      <c r="AO544" s="139"/>
      <c r="AP544" s="139"/>
      <c r="AQ544" s="139"/>
      <c r="AR544" s="139"/>
      <c r="AS544" s="139"/>
      <c r="AT544" s="139"/>
      <c r="AU544" s="139"/>
      <c r="AV544" s="139"/>
    </row>
    <row r="545">
      <c r="A545" s="139"/>
      <c r="B545" s="234"/>
      <c r="C545" s="139"/>
      <c r="D545" s="139"/>
      <c r="E545" s="139"/>
      <c r="F545" s="139"/>
      <c r="G545" s="139"/>
      <c r="H545" s="139"/>
      <c r="I545" s="139"/>
      <c r="J545" s="139"/>
      <c r="K545" s="139"/>
      <c r="L545" s="139"/>
      <c r="M545" s="139"/>
      <c r="N545" s="145"/>
      <c r="O545" s="139"/>
      <c r="P545" s="139"/>
      <c r="Q545" s="231"/>
      <c r="R545" s="139"/>
      <c r="S545" s="235"/>
      <c r="T545" s="235"/>
      <c r="U545" s="145"/>
      <c r="V545" s="145"/>
      <c r="W545" s="111"/>
      <c r="X545" s="233"/>
      <c r="Y545" s="226"/>
      <c r="Z545" s="139"/>
      <c r="AA545" s="139"/>
      <c r="AB545" s="139"/>
      <c r="AC545" s="139"/>
      <c r="AD545" s="139"/>
      <c r="AE545" s="139"/>
      <c r="AF545" s="139"/>
      <c r="AG545" s="139"/>
      <c r="AH545" s="139"/>
      <c r="AI545" s="139"/>
      <c r="AJ545" s="139"/>
      <c r="AK545" s="139"/>
      <c r="AL545" s="139"/>
      <c r="AM545" s="139"/>
      <c r="AN545" s="139"/>
      <c r="AO545" s="139"/>
      <c r="AP545" s="139"/>
      <c r="AQ545" s="139"/>
      <c r="AR545" s="139"/>
      <c r="AS545" s="139"/>
      <c r="AT545" s="139"/>
      <c r="AU545" s="139"/>
      <c r="AV545" s="139"/>
    </row>
    <row r="546">
      <c r="A546" s="139"/>
      <c r="B546" s="234"/>
      <c r="C546" s="139"/>
      <c r="D546" s="139"/>
      <c r="E546" s="139"/>
      <c r="F546" s="139"/>
      <c r="G546" s="139"/>
      <c r="H546" s="139"/>
      <c r="I546" s="139"/>
      <c r="J546" s="139"/>
      <c r="K546" s="139"/>
      <c r="L546" s="139"/>
      <c r="M546" s="139"/>
      <c r="N546" s="145"/>
      <c r="O546" s="139"/>
      <c r="P546" s="139"/>
      <c r="Q546" s="231"/>
      <c r="R546" s="139"/>
      <c r="S546" s="235"/>
      <c r="T546" s="235"/>
      <c r="U546" s="145"/>
      <c r="V546" s="145"/>
      <c r="W546" s="111"/>
      <c r="X546" s="233"/>
      <c r="Y546" s="226"/>
      <c r="Z546" s="139"/>
      <c r="AA546" s="139"/>
      <c r="AB546" s="139"/>
      <c r="AC546" s="139"/>
      <c r="AD546" s="139"/>
      <c r="AE546" s="139"/>
      <c r="AF546" s="139"/>
      <c r="AG546" s="139"/>
      <c r="AH546" s="139"/>
      <c r="AI546" s="139"/>
      <c r="AJ546" s="139"/>
      <c r="AK546" s="139"/>
      <c r="AL546" s="139"/>
      <c r="AM546" s="139"/>
      <c r="AN546" s="139"/>
      <c r="AO546" s="139"/>
      <c r="AP546" s="139"/>
      <c r="AQ546" s="139"/>
      <c r="AR546" s="139"/>
      <c r="AS546" s="139"/>
      <c r="AT546" s="139"/>
      <c r="AU546" s="139"/>
      <c r="AV546" s="139"/>
    </row>
    <row r="547">
      <c r="A547" s="139"/>
      <c r="B547" s="234"/>
      <c r="C547" s="139"/>
      <c r="D547" s="139"/>
      <c r="E547" s="139"/>
      <c r="F547" s="139"/>
      <c r="G547" s="139"/>
      <c r="H547" s="139"/>
      <c r="I547" s="139"/>
      <c r="J547" s="139"/>
      <c r="K547" s="139"/>
      <c r="L547" s="139"/>
      <c r="M547" s="139"/>
      <c r="N547" s="145"/>
      <c r="O547" s="139"/>
      <c r="P547" s="139"/>
      <c r="Q547" s="231"/>
      <c r="R547" s="139"/>
      <c r="S547" s="235"/>
      <c r="T547" s="235"/>
      <c r="U547" s="145"/>
      <c r="V547" s="145"/>
      <c r="W547" s="111"/>
      <c r="X547" s="233"/>
      <c r="Y547" s="226"/>
      <c r="Z547" s="139"/>
      <c r="AA547" s="139"/>
      <c r="AB547" s="139"/>
      <c r="AC547" s="139"/>
      <c r="AD547" s="139"/>
      <c r="AE547" s="139"/>
      <c r="AF547" s="139"/>
      <c r="AG547" s="139"/>
      <c r="AH547" s="139"/>
      <c r="AI547" s="139"/>
      <c r="AJ547" s="139"/>
      <c r="AK547" s="139"/>
      <c r="AL547" s="139"/>
      <c r="AM547" s="139"/>
      <c r="AN547" s="139"/>
      <c r="AO547" s="139"/>
      <c r="AP547" s="139"/>
      <c r="AQ547" s="139"/>
      <c r="AR547" s="139"/>
      <c r="AS547" s="139"/>
      <c r="AT547" s="139"/>
      <c r="AU547" s="139"/>
      <c r="AV547" s="139"/>
    </row>
    <row r="548">
      <c r="A548" s="139"/>
      <c r="B548" s="234"/>
      <c r="C548" s="139"/>
      <c r="D548" s="139"/>
      <c r="E548" s="139"/>
      <c r="F548" s="139"/>
      <c r="G548" s="139"/>
      <c r="H548" s="139"/>
      <c r="I548" s="139"/>
      <c r="J548" s="139"/>
      <c r="K548" s="139"/>
      <c r="L548" s="139"/>
      <c r="M548" s="139"/>
      <c r="N548" s="145"/>
      <c r="O548" s="139"/>
      <c r="P548" s="139"/>
      <c r="Q548" s="231"/>
      <c r="R548" s="139"/>
      <c r="S548" s="235"/>
      <c r="T548" s="235"/>
      <c r="U548" s="145"/>
      <c r="V548" s="145"/>
      <c r="W548" s="111"/>
      <c r="X548" s="233"/>
      <c r="Y548" s="226"/>
      <c r="Z548" s="139"/>
      <c r="AA548" s="139"/>
      <c r="AB548" s="139"/>
      <c r="AC548" s="139"/>
      <c r="AD548" s="139"/>
      <c r="AE548" s="139"/>
      <c r="AF548" s="139"/>
      <c r="AG548" s="139"/>
      <c r="AH548" s="139"/>
      <c r="AI548" s="139"/>
      <c r="AJ548" s="139"/>
      <c r="AK548" s="139"/>
      <c r="AL548" s="139"/>
      <c r="AM548" s="139"/>
      <c r="AN548" s="139"/>
      <c r="AO548" s="139"/>
      <c r="AP548" s="139"/>
      <c r="AQ548" s="139"/>
      <c r="AR548" s="139"/>
      <c r="AS548" s="139"/>
      <c r="AT548" s="139"/>
      <c r="AU548" s="139"/>
      <c r="AV548" s="139"/>
    </row>
    <row r="549">
      <c r="A549" s="139"/>
      <c r="B549" s="234"/>
      <c r="C549" s="139"/>
      <c r="D549" s="139"/>
      <c r="E549" s="139"/>
      <c r="F549" s="139"/>
      <c r="G549" s="139"/>
      <c r="H549" s="139"/>
      <c r="I549" s="139"/>
      <c r="J549" s="139"/>
      <c r="K549" s="139"/>
      <c r="L549" s="139"/>
      <c r="M549" s="139"/>
      <c r="N549" s="145"/>
      <c r="O549" s="139"/>
      <c r="P549" s="139"/>
      <c r="Q549" s="231"/>
      <c r="R549" s="139"/>
      <c r="S549" s="235"/>
      <c r="T549" s="235"/>
      <c r="U549" s="145"/>
      <c r="V549" s="145"/>
      <c r="W549" s="111"/>
      <c r="X549" s="233"/>
      <c r="Y549" s="226"/>
      <c r="Z549" s="139"/>
      <c r="AA549" s="139"/>
      <c r="AB549" s="139"/>
      <c r="AC549" s="139"/>
      <c r="AD549" s="139"/>
      <c r="AE549" s="139"/>
      <c r="AF549" s="139"/>
      <c r="AG549" s="139"/>
      <c r="AH549" s="139"/>
      <c r="AI549" s="139"/>
      <c r="AJ549" s="139"/>
      <c r="AK549" s="139"/>
      <c r="AL549" s="139"/>
      <c r="AM549" s="139"/>
      <c r="AN549" s="139"/>
      <c r="AO549" s="139"/>
      <c r="AP549" s="139"/>
      <c r="AQ549" s="139"/>
      <c r="AR549" s="139"/>
      <c r="AS549" s="139"/>
      <c r="AT549" s="139"/>
      <c r="AU549" s="139"/>
      <c r="AV549" s="139"/>
    </row>
    <row r="550">
      <c r="A550" s="139"/>
      <c r="B550" s="234"/>
      <c r="C550" s="139"/>
      <c r="D550" s="139"/>
      <c r="E550" s="139"/>
      <c r="F550" s="139"/>
      <c r="G550" s="139"/>
      <c r="H550" s="139"/>
      <c r="I550" s="139"/>
      <c r="J550" s="139"/>
      <c r="K550" s="139"/>
      <c r="L550" s="139"/>
      <c r="M550" s="139"/>
      <c r="N550" s="145"/>
      <c r="O550" s="139"/>
      <c r="P550" s="139"/>
      <c r="Q550" s="231"/>
      <c r="R550" s="139"/>
      <c r="S550" s="235"/>
      <c r="T550" s="235"/>
      <c r="U550" s="145"/>
      <c r="V550" s="145"/>
      <c r="W550" s="111"/>
      <c r="X550" s="233"/>
      <c r="Y550" s="226"/>
      <c r="Z550" s="139"/>
      <c r="AA550" s="139"/>
      <c r="AB550" s="139"/>
      <c r="AC550" s="139"/>
      <c r="AD550" s="139"/>
      <c r="AE550" s="139"/>
      <c r="AF550" s="139"/>
      <c r="AG550" s="139"/>
      <c r="AH550" s="139"/>
      <c r="AI550" s="139"/>
      <c r="AJ550" s="139"/>
      <c r="AK550" s="139"/>
      <c r="AL550" s="139"/>
      <c r="AM550" s="139"/>
      <c r="AN550" s="139"/>
      <c r="AO550" s="139"/>
      <c r="AP550" s="139"/>
      <c r="AQ550" s="139"/>
      <c r="AR550" s="139"/>
      <c r="AS550" s="139"/>
      <c r="AT550" s="139"/>
      <c r="AU550" s="139"/>
      <c r="AV550" s="139"/>
    </row>
    <row r="551">
      <c r="A551" s="139"/>
      <c r="B551" s="234"/>
      <c r="C551" s="139"/>
      <c r="D551" s="139"/>
      <c r="E551" s="139"/>
      <c r="F551" s="139"/>
      <c r="G551" s="139"/>
      <c r="H551" s="139"/>
      <c r="I551" s="139"/>
      <c r="J551" s="139"/>
      <c r="K551" s="139"/>
      <c r="L551" s="139"/>
      <c r="M551" s="139"/>
      <c r="N551" s="145"/>
      <c r="O551" s="139"/>
      <c r="P551" s="139"/>
      <c r="Q551" s="231"/>
      <c r="R551" s="139"/>
      <c r="S551" s="235"/>
      <c r="T551" s="235"/>
      <c r="U551" s="145"/>
      <c r="V551" s="145"/>
      <c r="W551" s="111"/>
      <c r="X551" s="233"/>
      <c r="Y551" s="226"/>
      <c r="Z551" s="139"/>
      <c r="AA551" s="139"/>
      <c r="AB551" s="139"/>
      <c r="AC551" s="139"/>
      <c r="AD551" s="139"/>
      <c r="AE551" s="139"/>
      <c r="AF551" s="139"/>
      <c r="AG551" s="139"/>
      <c r="AH551" s="139"/>
      <c r="AI551" s="139"/>
      <c r="AJ551" s="139"/>
      <c r="AK551" s="139"/>
      <c r="AL551" s="139"/>
      <c r="AM551" s="139"/>
      <c r="AN551" s="139"/>
      <c r="AO551" s="139"/>
      <c r="AP551" s="139"/>
      <c r="AQ551" s="139"/>
      <c r="AR551" s="139"/>
      <c r="AS551" s="139"/>
      <c r="AT551" s="139"/>
      <c r="AU551" s="139"/>
      <c r="AV551" s="139"/>
    </row>
    <row r="552">
      <c r="A552" s="139"/>
      <c r="B552" s="234"/>
      <c r="C552" s="139"/>
      <c r="D552" s="139"/>
      <c r="E552" s="139"/>
      <c r="F552" s="139"/>
      <c r="G552" s="139"/>
      <c r="H552" s="139"/>
      <c r="I552" s="139"/>
      <c r="J552" s="139"/>
      <c r="K552" s="139"/>
      <c r="L552" s="139"/>
      <c r="M552" s="139"/>
      <c r="N552" s="145"/>
      <c r="O552" s="139"/>
      <c r="P552" s="139"/>
      <c r="Q552" s="231"/>
      <c r="R552" s="139"/>
      <c r="S552" s="235"/>
      <c r="T552" s="235"/>
      <c r="U552" s="145"/>
      <c r="V552" s="145"/>
      <c r="W552" s="111"/>
      <c r="X552" s="233"/>
      <c r="Y552" s="226"/>
      <c r="Z552" s="139"/>
      <c r="AA552" s="139"/>
      <c r="AB552" s="139"/>
      <c r="AC552" s="139"/>
      <c r="AD552" s="139"/>
      <c r="AE552" s="139"/>
      <c r="AF552" s="139"/>
      <c r="AG552" s="139"/>
      <c r="AH552" s="139"/>
      <c r="AI552" s="139"/>
      <c r="AJ552" s="139"/>
      <c r="AK552" s="139"/>
      <c r="AL552" s="139"/>
      <c r="AM552" s="139"/>
      <c r="AN552" s="139"/>
      <c r="AO552" s="139"/>
      <c r="AP552" s="139"/>
      <c r="AQ552" s="139"/>
      <c r="AR552" s="139"/>
      <c r="AS552" s="139"/>
      <c r="AT552" s="139"/>
      <c r="AU552" s="139"/>
      <c r="AV552" s="139"/>
    </row>
    <row r="553">
      <c r="A553" s="139"/>
      <c r="B553" s="234"/>
      <c r="C553" s="139"/>
      <c r="D553" s="139"/>
      <c r="E553" s="139"/>
      <c r="F553" s="139"/>
      <c r="G553" s="139"/>
      <c r="H553" s="139"/>
      <c r="I553" s="139"/>
      <c r="J553" s="139"/>
      <c r="K553" s="139"/>
      <c r="L553" s="139"/>
      <c r="M553" s="139"/>
      <c r="N553" s="145"/>
      <c r="O553" s="139"/>
      <c r="P553" s="139"/>
      <c r="Q553" s="231"/>
      <c r="R553" s="139"/>
      <c r="S553" s="235"/>
      <c r="T553" s="235"/>
      <c r="U553" s="145"/>
      <c r="V553" s="145"/>
      <c r="W553" s="111"/>
      <c r="X553" s="233"/>
      <c r="Y553" s="226"/>
      <c r="Z553" s="139"/>
      <c r="AA553" s="139"/>
      <c r="AB553" s="139"/>
      <c r="AC553" s="139"/>
      <c r="AD553" s="139"/>
      <c r="AE553" s="139"/>
      <c r="AF553" s="139"/>
      <c r="AG553" s="139"/>
      <c r="AH553" s="139"/>
      <c r="AI553" s="139"/>
      <c r="AJ553" s="139"/>
      <c r="AK553" s="139"/>
      <c r="AL553" s="139"/>
      <c r="AM553" s="139"/>
      <c r="AN553" s="139"/>
      <c r="AO553" s="139"/>
      <c r="AP553" s="139"/>
      <c r="AQ553" s="139"/>
      <c r="AR553" s="139"/>
      <c r="AS553" s="139"/>
      <c r="AT553" s="139"/>
      <c r="AU553" s="139"/>
      <c r="AV553" s="139"/>
    </row>
    <row r="554">
      <c r="A554" s="139"/>
      <c r="B554" s="234"/>
      <c r="C554" s="139"/>
      <c r="D554" s="139"/>
      <c r="E554" s="139"/>
      <c r="F554" s="139"/>
      <c r="G554" s="139"/>
      <c r="H554" s="139"/>
      <c r="I554" s="139"/>
      <c r="J554" s="139"/>
      <c r="K554" s="139"/>
      <c r="L554" s="139"/>
      <c r="M554" s="139"/>
      <c r="N554" s="145"/>
      <c r="O554" s="139"/>
      <c r="P554" s="139"/>
      <c r="Q554" s="231"/>
      <c r="R554" s="139"/>
      <c r="S554" s="235"/>
      <c r="T554" s="235"/>
      <c r="U554" s="145"/>
      <c r="V554" s="145"/>
      <c r="W554" s="111"/>
      <c r="X554" s="233"/>
      <c r="Y554" s="226"/>
      <c r="Z554" s="139"/>
      <c r="AA554" s="139"/>
      <c r="AB554" s="139"/>
      <c r="AC554" s="139"/>
      <c r="AD554" s="139"/>
      <c r="AE554" s="139"/>
      <c r="AF554" s="139"/>
      <c r="AG554" s="139"/>
      <c r="AH554" s="139"/>
      <c r="AI554" s="139"/>
      <c r="AJ554" s="139"/>
      <c r="AK554" s="139"/>
      <c r="AL554" s="139"/>
      <c r="AM554" s="139"/>
      <c r="AN554" s="139"/>
      <c r="AO554" s="139"/>
      <c r="AP554" s="139"/>
      <c r="AQ554" s="139"/>
      <c r="AR554" s="139"/>
      <c r="AS554" s="139"/>
      <c r="AT554" s="139"/>
      <c r="AU554" s="139"/>
      <c r="AV554" s="139"/>
    </row>
    <row r="555">
      <c r="A555" s="139"/>
      <c r="B555" s="234"/>
      <c r="C555" s="139"/>
      <c r="D555" s="139"/>
      <c r="E555" s="139"/>
      <c r="F555" s="139"/>
      <c r="G555" s="139"/>
      <c r="H555" s="139"/>
      <c r="I555" s="139"/>
      <c r="J555" s="139"/>
      <c r="K555" s="139"/>
      <c r="L555" s="139"/>
      <c r="M555" s="139"/>
      <c r="N555" s="145"/>
      <c r="O555" s="139"/>
      <c r="P555" s="139"/>
      <c r="Q555" s="231"/>
      <c r="R555" s="139"/>
      <c r="S555" s="235"/>
      <c r="T555" s="235"/>
      <c r="U555" s="145"/>
      <c r="V555" s="145"/>
      <c r="W555" s="111"/>
      <c r="X555" s="233"/>
      <c r="Y555" s="226"/>
      <c r="Z555" s="139"/>
      <c r="AA555" s="139"/>
      <c r="AB555" s="139"/>
      <c r="AC555" s="139"/>
      <c r="AD555" s="139"/>
      <c r="AE555" s="139"/>
      <c r="AF555" s="139"/>
      <c r="AG555" s="139"/>
      <c r="AH555" s="139"/>
      <c r="AI555" s="139"/>
      <c r="AJ555" s="139"/>
      <c r="AK555" s="139"/>
      <c r="AL555" s="139"/>
      <c r="AM555" s="139"/>
      <c r="AN555" s="139"/>
      <c r="AO555" s="139"/>
      <c r="AP555" s="139"/>
      <c r="AQ555" s="139"/>
      <c r="AR555" s="139"/>
      <c r="AS555" s="139"/>
      <c r="AT555" s="139"/>
      <c r="AU555" s="139"/>
      <c r="AV555" s="139"/>
    </row>
    <row r="556">
      <c r="A556" s="139"/>
      <c r="B556" s="234"/>
      <c r="C556" s="139"/>
      <c r="D556" s="139"/>
      <c r="E556" s="139"/>
      <c r="F556" s="139"/>
      <c r="G556" s="139"/>
      <c r="H556" s="139"/>
      <c r="I556" s="139"/>
      <c r="J556" s="139"/>
      <c r="K556" s="139"/>
      <c r="L556" s="139"/>
      <c r="M556" s="139"/>
      <c r="N556" s="145"/>
      <c r="O556" s="139"/>
      <c r="P556" s="139"/>
      <c r="Q556" s="231"/>
      <c r="R556" s="139"/>
      <c r="S556" s="235"/>
      <c r="T556" s="235"/>
      <c r="U556" s="145"/>
      <c r="V556" s="145"/>
      <c r="W556" s="111"/>
      <c r="X556" s="233"/>
      <c r="Y556" s="226"/>
      <c r="Z556" s="139"/>
      <c r="AA556" s="139"/>
      <c r="AB556" s="139"/>
      <c r="AC556" s="139"/>
      <c r="AD556" s="139"/>
      <c r="AE556" s="139"/>
      <c r="AF556" s="139"/>
      <c r="AG556" s="139"/>
      <c r="AH556" s="139"/>
      <c r="AI556" s="139"/>
      <c r="AJ556" s="139"/>
      <c r="AK556" s="139"/>
      <c r="AL556" s="139"/>
      <c r="AM556" s="139"/>
      <c r="AN556" s="139"/>
      <c r="AO556" s="139"/>
      <c r="AP556" s="139"/>
      <c r="AQ556" s="139"/>
      <c r="AR556" s="139"/>
      <c r="AS556" s="139"/>
      <c r="AT556" s="139"/>
      <c r="AU556" s="139"/>
      <c r="AV556" s="139"/>
    </row>
    <row r="557">
      <c r="A557" s="139"/>
      <c r="B557" s="234"/>
      <c r="C557" s="139"/>
      <c r="D557" s="139"/>
      <c r="E557" s="139"/>
      <c r="F557" s="139"/>
      <c r="G557" s="139"/>
      <c r="H557" s="139"/>
      <c r="I557" s="139"/>
      <c r="J557" s="139"/>
      <c r="K557" s="139"/>
      <c r="L557" s="139"/>
      <c r="M557" s="139"/>
      <c r="N557" s="145"/>
      <c r="O557" s="139"/>
      <c r="P557" s="139"/>
      <c r="Q557" s="231"/>
      <c r="R557" s="139"/>
      <c r="S557" s="235"/>
      <c r="T557" s="235"/>
      <c r="U557" s="145"/>
      <c r="V557" s="145"/>
      <c r="W557" s="111"/>
      <c r="X557" s="233"/>
      <c r="Y557" s="226"/>
      <c r="Z557" s="139"/>
      <c r="AA557" s="139"/>
      <c r="AB557" s="139"/>
      <c r="AC557" s="139"/>
      <c r="AD557" s="139"/>
      <c r="AE557" s="139"/>
      <c r="AF557" s="139"/>
      <c r="AG557" s="139"/>
      <c r="AH557" s="139"/>
      <c r="AI557" s="139"/>
      <c r="AJ557" s="139"/>
      <c r="AK557" s="139"/>
      <c r="AL557" s="139"/>
      <c r="AM557" s="139"/>
      <c r="AN557" s="139"/>
      <c r="AO557" s="139"/>
      <c r="AP557" s="139"/>
      <c r="AQ557" s="139"/>
      <c r="AR557" s="139"/>
      <c r="AS557" s="139"/>
      <c r="AT557" s="139"/>
      <c r="AU557" s="139"/>
      <c r="AV557" s="139"/>
    </row>
    <row r="558">
      <c r="A558" s="139"/>
      <c r="B558" s="234"/>
      <c r="C558" s="139"/>
      <c r="D558" s="139"/>
      <c r="E558" s="139"/>
      <c r="F558" s="139"/>
      <c r="G558" s="139"/>
      <c r="H558" s="139"/>
      <c r="I558" s="139"/>
      <c r="J558" s="139"/>
      <c r="K558" s="139"/>
      <c r="L558" s="139"/>
      <c r="M558" s="139"/>
      <c r="N558" s="145"/>
      <c r="O558" s="139"/>
      <c r="P558" s="139"/>
      <c r="Q558" s="231"/>
      <c r="R558" s="139"/>
      <c r="S558" s="235"/>
      <c r="T558" s="235"/>
      <c r="U558" s="145"/>
      <c r="V558" s="145"/>
      <c r="W558" s="111"/>
      <c r="X558" s="233"/>
      <c r="Y558" s="226"/>
      <c r="Z558" s="139"/>
      <c r="AA558" s="139"/>
      <c r="AB558" s="139"/>
      <c r="AC558" s="139"/>
      <c r="AD558" s="139"/>
      <c r="AE558" s="139"/>
      <c r="AF558" s="139"/>
      <c r="AG558" s="139"/>
      <c r="AH558" s="139"/>
      <c r="AI558" s="139"/>
      <c r="AJ558" s="139"/>
      <c r="AK558" s="139"/>
      <c r="AL558" s="139"/>
      <c r="AM558" s="139"/>
      <c r="AN558" s="139"/>
      <c r="AO558" s="139"/>
      <c r="AP558" s="139"/>
      <c r="AQ558" s="139"/>
      <c r="AR558" s="139"/>
      <c r="AS558" s="139"/>
      <c r="AT558" s="139"/>
      <c r="AU558" s="139"/>
      <c r="AV558" s="139"/>
    </row>
    <row r="559">
      <c r="A559" s="139"/>
      <c r="B559" s="234"/>
      <c r="C559" s="139"/>
      <c r="D559" s="139"/>
      <c r="E559" s="139"/>
      <c r="F559" s="139"/>
      <c r="G559" s="139"/>
      <c r="H559" s="139"/>
      <c r="I559" s="139"/>
      <c r="J559" s="139"/>
      <c r="K559" s="139"/>
      <c r="L559" s="139"/>
      <c r="M559" s="139"/>
      <c r="N559" s="145"/>
      <c r="O559" s="139"/>
      <c r="P559" s="139"/>
      <c r="Q559" s="231"/>
      <c r="R559" s="139"/>
      <c r="S559" s="235"/>
      <c r="T559" s="235"/>
      <c r="U559" s="145"/>
      <c r="V559" s="145"/>
      <c r="W559" s="111"/>
      <c r="X559" s="233"/>
      <c r="Y559" s="226"/>
      <c r="Z559" s="139"/>
      <c r="AA559" s="139"/>
      <c r="AB559" s="139"/>
      <c r="AC559" s="139"/>
      <c r="AD559" s="139"/>
      <c r="AE559" s="139"/>
      <c r="AF559" s="139"/>
      <c r="AG559" s="139"/>
      <c r="AH559" s="139"/>
      <c r="AI559" s="139"/>
      <c r="AJ559" s="139"/>
      <c r="AK559" s="139"/>
      <c r="AL559" s="139"/>
      <c r="AM559" s="139"/>
      <c r="AN559" s="139"/>
      <c r="AO559" s="139"/>
      <c r="AP559" s="139"/>
      <c r="AQ559" s="139"/>
      <c r="AR559" s="139"/>
      <c r="AS559" s="139"/>
      <c r="AT559" s="139"/>
      <c r="AU559" s="139"/>
      <c r="AV559" s="139"/>
    </row>
    <row r="560">
      <c r="A560" s="139"/>
      <c r="B560" s="234"/>
      <c r="C560" s="139"/>
      <c r="D560" s="139"/>
      <c r="E560" s="139"/>
      <c r="F560" s="139"/>
      <c r="G560" s="139"/>
      <c r="H560" s="139"/>
      <c r="I560" s="139"/>
      <c r="J560" s="139"/>
      <c r="K560" s="139"/>
      <c r="L560" s="139"/>
      <c r="M560" s="139"/>
      <c r="N560" s="145"/>
      <c r="O560" s="139"/>
      <c r="P560" s="139"/>
      <c r="Q560" s="231"/>
      <c r="R560" s="139"/>
      <c r="S560" s="235"/>
      <c r="T560" s="235"/>
      <c r="U560" s="145"/>
      <c r="V560" s="145"/>
      <c r="W560" s="111"/>
      <c r="X560" s="233"/>
      <c r="Y560" s="226"/>
      <c r="Z560" s="139"/>
      <c r="AA560" s="139"/>
      <c r="AB560" s="139"/>
      <c r="AC560" s="139"/>
      <c r="AD560" s="139"/>
      <c r="AE560" s="139"/>
      <c r="AF560" s="139"/>
      <c r="AG560" s="139"/>
      <c r="AH560" s="139"/>
      <c r="AI560" s="139"/>
      <c r="AJ560" s="139"/>
      <c r="AK560" s="139"/>
      <c r="AL560" s="139"/>
      <c r="AM560" s="139"/>
      <c r="AN560" s="139"/>
      <c r="AO560" s="139"/>
      <c r="AP560" s="139"/>
      <c r="AQ560" s="139"/>
      <c r="AR560" s="139"/>
      <c r="AS560" s="139"/>
      <c r="AT560" s="139"/>
      <c r="AU560" s="139"/>
      <c r="AV560" s="139"/>
    </row>
    <row r="561">
      <c r="A561" s="139"/>
      <c r="B561" s="234"/>
      <c r="C561" s="139"/>
      <c r="D561" s="139"/>
      <c r="E561" s="139"/>
      <c r="F561" s="139"/>
      <c r="G561" s="139"/>
      <c r="H561" s="139"/>
      <c r="I561" s="139"/>
      <c r="J561" s="139"/>
      <c r="K561" s="139"/>
      <c r="L561" s="139"/>
      <c r="M561" s="139"/>
      <c r="N561" s="145"/>
      <c r="O561" s="139"/>
      <c r="P561" s="139"/>
      <c r="Q561" s="231"/>
      <c r="R561" s="139"/>
      <c r="S561" s="235"/>
      <c r="T561" s="235"/>
      <c r="U561" s="145"/>
      <c r="V561" s="145"/>
      <c r="W561" s="111"/>
      <c r="X561" s="233"/>
      <c r="Y561" s="226"/>
      <c r="Z561" s="139"/>
      <c r="AA561" s="139"/>
      <c r="AB561" s="139"/>
      <c r="AC561" s="139"/>
      <c r="AD561" s="139"/>
      <c r="AE561" s="139"/>
      <c r="AF561" s="139"/>
      <c r="AG561" s="139"/>
      <c r="AH561" s="139"/>
      <c r="AI561" s="139"/>
      <c r="AJ561" s="139"/>
      <c r="AK561" s="139"/>
      <c r="AL561" s="139"/>
      <c r="AM561" s="139"/>
      <c r="AN561" s="139"/>
      <c r="AO561" s="139"/>
      <c r="AP561" s="139"/>
      <c r="AQ561" s="139"/>
      <c r="AR561" s="139"/>
      <c r="AS561" s="139"/>
      <c r="AT561" s="139"/>
      <c r="AU561" s="139"/>
      <c r="AV561" s="139"/>
    </row>
    <row r="562">
      <c r="A562" s="139"/>
      <c r="B562" s="234"/>
      <c r="C562" s="139"/>
      <c r="D562" s="139"/>
      <c r="E562" s="139"/>
      <c r="F562" s="139"/>
      <c r="G562" s="139"/>
      <c r="H562" s="139"/>
      <c r="I562" s="139"/>
      <c r="J562" s="139"/>
      <c r="K562" s="139"/>
      <c r="L562" s="139"/>
      <c r="M562" s="139"/>
      <c r="N562" s="145"/>
      <c r="O562" s="139"/>
      <c r="P562" s="139"/>
      <c r="Q562" s="231"/>
      <c r="R562" s="139"/>
      <c r="S562" s="235"/>
      <c r="T562" s="235"/>
      <c r="U562" s="145"/>
      <c r="V562" s="145"/>
      <c r="W562" s="111"/>
      <c r="X562" s="233"/>
      <c r="Y562" s="226"/>
      <c r="Z562" s="139"/>
      <c r="AA562" s="139"/>
      <c r="AB562" s="139"/>
      <c r="AC562" s="139"/>
      <c r="AD562" s="139"/>
      <c r="AE562" s="139"/>
      <c r="AF562" s="139"/>
      <c r="AG562" s="139"/>
      <c r="AH562" s="139"/>
      <c r="AI562" s="139"/>
      <c r="AJ562" s="139"/>
      <c r="AK562" s="139"/>
      <c r="AL562" s="139"/>
      <c r="AM562" s="139"/>
      <c r="AN562" s="139"/>
      <c r="AO562" s="139"/>
      <c r="AP562" s="139"/>
      <c r="AQ562" s="139"/>
      <c r="AR562" s="139"/>
      <c r="AS562" s="139"/>
      <c r="AT562" s="139"/>
      <c r="AU562" s="139"/>
      <c r="AV562" s="139"/>
    </row>
    <row r="563">
      <c r="A563" s="139"/>
      <c r="B563" s="234"/>
      <c r="C563" s="139"/>
      <c r="D563" s="139"/>
      <c r="E563" s="139"/>
      <c r="F563" s="139"/>
      <c r="G563" s="139"/>
      <c r="H563" s="139"/>
      <c r="I563" s="139"/>
      <c r="J563" s="139"/>
      <c r="K563" s="139"/>
      <c r="L563" s="139"/>
      <c r="M563" s="139"/>
      <c r="N563" s="145"/>
      <c r="O563" s="139"/>
      <c r="P563" s="139"/>
      <c r="Q563" s="231"/>
      <c r="R563" s="139"/>
      <c r="S563" s="235"/>
      <c r="T563" s="235"/>
      <c r="U563" s="145"/>
      <c r="V563" s="145"/>
      <c r="W563" s="111"/>
      <c r="X563" s="233"/>
      <c r="Y563" s="226"/>
      <c r="Z563" s="139"/>
      <c r="AA563" s="139"/>
      <c r="AB563" s="139"/>
      <c r="AC563" s="139"/>
      <c r="AD563" s="139"/>
      <c r="AE563" s="139"/>
      <c r="AF563" s="139"/>
      <c r="AG563" s="139"/>
      <c r="AH563" s="139"/>
      <c r="AI563" s="139"/>
      <c r="AJ563" s="139"/>
      <c r="AK563" s="139"/>
      <c r="AL563" s="139"/>
      <c r="AM563" s="139"/>
      <c r="AN563" s="139"/>
      <c r="AO563" s="139"/>
      <c r="AP563" s="139"/>
      <c r="AQ563" s="139"/>
      <c r="AR563" s="139"/>
      <c r="AS563" s="139"/>
      <c r="AT563" s="139"/>
      <c r="AU563" s="139"/>
      <c r="AV563" s="139"/>
    </row>
    <row r="564">
      <c r="A564" s="139"/>
      <c r="B564" s="234"/>
      <c r="C564" s="139"/>
      <c r="D564" s="139"/>
      <c r="E564" s="139"/>
      <c r="F564" s="139"/>
      <c r="G564" s="139"/>
      <c r="H564" s="139"/>
      <c r="I564" s="139"/>
      <c r="J564" s="139"/>
      <c r="K564" s="139"/>
      <c r="L564" s="139"/>
      <c r="M564" s="139"/>
      <c r="N564" s="145"/>
      <c r="O564" s="139"/>
      <c r="P564" s="139"/>
      <c r="Q564" s="231"/>
      <c r="R564" s="139"/>
      <c r="S564" s="235"/>
      <c r="T564" s="235"/>
      <c r="U564" s="145"/>
      <c r="V564" s="145"/>
      <c r="W564" s="111"/>
      <c r="X564" s="233"/>
      <c r="Y564" s="226"/>
      <c r="Z564" s="139"/>
      <c r="AA564" s="139"/>
      <c r="AB564" s="139"/>
      <c r="AC564" s="139"/>
      <c r="AD564" s="139"/>
      <c r="AE564" s="139"/>
      <c r="AF564" s="139"/>
      <c r="AG564" s="139"/>
      <c r="AH564" s="139"/>
      <c r="AI564" s="139"/>
      <c r="AJ564" s="139"/>
      <c r="AK564" s="139"/>
      <c r="AL564" s="139"/>
      <c r="AM564" s="139"/>
      <c r="AN564" s="139"/>
      <c r="AO564" s="139"/>
      <c r="AP564" s="139"/>
      <c r="AQ564" s="139"/>
      <c r="AR564" s="139"/>
      <c r="AS564" s="139"/>
      <c r="AT564" s="139"/>
      <c r="AU564" s="139"/>
      <c r="AV564" s="139"/>
    </row>
    <row r="565">
      <c r="A565" s="139"/>
      <c r="B565" s="234"/>
      <c r="C565" s="139"/>
      <c r="D565" s="139"/>
      <c r="E565" s="139"/>
      <c r="F565" s="139"/>
      <c r="G565" s="139"/>
      <c r="H565" s="139"/>
      <c r="I565" s="139"/>
      <c r="J565" s="139"/>
      <c r="K565" s="139"/>
      <c r="L565" s="139"/>
      <c r="M565" s="139"/>
      <c r="N565" s="145"/>
      <c r="O565" s="139"/>
      <c r="P565" s="139"/>
      <c r="Q565" s="231"/>
      <c r="R565" s="139"/>
      <c r="S565" s="235"/>
      <c r="T565" s="235"/>
      <c r="U565" s="145"/>
      <c r="V565" s="145"/>
      <c r="W565" s="111"/>
      <c r="X565" s="233"/>
      <c r="Y565" s="226"/>
      <c r="Z565" s="139"/>
      <c r="AA565" s="139"/>
      <c r="AB565" s="139"/>
      <c r="AC565" s="139"/>
      <c r="AD565" s="139"/>
      <c r="AE565" s="139"/>
      <c r="AF565" s="139"/>
      <c r="AG565" s="139"/>
      <c r="AH565" s="139"/>
      <c r="AI565" s="139"/>
      <c r="AJ565" s="139"/>
      <c r="AK565" s="139"/>
      <c r="AL565" s="139"/>
      <c r="AM565" s="139"/>
      <c r="AN565" s="139"/>
      <c r="AO565" s="139"/>
      <c r="AP565" s="139"/>
      <c r="AQ565" s="139"/>
      <c r="AR565" s="139"/>
      <c r="AS565" s="139"/>
      <c r="AT565" s="139"/>
      <c r="AU565" s="139"/>
      <c r="AV565" s="139"/>
    </row>
    <row r="566">
      <c r="A566" s="139"/>
      <c r="B566" s="234"/>
      <c r="C566" s="139"/>
      <c r="D566" s="139"/>
      <c r="E566" s="139"/>
      <c r="F566" s="139"/>
      <c r="G566" s="139"/>
      <c r="H566" s="139"/>
      <c r="I566" s="139"/>
      <c r="J566" s="139"/>
      <c r="K566" s="139"/>
      <c r="L566" s="139"/>
      <c r="M566" s="139"/>
      <c r="N566" s="145"/>
      <c r="O566" s="139"/>
      <c r="P566" s="139"/>
      <c r="Q566" s="231"/>
      <c r="R566" s="139"/>
      <c r="S566" s="235"/>
      <c r="T566" s="235"/>
      <c r="U566" s="145"/>
      <c r="V566" s="145"/>
      <c r="W566" s="111"/>
      <c r="X566" s="233"/>
      <c r="Y566" s="226"/>
      <c r="Z566" s="139"/>
      <c r="AA566" s="139"/>
      <c r="AB566" s="139"/>
      <c r="AC566" s="139"/>
      <c r="AD566" s="139"/>
      <c r="AE566" s="139"/>
      <c r="AF566" s="139"/>
      <c r="AG566" s="139"/>
      <c r="AH566" s="139"/>
      <c r="AI566" s="139"/>
      <c r="AJ566" s="139"/>
      <c r="AK566" s="139"/>
      <c r="AL566" s="139"/>
      <c r="AM566" s="139"/>
      <c r="AN566" s="139"/>
      <c r="AO566" s="139"/>
      <c r="AP566" s="139"/>
      <c r="AQ566" s="139"/>
      <c r="AR566" s="139"/>
      <c r="AS566" s="139"/>
      <c r="AT566" s="139"/>
      <c r="AU566" s="139"/>
      <c r="AV566" s="139"/>
    </row>
    <row r="567">
      <c r="A567" s="139"/>
      <c r="B567" s="234"/>
      <c r="C567" s="139"/>
      <c r="D567" s="139"/>
      <c r="E567" s="139"/>
      <c r="F567" s="139"/>
      <c r="G567" s="139"/>
      <c r="H567" s="139"/>
      <c r="I567" s="139"/>
      <c r="J567" s="139"/>
      <c r="K567" s="139"/>
      <c r="L567" s="139"/>
      <c r="M567" s="139"/>
      <c r="N567" s="145"/>
      <c r="O567" s="139"/>
      <c r="P567" s="139"/>
      <c r="Q567" s="231"/>
      <c r="R567" s="139"/>
      <c r="S567" s="235"/>
      <c r="T567" s="235"/>
      <c r="U567" s="145"/>
      <c r="V567" s="145"/>
      <c r="W567" s="111"/>
      <c r="X567" s="233"/>
      <c r="Y567" s="226"/>
      <c r="Z567" s="139"/>
      <c r="AA567" s="139"/>
      <c r="AB567" s="139"/>
      <c r="AC567" s="139"/>
      <c r="AD567" s="139"/>
      <c r="AE567" s="139"/>
      <c r="AF567" s="139"/>
      <c r="AG567" s="139"/>
      <c r="AH567" s="139"/>
      <c r="AI567" s="139"/>
      <c r="AJ567" s="139"/>
      <c r="AK567" s="139"/>
      <c r="AL567" s="139"/>
      <c r="AM567" s="139"/>
      <c r="AN567" s="139"/>
      <c r="AO567" s="139"/>
      <c r="AP567" s="139"/>
      <c r="AQ567" s="139"/>
      <c r="AR567" s="139"/>
      <c r="AS567" s="139"/>
      <c r="AT567" s="139"/>
      <c r="AU567" s="139"/>
      <c r="AV567" s="139"/>
    </row>
    <row r="568">
      <c r="A568" s="139"/>
      <c r="B568" s="234"/>
      <c r="C568" s="139"/>
      <c r="D568" s="139"/>
      <c r="E568" s="139"/>
      <c r="F568" s="139"/>
      <c r="G568" s="139"/>
      <c r="H568" s="139"/>
      <c r="I568" s="139"/>
      <c r="J568" s="139"/>
      <c r="K568" s="139"/>
      <c r="L568" s="139"/>
      <c r="M568" s="139"/>
      <c r="N568" s="145"/>
      <c r="O568" s="139"/>
      <c r="P568" s="139"/>
      <c r="Q568" s="231"/>
      <c r="R568" s="139"/>
      <c r="S568" s="235"/>
      <c r="T568" s="235"/>
      <c r="U568" s="145"/>
      <c r="V568" s="145"/>
      <c r="W568" s="111"/>
      <c r="X568" s="233"/>
      <c r="Y568" s="226"/>
      <c r="Z568" s="139"/>
      <c r="AA568" s="139"/>
      <c r="AB568" s="139"/>
      <c r="AC568" s="139"/>
      <c r="AD568" s="139"/>
      <c r="AE568" s="139"/>
      <c r="AF568" s="139"/>
      <c r="AG568" s="139"/>
      <c r="AH568" s="139"/>
      <c r="AI568" s="139"/>
      <c r="AJ568" s="139"/>
      <c r="AK568" s="139"/>
      <c r="AL568" s="139"/>
      <c r="AM568" s="139"/>
      <c r="AN568" s="139"/>
      <c r="AO568" s="139"/>
      <c r="AP568" s="139"/>
      <c r="AQ568" s="139"/>
      <c r="AR568" s="139"/>
      <c r="AS568" s="139"/>
      <c r="AT568" s="139"/>
      <c r="AU568" s="139"/>
      <c r="AV568" s="139"/>
    </row>
    <row r="569">
      <c r="A569" s="139"/>
      <c r="B569" s="234"/>
      <c r="C569" s="139"/>
      <c r="D569" s="139"/>
      <c r="E569" s="139"/>
      <c r="F569" s="139"/>
      <c r="G569" s="139"/>
      <c r="H569" s="139"/>
      <c r="I569" s="139"/>
      <c r="J569" s="139"/>
      <c r="K569" s="139"/>
      <c r="L569" s="139"/>
      <c r="M569" s="139"/>
      <c r="N569" s="145"/>
      <c r="O569" s="139"/>
      <c r="P569" s="139"/>
      <c r="Q569" s="231"/>
      <c r="R569" s="139"/>
      <c r="S569" s="235"/>
      <c r="T569" s="235"/>
      <c r="U569" s="145"/>
      <c r="V569" s="145"/>
      <c r="W569" s="111"/>
      <c r="X569" s="233"/>
      <c r="Y569" s="226"/>
      <c r="Z569" s="139"/>
      <c r="AA569" s="139"/>
      <c r="AB569" s="139"/>
      <c r="AC569" s="139"/>
      <c r="AD569" s="139"/>
      <c r="AE569" s="139"/>
      <c r="AF569" s="139"/>
      <c r="AG569" s="139"/>
      <c r="AH569" s="139"/>
      <c r="AI569" s="139"/>
      <c r="AJ569" s="139"/>
      <c r="AK569" s="139"/>
      <c r="AL569" s="139"/>
      <c r="AM569" s="139"/>
      <c r="AN569" s="139"/>
      <c r="AO569" s="139"/>
      <c r="AP569" s="139"/>
      <c r="AQ569" s="139"/>
      <c r="AR569" s="139"/>
      <c r="AS569" s="139"/>
      <c r="AT569" s="139"/>
      <c r="AU569" s="139"/>
      <c r="AV569" s="139"/>
    </row>
    <row r="570">
      <c r="A570" s="139"/>
      <c r="B570" s="234"/>
      <c r="C570" s="139"/>
      <c r="D570" s="139"/>
      <c r="E570" s="139"/>
      <c r="F570" s="139"/>
      <c r="G570" s="139"/>
      <c r="H570" s="139"/>
      <c r="I570" s="139"/>
      <c r="J570" s="139"/>
      <c r="K570" s="139"/>
      <c r="L570" s="139"/>
      <c r="M570" s="139"/>
      <c r="N570" s="145"/>
      <c r="O570" s="139"/>
      <c r="P570" s="139"/>
      <c r="Q570" s="231"/>
      <c r="R570" s="139"/>
      <c r="S570" s="235"/>
      <c r="T570" s="235"/>
      <c r="U570" s="145"/>
      <c r="V570" s="145"/>
      <c r="W570" s="111"/>
      <c r="X570" s="233"/>
      <c r="Y570" s="226"/>
      <c r="Z570" s="139"/>
      <c r="AA570" s="139"/>
      <c r="AB570" s="139"/>
      <c r="AC570" s="139"/>
      <c r="AD570" s="139"/>
      <c r="AE570" s="139"/>
      <c r="AF570" s="139"/>
      <c r="AG570" s="139"/>
      <c r="AH570" s="139"/>
      <c r="AI570" s="139"/>
      <c r="AJ570" s="139"/>
      <c r="AK570" s="139"/>
      <c r="AL570" s="139"/>
      <c r="AM570" s="139"/>
      <c r="AN570" s="139"/>
      <c r="AO570" s="139"/>
      <c r="AP570" s="139"/>
      <c r="AQ570" s="139"/>
      <c r="AR570" s="139"/>
      <c r="AS570" s="139"/>
      <c r="AT570" s="139"/>
      <c r="AU570" s="139"/>
      <c r="AV570" s="139"/>
    </row>
    <row r="571">
      <c r="A571" s="139"/>
      <c r="B571" s="234"/>
      <c r="C571" s="139"/>
      <c r="D571" s="139"/>
      <c r="E571" s="139"/>
      <c r="F571" s="139"/>
      <c r="G571" s="139"/>
      <c r="H571" s="139"/>
      <c r="I571" s="139"/>
      <c r="J571" s="139"/>
      <c r="K571" s="139"/>
      <c r="L571" s="139"/>
      <c r="M571" s="139"/>
      <c r="N571" s="145"/>
      <c r="O571" s="139"/>
      <c r="P571" s="139"/>
      <c r="Q571" s="231"/>
      <c r="R571" s="139"/>
      <c r="S571" s="235"/>
      <c r="T571" s="235"/>
      <c r="U571" s="145"/>
      <c r="V571" s="145"/>
      <c r="W571" s="111"/>
      <c r="X571" s="233"/>
      <c r="Y571" s="226"/>
      <c r="Z571" s="139"/>
      <c r="AA571" s="139"/>
      <c r="AB571" s="139"/>
      <c r="AC571" s="139"/>
      <c r="AD571" s="139"/>
      <c r="AE571" s="139"/>
      <c r="AF571" s="139"/>
      <c r="AG571" s="139"/>
      <c r="AH571" s="139"/>
      <c r="AI571" s="139"/>
      <c r="AJ571" s="139"/>
      <c r="AK571" s="139"/>
      <c r="AL571" s="139"/>
      <c r="AM571" s="139"/>
      <c r="AN571" s="139"/>
      <c r="AO571" s="139"/>
      <c r="AP571" s="139"/>
      <c r="AQ571" s="139"/>
      <c r="AR571" s="139"/>
      <c r="AS571" s="139"/>
      <c r="AT571" s="139"/>
      <c r="AU571" s="139"/>
      <c r="AV571" s="139"/>
    </row>
    <row r="572">
      <c r="A572" s="139"/>
      <c r="B572" s="234"/>
      <c r="C572" s="139"/>
      <c r="D572" s="139"/>
      <c r="E572" s="139"/>
      <c r="F572" s="139"/>
      <c r="G572" s="139"/>
      <c r="H572" s="139"/>
      <c r="I572" s="139"/>
      <c r="J572" s="139"/>
      <c r="K572" s="139"/>
      <c r="L572" s="139"/>
      <c r="M572" s="139"/>
      <c r="N572" s="145"/>
      <c r="O572" s="139"/>
      <c r="P572" s="139"/>
      <c r="Q572" s="231"/>
      <c r="R572" s="139"/>
      <c r="S572" s="235"/>
      <c r="T572" s="235"/>
      <c r="U572" s="145"/>
      <c r="V572" s="145"/>
      <c r="W572" s="111"/>
      <c r="X572" s="233"/>
      <c r="Y572" s="226"/>
      <c r="Z572" s="139"/>
      <c r="AA572" s="139"/>
      <c r="AB572" s="139"/>
      <c r="AC572" s="139"/>
      <c r="AD572" s="139"/>
      <c r="AE572" s="139"/>
      <c r="AF572" s="139"/>
      <c r="AG572" s="139"/>
      <c r="AH572" s="139"/>
      <c r="AI572" s="139"/>
      <c r="AJ572" s="139"/>
      <c r="AK572" s="139"/>
      <c r="AL572" s="139"/>
      <c r="AM572" s="139"/>
      <c r="AN572" s="139"/>
      <c r="AO572" s="139"/>
      <c r="AP572" s="139"/>
      <c r="AQ572" s="139"/>
      <c r="AR572" s="139"/>
      <c r="AS572" s="139"/>
      <c r="AT572" s="139"/>
      <c r="AU572" s="139"/>
      <c r="AV572" s="139"/>
    </row>
    <row r="573">
      <c r="A573" s="139"/>
      <c r="B573" s="234"/>
      <c r="C573" s="139"/>
      <c r="D573" s="139"/>
      <c r="E573" s="139"/>
      <c r="F573" s="139"/>
      <c r="G573" s="139"/>
      <c r="H573" s="139"/>
      <c r="I573" s="139"/>
      <c r="J573" s="139"/>
      <c r="K573" s="139"/>
      <c r="L573" s="139"/>
      <c r="M573" s="139"/>
      <c r="N573" s="145"/>
      <c r="O573" s="139"/>
      <c r="P573" s="139"/>
      <c r="Q573" s="231"/>
      <c r="R573" s="139"/>
      <c r="S573" s="235"/>
      <c r="T573" s="235"/>
      <c r="U573" s="145"/>
      <c r="V573" s="145"/>
      <c r="W573" s="111"/>
      <c r="X573" s="233"/>
      <c r="Y573" s="226"/>
      <c r="Z573" s="139"/>
      <c r="AA573" s="139"/>
      <c r="AB573" s="139"/>
      <c r="AC573" s="139"/>
      <c r="AD573" s="139"/>
      <c r="AE573" s="139"/>
      <c r="AF573" s="139"/>
      <c r="AG573" s="139"/>
      <c r="AH573" s="139"/>
      <c r="AI573" s="139"/>
      <c r="AJ573" s="139"/>
      <c r="AK573" s="139"/>
      <c r="AL573" s="139"/>
      <c r="AM573" s="139"/>
      <c r="AN573" s="139"/>
      <c r="AO573" s="139"/>
      <c r="AP573" s="139"/>
      <c r="AQ573" s="139"/>
      <c r="AR573" s="139"/>
      <c r="AS573" s="139"/>
      <c r="AT573" s="139"/>
      <c r="AU573" s="139"/>
      <c r="AV573" s="139"/>
    </row>
    <row r="574">
      <c r="A574" s="139"/>
      <c r="B574" s="234"/>
      <c r="C574" s="139"/>
      <c r="D574" s="139"/>
      <c r="E574" s="139"/>
      <c r="F574" s="139"/>
      <c r="G574" s="139"/>
      <c r="H574" s="139"/>
      <c r="I574" s="139"/>
      <c r="J574" s="139"/>
      <c r="K574" s="139"/>
      <c r="L574" s="139"/>
      <c r="M574" s="139"/>
      <c r="N574" s="145"/>
      <c r="O574" s="139"/>
      <c r="P574" s="139"/>
      <c r="Q574" s="231"/>
      <c r="R574" s="139"/>
      <c r="S574" s="235"/>
      <c r="T574" s="235"/>
      <c r="U574" s="145"/>
      <c r="V574" s="145"/>
      <c r="W574" s="111"/>
      <c r="X574" s="233"/>
      <c r="Y574" s="226"/>
      <c r="Z574" s="139"/>
      <c r="AA574" s="139"/>
      <c r="AB574" s="139"/>
      <c r="AC574" s="139"/>
      <c r="AD574" s="139"/>
      <c r="AE574" s="139"/>
      <c r="AF574" s="139"/>
      <c r="AG574" s="139"/>
      <c r="AH574" s="139"/>
      <c r="AI574" s="139"/>
      <c r="AJ574" s="139"/>
      <c r="AK574" s="139"/>
      <c r="AL574" s="139"/>
      <c r="AM574" s="139"/>
      <c r="AN574" s="139"/>
      <c r="AO574" s="139"/>
      <c r="AP574" s="139"/>
      <c r="AQ574" s="139"/>
      <c r="AR574" s="139"/>
      <c r="AS574" s="139"/>
      <c r="AT574" s="139"/>
      <c r="AU574" s="139"/>
      <c r="AV574" s="139"/>
    </row>
    <row r="575">
      <c r="A575" s="139"/>
      <c r="B575" s="234"/>
      <c r="C575" s="139"/>
      <c r="D575" s="139"/>
      <c r="E575" s="139"/>
      <c r="F575" s="139"/>
      <c r="G575" s="139"/>
      <c r="H575" s="139"/>
      <c r="I575" s="139"/>
      <c r="J575" s="139"/>
      <c r="K575" s="139"/>
      <c r="L575" s="139"/>
      <c r="M575" s="139"/>
      <c r="N575" s="145"/>
      <c r="O575" s="139"/>
      <c r="P575" s="139"/>
      <c r="Q575" s="231"/>
      <c r="R575" s="139"/>
      <c r="S575" s="235"/>
      <c r="T575" s="235"/>
      <c r="U575" s="145"/>
      <c r="V575" s="145"/>
      <c r="W575" s="111"/>
      <c r="X575" s="233"/>
      <c r="Y575" s="226"/>
      <c r="Z575" s="139"/>
      <c r="AA575" s="139"/>
      <c r="AB575" s="139"/>
      <c r="AC575" s="139"/>
      <c r="AD575" s="139"/>
      <c r="AE575" s="139"/>
      <c r="AF575" s="139"/>
      <c r="AG575" s="139"/>
      <c r="AH575" s="139"/>
      <c r="AI575" s="139"/>
      <c r="AJ575" s="139"/>
      <c r="AK575" s="139"/>
      <c r="AL575" s="139"/>
      <c r="AM575" s="139"/>
      <c r="AN575" s="139"/>
      <c r="AO575" s="139"/>
      <c r="AP575" s="139"/>
      <c r="AQ575" s="139"/>
      <c r="AR575" s="139"/>
      <c r="AS575" s="139"/>
      <c r="AT575" s="139"/>
      <c r="AU575" s="139"/>
      <c r="AV575" s="139"/>
    </row>
    <row r="576">
      <c r="A576" s="139"/>
      <c r="B576" s="234"/>
      <c r="C576" s="139"/>
      <c r="D576" s="139"/>
      <c r="E576" s="139"/>
      <c r="F576" s="139"/>
      <c r="G576" s="139"/>
      <c r="H576" s="139"/>
      <c r="I576" s="139"/>
      <c r="J576" s="139"/>
      <c r="K576" s="139"/>
      <c r="L576" s="139"/>
      <c r="M576" s="139"/>
      <c r="N576" s="145"/>
      <c r="O576" s="139"/>
      <c r="P576" s="139"/>
      <c r="Q576" s="231"/>
      <c r="R576" s="139"/>
      <c r="S576" s="235"/>
      <c r="T576" s="235"/>
      <c r="U576" s="145"/>
      <c r="V576" s="145"/>
      <c r="W576" s="111"/>
      <c r="X576" s="233"/>
      <c r="Y576" s="226"/>
      <c r="Z576" s="139"/>
      <c r="AA576" s="139"/>
      <c r="AB576" s="139"/>
      <c r="AC576" s="139"/>
      <c r="AD576" s="139"/>
      <c r="AE576" s="139"/>
      <c r="AF576" s="139"/>
      <c r="AG576" s="139"/>
      <c r="AH576" s="139"/>
      <c r="AI576" s="139"/>
      <c r="AJ576" s="139"/>
      <c r="AK576" s="139"/>
      <c r="AL576" s="139"/>
      <c r="AM576" s="139"/>
      <c r="AN576" s="139"/>
      <c r="AO576" s="139"/>
      <c r="AP576" s="139"/>
      <c r="AQ576" s="139"/>
      <c r="AR576" s="139"/>
      <c r="AS576" s="139"/>
      <c r="AT576" s="139"/>
      <c r="AU576" s="139"/>
      <c r="AV576" s="139"/>
    </row>
    <row r="577">
      <c r="A577" s="139"/>
      <c r="B577" s="234"/>
      <c r="C577" s="139"/>
      <c r="D577" s="139"/>
      <c r="E577" s="139"/>
      <c r="F577" s="139"/>
      <c r="G577" s="139"/>
      <c r="H577" s="139"/>
      <c r="I577" s="139"/>
      <c r="J577" s="139"/>
      <c r="K577" s="139"/>
      <c r="L577" s="139"/>
      <c r="M577" s="139"/>
      <c r="N577" s="145"/>
      <c r="O577" s="139"/>
      <c r="P577" s="139"/>
      <c r="Q577" s="231"/>
      <c r="R577" s="139"/>
      <c r="S577" s="235"/>
      <c r="T577" s="235"/>
      <c r="U577" s="145"/>
      <c r="V577" s="145"/>
      <c r="W577" s="111"/>
      <c r="X577" s="233"/>
      <c r="Y577" s="226"/>
      <c r="Z577" s="139"/>
      <c r="AA577" s="139"/>
      <c r="AB577" s="139"/>
      <c r="AC577" s="139"/>
      <c r="AD577" s="139"/>
      <c r="AE577" s="139"/>
      <c r="AF577" s="139"/>
      <c r="AG577" s="139"/>
      <c r="AH577" s="139"/>
      <c r="AI577" s="139"/>
      <c r="AJ577" s="139"/>
      <c r="AK577" s="139"/>
      <c r="AL577" s="139"/>
      <c r="AM577" s="139"/>
      <c r="AN577" s="139"/>
      <c r="AO577" s="139"/>
      <c r="AP577" s="139"/>
      <c r="AQ577" s="139"/>
      <c r="AR577" s="139"/>
      <c r="AS577" s="139"/>
      <c r="AT577" s="139"/>
      <c r="AU577" s="139"/>
      <c r="AV577" s="139"/>
    </row>
    <row r="578">
      <c r="A578" s="139"/>
      <c r="B578" s="234"/>
      <c r="C578" s="139"/>
      <c r="D578" s="139"/>
      <c r="E578" s="139"/>
      <c r="F578" s="139"/>
      <c r="G578" s="139"/>
      <c r="H578" s="139"/>
      <c r="I578" s="139"/>
      <c r="J578" s="139"/>
      <c r="K578" s="139"/>
      <c r="L578" s="139"/>
      <c r="M578" s="139"/>
      <c r="N578" s="145"/>
      <c r="O578" s="139"/>
      <c r="P578" s="139"/>
      <c r="Q578" s="231"/>
      <c r="R578" s="139"/>
      <c r="S578" s="235"/>
      <c r="T578" s="235"/>
      <c r="U578" s="145"/>
      <c r="V578" s="145"/>
      <c r="W578" s="111"/>
      <c r="X578" s="233"/>
      <c r="Y578" s="226"/>
      <c r="Z578" s="139"/>
      <c r="AA578" s="139"/>
      <c r="AB578" s="139"/>
      <c r="AC578" s="139"/>
      <c r="AD578" s="139"/>
      <c r="AE578" s="139"/>
      <c r="AF578" s="139"/>
      <c r="AG578" s="139"/>
      <c r="AH578" s="139"/>
      <c r="AI578" s="139"/>
      <c r="AJ578" s="139"/>
      <c r="AK578" s="139"/>
      <c r="AL578" s="139"/>
      <c r="AM578" s="139"/>
      <c r="AN578" s="139"/>
      <c r="AO578" s="139"/>
      <c r="AP578" s="139"/>
      <c r="AQ578" s="139"/>
      <c r="AR578" s="139"/>
      <c r="AS578" s="139"/>
      <c r="AT578" s="139"/>
      <c r="AU578" s="139"/>
      <c r="AV578" s="139"/>
    </row>
    <row r="579">
      <c r="A579" s="139"/>
      <c r="B579" s="234"/>
      <c r="C579" s="139"/>
      <c r="D579" s="139"/>
      <c r="E579" s="139"/>
      <c r="F579" s="139"/>
      <c r="G579" s="139"/>
      <c r="H579" s="139"/>
      <c r="I579" s="139"/>
      <c r="J579" s="139"/>
      <c r="K579" s="139"/>
      <c r="L579" s="139"/>
      <c r="M579" s="139"/>
      <c r="N579" s="145"/>
      <c r="O579" s="139"/>
      <c r="P579" s="139"/>
      <c r="Q579" s="231"/>
      <c r="R579" s="139"/>
      <c r="S579" s="235"/>
      <c r="T579" s="235"/>
      <c r="U579" s="145"/>
      <c r="V579" s="145"/>
      <c r="W579" s="111"/>
      <c r="X579" s="233"/>
      <c r="Y579" s="226"/>
      <c r="Z579" s="139"/>
      <c r="AA579" s="139"/>
      <c r="AB579" s="139"/>
      <c r="AC579" s="139"/>
      <c r="AD579" s="139"/>
      <c r="AE579" s="139"/>
      <c r="AF579" s="139"/>
      <c r="AG579" s="139"/>
      <c r="AH579" s="139"/>
      <c r="AI579" s="139"/>
      <c r="AJ579" s="139"/>
      <c r="AK579" s="139"/>
      <c r="AL579" s="139"/>
      <c r="AM579" s="139"/>
      <c r="AN579" s="139"/>
      <c r="AO579" s="139"/>
      <c r="AP579" s="139"/>
      <c r="AQ579" s="139"/>
      <c r="AR579" s="139"/>
      <c r="AS579" s="139"/>
      <c r="AT579" s="139"/>
      <c r="AU579" s="139"/>
      <c r="AV579" s="139"/>
    </row>
    <row r="580">
      <c r="A580" s="139"/>
      <c r="B580" s="234"/>
      <c r="C580" s="139"/>
      <c r="D580" s="139"/>
      <c r="E580" s="139"/>
      <c r="F580" s="139"/>
      <c r="G580" s="139"/>
      <c r="H580" s="139"/>
      <c r="I580" s="139"/>
      <c r="J580" s="139"/>
      <c r="K580" s="139"/>
      <c r="L580" s="139"/>
      <c r="M580" s="139"/>
      <c r="N580" s="145"/>
      <c r="O580" s="139"/>
      <c r="P580" s="139"/>
      <c r="Q580" s="231"/>
      <c r="R580" s="139"/>
      <c r="S580" s="235"/>
      <c r="T580" s="235"/>
      <c r="U580" s="145"/>
      <c r="V580" s="145"/>
      <c r="W580" s="111"/>
      <c r="X580" s="233"/>
      <c r="Y580" s="226"/>
      <c r="Z580" s="139"/>
      <c r="AA580" s="139"/>
      <c r="AB580" s="139"/>
      <c r="AC580" s="139"/>
      <c r="AD580" s="139"/>
      <c r="AE580" s="139"/>
      <c r="AF580" s="139"/>
      <c r="AG580" s="139"/>
      <c r="AH580" s="139"/>
      <c r="AI580" s="139"/>
      <c r="AJ580" s="139"/>
      <c r="AK580" s="139"/>
      <c r="AL580" s="139"/>
      <c r="AM580" s="139"/>
      <c r="AN580" s="139"/>
      <c r="AO580" s="139"/>
      <c r="AP580" s="139"/>
      <c r="AQ580" s="139"/>
      <c r="AR580" s="139"/>
      <c r="AS580" s="139"/>
      <c r="AT580" s="139"/>
      <c r="AU580" s="139"/>
      <c r="AV580" s="139"/>
    </row>
    <row r="581">
      <c r="A581" s="139"/>
      <c r="B581" s="234"/>
      <c r="C581" s="139"/>
      <c r="D581" s="139"/>
      <c r="E581" s="139"/>
      <c r="F581" s="139"/>
      <c r="G581" s="139"/>
      <c r="H581" s="139"/>
      <c r="I581" s="139"/>
      <c r="J581" s="139"/>
      <c r="K581" s="139"/>
      <c r="L581" s="139"/>
      <c r="M581" s="139"/>
      <c r="N581" s="145"/>
      <c r="O581" s="139"/>
      <c r="P581" s="139"/>
      <c r="Q581" s="231"/>
      <c r="R581" s="139"/>
      <c r="S581" s="235"/>
      <c r="T581" s="235"/>
      <c r="U581" s="145"/>
      <c r="V581" s="145"/>
      <c r="W581" s="111"/>
      <c r="X581" s="233"/>
      <c r="Y581" s="226"/>
      <c r="Z581" s="139"/>
      <c r="AA581" s="139"/>
      <c r="AB581" s="139"/>
      <c r="AC581" s="139"/>
      <c r="AD581" s="139"/>
      <c r="AE581" s="139"/>
      <c r="AF581" s="139"/>
      <c r="AG581" s="139"/>
      <c r="AH581" s="139"/>
      <c r="AI581" s="139"/>
      <c r="AJ581" s="139"/>
      <c r="AK581" s="139"/>
      <c r="AL581" s="139"/>
      <c r="AM581" s="139"/>
      <c r="AN581" s="139"/>
      <c r="AO581" s="139"/>
      <c r="AP581" s="139"/>
      <c r="AQ581" s="139"/>
      <c r="AR581" s="139"/>
      <c r="AS581" s="139"/>
      <c r="AT581" s="139"/>
      <c r="AU581" s="139"/>
      <c r="AV581" s="139"/>
    </row>
    <row r="582">
      <c r="A582" s="139"/>
      <c r="B582" s="234"/>
      <c r="C582" s="139"/>
      <c r="D582" s="139"/>
      <c r="E582" s="139"/>
      <c r="F582" s="139"/>
      <c r="G582" s="139"/>
      <c r="H582" s="139"/>
      <c r="I582" s="139"/>
      <c r="J582" s="139"/>
      <c r="K582" s="139"/>
      <c r="L582" s="139"/>
      <c r="M582" s="139"/>
      <c r="N582" s="145"/>
      <c r="O582" s="139"/>
      <c r="P582" s="139"/>
      <c r="Q582" s="231"/>
      <c r="R582" s="139"/>
      <c r="S582" s="235"/>
      <c r="T582" s="235"/>
      <c r="U582" s="145"/>
      <c r="V582" s="145"/>
      <c r="W582" s="111"/>
      <c r="X582" s="233"/>
      <c r="Y582" s="226"/>
      <c r="Z582" s="139"/>
      <c r="AA582" s="139"/>
      <c r="AB582" s="139"/>
      <c r="AC582" s="139"/>
      <c r="AD582" s="139"/>
      <c r="AE582" s="139"/>
      <c r="AF582" s="139"/>
      <c r="AG582" s="139"/>
      <c r="AH582" s="139"/>
      <c r="AI582" s="139"/>
      <c r="AJ582" s="139"/>
      <c r="AK582" s="139"/>
      <c r="AL582" s="139"/>
      <c r="AM582" s="139"/>
      <c r="AN582" s="139"/>
      <c r="AO582" s="139"/>
      <c r="AP582" s="139"/>
      <c r="AQ582" s="139"/>
      <c r="AR582" s="139"/>
      <c r="AS582" s="139"/>
      <c r="AT582" s="139"/>
      <c r="AU582" s="139"/>
      <c r="AV582" s="139"/>
    </row>
    <row r="583">
      <c r="A583" s="139"/>
      <c r="B583" s="234"/>
      <c r="C583" s="139"/>
      <c r="D583" s="139"/>
      <c r="E583" s="139"/>
      <c r="F583" s="139"/>
      <c r="G583" s="139"/>
      <c r="H583" s="139"/>
      <c r="I583" s="139"/>
      <c r="J583" s="139"/>
      <c r="K583" s="139"/>
      <c r="L583" s="139"/>
      <c r="M583" s="139"/>
      <c r="N583" s="145"/>
      <c r="O583" s="139"/>
      <c r="P583" s="139"/>
      <c r="Q583" s="231"/>
      <c r="R583" s="139"/>
      <c r="S583" s="235"/>
      <c r="T583" s="235"/>
      <c r="U583" s="145"/>
      <c r="V583" s="145"/>
      <c r="W583" s="111"/>
      <c r="X583" s="233"/>
      <c r="Y583" s="226"/>
      <c r="Z583" s="139"/>
      <c r="AA583" s="139"/>
      <c r="AB583" s="139"/>
      <c r="AC583" s="139"/>
      <c r="AD583" s="139"/>
      <c r="AE583" s="139"/>
      <c r="AF583" s="139"/>
      <c r="AG583" s="139"/>
      <c r="AH583" s="139"/>
      <c r="AI583" s="139"/>
      <c r="AJ583" s="139"/>
      <c r="AK583" s="139"/>
      <c r="AL583" s="139"/>
      <c r="AM583" s="139"/>
      <c r="AN583" s="139"/>
      <c r="AO583" s="139"/>
      <c r="AP583" s="139"/>
      <c r="AQ583" s="139"/>
      <c r="AR583" s="139"/>
      <c r="AS583" s="139"/>
      <c r="AT583" s="139"/>
      <c r="AU583" s="139"/>
      <c r="AV583" s="139"/>
    </row>
    <row r="584">
      <c r="A584" s="139"/>
      <c r="B584" s="234"/>
      <c r="C584" s="139"/>
      <c r="D584" s="139"/>
      <c r="E584" s="139"/>
      <c r="F584" s="139"/>
      <c r="G584" s="139"/>
      <c r="H584" s="139"/>
      <c r="I584" s="139"/>
      <c r="J584" s="139"/>
      <c r="K584" s="139"/>
      <c r="L584" s="139"/>
      <c r="M584" s="139"/>
      <c r="N584" s="145"/>
      <c r="O584" s="139"/>
      <c r="P584" s="139"/>
      <c r="Q584" s="231"/>
      <c r="R584" s="139"/>
      <c r="S584" s="235"/>
      <c r="T584" s="235"/>
      <c r="U584" s="145"/>
      <c r="V584" s="145"/>
      <c r="W584" s="111"/>
      <c r="X584" s="233"/>
      <c r="Y584" s="226"/>
      <c r="Z584" s="139"/>
      <c r="AA584" s="139"/>
      <c r="AB584" s="139"/>
      <c r="AC584" s="139"/>
      <c r="AD584" s="139"/>
      <c r="AE584" s="139"/>
      <c r="AF584" s="139"/>
      <c r="AG584" s="139"/>
      <c r="AH584" s="139"/>
      <c r="AI584" s="139"/>
      <c r="AJ584" s="139"/>
      <c r="AK584" s="139"/>
      <c r="AL584" s="139"/>
      <c r="AM584" s="139"/>
      <c r="AN584" s="139"/>
      <c r="AO584" s="139"/>
      <c r="AP584" s="139"/>
      <c r="AQ584" s="139"/>
      <c r="AR584" s="139"/>
      <c r="AS584" s="139"/>
      <c r="AT584" s="139"/>
      <c r="AU584" s="139"/>
      <c r="AV584" s="139"/>
    </row>
    <row r="585">
      <c r="A585" s="139"/>
      <c r="B585" s="234"/>
      <c r="C585" s="139"/>
      <c r="D585" s="139"/>
      <c r="E585" s="139"/>
      <c r="F585" s="139"/>
      <c r="G585" s="139"/>
      <c r="H585" s="139"/>
      <c r="I585" s="139"/>
      <c r="J585" s="139"/>
      <c r="K585" s="139"/>
      <c r="L585" s="139"/>
      <c r="M585" s="139"/>
      <c r="N585" s="145"/>
      <c r="O585" s="139"/>
      <c r="P585" s="139"/>
      <c r="Q585" s="231"/>
      <c r="R585" s="139"/>
      <c r="S585" s="235"/>
      <c r="T585" s="235"/>
      <c r="U585" s="145"/>
      <c r="V585" s="145"/>
      <c r="W585" s="111"/>
      <c r="X585" s="233"/>
      <c r="Y585" s="226"/>
      <c r="Z585" s="139"/>
      <c r="AA585" s="139"/>
      <c r="AB585" s="139"/>
      <c r="AC585" s="139"/>
      <c r="AD585" s="139"/>
      <c r="AE585" s="139"/>
      <c r="AF585" s="139"/>
      <c r="AG585" s="139"/>
      <c r="AH585" s="139"/>
      <c r="AI585" s="139"/>
      <c r="AJ585" s="139"/>
      <c r="AK585" s="139"/>
      <c r="AL585" s="139"/>
      <c r="AM585" s="139"/>
      <c r="AN585" s="139"/>
      <c r="AO585" s="139"/>
      <c r="AP585" s="139"/>
      <c r="AQ585" s="139"/>
      <c r="AR585" s="139"/>
      <c r="AS585" s="139"/>
      <c r="AT585" s="139"/>
      <c r="AU585" s="139"/>
      <c r="AV585" s="139"/>
    </row>
    <row r="586">
      <c r="A586" s="139"/>
      <c r="B586" s="234"/>
      <c r="C586" s="139"/>
      <c r="D586" s="139"/>
      <c r="E586" s="139"/>
      <c r="F586" s="139"/>
      <c r="G586" s="139"/>
      <c r="H586" s="139"/>
      <c r="I586" s="139"/>
      <c r="J586" s="139"/>
      <c r="K586" s="139"/>
      <c r="L586" s="139"/>
      <c r="M586" s="139"/>
      <c r="N586" s="145"/>
      <c r="O586" s="139"/>
      <c r="P586" s="139"/>
      <c r="Q586" s="231"/>
      <c r="R586" s="139"/>
      <c r="S586" s="235"/>
      <c r="T586" s="235"/>
      <c r="U586" s="145"/>
      <c r="V586" s="145"/>
      <c r="W586" s="111"/>
      <c r="X586" s="233"/>
      <c r="Y586" s="226"/>
      <c r="Z586" s="139"/>
      <c r="AA586" s="139"/>
      <c r="AB586" s="139"/>
      <c r="AC586" s="139"/>
      <c r="AD586" s="139"/>
      <c r="AE586" s="139"/>
      <c r="AF586" s="139"/>
      <c r="AG586" s="139"/>
      <c r="AH586" s="139"/>
      <c r="AI586" s="139"/>
      <c r="AJ586" s="139"/>
      <c r="AK586" s="139"/>
      <c r="AL586" s="139"/>
      <c r="AM586" s="139"/>
      <c r="AN586" s="139"/>
      <c r="AO586" s="139"/>
      <c r="AP586" s="139"/>
      <c r="AQ586" s="139"/>
      <c r="AR586" s="139"/>
      <c r="AS586" s="139"/>
      <c r="AT586" s="139"/>
      <c r="AU586" s="139"/>
      <c r="AV586" s="139"/>
    </row>
    <row r="587">
      <c r="A587" s="139"/>
      <c r="B587" s="234"/>
      <c r="C587" s="139"/>
      <c r="D587" s="139"/>
      <c r="E587" s="139"/>
      <c r="F587" s="139"/>
      <c r="G587" s="139"/>
      <c r="H587" s="139"/>
      <c r="I587" s="139"/>
      <c r="J587" s="139"/>
      <c r="K587" s="139"/>
      <c r="L587" s="139"/>
      <c r="M587" s="139"/>
      <c r="N587" s="145"/>
      <c r="O587" s="139"/>
      <c r="P587" s="139"/>
      <c r="Q587" s="231"/>
      <c r="R587" s="139"/>
      <c r="S587" s="235"/>
      <c r="T587" s="235"/>
      <c r="U587" s="145"/>
      <c r="V587" s="145"/>
      <c r="W587" s="111"/>
      <c r="X587" s="233"/>
      <c r="Y587" s="226"/>
      <c r="Z587" s="139"/>
      <c r="AA587" s="139"/>
      <c r="AB587" s="139"/>
      <c r="AC587" s="139"/>
      <c r="AD587" s="139"/>
      <c r="AE587" s="139"/>
      <c r="AF587" s="139"/>
      <c r="AG587" s="139"/>
      <c r="AH587" s="139"/>
      <c r="AI587" s="139"/>
      <c r="AJ587" s="139"/>
      <c r="AK587" s="139"/>
      <c r="AL587" s="139"/>
      <c r="AM587" s="139"/>
      <c r="AN587" s="139"/>
      <c r="AO587" s="139"/>
      <c r="AP587" s="139"/>
      <c r="AQ587" s="139"/>
      <c r="AR587" s="139"/>
      <c r="AS587" s="139"/>
      <c r="AT587" s="139"/>
      <c r="AU587" s="139"/>
      <c r="AV587" s="139"/>
    </row>
    <row r="588">
      <c r="A588" s="139"/>
      <c r="B588" s="234"/>
      <c r="C588" s="139"/>
      <c r="D588" s="139"/>
      <c r="E588" s="139"/>
      <c r="F588" s="139"/>
      <c r="G588" s="139"/>
      <c r="H588" s="139"/>
      <c r="I588" s="139"/>
      <c r="J588" s="139"/>
      <c r="K588" s="139"/>
      <c r="L588" s="139"/>
      <c r="M588" s="139"/>
      <c r="N588" s="145"/>
      <c r="O588" s="139"/>
      <c r="P588" s="139"/>
      <c r="Q588" s="231"/>
      <c r="R588" s="139"/>
      <c r="S588" s="235"/>
      <c r="T588" s="235"/>
      <c r="U588" s="145"/>
      <c r="V588" s="145"/>
      <c r="W588" s="111"/>
      <c r="X588" s="233"/>
      <c r="Y588" s="226"/>
      <c r="Z588" s="139"/>
      <c r="AA588" s="139"/>
      <c r="AB588" s="139"/>
      <c r="AC588" s="139"/>
      <c r="AD588" s="139"/>
      <c r="AE588" s="139"/>
      <c r="AF588" s="139"/>
      <c r="AG588" s="139"/>
      <c r="AH588" s="139"/>
      <c r="AI588" s="139"/>
      <c r="AJ588" s="139"/>
      <c r="AK588" s="139"/>
      <c r="AL588" s="139"/>
      <c r="AM588" s="139"/>
      <c r="AN588" s="139"/>
      <c r="AO588" s="139"/>
      <c r="AP588" s="139"/>
      <c r="AQ588" s="139"/>
      <c r="AR588" s="139"/>
      <c r="AS588" s="139"/>
      <c r="AT588" s="139"/>
      <c r="AU588" s="139"/>
      <c r="AV588" s="139"/>
    </row>
    <row r="589">
      <c r="A589" s="139"/>
      <c r="B589" s="234"/>
      <c r="C589" s="139"/>
      <c r="D589" s="139"/>
      <c r="E589" s="139"/>
      <c r="F589" s="139"/>
      <c r="G589" s="139"/>
      <c r="H589" s="139"/>
      <c r="I589" s="139"/>
      <c r="J589" s="139"/>
      <c r="K589" s="139"/>
      <c r="L589" s="139"/>
      <c r="M589" s="139"/>
      <c r="N589" s="145"/>
      <c r="O589" s="139"/>
      <c r="P589" s="139"/>
      <c r="Q589" s="231"/>
      <c r="R589" s="139"/>
      <c r="S589" s="235"/>
      <c r="T589" s="235"/>
      <c r="U589" s="145"/>
      <c r="V589" s="145"/>
      <c r="W589" s="111"/>
      <c r="X589" s="233"/>
      <c r="Y589" s="226"/>
      <c r="Z589" s="139"/>
      <c r="AA589" s="139"/>
      <c r="AB589" s="139"/>
      <c r="AC589" s="139"/>
      <c r="AD589" s="139"/>
      <c r="AE589" s="139"/>
      <c r="AF589" s="139"/>
      <c r="AG589" s="139"/>
      <c r="AH589" s="139"/>
      <c r="AI589" s="139"/>
      <c r="AJ589" s="139"/>
      <c r="AK589" s="139"/>
      <c r="AL589" s="139"/>
      <c r="AM589" s="139"/>
      <c r="AN589" s="139"/>
      <c r="AO589" s="139"/>
      <c r="AP589" s="139"/>
      <c r="AQ589" s="139"/>
      <c r="AR589" s="139"/>
      <c r="AS589" s="139"/>
      <c r="AT589" s="139"/>
      <c r="AU589" s="139"/>
      <c r="AV589" s="139"/>
    </row>
    <row r="590">
      <c r="A590" s="139"/>
      <c r="B590" s="234"/>
      <c r="C590" s="139"/>
      <c r="D590" s="139"/>
      <c r="E590" s="139"/>
      <c r="F590" s="139"/>
      <c r="G590" s="139"/>
      <c r="H590" s="139"/>
      <c r="I590" s="139"/>
      <c r="J590" s="139"/>
      <c r="K590" s="139"/>
      <c r="L590" s="139"/>
      <c r="M590" s="139"/>
      <c r="N590" s="145"/>
      <c r="O590" s="139"/>
      <c r="P590" s="139"/>
      <c r="Q590" s="231"/>
      <c r="R590" s="139"/>
      <c r="S590" s="235"/>
      <c r="T590" s="235"/>
      <c r="U590" s="145"/>
      <c r="V590" s="145"/>
      <c r="W590" s="111"/>
      <c r="X590" s="233"/>
      <c r="Y590" s="226"/>
      <c r="Z590" s="139"/>
      <c r="AA590" s="139"/>
      <c r="AB590" s="139"/>
      <c r="AC590" s="139"/>
      <c r="AD590" s="139"/>
      <c r="AE590" s="139"/>
      <c r="AF590" s="139"/>
      <c r="AG590" s="139"/>
      <c r="AH590" s="139"/>
      <c r="AI590" s="139"/>
      <c r="AJ590" s="139"/>
      <c r="AK590" s="139"/>
      <c r="AL590" s="139"/>
      <c r="AM590" s="139"/>
      <c r="AN590" s="139"/>
      <c r="AO590" s="139"/>
      <c r="AP590" s="139"/>
      <c r="AQ590" s="139"/>
      <c r="AR590" s="139"/>
      <c r="AS590" s="139"/>
      <c r="AT590" s="139"/>
      <c r="AU590" s="139"/>
      <c r="AV590" s="139"/>
    </row>
    <row r="591">
      <c r="A591" s="139"/>
      <c r="B591" s="234"/>
      <c r="C591" s="139"/>
      <c r="D591" s="139"/>
      <c r="E591" s="139"/>
      <c r="F591" s="139"/>
      <c r="G591" s="139"/>
      <c r="H591" s="139"/>
      <c r="I591" s="139"/>
      <c r="J591" s="139"/>
      <c r="K591" s="139"/>
      <c r="L591" s="139"/>
      <c r="M591" s="139"/>
      <c r="N591" s="145"/>
      <c r="O591" s="139"/>
      <c r="P591" s="139"/>
      <c r="Q591" s="231"/>
      <c r="R591" s="139"/>
      <c r="S591" s="235"/>
      <c r="T591" s="235"/>
      <c r="U591" s="145"/>
      <c r="V591" s="145"/>
      <c r="W591" s="111"/>
      <c r="X591" s="233"/>
      <c r="Y591" s="226"/>
      <c r="Z591" s="139"/>
      <c r="AA591" s="139"/>
      <c r="AB591" s="139"/>
      <c r="AC591" s="139"/>
      <c r="AD591" s="139"/>
      <c r="AE591" s="139"/>
      <c r="AF591" s="139"/>
      <c r="AG591" s="139"/>
      <c r="AH591" s="139"/>
      <c r="AI591" s="139"/>
      <c r="AJ591" s="139"/>
      <c r="AK591" s="139"/>
      <c r="AL591" s="139"/>
      <c r="AM591" s="139"/>
      <c r="AN591" s="139"/>
      <c r="AO591" s="139"/>
      <c r="AP591" s="139"/>
      <c r="AQ591" s="139"/>
      <c r="AR591" s="139"/>
      <c r="AS591" s="139"/>
      <c r="AT591" s="139"/>
      <c r="AU591" s="139"/>
      <c r="AV591" s="139"/>
    </row>
    <row r="592">
      <c r="A592" s="139"/>
      <c r="B592" s="234"/>
      <c r="C592" s="139"/>
      <c r="D592" s="139"/>
      <c r="E592" s="139"/>
      <c r="F592" s="139"/>
      <c r="G592" s="139"/>
      <c r="H592" s="139"/>
      <c r="I592" s="139"/>
      <c r="J592" s="139"/>
      <c r="K592" s="139"/>
      <c r="L592" s="139"/>
      <c r="M592" s="139"/>
      <c r="N592" s="145"/>
      <c r="O592" s="139"/>
      <c r="P592" s="139"/>
      <c r="Q592" s="231"/>
      <c r="R592" s="139"/>
      <c r="S592" s="235"/>
      <c r="T592" s="235"/>
      <c r="U592" s="145"/>
      <c r="V592" s="145"/>
      <c r="W592" s="111"/>
      <c r="X592" s="233"/>
      <c r="Y592" s="226"/>
      <c r="Z592" s="139"/>
      <c r="AA592" s="139"/>
      <c r="AB592" s="139"/>
      <c r="AC592" s="139"/>
      <c r="AD592" s="139"/>
      <c r="AE592" s="139"/>
      <c r="AF592" s="139"/>
      <c r="AG592" s="139"/>
      <c r="AH592" s="139"/>
      <c r="AI592" s="139"/>
      <c r="AJ592" s="139"/>
      <c r="AK592" s="139"/>
      <c r="AL592" s="139"/>
      <c r="AM592" s="139"/>
      <c r="AN592" s="139"/>
      <c r="AO592" s="139"/>
      <c r="AP592" s="139"/>
      <c r="AQ592" s="139"/>
      <c r="AR592" s="139"/>
      <c r="AS592" s="139"/>
      <c r="AT592" s="139"/>
      <c r="AU592" s="139"/>
      <c r="AV592" s="139"/>
    </row>
    <row r="593">
      <c r="A593" s="139"/>
      <c r="B593" s="234"/>
      <c r="C593" s="139"/>
      <c r="D593" s="139"/>
      <c r="E593" s="139"/>
      <c r="F593" s="139"/>
      <c r="G593" s="139"/>
      <c r="H593" s="139"/>
      <c r="I593" s="139"/>
      <c r="J593" s="139"/>
      <c r="K593" s="139"/>
      <c r="L593" s="139"/>
      <c r="M593" s="139"/>
      <c r="N593" s="145"/>
      <c r="O593" s="139"/>
      <c r="P593" s="139"/>
      <c r="Q593" s="231"/>
      <c r="R593" s="139"/>
      <c r="S593" s="235"/>
      <c r="T593" s="235"/>
      <c r="U593" s="145"/>
      <c r="V593" s="145"/>
      <c r="W593" s="111"/>
      <c r="X593" s="233"/>
      <c r="Y593" s="226"/>
      <c r="Z593" s="139"/>
      <c r="AA593" s="139"/>
      <c r="AB593" s="139"/>
      <c r="AC593" s="139"/>
      <c r="AD593" s="139"/>
      <c r="AE593" s="139"/>
      <c r="AF593" s="139"/>
      <c r="AG593" s="139"/>
      <c r="AH593" s="139"/>
      <c r="AI593" s="139"/>
      <c r="AJ593" s="139"/>
      <c r="AK593" s="139"/>
      <c r="AL593" s="139"/>
      <c r="AM593" s="139"/>
      <c r="AN593" s="139"/>
      <c r="AO593" s="139"/>
      <c r="AP593" s="139"/>
      <c r="AQ593" s="139"/>
      <c r="AR593" s="139"/>
      <c r="AS593" s="139"/>
      <c r="AT593" s="139"/>
      <c r="AU593" s="139"/>
      <c r="AV593" s="139"/>
    </row>
    <row r="594">
      <c r="A594" s="139"/>
      <c r="B594" s="234"/>
      <c r="C594" s="139"/>
      <c r="D594" s="139"/>
      <c r="E594" s="139"/>
      <c r="F594" s="139"/>
      <c r="G594" s="139"/>
      <c r="H594" s="139"/>
      <c r="I594" s="139"/>
      <c r="J594" s="139"/>
      <c r="K594" s="139"/>
      <c r="L594" s="139"/>
      <c r="M594" s="139"/>
      <c r="N594" s="145"/>
      <c r="O594" s="139"/>
      <c r="P594" s="139"/>
      <c r="Q594" s="231"/>
      <c r="R594" s="139"/>
      <c r="S594" s="235"/>
      <c r="T594" s="235"/>
      <c r="U594" s="145"/>
      <c r="V594" s="145"/>
      <c r="W594" s="111"/>
      <c r="X594" s="233"/>
      <c r="Y594" s="226"/>
      <c r="Z594" s="139"/>
      <c r="AA594" s="139"/>
      <c r="AB594" s="139"/>
      <c r="AC594" s="139"/>
      <c r="AD594" s="139"/>
      <c r="AE594" s="139"/>
      <c r="AF594" s="139"/>
      <c r="AG594" s="139"/>
      <c r="AH594" s="139"/>
      <c r="AI594" s="139"/>
      <c r="AJ594" s="139"/>
      <c r="AK594" s="139"/>
      <c r="AL594" s="139"/>
      <c r="AM594" s="139"/>
      <c r="AN594" s="139"/>
      <c r="AO594" s="139"/>
      <c r="AP594" s="139"/>
      <c r="AQ594" s="139"/>
      <c r="AR594" s="139"/>
      <c r="AS594" s="139"/>
      <c r="AT594" s="139"/>
      <c r="AU594" s="139"/>
      <c r="AV594" s="139"/>
    </row>
    <row r="595">
      <c r="A595" s="139"/>
      <c r="B595" s="234"/>
      <c r="C595" s="139"/>
      <c r="D595" s="139"/>
      <c r="E595" s="139"/>
      <c r="F595" s="139"/>
      <c r="G595" s="139"/>
      <c r="H595" s="139"/>
      <c r="I595" s="139"/>
      <c r="J595" s="139"/>
      <c r="K595" s="139"/>
      <c r="L595" s="139"/>
      <c r="M595" s="139"/>
      <c r="N595" s="145"/>
      <c r="O595" s="139"/>
      <c r="P595" s="139"/>
      <c r="Q595" s="231"/>
      <c r="R595" s="139"/>
      <c r="S595" s="235"/>
      <c r="T595" s="235"/>
      <c r="U595" s="145"/>
      <c r="V595" s="145"/>
      <c r="W595" s="111"/>
      <c r="X595" s="233"/>
      <c r="Y595" s="226"/>
      <c r="Z595" s="139"/>
      <c r="AA595" s="139"/>
      <c r="AB595" s="139"/>
      <c r="AC595" s="139"/>
      <c r="AD595" s="139"/>
      <c r="AE595" s="139"/>
      <c r="AF595" s="139"/>
      <c r="AG595" s="139"/>
      <c r="AH595" s="139"/>
      <c r="AI595" s="139"/>
      <c r="AJ595" s="139"/>
      <c r="AK595" s="139"/>
      <c r="AL595" s="139"/>
      <c r="AM595" s="139"/>
      <c r="AN595" s="139"/>
      <c r="AO595" s="139"/>
      <c r="AP595" s="139"/>
      <c r="AQ595" s="139"/>
      <c r="AR595" s="139"/>
      <c r="AS595" s="139"/>
      <c r="AT595" s="139"/>
      <c r="AU595" s="139"/>
      <c r="AV595" s="139"/>
    </row>
    <row r="596">
      <c r="A596" s="139"/>
      <c r="B596" s="234"/>
      <c r="C596" s="139"/>
      <c r="D596" s="139"/>
      <c r="E596" s="139"/>
      <c r="F596" s="139"/>
      <c r="G596" s="139"/>
      <c r="H596" s="139"/>
      <c r="I596" s="139"/>
      <c r="J596" s="139"/>
      <c r="K596" s="139"/>
      <c r="L596" s="139"/>
      <c r="M596" s="139"/>
      <c r="N596" s="145"/>
      <c r="O596" s="139"/>
      <c r="P596" s="139"/>
      <c r="Q596" s="231"/>
      <c r="R596" s="139"/>
      <c r="S596" s="235"/>
      <c r="T596" s="235"/>
      <c r="U596" s="145"/>
      <c r="V596" s="145"/>
      <c r="W596" s="111"/>
      <c r="X596" s="233"/>
      <c r="Y596" s="226"/>
      <c r="Z596" s="139"/>
      <c r="AA596" s="139"/>
      <c r="AB596" s="139"/>
      <c r="AC596" s="139"/>
      <c r="AD596" s="139"/>
      <c r="AE596" s="139"/>
      <c r="AF596" s="139"/>
      <c r="AG596" s="139"/>
      <c r="AH596" s="139"/>
      <c r="AI596" s="139"/>
      <c r="AJ596" s="139"/>
      <c r="AK596" s="139"/>
      <c r="AL596" s="139"/>
      <c r="AM596" s="139"/>
      <c r="AN596" s="139"/>
      <c r="AO596" s="139"/>
      <c r="AP596" s="139"/>
      <c r="AQ596" s="139"/>
      <c r="AR596" s="139"/>
      <c r="AS596" s="139"/>
      <c r="AT596" s="139"/>
      <c r="AU596" s="139"/>
      <c r="AV596" s="139"/>
    </row>
    <row r="597">
      <c r="A597" s="139"/>
      <c r="B597" s="234"/>
      <c r="C597" s="139"/>
      <c r="D597" s="139"/>
      <c r="E597" s="139"/>
      <c r="F597" s="139"/>
      <c r="G597" s="139"/>
      <c r="H597" s="139"/>
      <c r="I597" s="139"/>
      <c r="J597" s="139"/>
      <c r="K597" s="139"/>
      <c r="L597" s="139"/>
      <c r="M597" s="139"/>
      <c r="N597" s="145"/>
      <c r="O597" s="139"/>
      <c r="P597" s="139"/>
      <c r="Q597" s="231"/>
      <c r="R597" s="139"/>
      <c r="S597" s="235"/>
      <c r="T597" s="235"/>
      <c r="U597" s="145"/>
      <c r="V597" s="145"/>
      <c r="W597" s="111"/>
      <c r="X597" s="233"/>
      <c r="Y597" s="226"/>
      <c r="Z597" s="139"/>
      <c r="AA597" s="139"/>
      <c r="AB597" s="139"/>
      <c r="AC597" s="139"/>
      <c r="AD597" s="139"/>
      <c r="AE597" s="139"/>
      <c r="AF597" s="139"/>
      <c r="AG597" s="139"/>
      <c r="AH597" s="139"/>
      <c r="AI597" s="139"/>
      <c r="AJ597" s="139"/>
      <c r="AK597" s="139"/>
      <c r="AL597" s="139"/>
      <c r="AM597" s="139"/>
      <c r="AN597" s="139"/>
      <c r="AO597" s="139"/>
      <c r="AP597" s="139"/>
      <c r="AQ597" s="139"/>
      <c r="AR597" s="139"/>
      <c r="AS597" s="139"/>
      <c r="AT597" s="139"/>
      <c r="AU597" s="139"/>
      <c r="AV597" s="139"/>
    </row>
    <row r="598">
      <c r="A598" s="139"/>
      <c r="B598" s="234"/>
      <c r="C598" s="139"/>
      <c r="D598" s="139"/>
      <c r="E598" s="139"/>
      <c r="F598" s="139"/>
      <c r="G598" s="139"/>
      <c r="H598" s="139"/>
      <c r="I598" s="139"/>
      <c r="J598" s="139"/>
      <c r="K598" s="139"/>
      <c r="L598" s="139"/>
      <c r="M598" s="139"/>
      <c r="N598" s="145"/>
      <c r="O598" s="139"/>
      <c r="P598" s="139"/>
      <c r="Q598" s="231"/>
      <c r="R598" s="139"/>
      <c r="S598" s="235"/>
      <c r="T598" s="235"/>
      <c r="U598" s="145"/>
      <c r="V598" s="145"/>
      <c r="W598" s="111"/>
      <c r="X598" s="233"/>
      <c r="Y598" s="226"/>
      <c r="Z598" s="139"/>
      <c r="AA598" s="139"/>
      <c r="AB598" s="139"/>
      <c r="AC598" s="139"/>
      <c r="AD598" s="139"/>
      <c r="AE598" s="139"/>
      <c r="AF598" s="139"/>
      <c r="AG598" s="139"/>
      <c r="AH598" s="139"/>
      <c r="AI598" s="139"/>
      <c r="AJ598" s="139"/>
      <c r="AK598" s="139"/>
      <c r="AL598" s="139"/>
      <c r="AM598" s="139"/>
      <c r="AN598" s="139"/>
      <c r="AO598" s="139"/>
      <c r="AP598" s="139"/>
      <c r="AQ598" s="139"/>
      <c r="AR598" s="139"/>
      <c r="AS598" s="139"/>
      <c r="AT598" s="139"/>
      <c r="AU598" s="139"/>
      <c r="AV598" s="139"/>
    </row>
    <row r="599">
      <c r="A599" s="139"/>
      <c r="B599" s="234"/>
      <c r="C599" s="139"/>
      <c r="D599" s="139"/>
      <c r="E599" s="139"/>
      <c r="F599" s="139"/>
      <c r="G599" s="139"/>
      <c r="H599" s="139"/>
      <c r="I599" s="139"/>
      <c r="J599" s="139"/>
      <c r="K599" s="139"/>
      <c r="L599" s="139"/>
      <c r="M599" s="139"/>
      <c r="N599" s="145"/>
      <c r="O599" s="139"/>
      <c r="P599" s="139"/>
      <c r="Q599" s="231"/>
      <c r="R599" s="139"/>
      <c r="S599" s="235"/>
      <c r="T599" s="235"/>
      <c r="U599" s="145"/>
      <c r="V599" s="145"/>
      <c r="W599" s="111"/>
      <c r="X599" s="233"/>
      <c r="Y599" s="226"/>
      <c r="Z599" s="139"/>
      <c r="AA599" s="139"/>
      <c r="AB599" s="139"/>
      <c r="AC599" s="139"/>
      <c r="AD599" s="139"/>
      <c r="AE599" s="139"/>
      <c r="AF599" s="139"/>
      <c r="AG599" s="139"/>
      <c r="AH599" s="139"/>
      <c r="AI599" s="139"/>
      <c r="AJ599" s="139"/>
      <c r="AK599" s="139"/>
      <c r="AL599" s="139"/>
      <c r="AM599" s="139"/>
      <c r="AN599" s="139"/>
      <c r="AO599" s="139"/>
      <c r="AP599" s="139"/>
      <c r="AQ599" s="139"/>
      <c r="AR599" s="139"/>
      <c r="AS599" s="139"/>
      <c r="AT599" s="139"/>
      <c r="AU599" s="139"/>
      <c r="AV599" s="139"/>
    </row>
    <row r="600">
      <c r="A600" s="139"/>
      <c r="B600" s="234"/>
      <c r="C600" s="139"/>
      <c r="D600" s="139"/>
      <c r="E600" s="139"/>
      <c r="F600" s="139"/>
      <c r="G600" s="139"/>
      <c r="H600" s="139"/>
      <c r="I600" s="139"/>
      <c r="J600" s="139"/>
      <c r="K600" s="139"/>
      <c r="L600" s="139"/>
      <c r="M600" s="139"/>
      <c r="N600" s="145"/>
      <c r="O600" s="139"/>
      <c r="P600" s="139"/>
      <c r="Q600" s="231"/>
      <c r="R600" s="139"/>
      <c r="S600" s="235"/>
      <c r="T600" s="235"/>
      <c r="U600" s="145"/>
      <c r="V600" s="145"/>
      <c r="W600" s="111"/>
      <c r="X600" s="233"/>
      <c r="Y600" s="226"/>
      <c r="Z600" s="139"/>
      <c r="AA600" s="139"/>
      <c r="AB600" s="139"/>
      <c r="AC600" s="139"/>
      <c r="AD600" s="139"/>
      <c r="AE600" s="139"/>
      <c r="AF600" s="139"/>
      <c r="AG600" s="139"/>
      <c r="AH600" s="139"/>
      <c r="AI600" s="139"/>
      <c r="AJ600" s="139"/>
      <c r="AK600" s="139"/>
      <c r="AL600" s="139"/>
      <c r="AM600" s="139"/>
      <c r="AN600" s="139"/>
      <c r="AO600" s="139"/>
      <c r="AP600" s="139"/>
      <c r="AQ600" s="139"/>
      <c r="AR600" s="139"/>
      <c r="AS600" s="139"/>
      <c r="AT600" s="139"/>
      <c r="AU600" s="139"/>
      <c r="AV600" s="139"/>
    </row>
    <row r="601">
      <c r="A601" s="139"/>
      <c r="B601" s="234"/>
      <c r="C601" s="139"/>
      <c r="D601" s="139"/>
      <c r="E601" s="139"/>
      <c r="F601" s="139"/>
      <c r="G601" s="139"/>
      <c r="H601" s="139"/>
      <c r="I601" s="139"/>
      <c r="J601" s="139"/>
      <c r="K601" s="139"/>
      <c r="L601" s="139"/>
      <c r="M601" s="139"/>
      <c r="N601" s="145"/>
      <c r="O601" s="139"/>
      <c r="P601" s="139"/>
      <c r="Q601" s="231"/>
      <c r="R601" s="139"/>
      <c r="S601" s="235"/>
      <c r="T601" s="235"/>
      <c r="U601" s="145"/>
      <c r="V601" s="145"/>
      <c r="W601" s="111"/>
      <c r="X601" s="233"/>
      <c r="Y601" s="226"/>
      <c r="Z601" s="139"/>
      <c r="AA601" s="139"/>
      <c r="AB601" s="139"/>
      <c r="AC601" s="139"/>
      <c r="AD601" s="139"/>
      <c r="AE601" s="139"/>
      <c r="AF601" s="139"/>
      <c r="AG601" s="139"/>
      <c r="AH601" s="139"/>
      <c r="AI601" s="139"/>
      <c r="AJ601" s="139"/>
      <c r="AK601" s="139"/>
      <c r="AL601" s="139"/>
      <c r="AM601" s="139"/>
      <c r="AN601" s="139"/>
      <c r="AO601" s="139"/>
      <c r="AP601" s="139"/>
      <c r="AQ601" s="139"/>
      <c r="AR601" s="139"/>
      <c r="AS601" s="139"/>
      <c r="AT601" s="139"/>
      <c r="AU601" s="139"/>
      <c r="AV601" s="139"/>
    </row>
    <row r="602">
      <c r="A602" s="139"/>
      <c r="B602" s="234"/>
      <c r="C602" s="139"/>
      <c r="D602" s="139"/>
      <c r="E602" s="139"/>
      <c r="F602" s="139"/>
      <c r="G602" s="139"/>
      <c r="H602" s="139"/>
      <c r="I602" s="139"/>
      <c r="J602" s="139"/>
      <c r="K602" s="139"/>
      <c r="L602" s="139"/>
      <c r="M602" s="139"/>
      <c r="N602" s="145"/>
      <c r="O602" s="139"/>
      <c r="P602" s="139"/>
      <c r="Q602" s="231"/>
      <c r="R602" s="139"/>
      <c r="S602" s="235"/>
      <c r="T602" s="235"/>
      <c r="U602" s="145"/>
      <c r="V602" s="145"/>
      <c r="W602" s="111"/>
      <c r="X602" s="233"/>
      <c r="Y602" s="226"/>
      <c r="Z602" s="139"/>
      <c r="AA602" s="139"/>
      <c r="AB602" s="139"/>
      <c r="AC602" s="139"/>
      <c r="AD602" s="139"/>
      <c r="AE602" s="139"/>
      <c r="AF602" s="139"/>
      <c r="AG602" s="139"/>
      <c r="AH602" s="139"/>
      <c r="AI602" s="139"/>
      <c r="AJ602" s="139"/>
      <c r="AK602" s="139"/>
      <c r="AL602" s="139"/>
      <c r="AM602" s="139"/>
      <c r="AN602" s="139"/>
      <c r="AO602" s="139"/>
      <c r="AP602" s="139"/>
      <c r="AQ602" s="139"/>
      <c r="AR602" s="139"/>
      <c r="AS602" s="139"/>
      <c r="AT602" s="139"/>
      <c r="AU602" s="139"/>
      <c r="AV602" s="139"/>
    </row>
    <row r="603">
      <c r="A603" s="139"/>
      <c r="B603" s="234"/>
      <c r="C603" s="139"/>
      <c r="D603" s="139"/>
      <c r="E603" s="139"/>
      <c r="F603" s="139"/>
      <c r="G603" s="139"/>
      <c r="H603" s="139"/>
      <c r="I603" s="139"/>
      <c r="J603" s="139"/>
      <c r="K603" s="139"/>
      <c r="L603" s="139"/>
      <c r="M603" s="139"/>
      <c r="N603" s="145"/>
      <c r="O603" s="139"/>
      <c r="P603" s="139"/>
      <c r="Q603" s="231"/>
      <c r="R603" s="139"/>
      <c r="S603" s="235"/>
      <c r="T603" s="235"/>
      <c r="U603" s="145"/>
      <c r="V603" s="145"/>
      <c r="W603" s="111"/>
      <c r="X603" s="233"/>
      <c r="Y603" s="226"/>
      <c r="Z603" s="139"/>
      <c r="AA603" s="139"/>
      <c r="AB603" s="139"/>
      <c r="AC603" s="139"/>
      <c r="AD603" s="139"/>
      <c r="AE603" s="139"/>
      <c r="AF603" s="139"/>
      <c r="AG603" s="139"/>
      <c r="AH603" s="139"/>
      <c r="AI603" s="139"/>
      <c r="AJ603" s="139"/>
      <c r="AK603" s="139"/>
      <c r="AL603" s="139"/>
      <c r="AM603" s="139"/>
      <c r="AN603" s="139"/>
      <c r="AO603" s="139"/>
      <c r="AP603" s="139"/>
      <c r="AQ603" s="139"/>
      <c r="AR603" s="139"/>
      <c r="AS603" s="139"/>
      <c r="AT603" s="139"/>
      <c r="AU603" s="139"/>
      <c r="AV603" s="139"/>
    </row>
    <row r="604">
      <c r="A604" s="139"/>
      <c r="B604" s="234"/>
      <c r="C604" s="139"/>
      <c r="D604" s="139"/>
      <c r="E604" s="139"/>
      <c r="F604" s="139"/>
      <c r="G604" s="139"/>
      <c r="H604" s="139"/>
      <c r="I604" s="139"/>
      <c r="J604" s="139"/>
      <c r="K604" s="139"/>
      <c r="L604" s="139"/>
      <c r="M604" s="139"/>
      <c r="N604" s="145"/>
      <c r="O604" s="139"/>
      <c r="P604" s="139"/>
      <c r="Q604" s="231"/>
      <c r="R604" s="139"/>
      <c r="S604" s="235"/>
      <c r="T604" s="235"/>
      <c r="U604" s="145"/>
      <c r="V604" s="145"/>
      <c r="W604" s="111"/>
      <c r="X604" s="233"/>
      <c r="Y604" s="226"/>
      <c r="Z604" s="139"/>
      <c r="AA604" s="139"/>
      <c r="AB604" s="139"/>
      <c r="AC604" s="139"/>
      <c r="AD604" s="139"/>
      <c r="AE604" s="139"/>
      <c r="AF604" s="139"/>
      <c r="AG604" s="139"/>
      <c r="AH604" s="139"/>
      <c r="AI604" s="139"/>
      <c r="AJ604" s="139"/>
      <c r="AK604" s="139"/>
      <c r="AL604" s="139"/>
      <c r="AM604" s="139"/>
      <c r="AN604" s="139"/>
      <c r="AO604" s="139"/>
      <c r="AP604" s="139"/>
      <c r="AQ604" s="139"/>
      <c r="AR604" s="139"/>
      <c r="AS604" s="139"/>
      <c r="AT604" s="139"/>
      <c r="AU604" s="139"/>
      <c r="AV604" s="139"/>
    </row>
    <row r="605">
      <c r="A605" s="139"/>
      <c r="B605" s="234"/>
      <c r="C605" s="139"/>
      <c r="D605" s="139"/>
      <c r="E605" s="139"/>
      <c r="F605" s="139"/>
      <c r="G605" s="139"/>
      <c r="H605" s="139"/>
      <c r="I605" s="139"/>
      <c r="J605" s="139"/>
      <c r="K605" s="139"/>
      <c r="L605" s="139"/>
      <c r="M605" s="139"/>
      <c r="N605" s="145"/>
      <c r="O605" s="139"/>
      <c r="P605" s="139"/>
      <c r="Q605" s="231"/>
      <c r="R605" s="139"/>
      <c r="S605" s="235"/>
      <c r="T605" s="235"/>
      <c r="U605" s="145"/>
      <c r="V605" s="145"/>
      <c r="W605" s="111"/>
      <c r="X605" s="233"/>
      <c r="Y605" s="226"/>
      <c r="Z605" s="139"/>
      <c r="AA605" s="139"/>
      <c r="AB605" s="139"/>
      <c r="AC605" s="139"/>
      <c r="AD605" s="139"/>
      <c r="AE605" s="139"/>
      <c r="AF605" s="139"/>
      <c r="AG605" s="139"/>
      <c r="AH605" s="139"/>
      <c r="AI605" s="139"/>
      <c r="AJ605" s="139"/>
      <c r="AK605" s="139"/>
      <c r="AL605" s="139"/>
      <c r="AM605" s="139"/>
      <c r="AN605" s="139"/>
      <c r="AO605" s="139"/>
      <c r="AP605" s="139"/>
      <c r="AQ605" s="139"/>
      <c r="AR605" s="139"/>
      <c r="AS605" s="139"/>
      <c r="AT605" s="139"/>
      <c r="AU605" s="139"/>
      <c r="AV605" s="139"/>
    </row>
    <row r="606">
      <c r="A606" s="139"/>
      <c r="B606" s="234"/>
      <c r="C606" s="139"/>
      <c r="D606" s="139"/>
      <c r="E606" s="139"/>
      <c r="F606" s="139"/>
      <c r="G606" s="139"/>
      <c r="H606" s="139"/>
      <c r="I606" s="139"/>
      <c r="J606" s="139"/>
      <c r="K606" s="139"/>
      <c r="L606" s="139"/>
      <c r="M606" s="139"/>
      <c r="N606" s="145"/>
      <c r="O606" s="139"/>
      <c r="P606" s="139"/>
      <c r="Q606" s="231"/>
      <c r="R606" s="139"/>
      <c r="S606" s="235"/>
      <c r="T606" s="235"/>
      <c r="U606" s="145"/>
      <c r="V606" s="145"/>
      <c r="W606" s="111"/>
      <c r="X606" s="233"/>
      <c r="Y606" s="226"/>
      <c r="Z606" s="139"/>
      <c r="AA606" s="139"/>
      <c r="AB606" s="139"/>
      <c r="AC606" s="139"/>
      <c r="AD606" s="139"/>
      <c r="AE606" s="139"/>
      <c r="AF606" s="139"/>
      <c r="AG606" s="139"/>
      <c r="AH606" s="139"/>
      <c r="AI606" s="139"/>
      <c r="AJ606" s="139"/>
      <c r="AK606" s="139"/>
      <c r="AL606" s="139"/>
      <c r="AM606" s="139"/>
      <c r="AN606" s="139"/>
      <c r="AO606" s="139"/>
      <c r="AP606" s="139"/>
      <c r="AQ606" s="139"/>
      <c r="AR606" s="139"/>
      <c r="AS606" s="139"/>
      <c r="AT606" s="139"/>
      <c r="AU606" s="139"/>
      <c r="AV606" s="139"/>
    </row>
    <row r="607">
      <c r="A607" s="139"/>
      <c r="B607" s="234"/>
      <c r="C607" s="139"/>
      <c r="D607" s="139"/>
      <c r="E607" s="139"/>
      <c r="F607" s="139"/>
      <c r="G607" s="139"/>
      <c r="H607" s="139"/>
      <c r="I607" s="139"/>
      <c r="J607" s="139"/>
      <c r="K607" s="139"/>
      <c r="L607" s="139"/>
      <c r="M607" s="139"/>
      <c r="N607" s="145"/>
      <c r="O607" s="139"/>
      <c r="P607" s="139"/>
      <c r="Q607" s="231"/>
      <c r="R607" s="139"/>
      <c r="S607" s="235"/>
      <c r="T607" s="235"/>
      <c r="U607" s="145"/>
      <c r="V607" s="145"/>
      <c r="W607" s="111"/>
      <c r="X607" s="233"/>
      <c r="Y607" s="226"/>
      <c r="Z607" s="139"/>
      <c r="AA607" s="139"/>
      <c r="AB607" s="139"/>
      <c r="AC607" s="139"/>
      <c r="AD607" s="139"/>
      <c r="AE607" s="139"/>
      <c r="AF607" s="139"/>
      <c r="AG607" s="139"/>
      <c r="AH607" s="139"/>
      <c r="AI607" s="139"/>
      <c r="AJ607" s="139"/>
      <c r="AK607" s="139"/>
      <c r="AL607" s="139"/>
      <c r="AM607" s="139"/>
      <c r="AN607" s="139"/>
      <c r="AO607" s="139"/>
      <c r="AP607" s="139"/>
      <c r="AQ607" s="139"/>
      <c r="AR607" s="139"/>
      <c r="AS607" s="139"/>
      <c r="AT607" s="139"/>
      <c r="AU607" s="139"/>
      <c r="AV607" s="139"/>
    </row>
    <row r="608">
      <c r="A608" s="139"/>
      <c r="B608" s="234"/>
      <c r="C608" s="139"/>
      <c r="D608" s="139"/>
      <c r="E608" s="139"/>
      <c r="F608" s="139"/>
      <c r="G608" s="139"/>
      <c r="H608" s="139"/>
      <c r="I608" s="139"/>
      <c r="J608" s="139"/>
      <c r="K608" s="139"/>
      <c r="L608" s="139"/>
      <c r="M608" s="139"/>
      <c r="N608" s="145"/>
      <c r="O608" s="139"/>
      <c r="P608" s="139"/>
      <c r="Q608" s="231"/>
      <c r="R608" s="139"/>
      <c r="S608" s="235"/>
      <c r="T608" s="235"/>
      <c r="U608" s="145"/>
      <c r="V608" s="145"/>
      <c r="W608" s="111"/>
      <c r="X608" s="233"/>
      <c r="Y608" s="226"/>
      <c r="Z608" s="139"/>
      <c r="AA608" s="139"/>
      <c r="AB608" s="139"/>
      <c r="AC608" s="139"/>
      <c r="AD608" s="139"/>
      <c r="AE608" s="139"/>
      <c r="AF608" s="139"/>
      <c r="AG608" s="139"/>
      <c r="AH608" s="139"/>
      <c r="AI608" s="139"/>
      <c r="AJ608" s="139"/>
      <c r="AK608" s="139"/>
      <c r="AL608" s="139"/>
      <c r="AM608" s="139"/>
      <c r="AN608" s="139"/>
      <c r="AO608" s="139"/>
      <c r="AP608" s="139"/>
      <c r="AQ608" s="139"/>
      <c r="AR608" s="139"/>
      <c r="AS608" s="139"/>
      <c r="AT608" s="139"/>
      <c r="AU608" s="139"/>
      <c r="AV608" s="139"/>
    </row>
    <row r="609">
      <c r="A609" s="139"/>
      <c r="B609" s="234"/>
      <c r="C609" s="139"/>
      <c r="D609" s="139"/>
      <c r="E609" s="139"/>
      <c r="F609" s="139"/>
      <c r="G609" s="139"/>
      <c r="H609" s="139"/>
      <c r="I609" s="139"/>
      <c r="J609" s="139"/>
      <c r="K609" s="139"/>
      <c r="L609" s="139"/>
      <c r="M609" s="139"/>
      <c r="N609" s="145"/>
      <c r="O609" s="139"/>
      <c r="P609" s="139"/>
      <c r="Q609" s="231"/>
      <c r="R609" s="139"/>
      <c r="S609" s="235"/>
      <c r="T609" s="235"/>
      <c r="U609" s="145"/>
      <c r="V609" s="145"/>
      <c r="W609" s="111"/>
      <c r="X609" s="233"/>
      <c r="Y609" s="226"/>
      <c r="Z609" s="139"/>
      <c r="AA609" s="139"/>
      <c r="AB609" s="139"/>
      <c r="AC609" s="139"/>
      <c r="AD609" s="139"/>
      <c r="AE609" s="139"/>
      <c r="AF609" s="139"/>
      <c r="AG609" s="139"/>
      <c r="AH609" s="139"/>
      <c r="AI609" s="139"/>
      <c r="AJ609" s="139"/>
      <c r="AK609" s="139"/>
      <c r="AL609" s="139"/>
      <c r="AM609" s="139"/>
      <c r="AN609" s="139"/>
      <c r="AO609" s="139"/>
      <c r="AP609" s="139"/>
      <c r="AQ609" s="139"/>
      <c r="AR609" s="139"/>
      <c r="AS609" s="139"/>
      <c r="AT609" s="139"/>
      <c r="AU609" s="139"/>
      <c r="AV609" s="139"/>
    </row>
    <row r="610">
      <c r="A610" s="139"/>
      <c r="B610" s="234"/>
      <c r="C610" s="139"/>
      <c r="D610" s="139"/>
      <c r="E610" s="139"/>
      <c r="F610" s="139"/>
      <c r="G610" s="139"/>
      <c r="H610" s="139"/>
      <c r="I610" s="139"/>
      <c r="J610" s="139"/>
      <c r="K610" s="139"/>
      <c r="L610" s="139"/>
      <c r="M610" s="139"/>
      <c r="N610" s="145"/>
      <c r="O610" s="139"/>
      <c r="P610" s="139"/>
      <c r="Q610" s="231"/>
      <c r="R610" s="139"/>
      <c r="S610" s="235"/>
      <c r="T610" s="235"/>
      <c r="U610" s="145"/>
      <c r="V610" s="145"/>
      <c r="W610" s="111"/>
      <c r="X610" s="233"/>
      <c r="Y610" s="226"/>
      <c r="Z610" s="139"/>
      <c r="AA610" s="139"/>
      <c r="AB610" s="139"/>
      <c r="AC610" s="139"/>
      <c r="AD610" s="139"/>
      <c r="AE610" s="139"/>
      <c r="AF610" s="139"/>
      <c r="AG610" s="139"/>
      <c r="AH610" s="139"/>
      <c r="AI610" s="139"/>
      <c r="AJ610" s="139"/>
      <c r="AK610" s="139"/>
      <c r="AL610" s="139"/>
      <c r="AM610" s="139"/>
      <c r="AN610" s="139"/>
      <c r="AO610" s="139"/>
      <c r="AP610" s="139"/>
      <c r="AQ610" s="139"/>
      <c r="AR610" s="139"/>
      <c r="AS610" s="139"/>
      <c r="AT610" s="139"/>
      <c r="AU610" s="139"/>
      <c r="AV610" s="139"/>
    </row>
    <row r="611">
      <c r="A611" s="139"/>
      <c r="B611" s="234"/>
      <c r="C611" s="139"/>
      <c r="D611" s="139"/>
      <c r="E611" s="139"/>
      <c r="F611" s="139"/>
      <c r="G611" s="139"/>
      <c r="H611" s="139"/>
      <c r="I611" s="139"/>
      <c r="J611" s="139"/>
      <c r="K611" s="139"/>
      <c r="L611" s="139"/>
      <c r="M611" s="139"/>
      <c r="N611" s="145"/>
      <c r="O611" s="139"/>
      <c r="P611" s="139"/>
      <c r="Q611" s="231"/>
      <c r="R611" s="139"/>
      <c r="S611" s="235"/>
      <c r="T611" s="235"/>
      <c r="U611" s="145"/>
      <c r="V611" s="145"/>
      <c r="W611" s="111"/>
      <c r="X611" s="233"/>
      <c r="Y611" s="226"/>
      <c r="Z611" s="139"/>
      <c r="AA611" s="139"/>
      <c r="AB611" s="139"/>
      <c r="AC611" s="139"/>
      <c r="AD611" s="139"/>
      <c r="AE611" s="139"/>
      <c r="AF611" s="139"/>
      <c r="AG611" s="139"/>
      <c r="AH611" s="139"/>
      <c r="AI611" s="139"/>
      <c r="AJ611" s="139"/>
      <c r="AK611" s="139"/>
      <c r="AL611" s="139"/>
      <c r="AM611" s="139"/>
      <c r="AN611" s="139"/>
      <c r="AO611" s="139"/>
      <c r="AP611" s="139"/>
      <c r="AQ611" s="139"/>
      <c r="AR611" s="139"/>
      <c r="AS611" s="139"/>
      <c r="AT611" s="139"/>
      <c r="AU611" s="139"/>
      <c r="AV611" s="139"/>
    </row>
    <row r="612">
      <c r="A612" s="139"/>
      <c r="B612" s="234"/>
      <c r="C612" s="139"/>
      <c r="D612" s="139"/>
      <c r="E612" s="139"/>
      <c r="F612" s="139"/>
      <c r="G612" s="139"/>
      <c r="H612" s="139"/>
      <c r="I612" s="139"/>
      <c r="J612" s="139"/>
      <c r="K612" s="139"/>
      <c r="L612" s="139"/>
      <c r="M612" s="139"/>
      <c r="N612" s="145"/>
      <c r="O612" s="139"/>
      <c r="P612" s="139"/>
      <c r="Q612" s="231"/>
      <c r="R612" s="139"/>
      <c r="S612" s="235"/>
      <c r="T612" s="235"/>
      <c r="U612" s="145"/>
      <c r="V612" s="145"/>
      <c r="W612" s="111"/>
      <c r="X612" s="233"/>
      <c r="Y612" s="226"/>
      <c r="Z612" s="139"/>
      <c r="AA612" s="139"/>
      <c r="AB612" s="139"/>
      <c r="AC612" s="139"/>
      <c r="AD612" s="139"/>
      <c r="AE612" s="139"/>
      <c r="AF612" s="139"/>
      <c r="AG612" s="139"/>
      <c r="AH612" s="139"/>
      <c r="AI612" s="139"/>
      <c r="AJ612" s="139"/>
      <c r="AK612" s="139"/>
      <c r="AL612" s="139"/>
      <c r="AM612" s="139"/>
      <c r="AN612" s="139"/>
      <c r="AO612" s="139"/>
      <c r="AP612" s="139"/>
      <c r="AQ612" s="139"/>
      <c r="AR612" s="139"/>
      <c r="AS612" s="139"/>
      <c r="AT612" s="139"/>
      <c r="AU612" s="139"/>
      <c r="AV612" s="139"/>
    </row>
    <row r="613">
      <c r="A613" s="139"/>
      <c r="B613" s="234"/>
      <c r="C613" s="139"/>
      <c r="D613" s="139"/>
      <c r="E613" s="139"/>
      <c r="F613" s="139"/>
      <c r="G613" s="139"/>
      <c r="H613" s="139"/>
      <c r="I613" s="139"/>
      <c r="J613" s="139"/>
      <c r="K613" s="139"/>
      <c r="L613" s="139"/>
      <c r="M613" s="139"/>
      <c r="N613" s="145"/>
      <c r="O613" s="139"/>
      <c r="P613" s="139"/>
      <c r="Q613" s="231"/>
      <c r="R613" s="139"/>
      <c r="S613" s="235"/>
      <c r="T613" s="235"/>
      <c r="U613" s="145"/>
      <c r="V613" s="145"/>
      <c r="W613" s="111"/>
      <c r="X613" s="233"/>
      <c r="Y613" s="226"/>
      <c r="Z613" s="139"/>
      <c r="AA613" s="139"/>
      <c r="AB613" s="139"/>
      <c r="AC613" s="139"/>
      <c r="AD613" s="139"/>
      <c r="AE613" s="139"/>
      <c r="AF613" s="139"/>
      <c r="AG613" s="139"/>
      <c r="AH613" s="139"/>
      <c r="AI613" s="139"/>
      <c r="AJ613" s="139"/>
      <c r="AK613" s="139"/>
      <c r="AL613" s="139"/>
      <c r="AM613" s="139"/>
      <c r="AN613" s="139"/>
      <c r="AO613" s="139"/>
      <c r="AP613" s="139"/>
      <c r="AQ613" s="139"/>
      <c r="AR613" s="139"/>
      <c r="AS613" s="139"/>
      <c r="AT613" s="139"/>
      <c r="AU613" s="139"/>
      <c r="AV613" s="139"/>
    </row>
    <row r="614">
      <c r="A614" s="139"/>
      <c r="B614" s="234"/>
      <c r="C614" s="139"/>
      <c r="D614" s="139"/>
      <c r="E614" s="139"/>
      <c r="F614" s="139"/>
      <c r="G614" s="139"/>
      <c r="H614" s="139"/>
      <c r="I614" s="139"/>
      <c r="J614" s="139"/>
      <c r="K614" s="139"/>
      <c r="L614" s="139"/>
      <c r="M614" s="139"/>
      <c r="N614" s="145"/>
      <c r="O614" s="139"/>
      <c r="P614" s="139"/>
      <c r="Q614" s="231"/>
      <c r="R614" s="139"/>
      <c r="S614" s="235"/>
      <c r="T614" s="235"/>
      <c r="U614" s="145"/>
      <c r="V614" s="145"/>
      <c r="W614" s="111"/>
      <c r="X614" s="233"/>
      <c r="Y614" s="226"/>
      <c r="Z614" s="139"/>
      <c r="AA614" s="139"/>
      <c r="AB614" s="139"/>
      <c r="AC614" s="139"/>
      <c r="AD614" s="139"/>
      <c r="AE614" s="139"/>
      <c r="AF614" s="139"/>
      <c r="AG614" s="139"/>
      <c r="AH614" s="139"/>
      <c r="AI614" s="139"/>
      <c r="AJ614" s="139"/>
      <c r="AK614" s="139"/>
      <c r="AL614" s="139"/>
      <c r="AM614" s="139"/>
      <c r="AN614" s="139"/>
      <c r="AO614" s="139"/>
      <c r="AP614" s="139"/>
      <c r="AQ614" s="139"/>
      <c r="AR614" s="139"/>
      <c r="AS614" s="139"/>
      <c r="AT614" s="139"/>
      <c r="AU614" s="139"/>
      <c r="AV614" s="139"/>
    </row>
    <row r="615">
      <c r="A615" s="139"/>
      <c r="B615" s="234"/>
      <c r="C615" s="139"/>
      <c r="D615" s="139"/>
      <c r="E615" s="139"/>
      <c r="F615" s="139"/>
      <c r="G615" s="139"/>
      <c r="H615" s="139"/>
      <c r="I615" s="139"/>
      <c r="J615" s="139"/>
      <c r="K615" s="139"/>
      <c r="L615" s="139"/>
      <c r="M615" s="139"/>
      <c r="N615" s="145"/>
      <c r="O615" s="139"/>
      <c r="P615" s="139"/>
      <c r="Q615" s="231"/>
      <c r="R615" s="139"/>
      <c r="S615" s="235"/>
      <c r="T615" s="235"/>
      <c r="U615" s="145"/>
      <c r="V615" s="145"/>
      <c r="W615" s="111"/>
      <c r="X615" s="233"/>
      <c r="Y615" s="226"/>
      <c r="Z615" s="139"/>
      <c r="AA615" s="139"/>
      <c r="AB615" s="139"/>
      <c r="AC615" s="139"/>
      <c r="AD615" s="139"/>
      <c r="AE615" s="139"/>
      <c r="AF615" s="139"/>
      <c r="AG615" s="139"/>
      <c r="AH615" s="139"/>
      <c r="AI615" s="139"/>
      <c r="AJ615" s="139"/>
      <c r="AK615" s="139"/>
      <c r="AL615" s="139"/>
      <c r="AM615" s="139"/>
      <c r="AN615" s="139"/>
      <c r="AO615" s="139"/>
      <c r="AP615" s="139"/>
      <c r="AQ615" s="139"/>
      <c r="AR615" s="139"/>
      <c r="AS615" s="139"/>
      <c r="AT615" s="139"/>
      <c r="AU615" s="139"/>
      <c r="AV615" s="139"/>
    </row>
    <row r="616">
      <c r="A616" s="139"/>
      <c r="B616" s="234"/>
      <c r="C616" s="139"/>
      <c r="D616" s="139"/>
      <c r="E616" s="139"/>
      <c r="F616" s="139"/>
      <c r="G616" s="139"/>
      <c r="H616" s="139"/>
      <c r="I616" s="139"/>
      <c r="J616" s="139"/>
      <c r="K616" s="139"/>
      <c r="L616" s="139"/>
      <c r="M616" s="139"/>
      <c r="N616" s="145"/>
      <c r="O616" s="139"/>
      <c r="P616" s="139"/>
      <c r="Q616" s="231"/>
      <c r="R616" s="139"/>
      <c r="S616" s="235"/>
      <c r="T616" s="235"/>
      <c r="U616" s="145"/>
      <c r="V616" s="145"/>
      <c r="W616" s="111"/>
      <c r="X616" s="233"/>
      <c r="Y616" s="226"/>
      <c r="Z616" s="139"/>
      <c r="AA616" s="139"/>
      <c r="AB616" s="139"/>
      <c r="AC616" s="139"/>
      <c r="AD616" s="139"/>
      <c r="AE616" s="139"/>
      <c r="AF616" s="139"/>
      <c r="AG616" s="139"/>
      <c r="AH616" s="139"/>
      <c r="AI616" s="139"/>
      <c r="AJ616" s="139"/>
      <c r="AK616" s="139"/>
      <c r="AL616" s="139"/>
      <c r="AM616" s="139"/>
      <c r="AN616" s="139"/>
      <c r="AO616" s="139"/>
      <c r="AP616" s="139"/>
      <c r="AQ616" s="139"/>
      <c r="AR616" s="139"/>
      <c r="AS616" s="139"/>
      <c r="AT616" s="139"/>
      <c r="AU616" s="139"/>
      <c r="AV616" s="139"/>
    </row>
    <row r="617">
      <c r="A617" s="139"/>
      <c r="B617" s="234"/>
      <c r="C617" s="139"/>
      <c r="D617" s="139"/>
      <c r="E617" s="139"/>
      <c r="F617" s="139"/>
      <c r="G617" s="139"/>
      <c r="H617" s="139"/>
      <c r="I617" s="139"/>
      <c r="J617" s="139"/>
      <c r="K617" s="139"/>
      <c r="L617" s="139"/>
      <c r="M617" s="139"/>
      <c r="N617" s="145"/>
      <c r="O617" s="139"/>
      <c r="P617" s="139"/>
      <c r="Q617" s="231"/>
      <c r="R617" s="139"/>
      <c r="S617" s="235"/>
      <c r="T617" s="235"/>
      <c r="U617" s="145"/>
      <c r="V617" s="145"/>
      <c r="W617" s="111"/>
      <c r="X617" s="233"/>
      <c r="Y617" s="226"/>
      <c r="Z617" s="139"/>
      <c r="AA617" s="139"/>
      <c r="AB617" s="139"/>
      <c r="AC617" s="139"/>
      <c r="AD617" s="139"/>
      <c r="AE617" s="139"/>
      <c r="AF617" s="139"/>
      <c r="AG617" s="139"/>
      <c r="AH617" s="139"/>
      <c r="AI617" s="139"/>
      <c r="AJ617" s="139"/>
      <c r="AK617" s="139"/>
      <c r="AL617" s="139"/>
      <c r="AM617" s="139"/>
      <c r="AN617" s="139"/>
      <c r="AO617" s="139"/>
      <c r="AP617" s="139"/>
      <c r="AQ617" s="139"/>
      <c r="AR617" s="139"/>
      <c r="AS617" s="139"/>
      <c r="AT617" s="139"/>
      <c r="AU617" s="139"/>
      <c r="AV617" s="139"/>
    </row>
    <row r="618">
      <c r="A618" s="139"/>
      <c r="B618" s="234"/>
      <c r="C618" s="139"/>
      <c r="D618" s="139"/>
      <c r="E618" s="139"/>
      <c r="F618" s="139"/>
      <c r="G618" s="139"/>
      <c r="H618" s="139"/>
      <c r="I618" s="139"/>
      <c r="J618" s="139"/>
      <c r="K618" s="139"/>
      <c r="L618" s="139"/>
      <c r="M618" s="139"/>
      <c r="N618" s="145"/>
      <c r="O618" s="139"/>
      <c r="P618" s="139"/>
      <c r="Q618" s="231"/>
      <c r="R618" s="139"/>
      <c r="S618" s="235"/>
      <c r="T618" s="235"/>
      <c r="U618" s="145"/>
      <c r="V618" s="145"/>
      <c r="W618" s="111"/>
      <c r="X618" s="233"/>
      <c r="Y618" s="226"/>
      <c r="Z618" s="139"/>
      <c r="AA618" s="139"/>
      <c r="AB618" s="139"/>
      <c r="AC618" s="139"/>
      <c r="AD618" s="139"/>
      <c r="AE618" s="139"/>
      <c r="AF618" s="139"/>
      <c r="AG618" s="139"/>
      <c r="AH618" s="139"/>
      <c r="AI618" s="139"/>
      <c r="AJ618" s="139"/>
      <c r="AK618" s="139"/>
      <c r="AL618" s="139"/>
      <c r="AM618" s="139"/>
      <c r="AN618" s="139"/>
      <c r="AO618" s="139"/>
      <c r="AP618" s="139"/>
      <c r="AQ618" s="139"/>
      <c r="AR618" s="139"/>
      <c r="AS618" s="139"/>
      <c r="AT618" s="139"/>
      <c r="AU618" s="139"/>
      <c r="AV618" s="139"/>
    </row>
    <row r="619">
      <c r="A619" s="139"/>
      <c r="B619" s="234"/>
      <c r="C619" s="139"/>
      <c r="D619" s="139"/>
      <c r="E619" s="139"/>
      <c r="F619" s="139"/>
      <c r="G619" s="139"/>
      <c r="H619" s="139"/>
      <c r="I619" s="139"/>
      <c r="J619" s="139"/>
      <c r="K619" s="139"/>
      <c r="L619" s="139"/>
      <c r="M619" s="139"/>
      <c r="N619" s="145"/>
      <c r="O619" s="139"/>
      <c r="P619" s="139"/>
      <c r="Q619" s="231"/>
      <c r="R619" s="139"/>
      <c r="S619" s="235"/>
      <c r="T619" s="235"/>
      <c r="U619" s="145"/>
      <c r="V619" s="145"/>
      <c r="W619" s="111"/>
      <c r="X619" s="233"/>
      <c r="Y619" s="226"/>
      <c r="Z619" s="139"/>
      <c r="AA619" s="139"/>
      <c r="AB619" s="139"/>
      <c r="AC619" s="139"/>
      <c r="AD619" s="139"/>
      <c r="AE619" s="139"/>
      <c r="AF619" s="139"/>
      <c r="AG619" s="139"/>
      <c r="AH619" s="139"/>
      <c r="AI619" s="139"/>
      <c r="AJ619" s="139"/>
      <c r="AK619" s="139"/>
      <c r="AL619" s="139"/>
      <c r="AM619" s="139"/>
      <c r="AN619" s="139"/>
      <c r="AO619" s="139"/>
      <c r="AP619" s="139"/>
      <c r="AQ619" s="139"/>
      <c r="AR619" s="139"/>
      <c r="AS619" s="139"/>
      <c r="AT619" s="139"/>
      <c r="AU619" s="139"/>
      <c r="AV619" s="139"/>
    </row>
    <row r="620">
      <c r="A620" s="139"/>
      <c r="B620" s="234"/>
      <c r="C620" s="139"/>
      <c r="D620" s="139"/>
      <c r="E620" s="139"/>
      <c r="F620" s="139"/>
      <c r="G620" s="139"/>
      <c r="H620" s="139"/>
      <c r="I620" s="139"/>
      <c r="J620" s="139"/>
      <c r="K620" s="139"/>
      <c r="L620" s="139"/>
      <c r="M620" s="139"/>
      <c r="N620" s="145"/>
      <c r="O620" s="139"/>
      <c r="P620" s="139"/>
      <c r="Q620" s="231"/>
      <c r="R620" s="139"/>
      <c r="S620" s="235"/>
      <c r="T620" s="235"/>
      <c r="U620" s="145"/>
      <c r="V620" s="145"/>
      <c r="W620" s="111"/>
      <c r="X620" s="233"/>
      <c r="Y620" s="226"/>
      <c r="Z620" s="139"/>
      <c r="AA620" s="139"/>
      <c r="AB620" s="139"/>
      <c r="AC620" s="139"/>
      <c r="AD620" s="139"/>
      <c r="AE620" s="139"/>
      <c r="AF620" s="139"/>
      <c r="AG620" s="139"/>
      <c r="AH620" s="139"/>
      <c r="AI620" s="139"/>
      <c r="AJ620" s="139"/>
      <c r="AK620" s="139"/>
      <c r="AL620" s="139"/>
      <c r="AM620" s="139"/>
      <c r="AN620" s="139"/>
      <c r="AO620" s="139"/>
      <c r="AP620" s="139"/>
      <c r="AQ620" s="139"/>
      <c r="AR620" s="139"/>
      <c r="AS620" s="139"/>
      <c r="AT620" s="139"/>
      <c r="AU620" s="139"/>
      <c r="AV620" s="139"/>
    </row>
    <row r="621">
      <c r="A621" s="139"/>
      <c r="B621" s="234"/>
      <c r="C621" s="139"/>
      <c r="D621" s="139"/>
      <c r="E621" s="139"/>
      <c r="F621" s="139"/>
      <c r="G621" s="139"/>
      <c r="H621" s="139"/>
      <c r="I621" s="139"/>
      <c r="J621" s="139"/>
      <c r="K621" s="139"/>
      <c r="L621" s="139"/>
      <c r="M621" s="139"/>
      <c r="N621" s="145"/>
      <c r="O621" s="139"/>
      <c r="P621" s="139"/>
      <c r="Q621" s="231"/>
      <c r="R621" s="139"/>
      <c r="S621" s="235"/>
      <c r="T621" s="235"/>
      <c r="U621" s="145"/>
      <c r="V621" s="145"/>
      <c r="W621" s="111"/>
      <c r="X621" s="233"/>
      <c r="Y621" s="226"/>
      <c r="Z621" s="139"/>
      <c r="AA621" s="139"/>
      <c r="AB621" s="139"/>
      <c r="AC621" s="139"/>
      <c r="AD621" s="139"/>
      <c r="AE621" s="139"/>
      <c r="AF621" s="139"/>
      <c r="AG621" s="139"/>
      <c r="AH621" s="139"/>
      <c r="AI621" s="139"/>
      <c r="AJ621" s="139"/>
      <c r="AK621" s="139"/>
      <c r="AL621" s="139"/>
      <c r="AM621" s="139"/>
      <c r="AN621" s="139"/>
      <c r="AO621" s="139"/>
      <c r="AP621" s="139"/>
      <c r="AQ621" s="139"/>
      <c r="AR621" s="139"/>
      <c r="AS621" s="139"/>
      <c r="AT621" s="139"/>
      <c r="AU621" s="139"/>
      <c r="AV621" s="139"/>
    </row>
    <row r="622">
      <c r="A622" s="139"/>
      <c r="B622" s="234"/>
      <c r="C622" s="139"/>
      <c r="D622" s="139"/>
      <c r="E622" s="139"/>
      <c r="F622" s="139"/>
      <c r="G622" s="139"/>
      <c r="H622" s="139"/>
      <c r="I622" s="139"/>
      <c r="J622" s="139"/>
      <c r="K622" s="139"/>
      <c r="L622" s="139"/>
      <c r="M622" s="139"/>
      <c r="N622" s="145"/>
      <c r="O622" s="139"/>
      <c r="P622" s="139"/>
      <c r="Q622" s="231"/>
      <c r="R622" s="139"/>
      <c r="S622" s="235"/>
      <c r="T622" s="235"/>
      <c r="U622" s="145"/>
      <c r="V622" s="145"/>
      <c r="W622" s="111"/>
      <c r="X622" s="233"/>
      <c r="Y622" s="226"/>
      <c r="Z622" s="139"/>
      <c r="AA622" s="139"/>
      <c r="AB622" s="139"/>
      <c r="AC622" s="139"/>
      <c r="AD622" s="139"/>
      <c r="AE622" s="139"/>
      <c r="AF622" s="139"/>
      <c r="AG622" s="139"/>
      <c r="AH622" s="139"/>
      <c r="AI622" s="139"/>
      <c r="AJ622" s="139"/>
      <c r="AK622" s="139"/>
      <c r="AL622" s="139"/>
      <c r="AM622" s="139"/>
      <c r="AN622" s="139"/>
      <c r="AO622" s="139"/>
      <c r="AP622" s="139"/>
      <c r="AQ622" s="139"/>
      <c r="AR622" s="139"/>
      <c r="AS622" s="139"/>
      <c r="AT622" s="139"/>
      <c r="AU622" s="139"/>
      <c r="AV622" s="139"/>
    </row>
    <row r="623">
      <c r="A623" s="139"/>
      <c r="B623" s="234"/>
      <c r="C623" s="139"/>
      <c r="D623" s="139"/>
      <c r="E623" s="139"/>
      <c r="F623" s="139"/>
      <c r="G623" s="139"/>
      <c r="H623" s="139"/>
      <c r="I623" s="139"/>
      <c r="J623" s="139"/>
      <c r="K623" s="139"/>
      <c r="L623" s="139"/>
      <c r="M623" s="139"/>
      <c r="N623" s="145"/>
      <c r="O623" s="139"/>
      <c r="P623" s="139"/>
      <c r="Q623" s="231"/>
      <c r="R623" s="139"/>
      <c r="S623" s="235"/>
      <c r="T623" s="235"/>
      <c r="U623" s="145"/>
      <c r="V623" s="145"/>
      <c r="W623" s="111"/>
      <c r="X623" s="233"/>
      <c r="Y623" s="226"/>
      <c r="Z623" s="139"/>
      <c r="AA623" s="139"/>
      <c r="AB623" s="139"/>
      <c r="AC623" s="139"/>
      <c r="AD623" s="139"/>
      <c r="AE623" s="139"/>
      <c r="AF623" s="139"/>
      <c r="AG623" s="139"/>
      <c r="AH623" s="139"/>
      <c r="AI623" s="139"/>
      <c r="AJ623" s="139"/>
      <c r="AK623" s="139"/>
      <c r="AL623" s="139"/>
      <c r="AM623" s="139"/>
      <c r="AN623" s="139"/>
      <c r="AO623" s="139"/>
      <c r="AP623" s="139"/>
      <c r="AQ623" s="139"/>
      <c r="AR623" s="139"/>
      <c r="AS623" s="139"/>
      <c r="AT623" s="139"/>
      <c r="AU623" s="139"/>
      <c r="AV623" s="139"/>
    </row>
    <row r="624">
      <c r="A624" s="139"/>
      <c r="B624" s="234"/>
      <c r="C624" s="139"/>
      <c r="D624" s="139"/>
      <c r="E624" s="139"/>
      <c r="F624" s="139"/>
      <c r="G624" s="139"/>
      <c r="H624" s="139"/>
      <c r="I624" s="139"/>
      <c r="J624" s="139"/>
      <c r="K624" s="139"/>
      <c r="L624" s="139"/>
      <c r="M624" s="139"/>
      <c r="N624" s="145"/>
      <c r="O624" s="139"/>
      <c r="P624" s="139"/>
      <c r="Q624" s="231"/>
      <c r="R624" s="139"/>
      <c r="S624" s="235"/>
      <c r="T624" s="235"/>
      <c r="U624" s="145"/>
      <c r="V624" s="145"/>
      <c r="W624" s="111"/>
      <c r="X624" s="233"/>
      <c r="Y624" s="226"/>
      <c r="Z624" s="139"/>
      <c r="AA624" s="139"/>
      <c r="AB624" s="139"/>
      <c r="AC624" s="139"/>
      <c r="AD624" s="139"/>
      <c r="AE624" s="139"/>
      <c r="AF624" s="139"/>
      <c r="AG624" s="139"/>
      <c r="AH624" s="139"/>
      <c r="AI624" s="139"/>
      <c r="AJ624" s="139"/>
      <c r="AK624" s="139"/>
      <c r="AL624" s="139"/>
      <c r="AM624" s="139"/>
      <c r="AN624" s="139"/>
      <c r="AO624" s="139"/>
      <c r="AP624" s="139"/>
      <c r="AQ624" s="139"/>
      <c r="AR624" s="139"/>
      <c r="AS624" s="139"/>
      <c r="AT624" s="139"/>
      <c r="AU624" s="139"/>
      <c r="AV624" s="139"/>
    </row>
    <row r="625">
      <c r="A625" s="139"/>
      <c r="B625" s="234"/>
      <c r="C625" s="139"/>
      <c r="D625" s="139"/>
      <c r="E625" s="139"/>
      <c r="F625" s="139"/>
      <c r="G625" s="139"/>
      <c r="H625" s="139"/>
      <c r="I625" s="139"/>
      <c r="J625" s="139"/>
      <c r="K625" s="139"/>
      <c r="L625" s="139"/>
      <c r="M625" s="139"/>
      <c r="N625" s="145"/>
      <c r="O625" s="139"/>
      <c r="P625" s="139"/>
      <c r="Q625" s="231"/>
      <c r="R625" s="139"/>
      <c r="S625" s="235"/>
      <c r="T625" s="235"/>
      <c r="U625" s="145"/>
      <c r="V625" s="145"/>
      <c r="W625" s="111"/>
      <c r="X625" s="233"/>
      <c r="Y625" s="226"/>
      <c r="Z625" s="139"/>
      <c r="AA625" s="139"/>
      <c r="AB625" s="139"/>
      <c r="AC625" s="139"/>
      <c r="AD625" s="139"/>
      <c r="AE625" s="139"/>
      <c r="AF625" s="139"/>
      <c r="AG625" s="139"/>
      <c r="AH625" s="139"/>
      <c r="AI625" s="139"/>
      <c r="AJ625" s="139"/>
      <c r="AK625" s="139"/>
      <c r="AL625" s="139"/>
      <c r="AM625" s="139"/>
      <c r="AN625" s="139"/>
      <c r="AO625" s="139"/>
      <c r="AP625" s="139"/>
      <c r="AQ625" s="139"/>
      <c r="AR625" s="139"/>
      <c r="AS625" s="139"/>
      <c r="AT625" s="139"/>
      <c r="AU625" s="139"/>
      <c r="AV625" s="139"/>
    </row>
    <row r="626">
      <c r="A626" s="139"/>
      <c r="B626" s="234"/>
      <c r="C626" s="139"/>
      <c r="D626" s="139"/>
      <c r="E626" s="139"/>
      <c r="F626" s="139"/>
      <c r="G626" s="139"/>
      <c r="H626" s="139"/>
      <c r="I626" s="139"/>
      <c r="J626" s="139"/>
      <c r="K626" s="139"/>
      <c r="L626" s="139"/>
      <c r="M626" s="139"/>
      <c r="N626" s="145"/>
      <c r="O626" s="139"/>
      <c r="P626" s="139"/>
      <c r="Q626" s="231"/>
      <c r="R626" s="139"/>
      <c r="S626" s="235"/>
      <c r="T626" s="235"/>
      <c r="U626" s="145"/>
      <c r="V626" s="145"/>
      <c r="W626" s="111"/>
      <c r="X626" s="233"/>
      <c r="Y626" s="226"/>
      <c r="Z626" s="139"/>
      <c r="AA626" s="139"/>
      <c r="AB626" s="139"/>
      <c r="AC626" s="139"/>
      <c r="AD626" s="139"/>
      <c r="AE626" s="139"/>
      <c r="AF626" s="139"/>
      <c r="AG626" s="139"/>
      <c r="AH626" s="139"/>
      <c r="AI626" s="139"/>
      <c r="AJ626" s="139"/>
      <c r="AK626" s="139"/>
      <c r="AL626" s="139"/>
      <c r="AM626" s="139"/>
      <c r="AN626" s="139"/>
      <c r="AO626" s="139"/>
      <c r="AP626" s="139"/>
      <c r="AQ626" s="139"/>
      <c r="AR626" s="139"/>
      <c r="AS626" s="139"/>
      <c r="AT626" s="139"/>
      <c r="AU626" s="139"/>
      <c r="AV626" s="139"/>
    </row>
    <row r="627">
      <c r="A627" s="139"/>
      <c r="B627" s="234"/>
      <c r="C627" s="139"/>
      <c r="D627" s="139"/>
      <c r="E627" s="139"/>
      <c r="F627" s="139"/>
      <c r="G627" s="139"/>
      <c r="H627" s="139"/>
      <c r="I627" s="139"/>
      <c r="J627" s="139"/>
      <c r="K627" s="139"/>
      <c r="L627" s="139"/>
      <c r="M627" s="139"/>
      <c r="N627" s="145"/>
      <c r="O627" s="139"/>
      <c r="P627" s="139"/>
      <c r="Q627" s="231"/>
      <c r="R627" s="139"/>
      <c r="S627" s="235"/>
      <c r="T627" s="235"/>
      <c r="U627" s="145"/>
      <c r="V627" s="145"/>
      <c r="W627" s="111"/>
      <c r="X627" s="233"/>
      <c r="Y627" s="226"/>
      <c r="Z627" s="139"/>
      <c r="AA627" s="139"/>
      <c r="AB627" s="139"/>
      <c r="AC627" s="139"/>
      <c r="AD627" s="139"/>
      <c r="AE627" s="139"/>
      <c r="AF627" s="139"/>
      <c r="AG627" s="139"/>
      <c r="AH627" s="139"/>
      <c r="AI627" s="139"/>
      <c r="AJ627" s="139"/>
      <c r="AK627" s="139"/>
      <c r="AL627" s="139"/>
      <c r="AM627" s="139"/>
      <c r="AN627" s="139"/>
      <c r="AO627" s="139"/>
      <c r="AP627" s="139"/>
      <c r="AQ627" s="139"/>
      <c r="AR627" s="139"/>
      <c r="AS627" s="139"/>
      <c r="AT627" s="139"/>
      <c r="AU627" s="139"/>
      <c r="AV627" s="139"/>
    </row>
    <row r="628">
      <c r="A628" s="139"/>
      <c r="B628" s="234"/>
      <c r="C628" s="139"/>
      <c r="D628" s="139"/>
      <c r="E628" s="139"/>
      <c r="F628" s="139"/>
      <c r="G628" s="139"/>
      <c r="H628" s="139"/>
      <c r="I628" s="139"/>
      <c r="J628" s="139"/>
      <c r="K628" s="139"/>
      <c r="L628" s="139"/>
      <c r="M628" s="139"/>
      <c r="N628" s="145"/>
      <c r="O628" s="139"/>
      <c r="P628" s="139"/>
      <c r="Q628" s="231"/>
      <c r="R628" s="139"/>
      <c r="S628" s="235"/>
      <c r="T628" s="235"/>
      <c r="U628" s="145"/>
      <c r="V628" s="145"/>
      <c r="W628" s="111"/>
      <c r="X628" s="233"/>
      <c r="Y628" s="226"/>
      <c r="Z628" s="139"/>
      <c r="AA628" s="139"/>
      <c r="AB628" s="139"/>
      <c r="AC628" s="139"/>
      <c r="AD628" s="139"/>
      <c r="AE628" s="139"/>
      <c r="AF628" s="139"/>
      <c r="AG628" s="139"/>
      <c r="AH628" s="139"/>
      <c r="AI628" s="139"/>
      <c r="AJ628" s="139"/>
      <c r="AK628" s="139"/>
      <c r="AL628" s="139"/>
      <c r="AM628" s="139"/>
      <c r="AN628" s="139"/>
      <c r="AO628" s="139"/>
      <c r="AP628" s="139"/>
      <c r="AQ628" s="139"/>
      <c r="AR628" s="139"/>
      <c r="AS628" s="139"/>
      <c r="AT628" s="139"/>
      <c r="AU628" s="139"/>
      <c r="AV628" s="139"/>
    </row>
    <row r="629">
      <c r="A629" s="139"/>
      <c r="B629" s="234"/>
      <c r="C629" s="139"/>
      <c r="D629" s="139"/>
      <c r="E629" s="139"/>
      <c r="F629" s="139"/>
      <c r="G629" s="139"/>
      <c r="H629" s="139"/>
      <c r="I629" s="139"/>
      <c r="J629" s="139"/>
      <c r="K629" s="139"/>
      <c r="L629" s="139"/>
      <c r="M629" s="139"/>
      <c r="N629" s="145"/>
      <c r="O629" s="139"/>
      <c r="P629" s="139"/>
      <c r="Q629" s="231"/>
      <c r="R629" s="139"/>
      <c r="S629" s="235"/>
      <c r="T629" s="235"/>
      <c r="U629" s="145"/>
      <c r="V629" s="145"/>
      <c r="W629" s="111"/>
      <c r="X629" s="233"/>
      <c r="Y629" s="226"/>
      <c r="Z629" s="139"/>
      <c r="AA629" s="139"/>
      <c r="AB629" s="139"/>
      <c r="AC629" s="139"/>
      <c r="AD629" s="139"/>
      <c r="AE629" s="139"/>
      <c r="AF629" s="139"/>
      <c r="AG629" s="139"/>
      <c r="AH629" s="139"/>
      <c r="AI629" s="139"/>
      <c r="AJ629" s="139"/>
      <c r="AK629" s="139"/>
      <c r="AL629" s="139"/>
      <c r="AM629" s="139"/>
      <c r="AN629" s="139"/>
      <c r="AO629" s="139"/>
      <c r="AP629" s="139"/>
      <c r="AQ629" s="139"/>
      <c r="AR629" s="139"/>
      <c r="AS629" s="139"/>
      <c r="AT629" s="139"/>
      <c r="AU629" s="139"/>
      <c r="AV629" s="139"/>
    </row>
    <row r="630">
      <c r="A630" s="139"/>
      <c r="B630" s="234"/>
      <c r="C630" s="139"/>
      <c r="D630" s="139"/>
      <c r="E630" s="139"/>
      <c r="F630" s="139"/>
      <c r="G630" s="139"/>
      <c r="H630" s="139"/>
      <c r="I630" s="139"/>
      <c r="J630" s="139"/>
      <c r="K630" s="139"/>
      <c r="L630" s="139"/>
      <c r="M630" s="139"/>
      <c r="N630" s="145"/>
      <c r="O630" s="139"/>
      <c r="P630" s="139"/>
      <c r="Q630" s="231"/>
      <c r="R630" s="139"/>
      <c r="S630" s="235"/>
      <c r="T630" s="235"/>
      <c r="U630" s="145"/>
      <c r="V630" s="145"/>
      <c r="W630" s="111"/>
      <c r="X630" s="233"/>
      <c r="Y630" s="226"/>
      <c r="Z630" s="139"/>
      <c r="AA630" s="139"/>
      <c r="AB630" s="139"/>
      <c r="AC630" s="139"/>
      <c r="AD630" s="139"/>
      <c r="AE630" s="139"/>
      <c r="AF630" s="139"/>
      <c r="AG630" s="139"/>
      <c r="AH630" s="139"/>
      <c r="AI630" s="139"/>
      <c r="AJ630" s="139"/>
      <c r="AK630" s="139"/>
      <c r="AL630" s="139"/>
      <c r="AM630" s="139"/>
      <c r="AN630" s="139"/>
      <c r="AO630" s="139"/>
      <c r="AP630" s="139"/>
      <c r="AQ630" s="139"/>
      <c r="AR630" s="139"/>
      <c r="AS630" s="139"/>
      <c r="AT630" s="139"/>
      <c r="AU630" s="139"/>
      <c r="AV630" s="139"/>
    </row>
    <row r="631">
      <c r="A631" s="139"/>
      <c r="B631" s="234"/>
      <c r="C631" s="139"/>
      <c r="D631" s="139"/>
      <c r="E631" s="139"/>
      <c r="F631" s="139"/>
      <c r="G631" s="139"/>
      <c r="H631" s="139"/>
      <c r="I631" s="139"/>
      <c r="J631" s="139"/>
      <c r="K631" s="139"/>
      <c r="L631" s="139"/>
      <c r="M631" s="139"/>
      <c r="N631" s="145"/>
      <c r="O631" s="139"/>
      <c r="P631" s="139"/>
      <c r="Q631" s="231"/>
      <c r="R631" s="139"/>
      <c r="S631" s="235"/>
      <c r="T631" s="235"/>
      <c r="U631" s="145"/>
      <c r="V631" s="145"/>
      <c r="W631" s="111"/>
      <c r="X631" s="233"/>
      <c r="Y631" s="226"/>
      <c r="Z631" s="139"/>
      <c r="AA631" s="139"/>
      <c r="AB631" s="139"/>
      <c r="AC631" s="139"/>
      <c r="AD631" s="139"/>
      <c r="AE631" s="139"/>
      <c r="AF631" s="139"/>
      <c r="AG631" s="139"/>
      <c r="AH631" s="139"/>
      <c r="AI631" s="139"/>
      <c r="AJ631" s="139"/>
      <c r="AK631" s="139"/>
      <c r="AL631" s="139"/>
      <c r="AM631" s="139"/>
      <c r="AN631" s="139"/>
      <c r="AO631" s="139"/>
      <c r="AP631" s="139"/>
      <c r="AQ631" s="139"/>
      <c r="AR631" s="139"/>
      <c r="AS631" s="139"/>
      <c r="AT631" s="139"/>
      <c r="AU631" s="139"/>
      <c r="AV631" s="139"/>
    </row>
    <row r="632">
      <c r="A632" s="139"/>
      <c r="B632" s="234"/>
      <c r="C632" s="139"/>
      <c r="D632" s="139"/>
      <c r="E632" s="139"/>
      <c r="F632" s="139"/>
      <c r="G632" s="139"/>
      <c r="H632" s="139"/>
      <c r="I632" s="139"/>
      <c r="J632" s="139"/>
      <c r="K632" s="139"/>
      <c r="L632" s="139"/>
      <c r="M632" s="139"/>
      <c r="N632" s="145"/>
      <c r="O632" s="139"/>
      <c r="P632" s="139"/>
      <c r="Q632" s="231"/>
      <c r="R632" s="139"/>
      <c r="S632" s="235"/>
      <c r="T632" s="235"/>
      <c r="U632" s="145"/>
      <c r="V632" s="145"/>
      <c r="W632" s="111"/>
      <c r="X632" s="233"/>
      <c r="Y632" s="226"/>
      <c r="Z632" s="139"/>
      <c r="AA632" s="139"/>
      <c r="AB632" s="139"/>
      <c r="AC632" s="139"/>
      <c r="AD632" s="139"/>
      <c r="AE632" s="139"/>
      <c r="AF632" s="139"/>
      <c r="AG632" s="139"/>
      <c r="AH632" s="139"/>
      <c r="AI632" s="139"/>
      <c r="AJ632" s="139"/>
      <c r="AK632" s="139"/>
      <c r="AL632" s="139"/>
      <c r="AM632" s="139"/>
      <c r="AN632" s="139"/>
      <c r="AO632" s="139"/>
      <c r="AP632" s="139"/>
      <c r="AQ632" s="139"/>
      <c r="AR632" s="139"/>
      <c r="AS632" s="139"/>
      <c r="AT632" s="139"/>
      <c r="AU632" s="139"/>
      <c r="AV632" s="139"/>
    </row>
    <row r="633">
      <c r="A633" s="139"/>
      <c r="B633" s="234"/>
      <c r="C633" s="139"/>
      <c r="D633" s="139"/>
      <c r="E633" s="139"/>
      <c r="F633" s="139"/>
      <c r="G633" s="139"/>
      <c r="H633" s="139"/>
      <c r="I633" s="139"/>
      <c r="J633" s="139"/>
      <c r="K633" s="139"/>
      <c r="L633" s="139"/>
      <c r="M633" s="139"/>
      <c r="N633" s="145"/>
      <c r="O633" s="139"/>
      <c r="P633" s="139"/>
      <c r="Q633" s="231"/>
      <c r="R633" s="139"/>
      <c r="S633" s="235"/>
      <c r="T633" s="235"/>
      <c r="U633" s="145"/>
      <c r="V633" s="145"/>
      <c r="W633" s="111"/>
      <c r="X633" s="233"/>
      <c r="Y633" s="226"/>
      <c r="Z633" s="139"/>
      <c r="AA633" s="139"/>
      <c r="AB633" s="139"/>
      <c r="AC633" s="139"/>
      <c r="AD633" s="139"/>
      <c r="AE633" s="139"/>
      <c r="AF633" s="139"/>
      <c r="AG633" s="139"/>
      <c r="AH633" s="139"/>
      <c r="AI633" s="139"/>
      <c r="AJ633" s="139"/>
      <c r="AK633" s="139"/>
      <c r="AL633" s="139"/>
      <c r="AM633" s="139"/>
      <c r="AN633" s="139"/>
      <c r="AO633" s="139"/>
      <c r="AP633" s="139"/>
      <c r="AQ633" s="139"/>
      <c r="AR633" s="139"/>
      <c r="AS633" s="139"/>
      <c r="AT633" s="139"/>
      <c r="AU633" s="139"/>
      <c r="AV633" s="139"/>
    </row>
    <row r="634">
      <c r="A634" s="139"/>
      <c r="B634" s="234"/>
      <c r="C634" s="139"/>
      <c r="D634" s="139"/>
      <c r="E634" s="139"/>
      <c r="F634" s="139"/>
      <c r="G634" s="139"/>
      <c r="H634" s="139"/>
      <c r="I634" s="139"/>
      <c r="J634" s="139"/>
      <c r="K634" s="139"/>
      <c r="L634" s="139"/>
      <c r="M634" s="139"/>
      <c r="N634" s="145"/>
      <c r="O634" s="139"/>
      <c r="P634" s="139"/>
      <c r="Q634" s="231"/>
      <c r="R634" s="139"/>
      <c r="S634" s="235"/>
      <c r="T634" s="235"/>
      <c r="U634" s="145"/>
      <c r="V634" s="145"/>
      <c r="W634" s="111"/>
      <c r="X634" s="233"/>
      <c r="Y634" s="226"/>
      <c r="Z634" s="139"/>
      <c r="AA634" s="139"/>
      <c r="AB634" s="139"/>
      <c r="AC634" s="139"/>
      <c r="AD634" s="139"/>
      <c r="AE634" s="139"/>
      <c r="AF634" s="139"/>
      <c r="AG634" s="139"/>
      <c r="AH634" s="139"/>
      <c r="AI634" s="139"/>
      <c r="AJ634" s="139"/>
      <c r="AK634" s="139"/>
      <c r="AL634" s="139"/>
      <c r="AM634" s="139"/>
      <c r="AN634" s="139"/>
      <c r="AO634" s="139"/>
      <c r="AP634" s="139"/>
      <c r="AQ634" s="139"/>
      <c r="AR634" s="139"/>
      <c r="AS634" s="139"/>
      <c r="AT634" s="139"/>
      <c r="AU634" s="139"/>
      <c r="AV634" s="139"/>
    </row>
    <row r="635">
      <c r="A635" s="139"/>
      <c r="B635" s="234"/>
      <c r="C635" s="139"/>
      <c r="D635" s="139"/>
      <c r="E635" s="139"/>
      <c r="F635" s="139"/>
      <c r="G635" s="139"/>
      <c r="H635" s="139"/>
      <c r="I635" s="139"/>
      <c r="J635" s="139"/>
      <c r="K635" s="139"/>
      <c r="L635" s="139"/>
      <c r="M635" s="139"/>
      <c r="N635" s="145"/>
      <c r="O635" s="139"/>
      <c r="P635" s="139"/>
      <c r="Q635" s="231"/>
      <c r="R635" s="139"/>
      <c r="S635" s="235"/>
      <c r="T635" s="235"/>
      <c r="U635" s="145"/>
      <c r="V635" s="145"/>
      <c r="W635" s="111"/>
      <c r="X635" s="233"/>
      <c r="Y635" s="226"/>
      <c r="Z635" s="139"/>
      <c r="AA635" s="139"/>
      <c r="AB635" s="139"/>
      <c r="AC635" s="139"/>
      <c r="AD635" s="139"/>
      <c r="AE635" s="139"/>
      <c r="AF635" s="139"/>
      <c r="AG635" s="139"/>
      <c r="AH635" s="139"/>
      <c r="AI635" s="139"/>
      <c r="AJ635" s="139"/>
      <c r="AK635" s="139"/>
      <c r="AL635" s="139"/>
      <c r="AM635" s="139"/>
      <c r="AN635" s="139"/>
      <c r="AO635" s="139"/>
      <c r="AP635" s="139"/>
      <c r="AQ635" s="139"/>
      <c r="AR635" s="139"/>
      <c r="AS635" s="139"/>
      <c r="AT635" s="139"/>
      <c r="AU635" s="139"/>
      <c r="AV635" s="139"/>
    </row>
    <row r="636">
      <c r="A636" s="139"/>
      <c r="B636" s="234"/>
      <c r="C636" s="139"/>
      <c r="D636" s="139"/>
      <c r="E636" s="139"/>
      <c r="F636" s="139"/>
      <c r="G636" s="139"/>
      <c r="H636" s="139"/>
      <c r="I636" s="139"/>
      <c r="J636" s="139"/>
      <c r="K636" s="139"/>
      <c r="L636" s="139"/>
      <c r="M636" s="139"/>
      <c r="N636" s="145"/>
      <c r="O636" s="139"/>
      <c r="P636" s="139"/>
      <c r="Q636" s="231"/>
      <c r="R636" s="139"/>
      <c r="S636" s="235"/>
      <c r="T636" s="235"/>
      <c r="U636" s="145"/>
      <c r="V636" s="145"/>
      <c r="W636" s="111"/>
      <c r="X636" s="233"/>
      <c r="Y636" s="226"/>
      <c r="Z636" s="139"/>
      <c r="AA636" s="139"/>
      <c r="AB636" s="139"/>
      <c r="AC636" s="139"/>
      <c r="AD636" s="139"/>
      <c r="AE636" s="139"/>
      <c r="AF636" s="139"/>
      <c r="AG636" s="139"/>
      <c r="AH636" s="139"/>
      <c r="AI636" s="139"/>
      <c r="AJ636" s="139"/>
      <c r="AK636" s="139"/>
      <c r="AL636" s="139"/>
      <c r="AM636" s="139"/>
      <c r="AN636" s="139"/>
      <c r="AO636" s="139"/>
      <c r="AP636" s="139"/>
      <c r="AQ636" s="139"/>
      <c r="AR636" s="139"/>
      <c r="AS636" s="139"/>
      <c r="AT636" s="139"/>
      <c r="AU636" s="139"/>
      <c r="AV636" s="139"/>
    </row>
    <row r="637">
      <c r="A637" s="139"/>
      <c r="B637" s="234"/>
      <c r="C637" s="139"/>
      <c r="D637" s="139"/>
      <c r="E637" s="139"/>
      <c r="F637" s="139"/>
      <c r="G637" s="139"/>
      <c r="H637" s="139"/>
      <c r="I637" s="139"/>
      <c r="J637" s="139"/>
      <c r="K637" s="139"/>
      <c r="L637" s="139"/>
      <c r="M637" s="139"/>
      <c r="N637" s="145"/>
      <c r="O637" s="139"/>
      <c r="P637" s="139"/>
      <c r="Q637" s="231"/>
      <c r="R637" s="139"/>
      <c r="S637" s="235"/>
      <c r="T637" s="235"/>
      <c r="U637" s="145"/>
      <c r="V637" s="145"/>
      <c r="W637" s="111"/>
      <c r="X637" s="233"/>
      <c r="Y637" s="226"/>
      <c r="Z637" s="139"/>
      <c r="AA637" s="139"/>
      <c r="AB637" s="139"/>
      <c r="AC637" s="139"/>
      <c r="AD637" s="139"/>
      <c r="AE637" s="139"/>
      <c r="AF637" s="139"/>
      <c r="AG637" s="139"/>
      <c r="AH637" s="139"/>
      <c r="AI637" s="139"/>
      <c r="AJ637" s="139"/>
      <c r="AK637" s="139"/>
      <c r="AL637" s="139"/>
      <c r="AM637" s="139"/>
      <c r="AN637" s="139"/>
      <c r="AO637" s="139"/>
      <c r="AP637" s="139"/>
      <c r="AQ637" s="139"/>
      <c r="AR637" s="139"/>
      <c r="AS637" s="139"/>
      <c r="AT637" s="139"/>
      <c r="AU637" s="139"/>
      <c r="AV637" s="139"/>
    </row>
    <row r="638">
      <c r="A638" s="139"/>
      <c r="B638" s="234"/>
      <c r="C638" s="139"/>
      <c r="D638" s="139"/>
      <c r="E638" s="139"/>
      <c r="F638" s="139"/>
      <c r="G638" s="139"/>
      <c r="H638" s="139"/>
      <c r="I638" s="139"/>
      <c r="J638" s="139"/>
      <c r="K638" s="139"/>
      <c r="L638" s="139"/>
      <c r="M638" s="139"/>
      <c r="N638" s="145"/>
      <c r="O638" s="139"/>
      <c r="P638" s="139"/>
      <c r="Q638" s="231"/>
      <c r="R638" s="139"/>
      <c r="S638" s="235"/>
      <c r="T638" s="235"/>
      <c r="U638" s="145"/>
      <c r="V638" s="145"/>
      <c r="W638" s="111"/>
      <c r="X638" s="233"/>
      <c r="Y638" s="226"/>
      <c r="Z638" s="139"/>
      <c r="AA638" s="139"/>
      <c r="AB638" s="139"/>
      <c r="AC638" s="139"/>
      <c r="AD638" s="139"/>
      <c r="AE638" s="139"/>
      <c r="AF638" s="139"/>
      <c r="AG638" s="139"/>
      <c r="AH638" s="139"/>
      <c r="AI638" s="139"/>
      <c r="AJ638" s="139"/>
      <c r="AK638" s="139"/>
      <c r="AL638" s="139"/>
      <c r="AM638" s="139"/>
      <c r="AN638" s="139"/>
      <c r="AO638" s="139"/>
      <c r="AP638" s="139"/>
      <c r="AQ638" s="139"/>
      <c r="AR638" s="139"/>
      <c r="AS638" s="139"/>
      <c r="AT638" s="139"/>
      <c r="AU638" s="139"/>
      <c r="AV638" s="139"/>
    </row>
    <row r="639">
      <c r="A639" s="139"/>
      <c r="B639" s="234"/>
      <c r="C639" s="139"/>
      <c r="D639" s="139"/>
      <c r="E639" s="139"/>
      <c r="F639" s="139"/>
      <c r="G639" s="139"/>
      <c r="H639" s="139"/>
      <c r="I639" s="139"/>
      <c r="J639" s="139"/>
      <c r="K639" s="139"/>
      <c r="L639" s="139"/>
      <c r="M639" s="139"/>
      <c r="N639" s="145"/>
      <c r="O639" s="139"/>
      <c r="P639" s="139"/>
      <c r="Q639" s="231"/>
      <c r="R639" s="139"/>
      <c r="S639" s="235"/>
      <c r="T639" s="235"/>
      <c r="U639" s="145"/>
      <c r="V639" s="145"/>
      <c r="W639" s="111"/>
      <c r="X639" s="233"/>
      <c r="Y639" s="226"/>
      <c r="Z639" s="139"/>
      <c r="AA639" s="139"/>
      <c r="AB639" s="139"/>
      <c r="AC639" s="139"/>
      <c r="AD639" s="139"/>
      <c r="AE639" s="139"/>
      <c r="AF639" s="139"/>
      <c r="AG639" s="139"/>
      <c r="AH639" s="139"/>
      <c r="AI639" s="139"/>
      <c r="AJ639" s="139"/>
      <c r="AK639" s="139"/>
      <c r="AL639" s="139"/>
      <c r="AM639" s="139"/>
      <c r="AN639" s="139"/>
      <c r="AO639" s="139"/>
      <c r="AP639" s="139"/>
      <c r="AQ639" s="139"/>
      <c r="AR639" s="139"/>
      <c r="AS639" s="139"/>
      <c r="AT639" s="139"/>
      <c r="AU639" s="139"/>
      <c r="AV639" s="139"/>
    </row>
    <row r="640">
      <c r="A640" s="139"/>
      <c r="B640" s="234"/>
      <c r="C640" s="139"/>
      <c r="D640" s="139"/>
      <c r="E640" s="139"/>
      <c r="F640" s="139"/>
      <c r="G640" s="139"/>
      <c r="H640" s="139"/>
      <c r="I640" s="139"/>
      <c r="J640" s="139"/>
      <c r="K640" s="139"/>
      <c r="L640" s="139"/>
      <c r="M640" s="139"/>
      <c r="N640" s="145"/>
      <c r="O640" s="139"/>
      <c r="P640" s="139"/>
      <c r="Q640" s="231"/>
      <c r="R640" s="139"/>
      <c r="S640" s="235"/>
      <c r="T640" s="235"/>
      <c r="U640" s="145"/>
      <c r="V640" s="145"/>
      <c r="W640" s="111"/>
      <c r="X640" s="233"/>
      <c r="Y640" s="226"/>
      <c r="Z640" s="139"/>
      <c r="AA640" s="139"/>
      <c r="AB640" s="139"/>
      <c r="AC640" s="139"/>
      <c r="AD640" s="139"/>
      <c r="AE640" s="139"/>
      <c r="AF640" s="139"/>
      <c r="AG640" s="139"/>
      <c r="AH640" s="139"/>
      <c r="AI640" s="139"/>
      <c r="AJ640" s="139"/>
      <c r="AK640" s="139"/>
      <c r="AL640" s="139"/>
      <c r="AM640" s="139"/>
      <c r="AN640" s="139"/>
      <c r="AO640" s="139"/>
      <c r="AP640" s="139"/>
      <c r="AQ640" s="139"/>
      <c r="AR640" s="139"/>
      <c r="AS640" s="139"/>
      <c r="AT640" s="139"/>
      <c r="AU640" s="139"/>
      <c r="AV640" s="139"/>
    </row>
    <row r="641">
      <c r="A641" s="139"/>
      <c r="B641" s="234"/>
      <c r="C641" s="139"/>
      <c r="D641" s="139"/>
      <c r="E641" s="139"/>
      <c r="F641" s="139"/>
      <c r="G641" s="139"/>
      <c r="H641" s="139"/>
      <c r="I641" s="139"/>
      <c r="J641" s="139"/>
      <c r="K641" s="139"/>
      <c r="L641" s="139"/>
      <c r="M641" s="139"/>
      <c r="N641" s="145"/>
      <c r="O641" s="139"/>
      <c r="P641" s="139"/>
      <c r="Q641" s="231"/>
      <c r="R641" s="139"/>
      <c r="S641" s="235"/>
      <c r="T641" s="235"/>
      <c r="U641" s="145"/>
      <c r="V641" s="145"/>
      <c r="W641" s="111"/>
      <c r="X641" s="233"/>
      <c r="Y641" s="226"/>
      <c r="Z641" s="139"/>
      <c r="AA641" s="139"/>
      <c r="AB641" s="139"/>
      <c r="AC641" s="139"/>
      <c r="AD641" s="139"/>
      <c r="AE641" s="139"/>
      <c r="AF641" s="139"/>
      <c r="AG641" s="139"/>
      <c r="AH641" s="139"/>
      <c r="AI641" s="139"/>
      <c r="AJ641" s="139"/>
      <c r="AK641" s="139"/>
      <c r="AL641" s="139"/>
      <c r="AM641" s="139"/>
      <c r="AN641" s="139"/>
      <c r="AO641" s="139"/>
      <c r="AP641" s="139"/>
      <c r="AQ641" s="139"/>
      <c r="AR641" s="139"/>
      <c r="AS641" s="139"/>
      <c r="AT641" s="139"/>
      <c r="AU641" s="139"/>
      <c r="AV641" s="139"/>
    </row>
    <row r="642">
      <c r="A642" s="139"/>
      <c r="B642" s="234"/>
      <c r="C642" s="139"/>
      <c r="D642" s="139"/>
      <c r="E642" s="139"/>
      <c r="F642" s="139"/>
      <c r="G642" s="139"/>
      <c r="H642" s="139"/>
      <c r="I642" s="139"/>
      <c r="J642" s="139"/>
      <c r="K642" s="139"/>
      <c r="L642" s="139"/>
      <c r="M642" s="139"/>
      <c r="N642" s="145"/>
      <c r="O642" s="139"/>
      <c r="P642" s="139"/>
      <c r="Q642" s="231"/>
      <c r="R642" s="139"/>
      <c r="S642" s="235"/>
      <c r="T642" s="235"/>
      <c r="U642" s="145"/>
      <c r="V642" s="145"/>
      <c r="W642" s="111"/>
      <c r="X642" s="233"/>
      <c r="Y642" s="226"/>
      <c r="Z642" s="139"/>
      <c r="AA642" s="139"/>
      <c r="AB642" s="139"/>
      <c r="AC642" s="139"/>
      <c r="AD642" s="139"/>
      <c r="AE642" s="139"/>
      <c r="AF642" s="139"/>
      <c r="AG642" s="139"/>
      <c r="AH642" s="139"/>
      <c r="AI642" s="139"/>
      <c r="AJ642" s="139"/>
      <c r="AK642" s="139"/>
      <c r="AL642" s="139"/>
      <c r="AM642" s="139"/>
      <c r="AN642" s="139"/>
      <c r="AO642" s="139"/>
      <c r="AP642" s="139"/>
      <c r="AQ642" s="139"/>
      <c r="AR642" s="139"/>
      <c r="AS642" s="139"/>
      <c r="AT642" s="139"/>
      <c r="AU642" s="139"/>
      <c r="AV642" s="139"/>
    </row>
    <row r="643">
      <c r="A643" s="139"/>
      <c r="B643" s="234"/>
      <c r="C643" s="139"/>
      <c r="D643" s="139"/>
      <c r="E643" s="139"/>
      <c r="F643" s="139"/>
      <c r="G643" s="139"/>
      <c r="H643" s="139"/>
      <c r="I643" s="139"/>
      <c r="J643" s="139"/>
      <c r="K643" s="139"/>
      <c r="L643" s="139"/>
      <c r="M643" s="139"/>
      <c r="N643" s="145"/>
      <c r="O643" s="139"/>
      <c r="P643" s="139"/>
      <c r="Q643" s="231"/>
      <c r="R643" s="139"/>
      <c r="S643" s="235"/>
      <c r="T643" s="235"/>
      <c r="U643" s="145"/>
      <c r="V643" s="145"/>
      <c r="W643" s="111"/>
      <c r="X643" s="233"/>
      <c r="Y643" s="226"/>
      <c r="Z643" s="139"/>
      <c r="AA643" s="139"/>
      <c r="AB643" s="139"/>
      <c r="AC643" s="139"/>
      <c r="AD643" s="139"/>
      <c r="AE643" s="139"/>
      <c r="AF643" s="139"/>
      <c r="AG643" s="139"/>
      <c r="AH643" s="139"/>
      <c r="AI643" s="139"/>
      <c r="AJ643" s="139"/>
      <c r="AK643" s="139"/>
      <c r="AL643" s="139"/>
      <c r="AM643" s="139"/>
      <c r="AN643" s="139"/>
      <c r="AO643" s="139"/>
      <c r="AP643" s="139"/>
      <c r="AQ643" s="139"/>
      <c r="AR643" s="139"/>
      <c r="AS643" s="139"/>
      <c r="AT643" s="139"/>
      <c r="AU643" s="139"/>
      <c r="AV643" s="139"/>
    </row>
    <row r="644">
      <c r="A644" s="139"/>
      <c r="B644" s="234"/>
      <c r="C644" s="139"/>
      <c r="D644" s="139"/>
      <c r="E644" s="139"/>
      <c r="F644" s="139"/>
      <c r="G644" s="139"/>
      <c r="H644" s="139"/>
      <c r="I644" s="139"/>
      <c r="J644" s="139"/>
      <c r="K644" s="139"/>
      <c r="L644" s="139"/>
      <c r="M644" s="139"/>
      <c r="N644" s="145"/>
      <c r="O644" s="139"/>
      <c r="P644" s="139"/>
      <c r="Q644" s="231"/>
      <c r="R644" s="139"/>
      <c r="S644" s="235"/>
      <c r="T644" s="235"/>
      <c r="U644" s="145"/>
      <c r="V644" s="145"/>
      <c r="W644" s="111"/>
      <c r="X644" s="233"/>
      <c r="Y644" s="226"/>
      <c r="Z644" s="139"/>
      <c r="AA644" s="139"/>
      <c r="AB644" s="139"/>
      <c r="AC644" s="139"/>
      <c r="AD644" s="139"/>
      <c r="AE644" s="139"/>
      <c r="AF644" s="139"/>
      <c r="AG644" s="139"/>
      <c r="AH644" s="139"/>
      <c r="AI644" s="139"/>
      <c r="AJ644" s="139"/>
      <c r="AK644" s="139"/>
      <c r="AL644" s="139"/>
      <c r="AM644" s="139"/>
      <c r="AN644" s="139"/>
      <c r="AO644" s="139"/>
      <c r="AP644" s="139"/>
      <c r="AQ644" s="139"/>
      <c r="AR644" s="139"/>
      <c r="AS644" s="139"/>
      <c r="AT644" s="139"/>
      <c r="AU644" s="139"/>
      <c r="AV644" s="139"/>
    </row>
    <row r="645">
      <c r="A645" s="139"/>
      <c r="B645" s="234"/>
      <c r="C645" s="139"/>
      <c r="D645" s="139"/>
      <c r="E645" s="139"/>
      <c r="F645" s="139"/>
      <c r="G645" s="139"/>
      <c r="H645" s="139"/>
      <c r="I645" s="139"/>
      <c r="J645" s="139"/>
      <c r="K645" s="139"/>
      <c r="L645" s="139"/>
      <c r="M645" s="139"/>
      <c r="N645" s="145"/>
      <c r="O645" s="139"/>
      <c r="P645" s="139"/>
      <c r="Q645" s="231"/>
      <c r="R645" s="139"/>
      <c r="S645" s="235"/>
      <c r="T645" s="235"/>
      <c r="U645" s="145"/>
      <c r="V645" s="145"/>
      <c r="W645" s="111"/>
      <c r="X645" s="233"/>
      <c r="Y645" s="226"/>
      <c r="Z645" s="139"/>
      <c r="AA645" s="139"/>
      <c r="AB645" s="139"/>
      <c r="AC645" s="139"/>
      <c r="AD645" s="139"/>
      <c r="AE645" s="139"/>
      <c r="AF645" s="139"/>
      <c r="AG645" s="139"/>
      <c r="AH645" s="139"/>
      <c r="AI645" s="139"/>
      <c r="AJ645" s="139"/>
      <c r="AK645" s="139"/>
      <c r="AL645" s="139"/>
      <c r="AM645" s="139"/>
      <c r="AN645" s="139"/>
      <c r="AO645" s="139"/>
      <c r="AP645" s="139"/>
      <c r="AQ645" s="139"/>
      <c r="AR645" s="139"/>
      <c r="AS645" s="139"/>
      <c r="AT645" s="139"/>
      <c r="AU645" s="139"/>
      <c r="AV645" s="139"/>
    </row>
    <row r="646">
      <c r="A646" s="139"/>
      <c r="B646" s="234"/>
      <c r="C646" s="139"/>
      <c r="D646" s="139"/>
      <c r="E646" s="139"/>
      <c r="F646" s="139"/>
      <c r="G646" s="139"/>
      <c r="H646" s="139"/>
      <c r="I646" s="139"/>
      <c r="J646" s="139"/>
      <c r="K646" s="139"/>
      <c r="L646" s="139"/>
      <c r="M646" s="139"/>
      <c r="N646" s="145"/>
      <c r="O646" s="139"/>
      <c r="P646" s="139"/>
      <c r="Q646" s="231"/>
      <c r="R646" s="139"/>
      <c r="S646" s="235"/>
      <c r="T646" s="235"/>
      <c r="U646" s="145"/>
      <c r="V646" s="145"/>
      <c r="W646" s="111"/>
      <c r="X646" s="233"/>
      <c r="Y646" s="226"/>
      <c r="Z646" s="139"/>
      <c r="AA646" s="139"/>
      <c r="AB646" s="139"/>
      <c r="AC646" s="139"/>
      <c r="AD646" s="139"/>
      <c r="AE646" s="139"/>
      <c r="AF646" s="139"/>
      <c r="AG646" s="139"/>
      <c r="AH646" s="139"/>
      <c r="AI646" s="139"/>
      <c r="AJ646" s="139"/>
      <c r="AK646" s="139"/>
      <c r="AL646" s="139"/>
      <c r="AM646" s="139"/>
      <c r="AN646" s="139"/>
      <c r="AO646" s="139"/>
      <c r="AP646" s="139"/>
      <c r="AQ646" s="139"/>
      <c r="AR646" s="139"/>
      <c r="AS646" s="139"/>
      <c r="AT646" s="139"/>
      <c r="AU646" s="139"/>
      <c r="AV646" s="139"/>
    </row>
    <row r="647">
      <c r="A647" s="139"/>
      <c r="B647" s="234"/>
      <c r="C647" s="139"/>
      <c r="D647" s="139"/>
      <c r="E647" s="139"/>
      <c r="F647" s="139"/>
      <c r="G647" s="139"/>
      <c r="H647" s="139"/>
      <c r="I647" s="139"/>
      <c r="J647" s="139"/>
      <c r="K647" s="139"/>
      <c r="L647" s="139"/>
      <c r="M647" s="139"/>
      <c r="N647" s="145"/>
      <c r="O647" s="139"/>
      <c r="P647" s="139"/>
      <c r="Q647" s="231"/>
      <c r="R647" s="139"/>
      <c r="S647" s="235"/>
      <c r="T647" s="235"/>
      <c r="U647" s="145"/>
      <c r="V647" s="145"/>
      <c r="W647" s="111"/>
      <c r="X647" s="233"/>
      <c r="Y647" s="226"/>
      <c r="Z647" s="139"/>
      <c r="AA647" s="139"/>
      <c r="AB647" s="139"/>
      <c r="AC647" s="139"/>
      <c r="AD647" s="139"/>
      <c r="AE647" s="139"/>
      <c r="AF647" s="139"/>
      <c r="AG647" s="139"/>
      <c r="AH647" s="139"/>
      <c r="AI647" s="139"/>
      <c r="AJ647" s="139"/>
      <c r="AK647" s="139"/>
      <c r="AL647" s="139"/>
      <c r="AM647" s="139"/>
      <c r="AN647" s="139"/>
      <c r="AO647" s="139"/>
      <c r="AP647" s="139"/>
      <c r="AQ647" s="139"/>
      <c r="AR647" s="139"/>
      <c r="AS647" s="139"/>
      <c r="AT647" s="139"/>
      <c r="AU647" s="139"/>
      <c r="AV647" s="139"/>
    </row>
    <row r="648">
      <c r="A648" s="139"/>
      <c r="B648" s="234"/>
      <c r="C648" s="139"/>
      <c r="D648" s="139"/>
      <c r="E648" s="139"/>
      <c r="F648" s="139"/>
      <c r="G648" s="139"/>
      <c r="H648" s="139"/>
      <c r="I648" s="139"/>
      <c r="J648" s="139"/>
      <c r="K648" s="139"/>
      <c r="L648" s="139"/>
      <c r="M648" s="139"/>
      <c r="N648" s="145"/>
      <c r="O648" s="139"/>
      <c r="P648" s="139"/>
      <c r="Q648" s="231"/>
      <c r="R648" s="139"/>
      <c r="S648" s="235"/>
      <c r="T648" s="235"/>
      <c r="U648" s="145"/>
      <c r="V648" s="145"/>
      <c r="W648" s="111"/>
      <c r="X648" s="233"/>
      <c r="Y648" s="226"/>
      <c r="Z648" s="139"/>
      <c r="AA648" s="139"/>
      <c r="AB648" s="139"/>
      <c r="AC648" s="139"/>
      <c r="AD648" s="139"/>
      <c r="AE648" s="139"/>
      <c r="AF648" s="139"/>
      <c r="AG648" s="139"/>
      <c r="AH648" s="139"/>
      <c r="AI648" s="139"/>
      <c r="AJ648" s="139"/>
      <c r="AK648" s="139"/>
      <c r="AL648" s="139"/>
      <c r="AM648" s="139"/>
      <c r="AN648" s="139"/>
      <c r="AO648" s="139"/>
      <c r="AP648" s="139"/>
      <c r="AQ648" s="139"/>
      <c r="AR648" s="139"/>
      <c r="AS648" s="139"/>
      <c r="AT648" s="139"/>
      <c r="AU648" s="139"/>
      <c r="AV648" s="139"/>
    </row>
    <row r="649">
      <c r="A649" s="139"/>
      <c r="B649" s="234"/>
      <c r="C649" s="139"/>
      <c r="D649" s="139"/>
      <c r="E649" s="139"/>
      <c r="F649" s="139"/>
      <c r="G649" s="139"/>
      <c r="H649" s="139"/>
      <c r="I649" s="139"/>
      <c r="J649" s="139"/>
      <c r="K649" s="139"/>
      <c r="L649" s="139"/>
      <c r="M649" s="139"/>
      <c r="N649" s="145"/>
      <c r="O649" s="139"/>
      <c r="P649" s="139"/>
      <c r="Q649" s="231"/>
      <c r="R649" s="139"/>
      <c r="S649" s="235"/>
      <c r="T649" s="235"/>
      <c r="U649" s="145"/>
      <c r="V649" s="145"/>
      <c r="W649" s="111"/>
      <c r="X649" s="233"/>
      <c r="Y649" s="226"/>
      <c r="Z649" s="139"/>
      <c r="AA649" s="139"/>
      <c r="AB649" s="139"/>
      <c r="AC649" s="139"/>
      <c r="AD649" s="139"/>
      <c r="AE649" s="139"/>
      <c r="AF649" s="139"/>
      <c r="AG649" s="139"/>
      <c r="AH649" s="139"/>
      <c r="AI649" s="139"/>
      <c r="AJ649" s="139"/>
      <c r="AK649" s="139"/>
      <c r="AL649" s="139"/>
      <c r="AM649" s="139"/>
      <c r="AN649" s="139"/>
      <c r="AO649" s="139"/>
      <c r="AP649" s="139"/>
      <c r="AQ649" s="139"/>
      <c r="AR649" s="139"/>
      <c r="AS649" s="139"/>
      <c r="AT649" s="139"/>
      <c r="AU649" s="139"/>
      <c r="AV649" s="139"/>
    </row>
    <row r="650">
      <c r="A650" s="139"/>
      <c r="B650" s="234"/>
      <c r="C650" s="139"/>
      <c r="D650" s="139"/>
      <c r="E650" s="139"/>
      <c r="F650" s="139"/>
      <c r="G650" s="139"/>
      <c r="H650" s="139"/>
      <c r="I650" s="139"/>
      <c r="J650" s="139"/>
      <c r="K650" s="139"/>
      <c r="L650" s="139"/>
      <c r="M650" s="139"/>
      <c r="N650" s="145"/>
      <c r="O650" s="139"/>
      <c r="P650" s="139"/>
      <c r="Q650" s="231"/>
      <c r="R650" s="139"/>
      <c r="S650" s="235"/>
      <c r="T650" s="235"/>
      <c r="U650" s="145"/>
      <c r="V650" s="145"/>
      <c r="W650" s="111"/>
      <c r="X650" s="233"/>
      <c r="Y650" s="226"/>
      <c r="Z650" s="139"/>
      <c r="AA650" s="139"/>
      <c r="AB650" s="139"/>
      <c r="AC650" s="139"/>
      <c r="AD650" s="139"/>
      <c r="AE650" s="139"/>
      <c r="AF650" s="139"/>
      <c r="AG650" s="139"/>
      <c r="AH650" s="139"/>
      <c r="AI650" s="139"/>
      <c r="AJ650" s="139"/>
      <c r="AK650" s="139"/>
      <c r="AL650" s="139"/>
      <c r="AM650" s="139"/>
      <c r="AN650" s="139"/>
      <c r="AO650" s="139"/>
      <c r="AP650" s="139"/>
      <c r="AQ650" s="139"/>
      <c r="AR650" s="139"/>
      <c r="AS650" s="139"/>
      <c r="AT650" s="139"/>
      <c r="AU650" s="139"/>
      <c r="AV650" s="139"/>
    </row>
    <row r="651">
      <c r="A651" s="139"/>
      <c r="B651" s="234"/>
      <c r="C651" s="139"/>
      <c r="D651" s="139"/>
      <c r="E651" s="139"/>
      <c r="F651" s="139"/>
      <c r="G651" s="139"/>
      <c r="H651" s="139"/>
      <c r="I651" s="139"/>
      <c r="J651" s="139"/>
      <c r="K651" s="139"/>
      <c r="L651" s="139"/>
      <c r="M651" s="139"/>
      <c r="N651" s="145"/>
      <c r="O651" s="139"/>
      <c r="P651" s="139"/>
      <c r="Q651" s="231"/>
      <c r="R651" s="139"/>
      <c r="S651" s="235"/>
      <c r="T651" s="235"/>
      <c r="U651" s="145"/>
      <c r="V651" s="145"/>
      <c r="W651" s="111"/>
      <c r="X651" s="233"/>
      <c r="Y651" s="226"/>
      <c r="Z651" s="139"/>
      <c r="AA651" s="139"/>
      <c r="AB651" s="139"/>
      <c r="AC651" s="139"/>
      <c r="AD651" s="139"/>
      <c r="AE651" s="139"/>
      <c r="AF651" s="139"/>
      <c r="AG651" s="139"/>
      <c r="AH651" s="139"/>
      <c r="AI651" s="139"/>
      <c r="AJ651" s="139"/>
      <c r="AK651" s="139"/>
      <c r="AL651" s="139"/>
      <c r="AM651" s="139"/>
      <c r="AN651" s="139"/>
      <c r="AO651" s="139"/>
      <c r="AP651" s="139"/>
      <c r="AQ651" s="139"/>
      <c r="AR651" s="139"/>
      <c r="AS651" s="139"/>
      <c r="AT651" s="139"/>
      <c r="AU651" s="139"/>
      <c r="AV651" s="139"/>
    </row>
    <row r="652">
      <c r="A652" s="139"/>
      <c r="B652" s="234"/>
      <c r="C652" s="139"/>
      <c r="D652" s="139"/>
      <c r="E652" s="139"/>
      <c r="F652" s="139"/>
      <c r="G652" s="139"/>
      <c r="H652" s="139"/>
      <c r="I652" s="139"/>
      <c r="J652" s="139"/>
      <c r="K652" s="139"/>
      <c r="L652" s="139"/>
      <c r="M652" s="139"/>
      <c r="N652" s="145"/>
      <c r="O652" s="139"/>
      <c r="P652" s="139"/>
      <c r="Q652" s="231"/>
      <c r="R652" s="139"/>
      <c r="S652" s="235"/>
      <c r="T652" s="235"/>
      <c r="U652" s="145"/>
      <c r="V652" s="145"/>
      <c r="W652" s="111"/>
      <c r="X652" s="233"/>
      <c r="Y652" s="226"/>
      <c r="Z652" s="139"/>
      <c r="AA652" s="139"/>
      <c r="AB652" s="139"/>
      <c r="AC652" s="139"/>
      <c r="AD652" s="139"/>
      <c r="AE652" s="139"/>
      <c r="AF652" s="139"/>
      <c r="AG652" s="139"/>
      <c r="AH652" s="139"/>
      <c r="AI652" s="139"/>
      <c r="AJ652" s="139"/>
      <c r="AK652" s="139"/>
      <c r="AL652" s="139"/>
      <c r="AM652" s="139"/>
      <c r="AN652" s="139"/>
      <c r="AO652" s="139"/>
      <c r="AP652" s="139"/>
      <c r="AQ652" s="139"/>
      <c r="AR652" s="139"/>
      <c r="AS652" s="139"/>
      <c r="AT652" s="139"/>
      <c r="AU652" s="139"/>
      <c r="AV652" s="139"/>
    </row>
    <row r="653">
      <c r="A653" s="139"/>
      <c r="B653" s="234"/>
      <c r="C653" s="139"/>
      <c r="D653" s="139"/>
      <c r="E653" s="139"/>
      <c r="F653" s="139"/>
      <c r="G653" s="139"/>
      <c r="H653" s="139"/>
      <c r="I653" s="139"/>
      <c r="J653" s="139"/>
      <c r="K653" s="139"/>
      <c r="L653" s="139"/>
      <c r="M653" s="139"/>
      <c r="N653" s="145"/>
      <c r="O653" s="139"/>
      <c r="P653" s="139"/>
      <c r="Q653" s="231"/>
      <c r="R653" s="139"/>
      <c r="S653" s="235"/>
      <c r="T653" s="235"/>
      <c r="U653" s="145"/>
      <c r="V653" s="145"/>
      <c r="W653" s="111"/>
      <c r="X653" s="233"/>
      <c r="Y653" s="226"/>
      <c r="Z653" s="139"/>
      <c r="AA653" s="139"/>
      <c r="AB653" s="139"/>
      <c r="AC653" s="139"/>
      <c r="AD653" s="139"/>
      <c r="AE653" s="139"/>
      <c r="AF653" s="139"/>
      <c r="AG653" s="139"/>
      <c r="AH653" s="139"/>
      <c r="AI653" s="139"/>
      <c r="AJ653" s="139"/>
      <c r="AK653" s="139"/>
      <c r="AL653" s="139"/>
      <c r="AM653" s="139"/>
      <c r="AN653" s="139"/>
      <c r="AO653" s="139"/>
      <c r="AP653" s="139"/>
      <c r="AQ653" s="139"/>
      <c r="AR653" s="139"/>
      <c r="AS653" s="139"/>
      <c r="AT653" s="139"/>
      <c r="AU653" s="139"/>
      <c r="AV653" s="139"/>
    </row>
    <row r="654">
      <c r="A654" s="139"/>
      <c r="B654" s="234"/>
      <c r="C654" s="139"/>
      <c r="D654" s="139"/>
      <c r="E654" s="139"/>
      <c r="F654" s="139"/>
      <c r="G654" s="139"/>
      <c r="H654" s="139"/>
      <c r="I654" s="139"/>
      <c r="J654" s="139"/>
      <c r="K654" s="139"/>
      <c r="L654" s="139"/>
      <c r="M654" s="139"/>
      <c r="N654" s="145"/>
      <c r="O654" s="139"/>
      <c r="P654" s="139"/>
      <c r="Q654" s="231"/>
      <c r="R654" s="139"/>
      <c r="S654" s="235"/>
      <c r="T654" s="235"/>
      <c r="U654" s="145"/>
      <c r="V654" s="145"/>
      <c r="W654" s="111"/>
      <c r="X654" s="233"/>
      <c r="Y654" s="226"/>
      <c r="Z654" s="139"/>
      <c r="AA654" s="139"/>
      <c r="AB654" s="139"/>
      <c r="AC654" s="139"/>
      <c r="AD654" s="139"/>
      <c r="AE654" s="139"/>
      <c r="AF654" s="139"/>
      <c r="AG654" s="139"/>
      <c r="AH654" s="139"/>
      <c r="AI654" s="139"/>
      <c r="AJ654" s="139"/>
      <c r="AK654" s="139"/>
      <c r="AL654" s="139"/>
      <c r="AM654" s="139"/>
      <c r="AN654" s="139"/>
      <c r="AO654" s="139"/>
      <c r="AP654" s="139"/>
      <c r="AQ654" s="139"/>
      <c r="AR654" s="139"/>
      <c r="AS654" s="139"/>
      <c r="AT654" s="139"/>
      <c r="AU654" s="139"/>
      <c r="AV654" s="139"/>
    </row>
    <row r="655">
      <c r="A655" s="139"/>
      <c r="B655" s="234"/>
      <c r="C655" s="139"/>
      <c r="D655" s="139"/>
      <c r="E655" s="139"/>
      <c r="F655" s="139"/>
      <c r="G655" s="139"/>
      <c r="H655" s="139"/>
      <c r="I655" s="139"/>
      <c r="J655" s="139"/>
      <c r="K655" s="139"/>
      <c r="L655" s="139"/>
      <c r="M655" s="139"/>
      <c r="N655" s="145"/>
      <c r="O655" s="139"/>
      <c r="P655" s="139"/>
      <c r="Q655" s="231"/>
      <c r="R655" s="139"/>
      <c r="S655" s="235"/>
      <c r="T655" s="235"/>
      <c r="U655" s="145"/>
      <c r="V655" s="145"/>
      <c r="W655" s="111"/>
      <c r="X655" s="233"/>
      <c r="Y655" s="226"/>
      <c r="Z655" s="139"/>
      <c r="AA655" s="139"/>
      <c r="AB655" s="139"/>
      <c r="AC655" s="139"/>
      <c r="AD655" s="139"/>
      <c r="AE655" s="139"/>
      <c r="AF655" s="139"/>
      <c r="AG655" s="139"/>
      <c r="AH655" s="139"/>
      <c r="AI655" s="139"/>
      <c r="AJ655" s="139"/>
      <c r="AK655" s="139"/>
      <c r="AL655" s="139"/>
      <c r="AM655" s="139"/>
      <c r="AN655" s="139"/>
      <c r="AO655" s="139"/>
      <c r="AP655" s="139"/>
      <c r="AQ655" s="139"/>
      <c r="AR655" s="139"/>
      <c r="AS655" s="139"/>
      <c r="AT655" s="139"/>
      <c r="AU655" s="139"/>
      <c r="AV655" s="139"/>
    </row>
    <row r="656">
      <c r="A656" s="139"/>
      <c r="B656" s="234"/>
      <c r="C656" s="139"/>
      <c r="D656" s="139"/>
      <c r="E656" s="139"/>
      <c r="F656" s="139"/>
      <c r="G656" s="139"/>
      <c r="H656" s="139"/>
      <c r="I656" s="139"/>
      <c r="J656" s="139"/>
      <c r="K656" s="139"/>
      <c r="L656" s="139"/>
      <c r="M656" s="139"/>
      <c r="N656" s="145"/>
      <c r="O656" s="139"/>
      <c r="P656" s="139"/>
      <c r="Q656" s="231"/>
      <c r="R656" s="139"/>
      <c r="S656" s="235"/>
      <c r="T656" s="235"/>
      <c r="U656" s="145"/>
      <c r="V656" s="145"/>
      <c r="W656" s="111"/>
      <c r="X656" s="233"/>
      <c r="Y656" s="226"/>
      <c r="Z656" s="139"/>
      <c r="AA656" s="139"/>
      <c r="AB656" s="139"/>
      <c r="AC656" s="139"/>
      <c r="AD656" s="139"/>
      <c r="AE656" s="139"/>
      <c r="AF656" s="139"/>
      <c r="AG656" s="139"/>
      <c r="AH656" s="139"/>
      <c r="AI656" s="139"/>
      <c r="AJ656" s="139"/>
      <c r="AK656" s="139"/>
      <c r="AL656" s="139"/>
      <c r="AM656" s="139"/>
      <c r="AN656" s="139"/>
      <c r="AO656" s="139"/>
      <c r="AP656" s="139"/>
      <c r="AQ656" s="139"/>
      <c r="AR656" s="139"/>
      <c r="AS656" s="139"/>
      <c r="AT656" s="139"/>
      <c r="AU656" s="139"/>
      <c r="AV656" s="139"/>
    </row>
    <row r="657">
      <c r="A657" s="139"/>
      <c r="B657" s="234"/>
      <c r="C657" s="139"/>
      <c r="D657" s="139"/>
      <c r="E657" s="139"/>
      <c r="F657" s="139"/>
      <c r="G657" s="139"/>
      <c r="H657" s="139"/>
      <c r="I657" s="139"/>
      <c r="J657" s="139"/>
      <c r="K657" s="139"/>
      <c r="L657" s="139"/>
      <c r="M657" s="139"/>
      <c r="N657" s="145"/>
      <c r="O657" s="139"/>
      <c r="P657" s="139"/>
      <c r="Q657" s="231"/>
      <c r="R657" s="139"/>
      <c r="S657" s="235"/>
      <c r="T657" s="235"/>
      <c r="U657" s="145"/>
      <c r="V657" s="145"/>
      <c r="W657" s="111"/>
      <c r="X657" s="233"/>
      <c r="Y657" s="226"/>
      <c r="Z657" s="139"/>
      <c r="AA657" s="139"/>
      <c r="AB657" s="139"/>
      <c r="AC657" s="139"/>
      <c r="AD657" s="139"/>
      <c r="AE657" s="139"/>
      <c r="AF657" s="139"/>
      <c r="AG657" s="139"/>
      <c r="AH657" s="139"/>
      <c r="AI657" s="139"/>
      <c r="AJ657" s="139"/>
      <c r="AK657" s="139"/>
      <c r="AL657" s="139"/>
      <c r="AM657" s="139"/>
      <c r="AN657" s="139"/>
      <c r="AO657" s="139"/>
      <c r="AP657" s="139"/>
      <c r="AQ657" s="139"/>
      <c r="AR657" s="139"/>
      <c r="AS657" s="139"/>
      <c r="AT657" s="139"/>
      <c r="AU657" s="139"/>
      <c r="AV657" s="139"/>
    </row>
    <row r="658">
      <c r="A658" s="139"/>
      <c r="B658" s="234"/>
      <c r="C658" s="139"/>
      <c r="D658" s="139"/>
      <c r="E658" s="139"/>
      <c r="F658" s="139"/>
      <c r="G658" s="139"/>
      <c r="H658" s="139"/>
      <c r="I658" s="139"/>
      <c r="J658" s="139"/>
      <c r="K658" s="139"/>
      <c r="L658" s="139"/>
      <c r="M658" s="139"/>
      <c r="N658" s="145"/>
      <c r="O658" s="139"/>
      <c r="P658" s="139"/>
      <c r="Q658" s="231"/>
      <c r="R658" s="139"/>
      <c r="S658" s="235"/>
      <c r="T658" s="235"/>
      <c r="U658" s="145"/>
      <c r="V658" s="145"/>
      <c r="W658" s="111"/>
      <c r="X658" s="233"/>
      <c r="Y658" s="226"/>
      <c r="Z658" s="139"/>
      <c r="AA658" s="139"/>
      <c r="AB658" s="139"/>
      <c r="AC658" s="139"/>
      <c r="AD658" s="139"/>
      <c r="AE658" s="139"/>
      <c r="AF658" s="139"/>
      <c r="AG658" s="139"/>
      <c r="AH658" s="139"/>
      <c r="AI658" s="139"/>
      <c r="AJ658" s="139"/>
      <c r="AK658" s="139"/>
      <c r="AL658" s="139"/>
      <c r="AM658" s="139"/>
      <c r="AN658" s="139"/>
      <c r="AO658" s="139"/>
      <c r="AP658" s="139"/>
      <c r="AQ658" s="139"/>
      <c r="AR658" s="139"/>
      <c r="AS658" s="139"/>
      <c r="AT658" s="139"/>
      <c r="AU658" s="139"/>
      <c r="AV658" s="139"/>
    </row>
    <row r="659">
      <c r="A659" s="139"/>
      <c r="B659" s="234"/>
      <c r="C659" s="139"/>
      <c r="D659" s="139"/>
      <c r="E659" s="139"/>
      <c r="F659" s="139"/>
      <c r="G659" s="139"/>
      <c r="H659" s="139"/>
      <c r="I659" s="139"/>
      <c r="J659" s="139"/>
      <c r="K659" s="139"/>
      <c r="L659" s="139"/>
      <c r="M659" s="139"/>
      <c r="N659" s="145"/>
      <c r="O659" s="139"/>
      <c r="P659" s="139"/>
      <c r="Q659" s="231"/>
      <c r="R659" s="139"/>
      <c r="S659" s="235"/>
      <c r="T659" s="235"/>
      <c r="U659" s="145"/>
      <c r="V659" s="145"/>
      <c r="W659" s="111"/>
      <c r="X659" s="233"/>
      <c r="Y659" s="226"/>
      <c r="Z659" s="139"/>
      <c r="AA659" s="139"/>
      <c r="AB659" s="139"/>
      <c r="AC659" s="139"/>
      <c r="AD659" s="139"/>
      <c r="AE659" s="139"/>
      <c r="AF659" s="139"/>
      <c r="AG659" s="139"/>
      <c r="AH659" s="139"/>
      <c r="AI659" s="139"/>
      <c r="AJ659" s="139"/>
      <c r="AK659" s="139"/>
      <c r="AL659" s="139"/>
      <c r="AM659" s="139"/>
      <c r="AN659" s="139"/>
      <c r="AO659" s="139"/>
      <c r="AP659" s="139"/>
      <c r="AQ659" s="139"/>
      <c r="AR659" s="139"/>
      <c r="AS659" s="139"/>
      <c r="AT659" s="139"/>
      <c r="AU659" s="139"/>
      <c r="AV659" s="139"/>
    </row>
    <row r="660">
      <c r="A660" s="139"/>
      <c r="B660" s="234"/>
      <c r="C660" s="139"/>
      <c r="D660" s="139"/>
      <c r="E660" s="139"/>
      <c r="F660" s="139"/>
      <c r="G660" s="139"/>
      <c r="H660" s="139"/>
      <c r="I660" s="139"/>
      <c r="J660" s="139"/>
      <c r="K660" s="139"/>
      <c r="L660" s="139"/>
      <c r="M660" s="139"/>
      <c r="N660" s="145"/>
      <c r="O660" s="139"/>
      <c r="P660" s="139"/>
      <c r="Q660" s="231"/>
      <c r="R660" s="139"/>
      <c r="S660" s="235"/>
      <c r="T660" s="235"/>
      <c r="U660" s="145"/>
      <c r="V660" s="145"/>
      <c r="W660" s="111"/>
      <c r="X660" s="233"/>
      <c r="Y660" s="226"/>
      <c r="Z660" s="139"/>
      <c r="AA660" s="139"/>
      <c r="AB660" s="139"/>
      <c r="AC660" s="139"/>
      <c r="AD660" s="139"/>
      <c r="AE660" s="139"/>
      <c r="AF660" s="139"/>
      <c r="AG660" s="139"/>
      <c r="AH660" s="139"/>
      <c r="AI660" s="139"/>
      <c r="AJ660" s="139"/>
      <c r="AK660" s="139"/>
      <c r="AL660" s="139"/>
      <c r="AM660" s="139"/>
      <c r="AN660" s="139"/>
      <c r="AO660" s="139"/>
      <c r="AP660" s="139"/>
      <c r="AQ660" s="139"/>
      <c r="AR660" s="139"/>
      <c r="AS660" s="139"/>
      <c r="AT660" s="139"/>
      <c r="AU660" s="139"/>
      <c r="AV660" s="139"/>
    </row>
    <row r="661">
      <c r="A661" s="139"/>
      <c r="B661" s="234"/>
      <c r="C661" s="139"/>
      <c r="D661" s="139"/>
      <c r="E661" s="139"/>
      <c r="F661" s="139"/>
      <c r="G661" s="139"/>
      <c r="H661" s="139"/>
      <c r="I661" s="139"/>
      <c r="J661" s="139"/>
      <c r="K661" s="139"/>
      <c r="L661" s="139"/>
      <c r="M661" s="139"/>
      <c r="N661" s="145"/>
      <c r="O661" s="139"/>
      <c r="P661" s="139"/>
      <c r="Q661" s="231"/>
      <c r="R661" s="139"/>
      <c r="S661" s="235"/>
      <c r="T661" s="235"/>
      <c r="U661" s="145"/>
      <c r="V661" s="145"/>
      <c r="W661" s="111"/>
      <c r="X661" s="233"/>
      <c r="Y661" s="226"/>
      <c r="Z661" s="139"/>
      <c r="AA661" s="139"/>
      <c r="AB661" s="139"/>
      <c r="AC661" s="139"/>
      <c r="AD661" s="139"/>
      <c r="AE661" s="139"/>
      <c r="AF661" s="139"/>
      <c r="AG661" s="139"/>
      <c r="AH661" s="139"/>
      <c r="AI661" s="139"/>
      <c r="AJ661" s="139"/>
      <c r="AK661" s="139"/>
      <c r="AL661" s="139"/>
      <c r="AM661" s="139"/>
      <c r="AN661" s="139"/>
      <c r="AO661" s="139"/>
      <c r="AP661" s="139"/>
      <c r="AQ661" s="139"/>
      <c r="AR661" s="139"/>
      <c r="AS661" s="139"/>
      <c r="AT661" s="139"/>
      <c r="AU661" s="139"/>
      <c r="AV661" s="139"/>
    </row>
    <row r="662">
      <c r="A662" s="139"/>
      <c r="B662" s="234"/>
      <c r="C662" s="139"/>
      <c r="D662" s="139"/>
      <c r="E662" s="139"/>
      <c r="F662" s="139"/>
      <c r="G662" s="139"/>
      <c r="H662" s="139"/>
      <c r="I662" s="139"/>
      <c r="J662" s="139"/>
      <c r="K662" s="139"/>
      <c r="L662" s="139"/>
      <c r="M662" s="139"/>
      <c r="N662" s="145"/>
      <c r="O662" s="139"/>
      <c r="P662" s="139"/>
      <c r="Q662" s="231"/>
      <c r="R662" s="139"/>
      <c r="S662" s="235"/>
      <c r="T662" s="235"/>
      <c r="U662" s="145"/>
      <c r="V662" s="145"/>
      <c r="W662" s="111"/>
      <c r="X662" s="233"/>
      <c r="Y662" s="226"/>
      <c r="Z662" s="139"/>
      <c r="AA662" s="139"/>
      <c r="AB662" s="139"/>
      <c r="AC662" s="139"/>
      <c r="AD662" s="139"/>
      <c r="AE662" s="139"/>
      <c r="AF662" s="139"/>
      <c r="AG662" s="139"/>
      <c r="AH662" s="139"/>
      <c r="AI662" s="139"/>
      <c r="AJ662" s="139"/>
      <c r="AK662" s="139"/>
      <c r="AL662" s="139"/>
      <c r="AM662" s="139"/>
      <c r="AN662" s="139"/>
      <c r="AO662" s="139"/>
      <c r="AP662" s="139"/>
      <c r="AQ662" s="139"/>
      <c r="AR662" s="139"/>
      <c r="AS662" s="139"/>
      <c r="AT662" s="139"/>
      <c r="AU662" s="139"/>
      <c r="AV662" s="139"/>
    </row>
    <row r="663">
      <c r="A663" s="139"/>
      <c r="B663" s="234"/>
      <c r="C663" s="139"/>
      <c r="D663" s="139"/>
      <c r="E663" s="139"/>
      <c r="F663" s="139"/>
      <c r="G663" s="139"/>
      <c r="H663" s="139"/>
      <c r="I663" s="139"/>
      <c r="J663" s="139"/>
      <c r="K663" s="139"/>
      <c r="L663" s="139"/>
      <c r="M663" s="139"/>
      <c r="N663" s="145"/>
      <c r="O663" s="139"/>
      <c r="P663" s="139"/>
      <c r="Q663" s="231"/>
      <c r="R663" s="139"/>
      <c r="S663" s="235"/>
      <c r="T663" s="235"/>
      <c r="U663" s="145"/>
      <c r="V663" s="145"/>
      <c r="W663" s="111"/>
      <c r="X663" s="233"/>
      <c r="Y663" s="226"/>
      <c r="Z663" s="139"/>
      <c r="AA663" s="139"/>
      <c r="AB663" s="139"/>
      <c r="AC663" s="139"/>
      <c r="AD663" s="139"/>
      <c r="AE663" s="139"/>
      <c r="AF663" s="139"/>
      <c r="AG663" s="139"/>
      <c r="AH663" s="139"/>
      <c r="AI663" s="139"/>
      <c r="AJ663" s="139"/>
      <c r="AK663" s="139"/>
      <c r="AL663" s="139"/>
      <c r="AM663" s="139"/>
      <c r="AN663" s="139"/>
      <c r="AO663" s="139"/>
      <c r="AP663" s="139"/>
      <c r="AQ663" s="139"/>
      <c r="AR663" s="139"/>
      <c r="AS663" s="139"/>
      <c r="AT663" s="139"/>
      <c r="AU663" s="139"/>
      <c r="AV663" s="139"/>
    </row>
    <row r="664">
      <c r="A664" s="139"/>
      <c r="B664" s="234"/>
      <c r="C664" s="139"/>
      <c r="D664" s="139"/>
      <c r="E664" s="139"/>
      <c r="F664" s="139"/>
      <c r="G664" s="139"/>
      <c r="H664" s="139"/>
      <c r="I664" s="139"/>
      <c r="J664" s="139"/>
      <c r="K664" s="139"/>
      <c r="L664" s="139"/>
      <c r="M664" s="139"/>
      <c r="N664" s="145"/>
      <c r="O664" s="139"/>
      <c r="P664" s="139"/>
      <c r="Q664" s="231"/>
      <c r="R664" s="139"/>
      <c r="S664" s="235"/>
      <c r="T664" s="235"/>
      <c r="U664" s="145"/>
      <c r="V664" s="145"/>
      <c r="W664" s="111"/>
      <c r="X664" s="233"/>
      <c r="Y664" s="226"/>
      <c r="Z664" s="139"/>
      <c r="AA664" s="139"/>
      <c r="AB664" s="139"/>
      <c r="AC664" s="139"/>
      <c r="AD664" s="139"/>
      <c r="AE664" s="139"/>
      <c r="AF664" s="139"/>
      <c r="AG664" s="139"/>
      <c r="AH664" s="139"/>
      <c r="AI664" s="139"/>
      <c r="AJ664" s="139"/>
      <c r="AK664" s="139"/>
      <c r="AL664" s="139"/>
      <c r="AM664" s="139"/>
      <c r="AN664" s="139"/>
      <c r="AO664" s="139"/>
      <c r="AP664" s="139"/>
      <c r="AQ664" s="139"/>
      <c r="AR664" s="139"/>
      <c r="AS664" s="139"/>
      <c r="AT664" s="139"/>
      <c r="AU664" s="139"/>
      <c r="AV664" s="139"/>
    </row>
    <row r="665">
      <c r="A665" s="139"/>
      <c r="B665" s="234"/>
      <c r="C665" s="139"/>
      <c r="D665" s="139"/>
      <c r="E665" s="139"/>
      <c r="F665" s="139"/>
      <c r="G665" s="139"/>
      <c r="H665" s="139"/>
      <c r="I665" s="139"/>
      <c r="J665" s="139"/>
      <c r="K665" s="139"/>
      <c r="L665" s="139"/>
      <c r="M665" s="139"/>
      <c r="N665" s="145"/>
      <c r="O665" s="139"/>
      <c r="P665" s="139"/>
      <c r="Q665" s="231"/>
      <c r="R665" s="139"/>
      <c r="S665" s="235"/>
      <c r="T665" s="235"/>
      <c r="U665" s="145"/>
      <c r="V665" s="145"/>
      <c r="W665" s="111"/>
      <c r="X665" s="233"/>
      <c r="Y665" s="226"/>
      <c r="Z665" s="139"/>
      <c r="AA665" s="139"/>
      <c r="AB665" s="139"/>
      <c r="AC665" s="139"/>
      <c r="AD665" s="139"/>
      <c r="AE665" s="139"/>
      <c r="AF665" s="139"/>
      <c r="AG665" s="139"/>
      <c r="AH665" s="139"/>
      <c r="AI665" s="139"/>
      <c r="AJ665" s="139"/>
      <c r="AK665" s="139"/>
      <c r="AL665" s="139"/>
      <c r="AM665" s="139"/>
      <c r="AN665" s="139"/>
      <c r="AO665" s="139"/>
      <c r="AP665" s="139"/>
      <c r="AQ665" s="139"/>
      <c r="AR665" s="139"/>
      <c r="AS665" s="139"/>
      <c r="AT665" s="139"/>
      <c r="AU665" s="139"/>
      <c r="AV665" s="139"/>
    </row>
    <row r="666">
      <c r="A666" s="139"/>
      <c r="B666" s="234"/>
      <c r="C666" s="139"/>
      <c r="D666" s="139"/>
      <c r="E666" s="139"/>
      <c r="F666" s="139"/>
      <c r="G666" s="139"/>
      <c r="H666" s="139"/>
      <c r="I666" s="139"/>
      <c r="J666" s="139"/>
      <c r="K666" s="139"/>
      <c r="L666" s="139"/>
      <c r="M666" s="139"/>
      <c r="N666" s="145"/>
      <c r="O666" s="139"/>
      <c r="P666" s="139"/>
      <c r="Q666" s="231"/>
      <c r="R666" s="139"/>
      <c r="S666" s="235"/>
      <c r="T666" s="235"/>
      <c r="U666" s="145"/>
      <c r="V666" s="145"/>
      <c r="W666" s="111"/>
      <c r="X666" s="233"/>
      <c r="Y666" s="226"/>
      <c r="Z666" s="139"/>
      <c r="AA666" s="139"/>
      <c r="AB666" s="139"/>
      <c r="AC666" s="139"/>
      <c r="AD666" s="139"/>
      <c r="AE666" s="139"/>
      <c r="AF666" s="139"/>
      <c r="AG666" s="139"/>
      <c r="AH666" s="139"/>
      <c r="AI666" s="139"/>
      <c r="AJ666" s="139"/>
      <c r="AK666" s="139"/>
      <c r="AL666" s="139"/>
      <c r="AM666" s="139"/>
      <c r="AN666" s="139"/>
      <c r="AO666" s="139"/>
      <c r="AP666" s="139"/>
      <c r="AQ666" s="139"/>
      <c r="AR666" s="139"/>
      <c r="AS666" s="139"/>
      <c r="AT666" s="139"/>
      <c r="AU666" s="139"/>
      <c r="AV666" s="139"/>
    </row>
    <row r="667">
      <c r="A667" s="139"/>
      <c r="B667" s="234"/>
      <c r="C667" s="139"/>
      <c r="D667" s="139"/>
      <c r="E667" s="139"/>
      <c r="F667" s="139"/>
      <c r="G667" s="139"/>
      <c r="H667" s="139"/>
      <c r="I667" s="139"/>
      <c r="J667" s="139"/>
      <c r="K667" s="139"/>
      <c r="L667" s="139"/>
      <c r="M667" s="139"/>
      <c r="N667" s="145"/>
      <c r="O667" s="139"/>
      <c r="P667" s="139"/>
      <c r="Q667" s="231"/>
      <c r="R667" s="139"/>
      <c r="S667" s="235"/>
      <c r="T667" s="235"/>
      <c r="U667" s="145"/>
      <c r="V667" s="145"/>
      <c r="W667" s="111"/>
      <c r="X667" s="233"/>
      <c r="Y667" s="226"/>
      <c r="Z667" s="139"/>
      <c r="AA667" s="139"/>
      <c r="AB667" s="139"/>
      <c r="AC667" s="139"/>
      <c r="AD667" s="139"/>
      <c r="AE667" s="139"/>
      <c r="AF667" s="139"/>
      <c r="AG667" s="139"/>
      <c r="AH667" s="139"/>
      <c r="AI667" s="139"/>
      <c r="AJ667" s="139"/>
      <c r="AK667" s="139"/>
      <c r="AL667" s="139"/>
      <c r="AM667" s="139"/>
      <c r="AN667" s="139"/>
      <c r="AO667" s="139"/>
      <c r="AP667" s="139"/>
      <c r="AQ667" s="139"/>
      <c r="AR667" s="139"/>
      <c r="AS667" s="139"/>
      <c r="AT667" s="139"/>
      <c r="AU667" s="139"/>
      <c r="AV667" s="139"/>
    </row>
    <row r="668">
      <c r="A668" s="139"/>
      <c r="B668" s="234"/>
      <c r="C668" s="139"/>
      <c r="D668" s="139"/>
      <c r="E668" s="139"/>
      <c r="F668" s="139"/>
      <c r="G668" s="139"/>
      <c r="H668" s="139"/>
      <c r="I668" s="139"/>
      <c r="J668" s="139"/>
      <c r="K668" s="139"/>
      <c r="L668" s="139"/>
      <c r="M668" s="139"/>
      <c r="N668" s="145"/>
      <c r="O668" s="139"/>
      <c r="P668" s="139"/>
      <c r="Q668" s="231"/>
      <c r="R668" s="139"/>
      <c r="S668" s="235"/>
      <c r="T668" s="235"/>
      <c r="U668" s="145"/>
      <c r="V668" s="145"/>
      <c r="W668" s="111"/>
      <c r="X668" s="233"/>
      <c r="Y668" s="226"/>
      <c r="Z668" s="139"/>
      <c r="AA668" s="139"/>
      <c r="AB668" s="139"/>
      <c r="AC668" s="139"/>
      <c r="AD668" s="139"/>
      <c r="AE668" s="139"/>
      <c r="AF668" s="139"/>
      <c r="AG668" s="139"/>
      <c r="AH668" s="139"/>
      <c r="AI668" s="139"/>
      <c r="AJ668" s="139"/>
      <c r="AK668" s="139"/>
      <c r="AL668" s="139"/>
      <c r="AM668" s="139"/>
      <c r="AN668" s="139"/>
      <c r="AO668" s="139"/>
      <c r="AP668" s="139"/>
      <c r="AQ668" s="139"/>
      <c r="AR668" s="139"/>
      <c r="AS668" s="139"/>
      <c r="AT668" s="139"/>
      <c r="AU668" s="139"/>
      <c r="AV668" s="139"/>
    </row>
    <row r="669">
      <c r="A669" s="139"/>
      <c r="B669" s="234"/>
      <c r="C669" s="139"/>
      <c r="D669" s="139"/>
      <c r="E669" s="139"/>
      <c r="F669" s="139"/>
      <c r="G669" s="139"/>
      <c r="H669" s="139"/>
      <c r="I669" s="139"/>
      <c r="J669" s="139"/>
      <c r="K669" s="139"/>
      <c r="L669" s="139"/>
      <c r="M669" s="139"/>
      <c r="N669" s="145"/>
      <c r="O669" s="139"/>
      <c r="P669" s="139"/>
      <c r="Q669" s="231"/>
      <c r="R669" s="139"/>
      <c r="S669" s="235"/>
      <c r="T669" s="235"/>
      <c r="U669" s="145"/>
      <c r="V669" s="145"/>
      <c r="W669" s="111"/>
      <c r="X669" s="233"/>
      <c r="Y669" s="226"/>
      <c r="Z669" s="139"/>
      <c r="AA669" s="139"/>
      <c r="AB669" s="139"/>
      <c r="AC669" s="139"/>
      <c r="AD669" s="139"/>
      <c r="AE669" s="139"/>
      <c r="AF669" s="139"/>
      <c r="AG669" s="139"/>
      <c r="AH669" s="139"/>
      <c r="AI669" s="139"/>
      <c r="AJ669" s="139"/>
      <c r="AK669" s="139"/>
      <c r="AL669" s="139"/>
      <c r="AM669" s="139"/>
      <c r="AN669" s="139"/>
      <c r="AO669" s="139"/>
      <c r="AP669" s="139"/>
      <c r="AQ669" s="139"/>
      <c r="AR669" s="139"/>
      <c r="AS669" s="139"/>
      <c r="AT669" s="139"/>
      <c r="AU669" s="139"/>
      <c r="AV669" s="139"/>
    </row>
    <row r="670">
      <c r="A670" s="139"/>
      <c r="B670" s="234"/>
      <c r="C670" s="139"/>
      <c r="D670" s="139"/>
      <c r="E670" s="139"/>
      <c r="F670" s="139"/>
      <c r="G670" s="139"/>
      <c r="H670" s="139"/>
      <c r="I670" s="139"/>
      <c r="J670" s="139"/>
      <c r="K670" s="139"/>
      <c r="L670" s="139"/>
      <c r="M670" s="139"/>
      <c r="N670" s="145"/>
      <c r="O670" s="139"/>
      <c r="P670" s="139"/>
      <c r="Q670" s="231"/>
      <c r="R670" s="139"/>
      <c r="S670" s="235"/>
      <c r="T670" s="235"/>
      <c r="U670" s="145"/>
      <c r="V670" s="145"/>
      <c r="W670" s="111"/>
      <c r="X670" s="233"/>
      <c r="Y670" s="226"/>
      <c r="Z670" s="139"/>
      <c r="AA670" s="139"/>
      <c r="AB670" s="139"/>
      <c r="AC670" s="139"/>
      <c r="AD670" s="139"/>
      <c r="AE670" s="139"/>
      <c r="AF670" s="139"/>
      <c r="AG670" s="139"/>
      <c r="AH670" s="139"/>
      <c r="AI670" s="139"/>
      <c r="AJ670" s="139"/>
      <c r="AK670" s="139"/>
      <c r="AL670" s="139"/>
      <c r="AM670" s="139"/>
      <c r="AN670" s="139"/>
      <c r="AO670" s="139"/>
      <c r="AP670" s="139"/>
      <c r="AQ670" s="139"/>
      <c r="AR670" s="139"/>
      <c r="AS670" s="139"/>
      <c r="AT670" s="139"/>
      <c r="AU670" s="139"/>
      <c r="AV670" s="139"/>
    </row>
    <row r="671">
      <c r="A671" s="139"/>
      <c r="B671" s="234"/>
      <c r="C671" s="139"/>
      <c r="D671" s="139"/>
      <c r="E671" s="139"/>
      <c r="F671" s="139"/>
      <c r="G671" s="139"/>
      <c r="H671" s="139"/>
      <c r="I671" s="139"/>
      <c r="J671" s="139"/>
      <c r="K671" s="139"/>
      <c r="L671" s="139"/>
      <c r="M671" s="139"/>
      <c r="N671" s="145"/>
      <c r="O671" s="139"/>
      <c r="P671" s="139"/>
      <c r="Q671" s="231"/>
      <c r="R671" s="139"/>
      <c r="S671" s="235"/>
      <c r="T671" s="235"/>
      <c r="U671" s="145"/>
      <c r="V671" s="145"/>
      <c r="W671" s="111"/>
      <c r="X671" s="233"/>
      <c r="Y671" s="226"/>
      <c r="Z671" s="139"/>
      <c r="AA671" s="139"/>
      <c r="AB671" s="139"/>
      <c r="AC671" s="139"/>
      <c r="AD671" s="139"/>
      <c r="AE671" s="139"/>
      <c r="AF671" s="139"/>
      <c r="AG671" s="139"/>
      <c r="AH671" s="139"/>
      <c r="AI671" s="139"/>
      <c r="AJ671" s="139"/>
      <c r="AK671" s="139"/>
      <c r="AL671" s="139"/>
      <c r="AM671" s="139"/>
      <c r="AN671" s="139"/>
      <c r="AO671" s="139"/>
      <c r="AP671" s="139"/>
      <c r="AQ671" s="139"/>
      <c r="AR671" s="139"/>
      <c r="AS671" s="139"/>
      <c r="AT671" s="139"/>
      <c r="AU671" s="139"/>
      <c r="AV671" s="139"/>
    </row>
    <row r="672">
      <c r="A672" s="139"/>
      <c r="B672" s="234"/>
      <c r="C672" s="139"/>
      <c r="D672" s="139"/>
      <c r="E672" s="139"/>
      <c r="F672" s="139"/>
      <c r="G672" s="139"/>
      <c r="H672" s="139"/>
      <c r="I672" s="139"/>
      <c r="J672" s="139"/>
      <c r="K672" s="139"/>
      <c r="L672" s="139"/>
      <c r="M672" s="139"/>
      <c r="N672" s="145"/>
      <c r="O672" s="139"/>
      <c r="P672" s="139"/>
      <c r="Q672" s="231"/>
      <c r="R672" s="139"/>
      <c r="S672" s="235"/>
      <c r="T672" s="235"/>
      <c r="U672" s="145"/>
      <c r="V672" s="145"/>
      <c r="W672" s="111"/>
      <c r="X672" s="233"/>
      <c r="Y672" s="226"/>
      <c r="Z672" s="139"/>
      <c r="AA672" s="139"/>
      <c r="AB672" s="139"/>
      <c r="AC672" s="139"/>
      <c r="AD672" s="139"/>
      <c r="AE672" s="139"/>
      <c r="AF672" s="139"/>
      <c r="AG672" s="139"/>
      <c r="AH672" s="139"/>
      <c r="AI672" s="139"/>
      <c r="AJ672" s="139"/>
      <c r="AK672" s="139"/>
      <c r="AL672" s="139"/>
      <c r="AM672" s="139"/>
      <c r="AN672" s="139"/>
      <c r="AO672" s="139"/>
      <c r="AP672" s="139"/>
      <c r="AQ672" s="139"/>
      <c r="AR672" s="139"/>
      <c r="AS672" s="139"/>
      <c r="AT672" s="139"/>
      <c r="AU672" s="139"/>
      <c r="AV672" s="139"/>
    </row>
    <row r="673">
      <c r="A673" s="139"/>
      <c r="B673" s="234"/>
      <c r="C673" s="139"/>
      <c r="D673" s="139"/>
      <c r="E673" s="139"/>
      <c r="F673" s="139"/>
      <c r="G673" s="139"/>
      <c r="H673" s="139"/>
      <c r="I673" s="139"/>
      <c r="J673" s="139"/>
      <c r="K673" s="139"/>
      <c r="L673" s="139"/>
      <c r="M673" s="139"/>
      <c r="N673" s="145"/>
      <c r="O673" s="139"/>
      <c r="P673" s="139"/>
      <c r="Q673" s="231"/>
      <c r="R673" s="139"/>
      <c r="S673" s="235"/>
      <c r="T673" s="235"/>
      <c r="U673" s="145"/>
      <c r="V673" s="145"/>
      <c r="W673" s="111"/>
      <c r="X673" s="233"/>
      <c r="Y673" s="226"/>
      <c r="Z673" s="139"/>
      <c r="AA673" s="139"/>
      <c r="AB673" s="139"/>
      <c r="AC673" s="139"/>
      <c r="AD673" s="139"/>
      <c r="AE673" s="139"/>
      <c r="AF673" s="139"/>
      <c r="AG673" s="139"/>
      <c r="AH673" s="139"/>
      <c r="AI673" s="139"/>
      <c r="AJ673" s="139"/>
      <c r="AK673" s="139"/>
      <c r="AL673" s="139"/>
      <c r="AM673" s="139"/>
      <c r="AN673" s="139"/>
      <c r="AO673" s="139"/>
      <c r="AP673" s="139"/>
      <c r="AQ673" s="139"/>
      <c r="AR673" s="139"/>
      <c r="AS673" s="139"/>
      <c r="AT673" s="139"/>
      <c r="AU673" s="139"/>
      <c r="AV673" s="139"/>
    </row>
    <row r="674">
      <c r="A674" s="139"/>
      <c r="B674" s="234"/>
      <c r="C674" s="139"/>
      <c r="D674" s="139"/>
      <c r="E674" s="139"/>
      <c r="F674" s="139"/>
      <c r="G674" s="139"/>
      <c r="H674" s="139"/>
      <c r="I674" s="139"/>
      <c r="J674" s="139"/>
      <c r="K674" s="139"/>
      <c r="L674" s="139"/>
      <c r="M674" s="139"/>
      <c r="N674" s="145"/>
      <c r="O674" s="139"/>
      <c r="P674" s="139"/>
      <c r="Q674" s="231"/>
      <c r="R674" s="139"/>
      <c r="S674" s="235"/>
      <c r="T674" s="235"/>
      <c r="U674" s="145"/>
      <c r="V674" s="145"/>
      <c r="W674" s="111"/>
      <c r="X674" s="233"/>
      <c r="Y674" s="226"/>
      <c r="Z674" s="139"/>
      <c r="AA674" s="139"/>
      <c r="AB674" s="139"/>
      <c r="AC674" s="139"/>
      <c r="AD674" s="139"/>
      <c r="AE674" s="139"/>
      <c r="AF674" s="139"/>
      <c r="AG674" s="139"/>
      <c r="AH674" s="139"/>
      <c r="AI674" s="139"/>
      <c r="AJ674" s="139"/>
      <c r="AK674" s="139"/>
      <c r="AL674" s="139"/>
      <c r="AM674" s="139"/>
      <c r="AN674" s="139"/>
      <c r="AO674" s="139"/>
      <c r="AP674" s="139"/>
      <c r="AQ674" s="139"/>
      <c r="AR674" s="139"/>
      <c r="AS674" s="139"/>
      <c r="AT674" s="139"/>
      <c r="AU674" s="139"/>
      <c r="AV674" s="139"/>
    </row>
    <row r="675">
      <c r="A675" s="139"/>
      <c r="B675" s="234"/>
      <c r="C675" s="139"/>
      <c r="D675" s="139"/>
      <c r="E675" s="139"/>
      <c r="F675" s="139"/>
      <c r="G675" s="139"/>
      <c r="H675" s="139"/>
      <c r="I675" s="139"/>
      <c r="J675" s="139"/>
      <c r="K675" s="139"/>
      <c r="L675" s="139"/>
      <c r="M675" s="139"/>
      <c r="N675" s="145"/>
      <c r="O675" s="139"/>
      <c r="P675" s="139"/>
      <c r="Q675" s="231"/>
      <c r="R675" s="139"/>
      <c r="S675" s="235"/>
      <c r="T675" s="235"/>
      <c r="U675" s="145"/>
      <c r="V675" s="145"/>
      <c r="W675" s="111"/>
      <c r="X675" s="233"/>
      <c r="Y675" s="226"/>
      <c r="Z675" s="139"/>
      <c r="AA675" s="139"/>
      <c r="AB675" s="139"/>
      <c r="AC675" s="139"/>
      <c r="AD675" s="139"/>
      <c r="AE675" s="139"/>
      <c r="AF675" s="139"/>
      <c r="AG675" s="139"/>
      <c r="AH675" s="139"/>
      <c r="AI675" s="139"/>
      <c r="AJ675" s="139"/>
      <c r="AK675" s="139"/>
      <c r="AL675" s="139"/>
      <c r="AM675" s="139"/>
      <c r="AN675" s="139"/>
      <c r="AO675" s="139"/>
      <c r="AP675" s="139"/>
      <c r="AQ675" s="139"/>
      <c r="AR675" s="139"/>
      <c r="AS675" s="139"/>
      <c r="AT675" s="139"/>
      <c r="AU675" s="139"/>
      <c r="AV675" s="139"/>
    </row>
    <row r="676">
      <c r="A676" s="139"/>
      <c r="B676" s="234"/>
      <c r="C676" s="139"/>
      <c r="D676" s="139"/>
      <c r="E676" s="139"/>
      <c r="F676" s="139"/>
      <c r="G676" s="139"/>
      <c r="H676" s="139"/>
      <c r="I676" s="139"/>
      <c r="J676" s="139"/>
      <c r="K676" s="139"/>
      <c r="L676" s="139"/>
      <c r="M676" s="139"/>
      <c r="N676" s="145"/>
      <c r="O676" s="139"/>
      <c r="P676" s="139"/>
      <c r="Q676" s="231"/>
      <c r="R676" s="139"/>
      <c r="S676" s="235"/>
      <c r="T676" s="235"/>
      <c r="U676" s="145"/>
      <c r="V676" s="145"/>
      <c r="W676" s="111"/>
      <c r="X676" s="233"/>
      <c r="Y676" s="226"/>
      <c r="Z676" s="139"/>
      <c r="AA676" s="139"/>
      <c r="AB676" s="139"/>
      <c r="AC676" s="139"/>
      <c r="AD676" s="139"/>
      <c r="AE676" s="139"/>
      <c r="AF676" s="139"/>
      <c r="AG676" s="139"/>
      <c r="AH676" s="139"/>
      <c r="AI676" s="139"/>
      <c r="AJ676" s="139"/>
      <c r="AK676" s="139"/>
      <c r="AL676" s="139"/>
      <c r="AM676" s="139"/>
      <c r="AN676" s="139"/>
      <c r="AO676" s="139"/>
      <c r="AP676" s="139"/>
      <c r="AQ676" s="139"/>
      <c r="AR676" s="139"/>
      <c r="AS676" s="139"/>
      <c r="AT676" s="139"/>
      <c r="AU676" s="139"/>
      <c r="AV676" s="139"/>
    </row>
    <row r="677">
      <c r="A677" s="139"/>
      <c r="B677" s="234"/>
      <c r="C677" s="139"/>
      <c r="D677" s="139"/>
      <c r="E677" s="139"/>
      <c r="F677" s="139"/>
      <c r="G677" s="139"/>
      <c r="H677" s="139"/>
      <c r="I677" s="139"/>
      <c r="J677" s="139"/>
      <c r="K677" s="139"/>
      <c r="L677" s="139"/>
      <c r="M677" s="139"/>
      <c r="N677" s="145"/>
      <c r="O677" s="139"/>
      <c r="P677" s="139"/>
      <c r="Q677" s="231"/>
      <c r="R677" s="139"/>
      <c r="S677" s="235"/>
      <c r="T677" s="235"/>
      <c r="U677" s="145"/>
      <c r="V677" s="145"/>
      <c r="W677" s="111"/>
      <c r="X677" s="233"/>
      <c r="Y677" s="226"/>
      <c r="Z677" s="139"/>
      <c r="AA677" s="139"/>
      <c r="AB677" s="139"/>
      <c r="AC677" s="139"/>
      <c r="AD677" s="139"/>
      <c r="AE677" s="139"/>
      <c r="AF677" s="139"/>
      <c r="AG677" s="139"/>
      <c r="AH677" s="139"/>
      <c r="AI677" s="139"/>
      <c r="AJ677" s="139"/>
      <c r="AK677" s="139"/>
      <c r="AL677" s="139"/>
      <c r="AM677" s="139"/>
      <c r="AN677" s="139"/>
      <c r="AO677" s="139"/>
      <c r="AP677" s="139"/>
      <c r="AQ677" s="139"/>
      <c r="AR677" s="139"/>
      <c r="AS677" s="139"/>
      <c r="AT677" s="139"/>
      <c r="AU677" s="139"/>
      <c r="AV677" s="139"/>
    </row>
    <row r="678">
      <c r="A678" s="139"/>
      <c r="B678" s="234"/>
      <c r="C678" s="139"/>
      <c r="D678" s="139"/>
      <c r="E678" s="139"/>
      <c r="F678" s="139"/>
      <c r="G678" s="139"/>
      <c r="H678" s="139"/>
      <c r="I678" s="139"/>
      <c r="J678" s="139"/>
      <c r="K678" s="139"/>
      <c r="L678" s="139"/>
      <c r="M678" s="139"/>
      <c r="N678" s="145"/>
      <c r="O678" s="139"/>
      <c r="P678" s="139"/>
      <c r="Q678" s="231"/>
      <c r="R678" s="139"/>
      <c r="S678" s="235"/>
      <c r="T678" s="235"/>
      <c r="U678" s="145"/>
      <c r="V678" s="145"/>
      <c r="W678" s="111"/>
      <c r="X678" s="233"/>
      <c r="Y678" s="226"/>
      <c r="Z678" s="139"/>
      <c r="AA678" s="139"/>
      <c r="AB678" s="139"/>
      <c r="AC678" s="139"/>
      <c r="AD678" s="139"/>
      <c r="AE678" s="139"/>
      <c r="AF678" s="139"/>
      <c r="AG678" s="139"/>
      <c r="AH678" s="139"/>
      <c r="AI678" s="139"/>
      <c r="AJ678" s="139"/>
      <c r="AK678" s="139"/>
      <c r="AL678" s="139"/>
      <c r="AM678" s="139"/>
      <c r="AN678" s="139"/>
      <c r="AO678" s="139"/>
      <c r="AP678" s="139"/>
      <c r="AQ678" s="139"/>
      <c r="AR678" s="139"/>
      <c r="AS678" s="139"/>
      <c r="AT678" s="139"/>
      <c r="AU678" s="139"/>
      <c r="AV678" s="139"/>
    </row>
    <row r="679">
      <c r="A679" s="139"/>
      <c r="B679" s="234"/>
      <c r="C679" s="139"/>
      <c r="D679" s="139"/>
      <c r="E679" s="139"/>
      <c r="F679" s="139"/>
      <c r="G679" s="139"/>
      <c r="H679" s="139"/>
      <c r="I679" s="139"/>
      <c r="J679" s="139"/>
      <c r="K679" s="139"/>
      <c r="L679" s="139"/>
      <c r="M679" s="139"/>
      <c r="N679" s="145"/>
      <c r="O679" s="139"/>
      <c r="P679" s="139"/>
      <c r="Q679" s="231"/>
      <c r="R679" s="139"/>
      <c r="S679" s="235"/>
      <c r="T679" s="235"/>
      <c r="U679" s="145"/>
      <c r="V679" s="145"/>
      <c r="W679" s="111"/>
      <c r="X679" s="233"/>
      <c r="Y679" s="226"/>
      <c r="Z679" s="139"/>
      <c r="AA679" s="139"/>
      <c r="AB679" s="139"/>
      <c r="AC679" s="139"/>
      <c r="AD679" s="139"/>
      <c r="AE679" s="139"/>
      <c r="AF679" s="139"/>
      <c r="AG679" s="139"/>
      <c r="AH679" s="139"/>
      <c r="AI679" s="139"/>
      <c r="AJ679" s="139"/>
      <c r="AK679" s="139"/>
      <c r="AL679" s="139"/>
      <c r="AM679" s="139"/>
      <c r="AN679" s="139"/>
      <c r="AO679" s="139"/>
      <c r="AP679" s="139"/>
      <c r="AQ679" s="139"/>
      <c r="AR679" s="139"/>
      <c r="AS679" s="139"/>
      <c r="AT679" s="139"/>
      <c r="AU679" s="139"/>
      <c r="AV679" s="139"/>
    </row>
    <row r="680">
      <c r="A680" s="139"/>
      <c r="B680" s="234"/>
      <c r="C680" s="139"/>
      <c r="D680" s="139"/>
      <c r="E680" s="139"/>
      <c r="F680" s="139"/>
      <c r="G680" s="139"/>
      <c r="H680" s="139"/>
      <c r="I680" s="139"/>
      <c r="J680" s="139"/>
      <c r="K680" s="139"/>
      <c r="L680" s="139"/>
      <c r="M680" s="139"/>
      <c r="N680" s="145"/>
      <c r="O680" s="139"/>
      <c r="P680" s="139"/>
      <c r="Q680" s="231"/>
      <c r="R680" s="139"/>
      <c r="S680" s="235"/>
      <c r="T680" s="235"/>
      <c r="U680" s="145"/>
      <c r="V680" s="145"/>
      <c r="W680" s="111"/>
      <c r="X680" s="233"/>
      <c r="Y680" s="226"/>
      <c r="Z680" s="139"/>
      <c r="AA680" s="139"/>
      <c r="AB680" s="139"/>
      <c r="AC680" s="139"/>
      <c r="AD680" s="139"/>
      <c r="AE680" s="139"/>
      <c r="AF680" s="139"/>
      <c r="AG680" s="139"/>
      <c r="AH680" s="139"/>
      <c r="AI680" s="139"/>
      <c r="AJ680" s="139"/>
      <c r="AK680" s="139"/>
      <c r="AL680" s="139"/>
      <c r="AM680" s="139"/>
      <c r="AN680" s="139"/>
      <c r="AO680" s="139"/>
      <c r="AP680" s="139"/>
      <c r="AQ680" s="139"/>
      <c r="AR680" s="139"/>
      <c r="AS680" s="139"/>
      <c r="AT680" s="139"/>
      <c r="AU680" s="139"/>
      <c r="AV680" s="139"/>
    </row>
    <row r="681">
      <c r="A681" s="139"/>
      <c r="B681" s="234"/>
      <c r="C681" s="139"/>
      <c r="D681" s="139"/>
      <c r="E681" s="139"/>
      <c r="F681" s="139"/>
      <c r="G681" s="139"/>
      <c r="H681" s="139"/>
      <c r="I681" s="139"/>
      <c r="J681" s="139"/>
      <c r="K681" s="139"/>
      <c r="L681" s="139"/>
      <c r="M681" s="139"/>
      <c r="N681" s="145"/>
      <c r="O681" s="139"/>
      <c r="P681" s="139"/>
      <c r="Q681" s="231"/>
      <c r="R681" s="139"/>
      <c r="S681" s="235"/>
      <c r="T681" s="235"/>
      <c r="U681" s="145"/>
      <c r="V681" s="145"/>
      <c r="W681" s="111"/>
      <c r="X681" s="233"/>
      <c r="Y681" s="226"/>
      <c r="Z681" s="139"/>
      <c r="AA681" s="139"/>
      <c r="AB681" s="139"/>
      <c r="AC681" s="139"/>
      <c r="AD681" s="139"/>
      <c r="AE681" s="139"/>
      <c r="AF681" s="139"/>
      <c r="AG681" s="139"/>
      <c r="AH681" s="139"/>
      <c r="AI681" s="139"/>
      <c r="AJ681" s="139"/>
      <c r="AK681" s="139"/>
      <c r="AL681" s="139"/>
      <c r="AM681" s="139"/>
      <c r="AN681" s="139"/>
      <c r="AO681" s="139"/>
      <c r="AP681" s="139"/>
      <c r="AQ681" s="139"/>
      <c r="AR681" s="139"/>
      <c r="AS681" s="139"/>
      <c r="AT681" s="139"/>
      <c r="AU681" s="139"/>
      <c r="AV681" s="139"/>
    </row>
    <row r="682">
      <c r="A682" s="139"/>
      <c r="B682" s="234"/>
      <c r="C682" s="139"/>
      <c r="D682" s="139"/>
      <c r="E682" s="139"/>
      <c r="F682" s="139"/>
      <c r="G682" s="139"/>
      <c r="H682" s="139"/>
      <c r="I682" s="139"/>
      <c r="J682" s="139"/>
      <c r="K682" s="139"/>
      <c r="L682" s="139"/>
      <c r="M682" s="139"/>
      <c r="N682" s="145"/>
      <c r="O682" s="139"/>
      <c r="P682" s="139"/>
      <c r="Q682" s="231"/>
      <c r="R682" s="139"/>
      <c r="S682" s="235"/>
      <c r="T682" s="235"/>
      <c r="U682" s="145"/>
      <c r="V682" s="145"/>
      <c r="W682" s="111"/>
      <c r="X682" s="233"/>
      <c r="Y682" s="226"/>
      <c r="Z682" s="139"/>
      <c r="AA682" s="139"/>
      <c r="AB682" s="139"/>
      <c r="AC682" s="139"/>
      <c r="AD682" s="139"/>
      <c r="AE682" s="139"/>
      <c r="AF682" s="139"/>
      <c r="AG682" s="139"/>
      <c r="AH682" s="139"/>
      <c r="AI682" s="139"/>
      <c r="AJ682" s="139"/>
      <c r="AK682" s="139"/>
      <c r="AL682" s="139"/>
      <c r="AM682" s="139"/>
      <c r="AN682" s="139"/>
      <c r="AO682" s="139"/>
      <c r="AP682" s="139"/>
      <c r="AQ682" s="139"/>
      <c r="AR682" s="139"/>
      <c r="AS682" s="139"/>
      <c r="AT682" s="139"/>
      <c r="AU682" s="139"/>
      <c r="AV682" s="139"/>
    </row>
    <row r="683">
      <c r="A683" s="139"/>
      <c r="B683" s="234"/>
      <c r="C683" s="139"/>
      <c r="D683" s="139"/>
      <c r="E683" s="139"/>
      <c r="F683" s="139"/>
      <c r="G683" s="139"/>
      <c r="H683" s="139"/>
      <c r="I683" s="139"/>
      <c r="J683" s="139"/>
      <c r="K683" s="139"/>
      <c r="L683" s="139"/>
      <c r="M683" s="139"/>
      <c r="N683" s="145"/>
      <c r="O683" s="139"/>
      <c r="P683" s="139"/>
      <c r="Q683" s="231"/>
      <c r="R683" s="139"/>
      <c r="S683" s="235"/>
      <c r="T683" s="235"/>
      <c r="U683" s="145"/>
      <c r="V683" s="145"/>
      <c r="W683" s="111"/>
      <c r="X683" s="233"/>
      <c r="Y683" s="226"/>
      <c r="Z683" s="139"/>
      <c r="AA683" s="139"/>
      <c r="AB683" s="139"/>
      <c r="AC683" s="139"/>
      <c r="AD683" s="139"/>
      <c r="AE683" s="139"/>
      <c r="AF683" s="139"/>
      <c r="AG683" s="139"/>
      <c r="AH683" s="139"/>
      <c r="AI683" s="139"/>
      <c r="AJ683" s="139"/>
      <c r="AK683" s="139"/>
      <c r="AL683" s="139"/>
      <c r="AM683" s="139"/>
      <c r="AN683" s="139"/>
      <c r="AO683" s="139"/>
      <c r="AP683" s="139"/>
      <c r="AQ683" s="139"/>
      <c r="AR683" s="139"/>
      <c r="AS683" s="139"/>
      <c r="AT683" s="139"/>
      <c r="AU683" s="139"/>
      <c r="AV683" s="139"/>
    </row>
    <row r="684">
      <c r="A684" s="139"/>
      <c r="B684" s="234"/>
      <c r="C684" s="139"/>
      <c r="D684" s="139"/>
      <c r="E684" s="139"/>
      <c r="F684" s="139"/>
      <c r="G684" s="139"/>
      <c r="H684" s="139"/>
      <c r="I684" s="139"/>
      <c r="J684" s="139"/>
      <c r="K684" s="139"/>
      <c r="L684" s="139"/>
      <c r="M684" s="139"/>
      <c r="N684" s="145"/>
      <c r="O684" s="139"/>
      <c r="P684" s="139"/>
      <c r="Q684" s="231"/>
      <c r="R684" s="139"/>
      <c r="S684" s="235"/>
      <c r="T684" s="235"/>
      <c r="U684" s="145"/>
      <c r="V684" s="145"/>
      <c r="W684" s="111"/>
      <c r="X684" s="233"/>
      <c r="Y684" s="226"/>
      <c r="Z684" s="139"/>
      <c r="AA684" s="139"/>
      <c r="AB684" s="139"/>
      <c r="AC684" s="139"/>
      <c r="AD684" s="139"/>
      <c r="AE684" s="139"/>
      <c r="AF684" s="139"/>
      <c r="AG684" s="139"/>
      <c r="AH684" s="139"/>
      <c r="AI684" s="139"/>
      <c r="AJ684" s="139"/>
      <c r="AK684" s="139"/>
      <c r="AL684" s="139"/>
      <c r="AM684" s="139"/>
      <c r="AN684" s="139"/>
      <c r="AO684" s="139"/>
      <c r="AP684" s="139"/>
      <c r="AQ684" s="139"/>
      <c r="AR684" s="139"/>
      <c r="AS684" s="139"/>
      <c r="AT684" s="139"/>
      <c r="AU684" s="139"/>
      <c r="AV684" s="139"/>
    </row>
    <row r="685">
      <c r="A685" s="139"/>
      <c r="B685" s="234"/>
      <c r="C685" s="139"/>
      <c r="D685" s="139"/>
      <c r="E685" s="139"/>
      <c r="F685" s="139"/>
      <c r="G685" s="139"/>
      <c r="H685" s="139"/>
      <c r="I685" s="139"/>
      <c r="J685" s="139"/>
      <c r="K685" s="139"/>
      <c r="L685" s="139"/>
      <c r="M685" s="139"/>
      <c r="N685" s="145"/>
      <c r="O685" s="139"/>
      <c r="P685" s="139"/>
      <c r="Q685" s="231"/>
      <c r="R685" s="139"/>
      <c r="S685" s="235"/>
      <c r="T685" s="235"/>
      <c r="U685" s="145"/>
      <c r="V685" s="145"/>
      <c r="W685" s="111"/>
      <c r="X685" s="233"/>
      <c r="Y685" s="226"/>
      <c r="Z685" s="139"/>
      <c r="AA685" s="139"/>
      <c r="AB685" s="139"/>
      <c r="AC685" s="139"/>
      <c r="AD685" s="139"/>
      <c r="AE685" s="139"/>
      <c r="AF685" s="139"/>
      <c r="AG685" s="139"/>
      <c r="AH685" s="139"/>
      <c r="AI685" s="139"/>
      <c r="AJ685" s="139"/>
      <c r="AK685" s="139"/>
      <c r="AL685" s="139"/>
      <c r="AM685" s="139"/>
      <c r="AN685" s="139"/>
      <c r="AO685" s="139"/>
      <c r="AP685" s="139"/>
      <c r="AQ685" s="139"/>
      <c r="AR685" s="139"/>
      <c r="AS685" s="139"/>
      <c r="AT685" s="139"/>
      <c r="AU685" s="139"/>
      <c r="AV685" s="139"/>
    </row>
    <row r="686">
      <c r="A686" s="139"/>
      <c r="B686" s="234"/>
      <c r="C686" s="139"/>
      <c r="D686" s="139"/>
      <c r="E686" s="139"/>
      <c r="F686" s="139"/>
      <c r="G686" s="139"/>
      <c r="H686" s="139"/>
      <c r="I686" s="139"/>
      <c r="J686" s="139"/>
      <c r="K686" s="139"/>
      <c r="L686" s="139"/>
      <c r="M686" s="139"/>
      <c r="N686" s="145"/>
      <c r="O686" s="139"/>
      <c r="P686" s="139"/>
      <c r="Q686" s="231"/>
      <c r="R686" s="139"/>
      <c r="S686" s="235"/>
      <c r="T686" s="235"/>
      <c r="U686" s="145"/>
      <c r="V686" s="145"/>
      <c r="W686" s="111"/>
      <c r="X686" s="233"/>
      <c r="Y686" s="226"/>
      <c r="Z686" s="139"/>
      <c r="AA686" s="139"/>
      <c r="AB686" s="139"/>
      <c r="AC686" s="139"/>
      <c r="AD686" s="139"/>
      <c r="AE686" s="139"/>
      <c r="AF686" s="139"/>
      <c r="AG686" s="139"/>
      <c r="AH686" s="139"/>
      <c r="AI686" s="139"/>
      <c r="AJ686" s="139"/>
      <c r="AK686" s="139"/>
      <c r="AL686" s="139"/>
      <c r="AM686" s="139"/>
      <c r="AN686" s="139"/>
      <c r="AO686" s="139"/>
      <c r="AP686" s="139"/>
      <c r="AQ686" s="139"/>
      <c r="AR686" s="139"/>
      <c r="AS686" s="139"/>
      <c r="AT686" s="139"/>
      <c r="AU686" s="139"/>
      <c r="AV686" s="139"/>
    </row>
    <row r="687">
      <c r="A687" s="139"/>
      <c r="B687" s="234"/>
      <c r="C687" s="139"/>
      <c r="D687" s="139"/>
      <c r="E687" s="139"/>
      <c r="F687" s="139"/>
      <c r="G687" s="139"/>
      <c r="H687" s="139"/>
      <c r="I687" s="139"/>
      <c r="J687" s="139"/>
      <c r="K687" s="139"/>
      <c r="L687" s="139"/>
      <c r="M687" s="139"/>
      <c r="N687" s="145"/>
      <c r="O687" s="139"/>
      <c r="P687" s="139"/>
      <c r="Q687" s="231"/>
      <c r="R687" s="139"/>
      <c r="S687" s="235"/>
      <c r="T687" s="235"/>
      <c r="U687" s="145"/>
      <c r="V687" s="145"/>
      <c r="W687" s="111"/>
      <c r="X687" s="233"/>
      <c r="Y687" s="226"/>
      <c r="Z687" s="139"/>
      <c r="AA687" s="139"/>
      <c r="AB687" s="139"/>
      <c r="AC687" s="139"/>
      <c r="AD687" s="139"/>
      <c r="AE687" s="139"/>
      <c r="AF687" s="139"/>
      <c r="AG687" s="139"/>
      <c r="AH687" s="139"/>
      <c r="AI687" s="139"/>
      <c r="AJ687" s="139"/>
      <c r="AK687" s="139"/>
      <c r="AL687" s="139"/>
      <c r="AM687" s="139"/>
      <c r="AN687" s="139"/>
      <c r="AO687" s="139"/>
      <c r="AP687" s="139"/>
      <c r="AQ687" s="139"/>
      <c r="AR687" s="139"/>
      <c r="AS687" s="139"/>
      <c r="AT687" s="139"/>
      <c r="AU687" s="139"/>
      <c r="AV687" s="139"/>
    </row>
    <row r="688">
      <c r="A688" s="139"/>
      <c r="B688" s="234"/>
      <c r="C688" s="139"/>
      <c r="D688" s="139"/>
      <c r="E688" s="139"/>
      <c r="F688" s="139"/>
      <c r="G688" s="139"/>
      <c r="H688" s="139"/>
      <c r="I688" s="139"/>
      <c r="J688" s="139"/>
      <c r="K688" s="139"/>
      <c r="L688" s="139"/>
      <c r="M688" s="139"/>
      <c r="N688" s="145"/>
      <c r="O688" s="139"/>
      <c r="P688" s="139"/>
      <c r="Q688" s="231"/>
      <c r="R688" s="139"/>
      <c r="S688" s="235"/>
      <c r="T688" s="235"/>
      <c r="U688" s="145"/>
      <c r="V688" s="145"/>
      <c r="W688" s="111"/>
      <c r="X688" s="233"/>
      <c r="Y688" s="226"/>
      <c r="Z688" s="139"/>
      <c r="AA688" s="139"/>
      <c r="AB688" s="139"/>
      <c r="AC688" s="139"/>
      <c r="AD688" s="139"/>
      <c r="AE688" s="139"/>
      <c r="AF688" s="139"/>
      <c r="AG688" s="139"/>
      <c r="AH688" s="139"/>
      <c r="AI688" s="139"/>
      <c r="AJ688" s="139"/>
      <c r="AK688" s="139"/>
      <c r="AL688" s="139"/>
      <c r="AM688" s="139"/>
      <c r="AN688" s="139"/>
      <c r="AO688" s="139"/>
      <c r="AP688" s="139"/>
      <c r="AQ688" s="139"/>
      <c r="AR688" s="139"/>
      <c r="AS688" s="139"/>
      <c r="AT688" s="139"/>
      <c r="AU688" s="139"/>
      <c r="AV688" s="139"/>
    </row>
    <row r="689">
      <c r="A689" s="139"/>
      <c r="B689" s="234"/>
      <c r="C689" s="139"/>
      <c r="D689" s="139"/>
      <c r="E689" s="139"/>
      <c r="F689" s="139"/>
      <c r="G689" s="139"/>
      <c r="H689" s="139"/>
      <c r="I689" s="139"/>
      <c r="J689" s="139"/>
      <c r="K689" s="139"/>
      <c r="L689" s="139"/>
      <c r="M689" s="139"/>
      <c r="N689" s="145"/>
      <c r="O689" s="139"/>
      <c r="P689" s="139"/>
      <c r="Q689" s="231"/>
      <c r="R689" s="139"/>
      <c r="S689" s="235"/>
      <c r="T689" s="235"/>
      <c r="U689" s="145"/>
      <c r="V689" s="145"/>
      <c r="W689" s="111"/>
      <c r="X689" s="233"/>
      <c r="Y689" s="226"/>
      <c r="Z689" s="139"/>
      <c r="AA689" s="139"/>
      <c r="AB689" s="139"/>
      <c r="AC689" s="139"/>
      <c r="AD689" s="139"/>
      <c r="AE689" s="139"/>
      <c r="AF689" s="139"/>
      <c r="AG689" s="139"/>
      <c r="AH689" s="139"/>
      <c r="AI689" s="139"/>
      <c r="AJ689" s="139"/>
      <c r="AK689" s="139"/>
      <c r="AL689" s="139"/>
      <c r="AM689" s="139"/>
      <c r="AN689" s="139"/>
      <c r="AO689" s="139"/>
      <c r="AP689" s="139"/>
      <c r="AQ689" s="139"/>
      <c r="AR689" s="139"/>
      <c r="AS689" s="139"/>
      <c r="AT689" s="139"/>
      <c r="AU689" s="139"/>
      <c r="AV689" s="139"/>
    </row>
    <row r="690">
      <c r="A690" s="139"/>
      <c r="B690" s="234"/>
      <c r="C690" s="139"/>
      <c r="D690" s="139"/>
      <c r="E690" s="139"/>
      <c r="F690" s="139"/>
      <c r="G690" s="139"/>
      <c r="H690" s="139"/>
      <c r="I690" s="139"/>
      <c r="J690" s="139"/>
      <c r="K690" s="139"/>
      <c r="L690" s="139"/>
      <c r="M690" s="139"/>
      <c r="N690" s="145"/>
      <c r="O690" s="139"/>
      <c r="P690" s="139"/>
      <c r="Q690" s="231"/>
      <c r="R690" s="139"/>
      <c r="S690" s="235"/>
      <c r="T690" s="235"/>
      <c r="U690" s="145"/>
      <c r="V690" s="145"/>
      <c r="W690" s="111"/>
      <c r="X690" s="233"/>
      <c r="Y690" s="226"/>
      <c r="Z690" s="139"/>
      <c r="AA690" s="139"/>
      <c r="AB690" s="139"/>
      <c r="AC690" s="139"/>
      <c r="AD690" s="139"/>
      <c r="AE690" s="139"/>
      <c r="AF690" s="139"/>
      <c r="AG690" s="139"/>
      <c r="AH690" s="139"/>
      <c r="AI690" s="139"/>
      <c r="AJ690" s="139"/>
      <c r="AK690" s="139"/>
      <c r="AL690" s="139"/>
      <c r="AM690" s="139"/>
      <c r="AN690" s="139"/>
      <c r="AO690" s="139"/>
      <c r="AP690" s="139"/>
      <c r="AQ690" s="139"/>
      <c r="AR690" s="139"/>
      <c r="AS690" s="139"/>
      <c r="AT690" s="139"/>
      <c r="AU690" s="139"/>
      <c r="AV690" s="139"/>
    </row>
    <row r="691">
      <c r="A691" s="139"/>
      <c r="B691" s="234"/>
      <c r="C691" s="139"/>
      <c r="D691" s="139"/>
      <c r="E691" s="139"/>
      <c r="F691" s="139"/>
      <c r="G691" s="139"/>
      <c r="H691" s="139"/>
      <c r="I691" s="139"/>
      <c r="J691" s="139"/>
      <c r="K691" s="139"/>
      <c r="L691" s="139"/>
      <c r="M691" s="139"/>
      <c r="N691" s="145"/>
      <c r="O691" s="139"/>
      <c r="P691" s="139"/>
      <c r="Q691" s="231"/>
      <c r="R691" s="139"/>
      <c r="S691" s="235"/>
      <c r="T691" s="235"/>
      <c r="U691" s="145"/>
      <c r="V691" s="145"/>
      <c r="W691" s="111"/>
      <c r="X691" s="233"/>
      <c r="Y691" s="226"/>
      <c r="Z691" s="139"/>
      <c r="AA691" s="139"/>
      <c r="AB691" s="139"/>
      <c r="AC691" s="139"/>
      <c r="AD691" s="139"/>
      <c r="AE691" s="139"/>
      <c r="AF691" s="139"/>
      <c r="AG691" s="139"/>
      <c r="AH691" s="139"/>
      <c r="AI691" s="139"/>
      <c r="AJ691" s="139"/>
      <c r="AK691" s="139"/>
      <c r="AL691" s="139"/>
      <c r="AM691" s="139"/>
      <c r="AN691" s="139"/>
      <c r="AO691" s="139"/>
      <c r="AP691" s="139"/>
      <c r="AQ691" s="139"/>
      <c r="AR691" s="139"/>
      <c r="AS691" s="139"/>
      <c r="AT691" s="139"/>
      <c r="AU691" s="139"/>
      <c r="AV691" s="139"/>
    </row>
    <row r="692">
      <c r="A692" s="139"/>
      <c r="B692" s="234"/>
      <c r="C692" s="139"/>
      <c r="D692" s="139"/>
      <c r="E692" s="139"/>
      <c r="F692" s="139"/>
      <c r="G692" s="139"/>
      <c r="H692" s="139"/>
      <c r="I692" s="139"/>
      <c r="J692" s="139"/>
      <c r="K692" s="139"/>
      <c r="L692" s="139"/>
      <c r="M692" s="139"/>
      <c r="N692" s="145"/>
      <c r="O692" s="139"/>
      <c r="P692" s="139"/>
      <c r="Q692" s="231"/>
      <c r="R692" s="139"/>
      <c r="S692" s="235"/>
      <c r="T692" s="235"/>
      <c r="U692" s="145"/>
      <c r="V692" s="145"/>
      <c r="W692" s="111"/>
      <c r="X692" s="233"/>
      <c r="Y692" s="226"/>
      <c r="Z692" s="139"/>
      <c r="AA692" s="139"/>
      <c r="AB692" s="139"/>
      <c r="AC692" s="139"/>
      <c r="AD692" s="139"/>
      <c r="AE692" s="139"/>
      <c r="AF692" s="139"/>
      <c r="AG692" s="139"/>
      <c r="AH692" s="139"/>
      <c r="AI692" s="139"/>
      <c r="AJ692" s="139"/>
      <c r="AK692" s="139"/>
      <c r="AL692" s="139"/>
      <c r="AM692" s="139"/>
      <c r="AN692" s="139"/>
      <c r="AO692" s="139"/>
      <c r="AP692" s="139"/>
      <c r="AQ692" s="139"/>
      <c r="AR692" s="139"/>
      <c r="AS692" s="139"/>
      <c r="AT692" s="139"/>
      <c r="AU692" s="139"/>
      <c r="AV692" s="139"/>
    </row>
    <row r="693">
      <c r="A693" s="139"/>
      <c r="B693" s="234"/>
      <c r="C693" s="139"/>
      <c r="D693" s="139"/>
      <c r="E693" s="139"/>
      <c r="F693" s="139"/>
      <c r="G693" s="139"/>
      <c r="H693" s="139"/>
      <c r="I693" s="139"/>
      <c r="J693" s="139"/>
      <c r="K693" s="139"/>
      <c r="L693" s="139"/>
      <c r="M693" s="139"/>
      <c r="N693" s="145"/>
      <c r="O693" s="139"/>
      <c r="P693" s="139"/>
      <c r="Q693" s="231"/>
      <c r="R693" s="139"/>
      <c r="S693" s="235"/>
      <c r="T693" s="235"/>
      <c r="U693" s="145"/>
      <c r="V693" s="145"/>
      <c r="W693" s="111"/>
      <c r="X693" s="233"/>
      <c r="Y693" s="226"/>
      <c r="Z693" s="139"/>
      <c r="AA693" s="139"/>
      <c r="AB693" s="139"/>
      <c r="AC693" s="139"/>
      <c r="AD693" s="139"/>
      <c r="AE693" s="139"/>
      <c r="AF693" s="139"/>
      <c r="AG693" s="139"/>
      <c r="AH693" s="139"/>
      <c r="AI693" s="139"/>
      <c r="AJ693" s="139"/>
      <c r="AK693" s="139"/>
      <c r="AL693" s="139"/>
      <c r="AM693" s="139"/>
      <c r="AN693" s="139"/>
      <c r="AO693" s="139"/>
      <c r="AP693" s="139"/>
      <c r="AQ693" s="139"/>
      <c r="AR693" s="139"/>
      <c r="AS693" s="139"/>
      <c r="AT693" s="139"/>
      <c r="AU693" s="139"/>
      <c r="AV693" s="139"/>
    </row>
    <row r="694">
      <c r="A694" s="139"/>
      <c r="B694" s="234"/>
      <c r="C694" s="139"/>
      <c r="D694" s="139"/>
      <c r="E694" s="139"/>
      <c r="F694" s="139"/>
      <c r="G694" s="139"/>
      <c r="H694" s="139"/>
      <c r="I694" s="139"/>
      <c r="J694" s="139"/>
      <c r="K694" s="139"/>
      <c r="L694" s="139"/>
      <c r="M694" s="139"/>
      <c r="N694" s="145"/>
      <c r="O694" s="139"/>
      <c r="P694" s="139"/>
      <c r="Q694" s="231"/>
      <c r="R694" s="139"/>
      <c r="S694" s="235"/>
      <c r="T694" s="235"/>
      <c r="U694" s="145"/>
      <c r="V694" s="145"/>
      <c r="W694" s="111"/>
      <c r="X694" s="233"/>
      <c r="Y694" s="226"/>
      <c r="Z694" s="139"/>
      <c r="AA694" s="139"/>
      <c r="AB694" s="139"/>
      <c r="AC694" s="139"/>
      <c r="AD694" s="139"/>
      <c r="AE694" s="139"/>
      <c r="AF694" s="139"/>
      <c r="AG694" s="139"/>
      <c r="AH694" s="139"/>
      <c r="AI694" s="139"/>
      <c r="AJ694" s="139"/>
      <c r="AK694" s="139"/>
      <c r="AL694" s="139"/>
      <c r="AM694" s="139"/>
      <c r="AN694" s="139"/>
      <c r="AO694" s="139"/>
      <c r="AP694" s="139"/>
      <c r="AQ694" s="139"/>
      <c r="AR694" s="139"/>
      <c r="AS694" s="139"/>
      <c r="AT694" s="139"/>
      <c r="AU694" s="139"/>
      <c r="AV694" s="139"/>
    </row>
    <row r="695">
      <c r="A695" s="139"/>
      <c r="B695" s="234"/>
      <c r="C695" s="139"/>
      <c r="D695" s="139"/>
      <c r="E695" s="139"/>
      <c r="F695" s="139"/>
      <c r="G695" s="139"/>
      <c r="H695" s="139"/>
      <c r="I695" s="139"/>
      <c r="J695" s="139"/>
      <c r="K695" s="139"/>
      <c r="L695" s="139"/>
      <c r="M695" s="139"/>
      <c r="N695" s="145"/>
      <c r="O695" s="139"/>
      <c r="P695" s="139"/>
      <c r="Q695" s="231"/>
      <c r="R695" s="139"/>
      <c r="S695" s="235"/>
      <c r="T695" s="235"/>
      <c r="U695" s="145"/>
      <c r="V695" s="145"/>
      <c r="W695" s="111"/>
      <c r="X695" s="233"/>
      <c r="Y695" s="226"/>
      <c r="Z695" s="139"/>
      <c r="AA695" s="139"/>
      <c r="AB695" s="139"/>
      <c r="AC695" s="139"/>
      <c r="AD695" s="139"/>
      <c r="AE695" s="139"/>
      <c r="AF695" s="139"/>
      <c r="AG695" s="139"/>
      <c r="AH695" s="139"/>
      <c r="AI695" s="139"/>
      <c r="AJ695" s="139"/>
      <c r="AK695" s="139"/>
      <c r="AL695" s="139"/>
      <c r="AM695" s="139"/>
      <c r="AN695" s="139"/>
      <c r="AO695" s="139"/>
      <c r="AP695" s="139"/>
      <c r="AQ695" s="139"/>
      <c r="AR695" s="139"/>
      <c r="AS695" s="139"/>
      <c r="AT695" s="139"/>
      <c r="AU695" s="139"/>
      <c r="AV695" s="139"/>
    </row>
    <row r="696">
      <c r="A696" s="139"/>
      <c r="B696" s="234"/>
      <c r="C696" s="139"/>
      <c r="D696" s="139"/>
      <c r="E696" s="139"/>
      <c r="F696" s="139"/>
      <c r="G696" s="139"/>
      <c r="H696" s="139"/>
      <c r="I696" s="139"/>
      <c r="J696" s="139"/>
      <c r="K696" s="139"/>
      <c r="L696" s="139"/>
      <c r="M696" s="139"/>
      <c r="N696" s="145"/>
      <c r="O696" s="139"/>
      <c r="P696" s="139"/>
      <c r="Q696" s="231"/>
      <c r="R696" s="139"/>
      <c r="S696" s="235"/>
      <c r="T696" s="235"/>
      <c r="U696" s="145"/>
      <c r="V696" s="145"/>
      <c r="W696" s="111"/>
      <c r="X696" s="233"/>
      <c r="Y696" s="226"/>
      <c r="Z696" s="139"/>
      <c r="AA696" s="139"/>
      <c r="AB696" s="139"/>
      <c r="AC696" s="139"/>
      <c r="AD696" s="139"/>
      <c r="AE696" s="139"/>
      <c r="AF696" s="139"/>
      <c r="AG696" s="139"/>
      <c r="AH696" s="139"/>
      <c r="AI696" s="139"/>
      <c r="AJ696" s="139"/>
      <c r="AK696" s="139"/>
      <c r="AL696" s="139"/>
      <c r="AM696" s="139"/>
      <c r="AN696" s="139"/>
      <c r="AO696" s="139"/>
      <c r="AP696" s="139"/>
      <c r="AQ696" s="139"/>
      <c r="AR696" s="139"/>
      <c r="AS696" s="139"/>
      <c r="AT696" s="139"/>
      <c r="AU696" s="139"/>
      <c r="AV696" s="139"/>
    </row>
    <row r="697">
      <c r="A697" s="139"/>
      <c r="B697" s="234"/>
      <c r="C697" s="139"/>
      <c r="D697" s="139"/>
      <c r="E697" s="139"/>
      <c r="F697" s="139"/>
      <c r="G697" s="139"/>
      <c r="H697" s="139"/>
      <c r="I697" s="139"/>
      <c r="J697" s="139"/>
      <c r="K697" s="139"/>
      <c r="L697" s="139"/>
      <c r="M697" s="139"/>
      <c r="N697" s="145"/>
      <c r="O697" s="139"/>
      <c r="P697" s="139"/>
      <c r="Q697" s="231"/>
      <c r="R697" s="139"/>
      <c r="S697" s="235"/>
      <c r="T697" s="235"/>
      <c r="U697" s="145"/>
      <c r="V697" s="145"/>
      <c r="W697" s="111"/>
      <c r="X697" s="233"/>
      <c r="Y697" s="226"/>
      <c r="Z697" s="139"/>
      <c r="AA697" s="139"/>
      <c r="AB697" s="139"/>
      <c r="AC697" s="139"/>
      <c r="AD697" s="139"/>
      <c r="AE697" s="139"/>
      <c r="AF697" s="139"/>
      <c r="AG697" s="139"/>
      <c r="AH697" s="139"/>
      <c r="AI697" s="139"/>
      <c r="AJ697" s="139"/>
      <c r="AK697" s="139"/>
      <c r="AL697" s="139"/>
      <c r="AM697" s="139"/>
      <c r="AN697" s="139"/>
      <c r="AO697" s="139"/>
      <c r="AP697" s="139"/>
      <c r="AQ697" s="139"/>
      <c r="AR697" s="139"/>
      <c r="AS697" s="139"/>
      <c r="AT697" s="139"/>
      <c r="AU697" s="139"/>
      <c r="AV697" s="139"/>
    </row>
    <row r="698">
      <c r="A698" s="139"/>
      <c r="B698" s="234"/>
      <c r="C698" s="139"/>
      <c r="D698" s="139"/>
      <c r="E698" s="139"/>
      <c r="F698" s="139"/>
      <c r="G698" s="139"/>
      <c r="H698" s="139"/>
      <c r="I698" s="139"/>
      <c r="J698" s="139"/>
      <c r="K698" s="139"/>
      <c r="L698" s="139"/>
      <c r="M698" s="139"/>
      <c r="N698" s="145"/>
      <c r="O698" s="139"/>
      <c r="P698" s="139"/>
      <c r="Q698" s="231"/>
      <c r="R698" s="139"/>
      <c r="S698" s="235"/>
      <c r="T698" s="235"/>
      <c r="U698" s="145"/>
      <c r="V698" s="145"/>
      <c r="W698" s="111"/>
      <c r="X698" s="233"/>
      <c r="Y698" s="226"/>
      <c r="Z698" s="139"/>
      <c r="AA698" s="139"/>
      <c r="AB698" s="139"/>
      <c r="AC698" s="139"/>
      <c r="AD698" s="139"/>
      <c r="AE698" s="139"/>
      <c r="AF698" s="139"/>
      <c r="AG698" s="139"/>
      <c r="AH698" s="139"/>
      <c r="AI698" s="139"/>
      <c r="AJ698" s="139"/>
      <c r="AK698" s="139"/>
      <c r="AL698" s="139"/>
      <c r="AM698" s="139"/>
      <c r="AN698" s="139"/>
      <c r="AO698" s="139"/>
      <c r="AP698" s="139"/>
      <c r="AQ698" s="139"/>
      <c r="AR698" s="139"/>
      <c r="AS698" s="139"/>
      <c r="AT698" s="139"/>
      <c r="AU698" s="139"/>
      <c r="AV698" s="139"/>
    </row>
    <row r="699">
      <c r="A699" s="139"/>
      <c r="B699" s="234"/>
      <c r="C699" s="139"/>
      <c r="D699" s="139"/>
      <c r="E699" s="139"/>
      <c r="F699" s="139"/>
      <c r="G699" s="139"/>
      <c r="H699" s="139"/>
      <c r="I699" s="139"/>
      <c r="J699" s="139"/>
      <c r="K699" s="139"/>
      <c r="L699" s="139"/>
      <c r="M699" s="139"/>
      <c r="N699" s="145"/>
      <c r="O699" s="139"/>
      <c r="P699" s="139"/>
      <c r="Q699" s="231"/>
      <c r="R699" s="139"/>
      <c r="S699" s="235"/>
      <c r="T699" s="235"/>
      <c r="U699" s="145"/>
      <c r="V699" s="145"/>
      <c r="W699" s="111"/>
      <c r="X699" s="233"/>
      <c r="Y699" s="226"/>
      <c r="Z699" s="139"/>
      <c r="AA699" s="139"/>
      <c r="AB699" s="139"/>
      <c r="AC699" s="139"/>
      <c r="AD699" s="139"/>
      <c r="AE699" s="139"/>
      <c r="AF699" s="139"/>
      <c r="AG699" s="139"/>
      <c r="AH699" s="139"/>
      <c r="AI699" s="139"/>
      <c r="AJ699" s="139"/>
      <c r="AK699" s="139"/>
      <c r="AL699" s="139"/>
      <c r="AM699" s="139"/>
      <c r="AN699" s="139"/>
      <c r="AO699" s="139"/>
      <c r="AP699" s="139"/>
      <c r="AQ699" s="139"/>
      <c r="AR699" s="139"/>
      <c r="AS699" s="139"/>
      <c r="AT699" s="139"/>
      <c r="AU699" s="139"/>
      <c r="AV699" s="139"/>
    </row>
    <row r="700">
      <c r="A700" s="139"/>
      <c r="B700" s="234"/>
      <c r="C700" s="139"/>
      <c r="D700" s="139"/>
      <c r="E700" s="139"/>
      <c r="F700" s="139"/>
      <c r="G700" s="139"/>
      <c r="H700" s="139"/>
      <c r="I700" s="139"/>
      <c r="J700" s="139"/>
      <c r="K700" s="139"/>
      <c r="L700" s="139"/>
      <c r="M700" s="139"/>
      <c r="N700" s="145"/>
      <c r="O700" s="139"/>
      <c r="P700" s="139"/>
      <c r="Q700" s="231"/>
      <c r="R700" s="139"/>
      <c r="S700" s="235"/>
      <c r="T700" s="235"/>
      <c r="U700" s="145"/>
      <c r="V700" s="145"/>
      <c r="W700" s="111"/>
      <c r="X700" s="233"/>
      <c r="Y700" s="226"/>
      <c r="Z700" s="139"/>
      <c r="AA700" s="139"/>
      <c r="AB700" s="139"/>
      <c r="AC700" s="139"/>
      <c r="AD700" s="139"/>
      <c r="AE700" s="139"/>
      <c r="AF700" s="139"/>
      <c r="AG700" s="139"/>
      <c r="AH700" s="139"/>
      <c r="AI700" s="139"/>
      <c r="AJ700" s="139"/>
      <c r="AK700" s="139"/>
      <c r="AL700" s="139"/>
      <c r="AM700" s="139"/>
      <c r="AN700" s="139"/>
      <c r="AO700" s="139"/>
      <c r="AP700" s="139"/>
      <c r="AQ700" s="139"/>
      <c r="AR700" s="139"/>
      <c r="AS700" s="139"/>
      <c r="AT700" s="139"/>
      <c r="AU700" s="139"/>
      <c r="AV700" s="139"/>
    </row>
    <row r="701">
      <c r="A701" s="139"/>
      <c r="B701" s="234"/>
      <c r="C701" s="139"/>
      <c r="D701" s="139"/>
      <c r="E701" s="139"/>
      <c r="F701" s="139"/>
      <c r="G701" s="139"/>
      <c r="H701" s="139"/>
      <c r="I701" s="139"/>
      <c r="J701" s="139"/>
      <c r="K701" s="139"/>
      <c r="L701" s="139"/>
      <c r="M701" s="139"/>
      <c r="N701" s="145"/>
      <c r="O701" s="139"/>
      <c r="P701" s="139"/>
      <c r="Q701" s="231"/>
      <c r="R701" s="139"/>
      <c r="S701" s="235"/>
      <c r="T701" s="235"/>
      <c r="U701" s="145"/>
      <c r="V701" s="145"/>
      <c r="W701" s="111"/>
      <c r="X701" s="233"/>
      <c r="Y701" s="226"/>
      <c r="Z701" s="139"/>
      <c r="AA701" s="139"/>
      <c r="AB701" s="139"/>
      <c r="AC701" s="139"/>
      <c r="AD701" s="139"/>
      <c r="AE701" s="139"/>
      <c r="AF701" s="139"/>
      <c r="AG701" s="139"/>
      <c r="AH701" s="139"/>
      <c r="AI701" s="139"/>
      <c r="AJ701" s="139"/>
      <c r="AK701" s="139"/>
      <c r="AL701" s="139"/>
      <c r="AM701" s="139"/>
      <c r="AN701" s="139"/>
      <c r="AO701" s="139"/>
      <c r="AP701" s="139"/>
      <c r="AQ701" s="139"/>
      <c r="AR701" s="139"/>
      <c r="AS701" s="139"/>
      <c r="AT701" s="139"/>
      <c r="AU701" s="139"/>
      <c r="AV701" s="139"/>
    </row>
    <row r="702">
      <c r="A702" s="139"/>
      <c r="B702" s="234"/>
      <c r="C702" s="139"/>
      <c r="D702" s="139"/>
      <c r="E702" s="139"/>
      <c r="F702" s="139"/>
      <c r="G702" s="139"/>
      <c r="H702" s="139"/>
      <c r="I702" s="139"/>
      <c r="J702" s="139"/>
      <c r="K702" s="139"/>
      <c r="L702" s="139"/>
      <c r="M702" s="139"/>
      <c r="N702" s="145"/>
      <c r="O702" s="139"/>
      <c r="P702" s="139"/>
      <c r="Q702" s="231"/>
      <c r="R702" s="139"/>
      <c r="S702" s="235"/>
      <c r="T702" s="235"/>
      <c r="U702" s="145"/>
      <c r="V702" s="145"/>
      <c r="W702" s="111"/>
      <c r="X702" s="233"/>
      <c r="Y702" s="226"/>
      <c r="Z702" s="139"/>
      <c r="AA702" s="139"/>
      <c r="AB702" s="139"/>
      <c r="AC702" s="139"/>
      <c r="AD702" s="139"/>
      <c r="AE702" s="139"/>
      <c r="AF702" s="139"/>
      <c r="AG702" s="139"/>
      <c r="AH702" s="139"/>
      <c r="AI702" s="139"/>
      <c r="AJ702" s="139"/>
      <c r="AK702" s="139"/>
      <c r="AL702" s="139"/>
      <c r="AM702" s="139"/>
      <c r="AN702" s="139"/>
      <c r="AO702" s="139"/>
      <c r="AP702" s="139"/>
      <c r="AQ702" s="139"/>
      <c r="AR702" s="139"/>
      <c r="AS702" s="139"/>
      <c r="AT702" s="139"/>
      <c r="AU702" s="139"/>
      <c r="AV702" s="139"/>
    </row>
    <row r="703">
      <c r="A703" s="139"/>
      <c r="B703" s="234"/>
      <c r="C703" s="139"/>
      <c r="D703" s="139"/>
      <c r="E703" s="139"/>
      <c r="F703" s="139"/>
      <c r="G703" s="139"/>
      <c r="H703" s="139"/>
      <c r="I703" s="139"/>
      <c r="J703" s="139"/>
      <c r="K703" s="139"/>
      <c r="L703" s="139"/>
      <c r="M703" s="139"/>
      <c r="N703" s="145"/>
      <c r="O703" s="139"/>
      <c r="P703" s="139"/>
      <c r="Q703" s="231"/>
      <c r="R703" s="139"/>
      <c r="S703" s="235"/>
      <c r="T703" s="235"/>
      <c r="U703" s="145"/>
      <c r="V703" s="145"/>
      <c r="W703" s="111"/>
      <c r="X703" s="233"/>
      <c r="Y703" s="226"/>
      <c r="Z703" s="139"/>
      <c r="AA703" s="139"/>
      <c r="AB703" s="139"/>
      <c r="AC703" s="139"/>
      <c r="AD703" s="139"/>
      <c r="AE703" s="139"/>
      <c r="AF703" s="139"/>
      <c r="AG703" s="139"/>
      <c r="AH703" s="139"/>
      <c r="AI703" s="139"/>
      <c r="AJ703" s="139"/>
      <c r="AK703" s="139"/>
      <c r="AL703" s="139"/>
      <c r="AM703" s="139"/>
      <c r="AN703" s="139"/>
      <c r="AO703" s="139"/>
      <c r="AP703" s="139"/>
      <c r="AQ703" s="139"/>
      <c r="AR703" s="139"/>
      <c r="AS703" s="139"/>
      <c r="AT703" s="139"/>
      <c r="AU703" s="139"/>
      <c r="AV703" s="139"/>
    </row>
    <row r="704">
      <c r="A704" s="139"/>
      <c r="B704" s="234"/>
      <c r="C704" s="139"/>
      <c r="D704" s="139"/>
      <c r="E704" s="139"/>
      <c r="F704" s="139"/>
      <c r="G704" s="139"/>
      <c r="H704" s="139"/>
      <c r="I704" s="139"/>
      <c r="J704" s="139"/>
      <c r="K704" s="139"/>
      <c r="L704" s="139"/>
      <c r="M704" s="139"/>
      <c r="N704" s="145"/>
      <c r="O704" s="139"/>
      <c r="P704" s="139"/>
      <c r="Q704" s="231"/>
      <c r="R704" s="139"/>
      <c r="S704" s="235"/>
      <c r="T704" s="235"/>
      <c r="U704" s="145"/>
      <c r="V704" s="145"/>
      <c r="W704" s="111"/>
      <c r="X704" s="233"/>
      <c r="Y704" s="226"/>
      <c r="Z704" s="139"/>
      <c r="AA704" s="139"/>
      <c r="AB704" s="139"/>
      <c r="AC704" s="139"/>
      <c r="AD704" s="139"/>
      <c r="AE704" s="139"/>
      <c r="AF704" s="139"/>
      <c r="AG704" s="139"/>
      <c r="AH704" s="139"/>
      <c r="AI704" s="139"/>
      <c r="AJ704" s="139"/>
      <c r="AK704" s="139"/>
      <c r="AL704" s="139"/>
      <c r="AM704" s="139"/>
      <c r="AN704" s="139"/>
      <c r="AO704" s="139"/>
      <c r="AP704" s="139"/>
      <c r="AQ704" s="139"/>
      <c r="AR704" s="139"/>
      <c r="AS704" s="139"/>
      <c r="AT704" s="139"/>
      <c r="AU704" s="139"/>
      <c r="AV704" s="139"/>
    </row>
    <row r="705">
      <c r="A705" s="139"/>
      <c r="B705" s="234"/>
      <c r="C705" s="139"/>
      <c r="D705" s="139"/>
      <c r="E705" s="139"/>
      <c r="F705" s="139"/>
      <c r="G705" s="139"/>
      <c r="H705" s="139"/>
      <c r="I705" s="139"/>
      <c r="J705" s="139"/>
      <c r="K705" s="139"/>
      <c r="L705" s="139"/>
      <c r="M705" s="139"/>
      <c r="N705" s="145"/>
      <c r="O705" s="139"/>
      <c r="P705" s="139"/>
      <c r="Q705" s="231"/>
      <c r="R705" s="139"/>
      <c r="S705" s="235"/>
      <c r="T705" s="235"/>
      <c r="U705" s="145"/>
      <c r="V705" s="145"/>
      <c r="W705" s="111"/>
      <c r="X705" s="233"/>
      <c r="Y705" s="226"/>
      <c r="Z705" s="139"/>
      <c r="AA705" s="139"/>
      <c r="AB705" s="139"/>
      <c r="AC705" s="139"/>
      <c r="AD705" s="139"/>
      <c r="AE705" s="139"/>
      <c r="AF705" s="139"/>
      <c r="AG705" s="139"/>
      <c r="AH705" s="139"/>
      <c r="AI705" s="139"/>
      <c r="AJ705" s="139"/>
      <c r="AK705" s="139"/>
      <c r="AL705" s="139"/>
      <c r="AM705" s="139"/>
      <c r="AN705" s="139"/>
      <c r="AO705" s="139"/>
      <c r="AP705" s="139"/>
      <c r="AQ705" s="139"/>
      <c r="AR705" s="139"/>
      <c r="AS705" s="139"/>
      <c r="AT705" s="139"/>
      <c r="AU705" s="139"/>
      <c r="AV705" s="139"/>
    </row>
    <row r="706">
      <c r="A706" s="139"/>
      <c r="B706" s="234"/>
      <c r="C706" s="139"/>
      <c r="D706" s="139"/>
      <c r="E706" s="139"/>
      <c r="F706" s="139"/>
      <c r="G706" s="139"/>
      <c r="H706" s="139"/>
      <c r="I706" s="139"/>
      <c r="J706" s="139"/>
      <c r="K706" s="139"/>
      <c r="L706" s="139"/>
      <c r="M706" s="139"/>
      <c r="N706" s="145"/>
      <c r="O706" s="139"/>
      <c r="P706" s="139"/>
      <c r="Q706" s="231"/>
      <c r="R706" s="139"/>
      <c r="S706" s="235"/>
      <c r="T706" s="235"/>
      <c r="U706" s="145"/>
      <c r="V706" s="145"/>
      <c r="W706" s="111"/>
      <c r="X706" s="233"/>
      <c r="Y706" s="226"/>
      <c r="Z706" s="139"/>
      <c r="AA706" s="139"/>
      <c r="AB706" s="139"/>
      <c r="AC706" s="139"/>
      <c r="AD706" s="139"/>
      <c r="AE706" s="139"/>
      <c r="AF706" s="139"/>
      <c r="AG706" s="139"/>
      <c r="AH706" s="139"/>
      <c r="AI706" s="139"/>
      <c r="AJ706" s="139"/>
      <c r="AK706" s="139"/>
      <c r="AL706" s="139"/>
      <c r="AM706" s="139"/>
      <c r="AN706" s="139"/>
      <c r="AO706" s="139"/>
      <c r="AP706" s="139"/>
      <c r="AQ706" s="139"/>
      <c r="AR706" s="139"/>
      <c r="AS706" s="139"/>
      <c r="AT706" s="139"/>
      <c r="AU706" s="139"/>
      <c r="AV706" s="139"/>
    </row>
    <row r="707">
      <c r="A707" s="139"/>
      <c r="B707" s="234"/>
      <c r="C707" s="139"/>
      <c r="D707" s="139"/>
      <c r="E707" s="139"/>
      <c r="F707" s="139"/>
      <c r="G707" s="139"/>
      <c r="H707" s="139"/>
      <c r="I707" s="139"/>
      <c r="J707" s="139"/>
      <c r="K707" s="139"/>
      <c r="L707" s="139"/>
      <c r="M707" s="139"/>
      <c r="N707" s="145"/>
      <c r="O707" s="139"/>
      <c r="P707" s="139"/>
      <c r="Q707" s="231"/>
      <c r="R707" s="139"/>
      <c r="S707" s="235"/>
      <c r="T707" s="235"/>
      <c r="U707" s="145"/>
      <c r="V707" s="145"/>
      <c r="W707" s="111"/>
      <c r="X707" s="233"/>
      <c r="Y707" s="226"/>
      <c r="Z707" s="139"/>
      <c r="AA707" s="139"/>
      <c r="AB707" s="139"/>
      <c r="AC707" s="139"/>
      <c r="AD707" s="139"/>
      <c r="AE707" s="139"/>
      <c r="AF707" s="139"/>
      <c r="AG707" s="139"/>
      <c r="AH707" s="139"/>
      <c r="AI707" s="139"/>
      <c r="AJ707" s="139"/>
      <c r="AK707" s="139"/>
      <c r="AL707" s="139"/>
      <c r="AM707" s="139"/>
      <c r="AN707" s="139"/>
      <c r="AO707" s="139"/>
      <c r="AP707" s="139"/>
      <c r="AQ707" s="139"/>
      <c r="AR707" s="139"/>
      <c r="AS707" s="139"/>
      <c r="AT707" s="139"/>
      <c r="AU707" s="139"/>
      <c r="AV707" s="139"/>
    </row>
    <row r="708">
      <c r="A708" s="139"/>
      <c r="B708" s="234"/>
      <c r="C708" s="139"/>
      <c r="D708" s="139"/>
      <c r="E708" s="139"/>
      <c r="F708" s="139"/>
      <c r="G708" s="139"/>
      <c r="H708" s="139"/>
      <c r="I708" s="139"/>
      <c r="J708" s="139"/>
      <c r="K708" s="139"/>
      <c r="L708" s="139"/>
      <c r="M708" s="139"/>
      <c r="N708" s="145"/>
      <c r="O708" s="139"/>
      <c r="P708" s="139"/>
      <c r="Q708" s="231"/>
      <c r="R708" s="139"/>
      <c r="S708" s="235"/>
      <c r="T708" s="235"/>
      <c r="U708" s="145"/>
      <c r="V708" s="145"/>
      <c r="W708" s="111"/>
      <c r="X708" s="233"/>
      <c r="Y708" s="226"/>
      <c r="Z708" s="139"/>
      <c r="AA708" s="139"/>
      <c r="AB708" s="139"/>
      <c r="AC708" s="139"/>
      <c r="AD708" s="139"/>
      <c r="AE708" s="139"/>
      <c r="AF708" s="139"/>
      <c r="AG708" s="139"/>
      <c r="AH708" s="139"/>
      <c r="AI708" s="139"/>
      <c r="AJ708" s="139"/>
      <c r="AK708" s="139"/>
      <c r="AL708" s="139"/>
      <c r="AM708" s="139"/>
      <c r="AN708" s="139"/>
      <c r="AO708" s="139"/>
      <c r="AP708" s="139"/>
      <c r="AQ708" s="139"/>
      <c r="AR708" s="139"/>
      <c r="AS708" s="139"/>
      <c r="AT708" s="139"/>
      <c r="AU708" s="139"/>
      <c r="AV708" s="139"/>
    </row>
    <row r="709">
      <c r="A709" s="139"/>
      <c r="B709" s="234"/>
      <c r="C709" s="139"/>
      <c r="D709" s="139"/>
      <c r="E709" s="139"/>
      <c r="F709" s="139"/>
      <c r="G709" s="139"/>
      <c r="H709" s="139"/>
      <c r="I709" s="139"/>
      <c r="J709" s="139"/>
      <c r="K709" s="139"/>
      <c r="L709" s="139"/>
      <c r="M709" s="139"/>
      <c r="N709" s="145"/>
      <c r="O709" s="139"/>
      <c r="P709" s="139"/>
      <c r="Q709" s="231"/>
      <c r="R709" s="139"/>
      <c r="S709" s="235"/>
      <c r="T709" s="235"/>
      <c r="U709" s="145"/>
      <c r="V709" s="145"/>
      <c r="W709" s="111"/>
      <c r="X709" s="233"/>
      <c r="Y709" s="226"/>
      <c r="Z709" s="139"/>
      <c r="AA709" s="139"/>
      <c r="AB709" s="139"/>
      <c r="AC709" s="139"/>
      <c r="AD709" s="139"/>
      <c r="AE709" s="139"/>
      <c r="AF709" s="139"/>
      <c r="AG709" s="139"/>
      <c r="AH709" s="139"/>
      <c r="AI709" s="139"/>
      <c r="AJ709" s="139"/>
      <c r="AK709" s="139"/>
      <c r="AL709" s="139"/>
      <c r="AM709" s="139"/>
      <c r="AN709" s="139"/>
      <c r="AO709" s="139"/>
      <c r="AP709" s="139"/>
      <c r="AQ709" s="139"/>
      <c r="AR709" s="139"/>
      <c r="AS709" s="139"/>
      <c r="AT709" s="139"/>
      <c r="AU709" s="139"/>
      <c r="AV709" s="139"/>
    </row>
    <row r="710">
      <c r="A710" s="139"/>
      <c r="B710" s="234"/>
      <c r="C710" s="139"/>
      <c r="D710" s="139"/>
      <c r="E710" s="139"/>
      <c r="F710" s="139"/>
      <c r="G710" s="139"/>
      <c r="H710" s="139"/>
      <c r="I710" s="139"/>
      <c r="J710" s="139"/>
      <c r="K710" s="139"/>
      <c r="L710" s="139"/>
      <c r="M710" s="139"/>
      <c r="N710" s="145"/>
      <c r="O710" s="139"/>
      <c r="P710" s="139"/>
      <c r="Q710" s="231"/>
      <c r="R710" s="139"/>
      <c r="S710" s="235"/>
      <c r="T710" s="235"/>
      <c r="U710" s="145"/>
      <c r="V710" s="145"/>
      <c r="W710" s="111"/>
      <c r="X710" s="233"/>
      <c r="Y710" s="226"/>
      <c r="Z710" s="139"/>
      <c r="AA710" s="139"/>
      <c r="AB710" s="139"/>
      <c r="AC710" s="139"/>
      <c r="AD710" s="139"/>
      <c r="AE710" s="139"/>
      <c r="AF710" s="139"/>
      <c r="AG710" s="139"/>
      <c r="AH710" s="139"/>
      <c r="AI710" s="139"/>
      <c r="AJ710" s="139"/>
      <c r="AK710" s="139"/>
      <c r="AL710" s="139"/>
      <c r="AM710" s="139"/>
      <c r="AN710" s="139"/>
      <c r="AO710" s="139"/>
      <c r="AP710" s="139"/>
      <c r="AQ710" s="139"/>
      <c r="AR710" s="139"/>
      <c r="AS710" s="139"/>
      <c r="AT710" s="139"/>
      <c r="AU710" s="139"/>
      <c r="AV710" s="139"/>
    </row>
    <row r="711">
      <c r="A711" s="139"/>
      <c r="B711" s="234"/>
      <c r="C711" s="139"/>
      <c r="D711" s="139"/>
      <c r="E711" s="139"/>
      <c r="F711" s="139"/>
      <c r="G711" s="139"/>
      <c r="H711" s="139"/>
      <c r="I711" s="139"/>
      <c r="J711" s="139"/>
      <c r="K711" s="139"/>
      <c r="L711" s="139"/>
      <c r="M711" s="139"/>
      <c r="N711" s="145"/>
      <c r="O711" s="139"/>
      <c r="P711" s="139"/>
      <c r="Q711" s="231"/>
      <c r="R711" s="139"/>
      <c r="S711" s="235"/>
      <c r="T711" s="235"/>
      <c r="U711" s="145"/>
      <c r="V711" s="145"/>
      <c r="W711" s="111"/>
      <c r="X711" s="233"/>
      <c r="Y711" s="226"/>
      <c r="Z711" s="139"/>
      <c r="AA711" s="139"/>
      <c r="AB711" s="139"/>
      <c r="AC711" s="139"/>
      <c r="AD711" s="139"/>
      <c r="AE711" s="139"/>
      <c r="AF711" s="139"/>
      <c r="AG711" s="139"/>
      <c r="AH711" s="139"/>
      <c r="AI711" s="139"/>
      <c r="AJ711" s="139"/>
      <c r="AK711" s="139"/>
      <c r="AL711" s="139"/>
      <c r="AM711" s="139"/>
      <c r="AN711" s="139"/>
      <c r="AO711" s="139"/>
      <c r="AP711" s="139"/>
      <c r="AQ711" s="139"/>
      <c r="AR711" s="139"/>
      <c r="AS711" s="139"/>
      <c r="AT711" s="139"/>
      <c r="AU711" s="139"/>
      <c r="AV711" s="139"/>
    </row>
    <row r="712">
      <c r="A712" s="139"/>
      <c r="B712" s="234"/>
      <c r="C712" s="139"/>
      <c r="D712" s="139"/>
      <c r="E712" s="139"/>
      <c r="F712" s="139"/>
      <c r="G712" s="139"/>
      <c r="H712" s="139"/>
      <c r="I712" s="139"/>
      <c r="J712" s="139"/>
      <c r="K712" s="139"/>
      <c r="L712" s="139"/>
      <c r="M712" s="139"/>
      <c r="N712" s="145"/>
      <c r="O712" s="139"/>
      <c r="P712" s="139"/>
      <c r="Q712" s="231"/>
      <c r="R712" s="139"/>
      <c r="S712" s="235"/>
      <c r="T712" s="235"/>
      <c r="U712" s="145"/>
      <c r="V712" s="145"/>
      <c r="W712" s="111"/>
      <c r="X712" s="233"/>
      <c r="Y712" s="226"/>
      <c r="Z712" s="139"/>
      <c r="AA712" s="139"/>
      <c r="AB712" s="139"/>
      <c r="AC712" s="139"/>
      <c r="AD712" s="139"/>
      <c r="AE712" s="139"/>
      <c r="AF712" s="139"/>
      <c r="AG712" s="139"/>
      <c r="AH712" s="139"/>
      <c r="AI712" s="139"/>
      <c r="AJ712" s="139"/>
      <c r="AK712" s="139"/>
      <c r="AL712" s="139"/>
      <c r="AM712" s="139"/>
      <c r="AN712" s="139"/>
      <c r="AO712" s="139"/>
      <c r="AP712" s="139"/>
      <c r="AQ712" s="139"/>
      <c r="AR712" s="139"/>
      <c r="AS712" s="139"/>
      <c r="AT712" s="139"/>
      <c r="AU712" s="139"/>
      <c r="AV712" s="139"/>
    </row>
    <row r="713">
      <c r="A713" s="139"/>
      <c r="B713" s="234"/>
      <c r="C713" s="139"/>
      <c r="D713" s="139"/>
      <c r="E713" s="139"/>
      <c r="F713" s="139"/>
      <c r="G713" s="139"/>
      <c r="H713" s="139"/>
      <c r="I713" s="139"/>
      <c r="J713" s="139"/>
      <c r="K713" s="139"/>
      <c r="L713" s="139"/>
      <c r="M713" s="139"/>
      <c r="N713" s="145"/>
      <c r="O713" s="139"/>
      <c r="P713" s="139"/>
      <c r="Q713" s="231"/>
      <c r="R713" s="139"/>
      <c r="S713" s="235"/>
      <c r="T713" s="235"/>
      <c r="U713" s="145"/>
      <c r="V713" s="145"/>
      <c r="W713" s="111"/>
      <c r="X713" s="233"/>
      <c r="Y713" s="226"/>
      <c r="Z713" s="139"/>
      <c r="AA713" s="139"/>
      <c r="AB713" s="139"/>
      <c r="AC713" s="139"/>
      <c r="AD713" s="139"/>
      <c r="AE713" s="139"/>
      <c r="AF713" s="139"/>
      <c r="AG713" s="139"/>
      <c r="AH713" s="139"/>
      <c r="AI713" s="139"/>
      <c r="AJ713" s="139"/>
      <c r="AK713" s="139"/>
      <c r="AL713" s="139"/>
      <c r="AM713" s="139"/>
      <c r="AN713" s="139"/>
      <c r="AO713" s="139"/>
      <c r="AP713" s="139"/>
      <c r="AQ713" s="139"/>
      <c r="AR713" s="139"/>
      <c r="AS713" s="139"/>
      <c r="AT713" s="139"/>
      <c r="AU713" s="139"/>
      <c r="AV713" s="139"/>
    </row>
    <row r="714">
      <c r="A714" s="139"/>
      <c r="B714" s="234"/>
      <c r="C714" s="139"/>
      <c r="D714" s="139"/>
      <c r="E714" s="139"/>
      <c r="F714" s="139"/>
      <c r="G714" s="139"/>
      <c r="H714" s="139"/>
      <c r="I714" s="139"/>
      <c r="J714" s="139"/>
      <c r="K714" s="139"/>
      <c r="L714" s="139"/>
      <c r="M714" s="139"/>
      <c r="N714" s="145"/>
      <c r="O714" s="139"/>
      <c r="P714" s="139"/>
      <c r="Q714" s="231"/>
      <c r="R714" s="139"/>
      <c r="S714" s="235"/>
      <c r="T714" s="235"/>
      <c r="U714" s="145"/>
      <c r="V714" s="145"/>
      <c r="W714" s="111"/>
      <c r="X714" s="233"/>
      <c r="Y714" s="226"/>
      <c r="Z714" s="139"/>
      <c r="AA714" s="139"/>
      <c r="AB714" s="139"/>
      <c r="AC714" s="139"/>
      <c r="AD714" s="139"/>
      <c r="AE714" s="139"/>
      <c r="AF714" s="139"/>
      <c r="AG714" s="139"/>
      <c r="AH714" s="139"/>
      <c r="AI714" s="139"/>
      <c r="AJ714" s="139"/>
      <c r="AK714" s="139"/>
      <c r="AL714" s="139"/>
      <c r="AM714" s="139"/>
      <c r="AN714" s="139"/>
      <c r="AO714" s="139"/>
      <c r="AP714" s="139"/>
      <c r="AQ714" s="139"/>
      <c r="AR714" s="139"/>
      <c r="AS714" s="139"/>
      <c r="AT714" s="139"/>
      <c r="AU714" s="139"/>
      <c r="AV714" s="139"/>
    </row>
    <row r="715">
      <c r="A715" s="139"/>
      <c r="B715" s="234"/>
      <c r="C715" s="139"/>
      <c r="D715" s="139"/>
      <c r="E715" s="139"/>
      <c r="F715" s="139"/>
      <c r="G715" s="139"/>
      <c r="H715" s="139"/>
      <c r="I715" s="139"/>
      <c r="J715" s="139"/>
      <c r="K715" s="139"/>
      <c r="L715" s="139"/>
      <c r="M715" s="139"/>
      <c r="N715" s="145"/>
      <c r="O715" s="139"/>
      <c r="P715" s="139"/>
      <c r="Q715" s="231"/>
      <c r="R715" s="139"/>
      <c r="S715" s="235"/>
      <c r="T715" s="235"/>
      <c r="U715" s="145"/>
      <c r="V715" s="145"/>
      <c r="W715" s="111"/>
      <c r="X715" s="233"/>
      <c r="Y715" s="226"/>
      <c r="Z715" s="139"/>
      <c r="AA715" s="139"/>
      <c r="AB715" s="139"/>
      <c r="AC715" s="139"/>
      <c r="AD715" s="139"/>
      <c r="AE715" s="139"/>
      <c r="AF715" s="139"/>
      <c r="AG715" s="139"/>
      <c r="AH715" s="139"/>
      <c r="AI715" s="139"/>
      <c r="AJ715" s="139"/>
      <c r="AK715" s="139"/>
      <c r="AL715" s="139"/>
      <c r="AM715" s="139"/>
      <c r="AN715" s="139"/>
      <c r="AO715" s="139"/>
      <c r="AP715" s="139"/>
      <c r="AQ715" s="139"/>
      <c r="AR715" s="139"/>
      <c r="AS715" s="139"/>
      <c r="AT715" s="139"/>
      <c r="AU715" s="139"/>
      <c r="AV715" s="139"/>
    </row>
    <row r="716">
      <c r="A716" s="139"/>
      <c r="B716" s="234"/>
      <c r="C716" s="139"/>
      <c r="D716" s="139"/>
      <c r="E716" s="139"/>
      <c r="F716" s="139"/>
      <c r="G716" s="139"/>
      <c r="H716" s="139"/>
      <c r="I716" s="139"/>
      <c r="J716" s="139"/>
      <c r="K716" s="139"/>
      <c r="L716" s="139"/>
      <c r="M716" s="139"/>
      <c r="N716" s="145"/>
      <c r="O716" s="139"/>
      <c r="P716" s="139"/>
      <c r="Q716" s="231"/>
      <c r="R716" s="139"/>
      <c r="S716" s="235"/>
      <c r="T716" s="235"/>
      <c r="U716" s="145"/>
      <c r="V716" s="145"/>
      <c r="W716" s="111"/>
      <c r="X716" s="233"/>
      <c r="Y716" s="226"/>
      <c r="Z716" s="139"/>
      <c r="AA716" s="139"/>
      <c r="AB716" s="139"/>
      <c r="AC716" s="139"/>
      <c r="AD716" s="139"/>
      <c r="AE716" s="139"/>
      <c r="AF716" s="139"/>
      <c r="AG716" s="139"/>
      <c r="AH716" s="139"/>
      <c r="AI716" s="139"/>
      <c r="AJ716" s="139"/>
      <c r="AK716" s="139"/>
      <c r="AL716" s="139"/>
      <c r="AM716" s="139"/>
      <c r="AN716" s="139"/>
      <c r="AO716" s="139"/>
      <c r="AP716" s="139"/>
      <c r="AQ716" s="139"/>
      <c r="AR716" s="139"/>
      <c r="AS716" s="139"/>
      <c r="AT716" s="139"/>
      <c r="AU716" s="139"/>
      <c r="AV716" s="139"/>
    </row>
    <row r="717">
      <c r="A717" s="139"/>
      <c r="B717" s="234"/>
      <c r="C717" s="139"/>
      <c r="D717" s="139"/>
      <c r="E717" s="139"/>
      <c r="F717" s="139"/>
      <c r="G717" s="139"/>
      <c r="H717" s="139"/>
      <c r="I717" s="139"/>
      <c r="J717" s="139"/>
      <c r="K717" s="139"/>
      <c r="L717" s="139"/>
      <c r="M717" s="139"/>
      <c r="N717" s="145"/>
      <c r="O717" s="139"/>
      <c r="P717" s="139"/>
      <c r="Q717" s="231"/>
      <c r="R717" s="139"/>
      <c r="S717" s="235"/>
      <c r="T717" s="235"/>
      <c r="U717" s="145"/>
      <c r="V717" s="145"/>
      <c r="W717" s="111"/>
      <c r="X717" s="233"/>
      <c r="Y717" s="226"/>
      <c r="Z717" s="139"/>
      <c r="AA717" s="139"/>
      <c r="AB717" s="139"/>
      <c r="AC717" s="139"/>
      <c r="AD717" s="139"/>
      <c r="AE717" s="139"/>
      <c r="AF717" s="139"/>
      <c r="AG717" s="139"/>
      <c r="AH717" s="139"/>
      <c r="AI717" s="139"/>
      <c r="AJ717" s="139"/>
      <c r="AK717" s="139"/>
      <c r="AL717" s="139"/>
      <c r="AM717" s="139"/>
      <c r="AN717" s="139"/>
      <c r="AO717" s="139"/>
      <c r="AP717" s="139"/>
      <c r="AQ717" s="139"/>
      <c r="AR717" s="139"/>
      <c r="AS717" s="139"/>
      <c r="AT717" s="139"/>
      <c r="AU717" s="139"/>
      <c r="AV717" s="139"/>
    </row>
    <row r="718">
      <c r="A718" s="139"/>
      <c r="B718" s="234"/>
      <c r="C718" s="139"/>
      <c r="D718" s="139"/>
      <c r="E718" s="139"/>
      <c r="F718" s="139"/>
      <c r="G718" s="139"/>
      <c r="H718" s="139"/>
      <c r="I718" s="139"/>
      <c r="J718" s="139"/>
      <c r="K718" s="139"/>
      <c r="L718" s="139"/>
      <c r="M718" s="139"/>
      <c r="N718" s="145"/>
      <c r="O718" s="139"/>
      <c r="P718" s="139"/>
      <c r="Q718" s="231"/>
      <c r="R718" s="139"/>
      <c r="S718" s="235"/>
      <c r="T718" s="235"/>
      <c r="U718" s="145"/>
      <c r="V718" s="145"/>
      <c r="W718" s="111"/>
      <c r="X718" s="233"/>
      <c r="Y718" s="226"/>
      <c r="Z718" s="139"/>
      <c r="AA718" s="139"/>
      <c r="AB718" s="139"/>
      <c r="AC718" s="139"/>
      <c r="AD718" s="139"/>
      <c r="AE718" s="139"/>
      <c r="AF718" s="139"/>
      <c r="AG718" s="139"/>
      <c r="AH718" s="139"/>
      <c r="AI718" s="139"/>
      <c r="AJ718" s="139"/>
      <c r="AK718" s="139"/>
      <c r="AL718" s="139"/>
      <c r="AM718" s="139"/>
      <c r="AN718" s="139"/>
      <c r="AO718" s="139"/>
      <c r="AP718" s="139"/>
      <c r="AQ718" s="139"/>
      <c r="AR718" s="139"/>
      <c r="AS718" s="139"/>
      <c r="AT718" s="139"/>
      <c r="AU718" s="139"/>
      <c r="AV718" s="139"/>
    </row>
    <row r="719">
      <c r="A719" s="139"/>
      <c r="B719" s="234"/>
      <c r="C719" s="139"/>
      <c r="D719" s="139"/>
      <c r="E719" s="139"/>
      <c r="F719" s="139"/>
      <c r="G719" s="139"/>
      <c r="H719" s="139"/>
      <c r="I719" s="139"/>
      <c r="J719" s="139"/>
      <c r="K719" s="139"/>
      <c r="L719" s="139"/>
      <c r="M719" s="139"/>
      <c r="N719" s="145"/>
      <c r="O719" s="139"/>
      <c r="P719" s="139"/>
      <c r="Q719" s="231"/>
      <c r="R719" s="139"/>
      <c r="S719" s="235"/>
      <c r="T719" s="235"/>
      <c r="U719" s="145"/>
      <c r="V719" s="145"/>
      <c r="W719" s="111"/>
      <c r="X719" s="233"/>
      <c r="Y719" s="226"/>
      <c r="Z719" s="139"/>
      <c r="AA719" s="139"/>
      <c r="AB719" s="139"/>
      <c r="AC719" s="139"/>
      <c r="AD719" s="139"/>
      <c r="AE719" s="139"/>
      <c r="AF719" s="139"/>
      <c r="AG719" s="139"/>
      <c r="AH719" s="139"/>
      <c r="AI719" s="139"/>
      <c r="AJ719" s="139"/>
      <c r="AK719" s="139"/>
      <c r="AL719" s="139"/>
      <c r="AM719" s="139"/>
      <c r="AN719" s="139"/>
      <c r="AO719" s="139"/>
      <c r="AP719" s="139"/>
      <c r="AQ719" s="139"/>
      <c r="AR719" s="139"/>
      <c r="AS719" s="139"/>
      <c r="AT719" s="139"/>
      <c r="AU719" s="139"/>
      <c r="AV719" s="139"/>
    </row>
    <row r="720">
      <c r="A720" s="139"/>
      <c r="B720" s="234"/>
      <c r="C720" s="139"/>
      <c r="D720" s="139"/>
      <c r="E720" s="139"/>
      <c r="F720" s="139"/>
      <c r="G720" s="139"/>
      <c r="H720" s="139"/>
      <c r="I720" s="139"/>
      <c r="J720" s="139"/>
      <c r="K720" s="139"/>
      <c r="L720" s="139"/>
      <c r="M720" s="139"/>
      <c r="N720" s="145"/>
      <c r="O720" s="139"/>
      <c r="P720" s="139"/>
      <c r="Q720" s="231"/>
      <c r="R720" s="139"/>
      <c r="S720" s="235"/>
      <c r="T720" s="235"/>
      <c r="U720" s="145"/>
      <c r="V720" s="145"/>
      <c r="W720" s="111"/>
      <c r="X720" s="233"/>
      <c r="Y720" s="226"/>
      <c r="Z720" s="139"/>
      <c r="AA720" s="139"/>
      <c r="AB720" s="139"/>
      <c r="AC720" s="139"/>
      <c r="AD720" s="139"/>
      <c r="AE720" s="139"/>
      <c r="AF720" s="139"/>
      <c r="AG720" s="139"/>
      <c r="AH720" s="139"/>
      <c r="AI720" s="139"/>
      <c r="AJ720" s="139"/>
      <c r="AK720" s="139"/>
      <c r="AL720" s="139"/>
      <c r="AM720" s="139"/>
      <c r="AN720" s="139"/>
      <c r="AO720" s="139"/>
      <c r="AP720" s="139"/>
      <c r="AQ720" s="139"/>
      <c r="AR720" s="139"/>
      <c r="AS720" s="139"/>
      <c r="AT720" s="139"/>
      <c r="AU720" s="139"/>
      <c r="AV720" s="139"/>
    </row>
    <row r="721">
      <c r="A721" s="139"/>
      <c r="B721" s="234"/>
      <c r="C721" s="139"/>
      <c r="D721" s="139"/>
      <c r="E721" s="139"/>
      <c r="F721" s="139"/>
      <c r="G721" s="139"/>
      <c r="H721" s="139"/>
      <c r="I721" s="139"/>
      <c r="J721" s="139"/>
      <c r="K721" s="139"/>
      <c r="L721" s="139"/>
      <c r="M721" s="139"/>
      <c r="N721" s="145"/>
      <c r="O721" s="139"/>
      <c r="P721" s="139"/>
      <c r="Q721" s="231"/>
      <c r="R721" s="139"/>
      <c r="S721" s="235"/>
      <c r="T721" s="235"/>
      <c r="U721" s="145"/>
      <c r="V721" s="145"/>
      <c r="W721" s="111"/>
      <c r="X721" s="233"/>
      <c r="Y721" s="226"/>
      <c r="Z721" s="139"/>
      <c r="AA721" s="139"/>
      <c r="AB721" s="139"/>
      <c r="AC721" s="139"/>
      <c r="AD721" s="139"/>
      <c r="AE721" s="139"/>
      <c r="AF721" s="139"/>
      <c r="AG721" s="139"/>
      <c r="AH721" s="139"/>
      <c r="AI721" s="139"/>
      <c r="AJ721" s="139"/>
      <c r="AK721" s="139"/>
      <c r="AL721" s="139"/>
      <c r="AM721" s="139"/>
      <c r="AN721" s="139"/>
      <c r="AO721" s="139"/>
      <c r="AP721" s="139"/>
      <c r="AQ721" s="139"/>
      <c r="AR721" s="139"/>
      <c r="AS721" s="139"/>
      <c r="AT721" s="139"/>
      <c r="AU721" s="139"/>
      <c r="AV721" s="139"/>
    </row>
    <row r="722">
      <c r="A722" s="139"/>
      <c r="B722" s="234"/>
      <c r="C722" s="139"/>
      <c r="D722" s="139"/>
      <c r="E722" s="139"/>
      <c r="F722" s="139"/>
      <c r="G722" s="139"/>
      <c r="H722" s="139"/>
      <c r="I722" s="139"/>
      <c r="J722" s="139"/>
      <c r="K722" s="139"/>
      <c r="L722" s="139"/>
      <c r="M722" s="139"/>
      <c r="N722" s="145"/>
      <c r="O722" s="139"/>
      <c r="P722" s="139"/>
      <c r="Q722" s="231"/>
      <c r="R722" s="139"/>
      <c r="S722" s="235"/>
      <c r="T722" s="235"/>
      <c r="U722" s="145"/>
      <c r="V722" s="145"/>
      <c r="W722" s="111"/>
      <c r="X722" s="233"/>
      <c r="Y722" s="226"/>
      <c r="Z722" s="139"/>
      <c r="AA722" s="139"/>
      <c r="AB722" s="139"/>
      <c r="AC722" s="139"/>
      <c r="AD722" s="139"/>
      <c r="AE722" s="139"/>
      <c r="AF722" s="139"/>
      <c r="AG722" s="139"/>
      <c r="AH722" s="139"/>
      <c r="AI722" s="139"/>
      <c r="AJ722" s="139"/>
      <c r="AK722" s="139"/>
      <c r="AL722" s="139"/>
      <c r="AM722" s="139"/>
      <c r="AN722" s="139"/>
      <c r="AO722" s="139"/>
      <c r="AP722" s="139"/>
      <c r="AQ722" s="139"/>
      <c r="AR722" s="139"/>
      <c r="AS722" s="139"/>
      <c r="AT722" s="139"/>
      <c r="AU722" s="139"/>
      <c r="AV722" s="139"/>
    </row>
    <row r="723">
      <c r="A723" s="139"/>
      <c r="B723" s="234"/>
      <c r="C723" s="139"/>
      <c r="D723" s="139"/>
      <c r="E723" s="139"/>
      <c r="F723" s="139"/>
      <c r="G723" s="139"/>
      <c r="H723" s="139"/>
      <c r="I723" s="139"/>
      <c r="J723" s="139"/>
      <c r="K723" s="139"/>
      <c r="L723" s="139"/>
      <c r="M723" s="139"/>
      <c r="N723" s="145"/>
      <c r="O723" s="139"/>
      <c r="P723" s="139"/>
      <c r="Q723" s="231"/>
      <c r="R723" s="139"/>
      <c r="S723" s="235"/>
      <c r="T723" s="235"/>
      <c r="U723" s="145"/>
      <c r="V723" s="145"/>
      <c r="W723" s="111"/>
      <c r="X723" s="233"/>
      <c r="Y723" s="226"/>
      <c r="Z723" s="139"/>
      <c r="AA723" s="139"/>
      <c r="AB723" s="139"/>
      <c r="AC723" s="139"/>
      <c r="AD723" s="139"/>
      <c r="AE723" s="139"/>
      <c r="AF723" s="139"/>
      <c r="AG723" s="139"/>
      <c r="AH723" s="139"/>
      <c r="AI723" s="139"/>
      <c r="AJ723" s="139"/>
      <c r="AK723" s="139"/>
      <c r="AL723" s="139"/>
      <c r="AM723" s="139"/>
      <c r="AN723" s="139"/>
      <c r="AO723" s="139"/>
      <c r="AP723" s="139"/>
      <c r="AQ723" s="139"/>
      <c r="AR723" s="139"/>
      <c r="AS723" s="139"/>
      <c r="AT723" s="139"/>
      <c r="AU723" s="139"/>
      <c r="AV723" s="139"/>
    </row>
    <row r="724">
      <c r="A724" s="139"/>
      <c r="B724" s="234"/>
      <c r="C724" s="139"/>
      <c r="D724" s="139"/>
      <c r="E724" s="139"/>
      <c r="F724" s="139"/>
      <c r="G724" s="139"/>
      <c r="H724" s="139"/>
      <c r="I724" s="139"/>
      <c r="J724" s="139"/>
      <c r="K724" s="139"/>
      <c r="L724" s="139"/>
      <c r="M724" s="139"/>
      <c r="N724" s="145"/>
      <c r="O724" s="139"/>
      <c r="P724" s="139"/>
      <c r="Q724" s="231"/>
      <c r="R724" s="139"/>
      <c r="S724" s="235"/>
      <c r="T724" s="235"/>
      <c r="U724" s="145"/>
      <c r="V724" s="145"/>
      <c r="W724" s="111"/>
      <c r="X724" s="233"/>
      <c r="Y724" s="226"/>
      <c r="Z724" s="139"/>
      <c r="AA724" s="139"/>
      <c r="AB724" s="139"/>
      <c r="AC724" s="139"/>
      <c r="AD724" s="139"/>
      <c r="AE724" s="139"/>
      <c r="AF724" s="139"/>
      <c r="AG724" s="139"/>
      <c r="AH724" s="139"/>
      <c r="AI724" s="139"/>
      <c r="AJ724" s="139"/>
      <c r="AK724" s="139"/>
      <c r="AL724" s="139"/>
      <c r="AM724" s="139"/>
      <c r="AN724" s="139"/>
      <c r="AO724" s="139"/>
      <c r="AP724" s="139"/>
      <c r="AQ724" s="139"/>
      <c r="AR724" s="139"/>
      <c r="AS724" s="139"/>
      <c r="AT724" s="139"/>
      <c r="AU724" s="139"/>
      <c r="AV724" s="139"/>
    </row>
    <row r="725">
      <c r="A725" s="139"/>
      <c r="B725" s="234"/>
      <c r="C725" s="139"/>
      <c r="D725" s="139"/>
      <c r="E725" s="139"/>
      <c r="F725" s="139"/>
      <c r="G725" s="139"/>
      <c r="H725" s="139"/>
      <c r="I725" s="139"/>
      <c r="J725" s="139"/>
      <c r="K725" s="139"/>
      <c r="L725" s="139"/>
      <c r="M725" s="139"/>
      <c r="N725" s="145"/>
      <c r="O725" s="139"/>
      <c r="P725" s="139"/>
      <c r="Q725" s="231"/>
      <c r="R725" s="139"/>
      <c r="S725" s="235"/>
      <c r="T725" s="235"/>
      <c r="U725" s="145"/>
      <c r="V725" s="145"/>
      <c r="W725" s="111"/>
      <c r="X725" s="233"/>
      <c r="Y725" s="226"/>
      <c r="Z725" s="139"/>
      <c r="AA725" s="139"/>
      <c r="AB725" s="139"/>
      <c r="AC725" s="139"/>
      <c r="AD725" s="139"/>
      <c r="AE725" s="139"/>
      <c r="AF725" s="139"/>
      <c r="AG725" s="139"/>
      <c r="AH725" s="139"/>
      <c r="AI725" s="139"/>
      <c r="AJ725" s="139"/>
      <c r="AK725" s="139"/>
      <c r="AL725" s="139"/>
      <c r="AM725" s="139"/>
      <c r="AN725" s="139"/>
      <c r="AO725" s="139"/>
      <c r="AP725" s="139"/>
      <c r="AQ725" s="139"/>
      <c r="AR725" s="139"/>
      <c r="AS725" s="139"/>
      <c r="AT725" s="139"/>
      <c r="AU725" s="139"/>
      <c r="AV725" s="139"/>
    </row>
    <row r="726">
      <c r="A726" s="139"/>
      <c r="B726" s="234"/>
      <c r="C726" s="139"/>
      <c r="D726" s="139"/>
      <c r="E726" s="139"/>
      <c r="F726" s="139"/>
      <c r="G726" s="139"/>
      <c r="H726" s="139"/>
      <c r="I726" s="139"/>
      <c r="J726" s="139"/>
      <c r="K726" s="139"/>
      <c r="L726" s="139"/>
      <c r="M726" s="139"/>
      <c r="N726" s="145"/>
      <c r="O726" s="139"/>
      <c r="P726" s="139"/>
      <c r="Q726" s="231"/>
      <c r="R726" s="139"/>
      <c r="S726" s="235"/>
      <c r="T726" s="235"/>
      <c r="U726" s="145"/>
      <c r="V726" s="145"/>
      <c r="W726" s="111"/>
      <c r="X726" s="233"/>
      <c r="Y726" s="226"/>
      <c r="Z726" s="139"/>
      <c r="AA726" s="139"/>
      <c r="AB726" s="139"/>
      <c r="AC726" s="139"/>
      <c r="AD726" s="139"/>
      <c r="AE726" s="139"/>
      <c r="AF726" s="139"/>
      <c r="AG726" s="139"/>
      <c r="AH726" s="139"/>
      <c r="AI726" s="139"/>
      <c r="AJ726" s="139"/>
      <c r="AK726" s="139"/>
      <c r="AL726" s="139"/>
      <c r="AM726" s="139"/>
      <c r="AN726" s="139"/>
      <c r="AO726" s="139"/>
      <c r="AP726" s="139"/>
      <c r="AQ726" s="139"/>
      <c r="AR726" s="139"/>
      <c r="AS726" s="139"/>
      <c r="AT726" s="139"/>
      <c r="AU726" s="139"/>
      <c r="AV726" s="139"/>
    </row>
    <row r="727">
      <c r="A727" s="139"/>
      <c r="B727" s="234"/>
      <c r="C727" s="139"/>
      <c r="D727" s="139"/>
      <c r="E727" s="139"/>
      <c r="F727" s="139"/>
      <c r="G727" s="139"/>
      <c r="H727" s="139"/>
      <c r="I727" s="139"/>
      <c r="J727" s="139"/>
      <c r="K727" s="139"/>
      <c r="L727" s="139"/>
      <c r="M727" s="139"/>
      <c r="N727" s="145"/>
      <c r="O727" s="139"/>
      <c r="P727" s="139"/>
      <c r="Q727" s="231"/>
      <c r="R727" s="139"/>
      <c r="S727" s="235"/>
      <c r="T727" s="235"/>
      <c r="U727" s="145"/>
      <c r="V727" s="145"/>
      <c r="W727" s="111"/>
      <c r="X727" s="233"/>
      <c r="Y727" s="226"/>
      <c r="Z727" s="139"/>
      <c r="AA727" s="139"/>
      <c r="AB727" s="139"/>
      <c r="AC727" s="139"/>
      <c r="AD727" s="139"/>
      <c r="AE727" s="139"/>
      <c r="AF727" s="139"/>
      <c r="AG727" s="139"/>
      <c r="AH727" s="139"/>
      <c r="AI727" s="139"/>
      <c r="AJ727" s="139"/>
      <c r="AK727" s="139"/>
      <c r="AL727" s="139"/>
      <c r="AM727" s="139"/>
      <c r="AN727" s="139"/>
      <c r="AO727" s="139"/>
      <c r="AP727" s="139"/>
      <c r="AQ727" s="139"/>
      <c r="AR727" s="139"/>
      <c r="AS727" s="139"/>
      <c r="AT727" s="139"/>
      <c r="AU727" s="139"/>
      <c r="AV727" s="139"/>
    </row>
    <row r="728">
      <c r="A728" s="139"/>
      <c r="B728" s="234"/>
      <c r="C728" s="139"/>
      <c r="D728" s="139"/>
      <c r="E728" s="139"/>
      <c r="F728" s="139"/>
      <c r="G728" s="139"/>
      <c r="H728" s="139"/>
      <c r="I728" s="139"/>
      <c r="J728" s="139"/>
      <c r="K728" s="139"/>
      <c r="L728" s="139"/>
      <c r="M728" s="139"/>
      <c r="N728" s="145"/>
      <c r="O728" s="139"/>
      <c r="P728" s="139"/>
      <c r="Q728" s="231"/>
      <c r="R728" s="139"/>
      <c r="S728" s="235"/>
      <c r="T728" s="235"/>
      <c r="U728" s="145"/>
      <c r="V728" s="145"/>
      <c r="W728" s="111"/>
      <c r="X728" s="233"/>
      <c r="Y728" s="226"/>
      <c r="Z728" s="139"/>
      <c r="AA728" s="139"/>
      <c r="AB728" s="139"/>
      <c r="AC728" s="139"/>
      <c r="AD728" s="139"/>
      <c r="AE728" s="139"/>
      <c r="AF728" s="139"/>
      <c r="AG728" s="139"/>
      <c r="AH728" s="139"/>
      <c r="AI728" s="139"/>
      <c r="AJ728" s="139"/>
      <c r="AK728" s="139"/>
      <c r="AL728" s="139"/>
      <c r="AM728" s="139"/>
      <c r="AN728" s="139"/>
      <c r="AO728" s="139"/>
      <c r="AP728" s="139"/>
      <c r="AQ728" s="139"/>
      <c r="AR728" s="139"/>
      <c r="AS728" s="139"/>
      <c r="AT728" s="139"/>
      <c r="AU728" s="139"/>
      <c r="AV728" s="139"/>
    </row>
    <row r="729">
      <c r="A729" s="139"/>
      <c r="B729" s="234"/>
      <c r="C729" s="139"/>
      <c r="D729" s="139"/>
      <c r="E729" s="139"/>
      <c r="F729" s="139"/>
      <c r="G729" s="139"/>
      <c r="H729" s="139"/>
      <c r="I729" s="139"/>
      <c r="J729" s="139"/>
      <c r="K729" s="139"/>
      <c r="L729" s="139"/>
      <c r="M729" s="139"/>
      <c r="N729" s="145"/>
      <c r="O729" s="139"/>
      <c r="P729" s="139"/>
      <c r="Q729" s="231"/>
      <c r="R729" s="139"/>
      <c r="S729" s="235"/>
      <c r="T729" s="235"/>
      <c r="U729" s="145"/>
      <c r="V729" s="145"/>
      <c r="W729" s="111"/>
      <c r="X729" s="233"/>
      <c r="Y729" s="226"/>
      <c r="Z729" s="139"/>
      <c r="AA729" s="139"/>
      <c r="AB729" s="139"/>
      <c r="AC729" s="139"/>
      <c r="AD729" s="139"/>
      <c r="AE729" s="139"/>
      <c r="AF729" s="139"/>
      <c r="AG729" s="139"/>
      <c r="AH729" s="139"/>
      <c r="AI729" s="139"/>
      <c r="AJ729" s="139"/>
      <c r="AK729" s="139"/>
      <c r="AL729" s="139"/>
      <c r="AM729" s="139"/>
      <c r="AN729" s="139"/>
      <c r="AO729" s="139"/>
      <c r="AP729" s="139"/>
      <c r="AQ729" s="139"/>
      <c r="AR729" s="139"/>
      <c r="AS729" s="139"/>
      <c r="AT729" s="139"/>
      <c r="AU729" s="139"/>
      <c r="AV729" s="139"/>
    </row>
    <row r="730">
      <c r="A730" s="139"/>
      <c r="B730" s="234"/>
      <c r="C730" s="139"/>
      <c r="D730" s="139"/>
      <c r="E730" s="139"/>
      <c r="F730" s="139"/>
      <c r="G730" s="139"/>
      <c r="H730" s="139"/>
      <c r="I730" s="139"/>
      <c r="J730" s="139"/>
      <c r="K730" s="139"/>
      <c r="L730" s="139"/>
      <c r="M730" s="139"/>
      <c r="N730" s="145"/>
      <c r="O730" s="139"/>
      <c r="P730" s="139"/>
      <c r="Q730" s="231"/>
      <c r="R730" s="139"/>
      <c r="S730" s="235"/>
      <c r="T730" s="235"/>
      <c r="U730" s="145"/>
      <c r="V730" s="145"/>
      <c r="W730" s="111"/>
      <c r="X730" s="233"/>
      <c r="Y730" s="226"/>
      <c r="Z730" s="139"/>
      <c r="AA730" s="139"/>
      <c r="AB730" s="139"/>
      <c r="AC730" s="139"/>
      <c r="AD730" s="139"/>
      <c r="AE730" s="139"/>
      <c r="AF730" s="139"/>
      <c r="AG730" s="139"/>
      <c r="AH730" s="139"/>
      <c r="AI730" s="139"/>
      <c r="AJ730" s="139"/>
      <c r="AK730" s="139"/>
      <c r="AL730" s="139"/>
      <c r="AM730" s="139"/>
      <c r="AN730" s="139"/>
      <c r="AO730" s="139"/>
      <c r="AP730" s="139"/>
      <c r="AQ730" s="139"/>
      <c r="AR730" s="139"/>
      <c r="AS730" s="139"/>
      <c r="AT730" s="139"/>
      <c r="AU730" s="139"/>
      <c r="AV730" s="139"/>
    </row>
    <row r="731">
      <c r="A731" s="139"/>
      <c r="B731" s="234"/>
      <c r="C731" s="139"/>
      <c r="D731" s="139"/>
      <c r="E731" s="139"/>
      <c r="F731" s="139"/>
      <c r="G731" s="139"/>
      <c r="H731" s="139"/>
      <c r="I731" s="139"/>
      <c r="J731" s="139"/>
      <c r="K731" s="139"/>
      <c r="L731" s="139"/>
      <c r="M731" s="139"/>
      <c r="N731" s="145"/>
      <c r="O731" s="139"/>
      <c r="P731" s="139"/>
      <c r="Q731" s="231"/>
      <c r="R731" s="139"/>
      <c r="S731" s="235"/>
      <c r="T731" s="235"/>
      <c r="U731" s="145"/>
      <c r="V731" s="145"/>
      <c r="W731" s="111"/>
      <c r="X731" s="233"/>
      <c r="Y731" s="226"/>
      <c r="Z731" s="139"/>
      <c r="AA731" s="139"/>
      <c r="AB731" s="139"/>
      <c r="AC731" s="139"/>
      <c r="AD731" s="139"/>
      <c r="AE731" s="139"/>
      <c r="AF731" s="139"/>
      <c r="AG731" s="139"/>
      <c r="AH731" s="139"/>
      <c r="AI731" s="139"/>
      <c r="AJ731" s="139"/>
      <c r="AK731" s="139"/>
      <c r="AL731" s="139"/>
      <c r="AM731" s="139"/>
      <c r="AN731" s="139"/>
      <c r="AO731" s="139"/>
      <c r="AP731" s="139"/>
      <c r="AQ731" s="139"/>
      <c r="AR731" s="139"/>
      <c r="AS731" s="139"/>
      <c r="AT731" s="139"/>
      <c r="AU731" s="139"/>
      <c r="AV731" s="139"/>
    </row>
    <row r="732">
      <c r="A732" s="139"/>
      <c r="B732" s="234"/>
      <c r="C732" s="139"/>
      <c r="D732" s="139"/>
      <c r="E732" s="139"/>
      <c r="F732" s="139"/>
      <c r="G732" s="139"/>
      <c r="H732" s="139"/>
      <c r="I732" s="139"/>
      <c r="J732" s="139"/>
      <c r="K732" s="139"/>
      <c r="L732" s="139"/>
      <c r="M732" s="139"/>
      <c r="N732" s="145"/>
      <c r="O732" s="139"/>
      <c r="P732" s="139"/>
      <c r="Q732" s="231"/>
      <c r="R732" s="139"/>
      <c r="S732" s="235"/>
      <c r="T732" s="235"/>
      <c r="U732" s="145"/>
      <c r="V732" s="145"/>
      <c r="W732" s="111"/>
      <c r="X732" s="233"/>
      <c r="Y732" s="226"/>
      <c r="Z732" s="139"/>
      <c r="AA732" s="139"/>
      <c r="AB732" s="139"/>
      <c r="AC732" s="139"/>
      <c r="AD732" s="139"/>
      <c r="AE732" s="139"/>
      <c r="AF732" s="139"/>
      <c r="AG732" s="139"/>
      <c r="AH732" s="139"/>
      <c r="AI732" s="139"/>
      <c r="AJ732" s="139"/>
      <c r="AK732" s="139"/>
      <c r="AL732" s="139"/>
      <c r="AM732" s="139"/>
      <c r="AN732" s="139"/>
      <c r="AO732" s="139"/>
      <c r="AP732" s="139"/>
      <c r="AQ732" s="139"/>
      <c r="AR732" s="139"/>
      <c r="AS732" s="139"/>
      <c r="AT732" s="139"/>
      <c r="AU732" s="139"/>
      <c r="AV732" s="139"/>
    </row>
    <row r="733">
      <c r="A733" s="139"/>
      <c r="B733" s="234"/>
      <c r="C733" s="139"/>
      <c r="D733" s="139"/>
      <c r="E733" s="139"/>
      <c r="F733" s="139"/>
      <c r="G733" s="139"/>
      <c r="H733" s="139"/>
      <c r="I733" s="139"/>
      <c r="J733" s="139"/>
      <c r="K733" s="139"/>
      <c r="L733" s="139"/>
      <c r="M733" s="139"/>
      <c r="N733" s="145"/>
      <c r="O733" s="139"/>
      <c r="P733" s="139"/>
      <c r="Q733" s="231"/>
      <c r="R733" s="139"/>
      <c r="S733" s="235"/>
      <c r="T733" s="235"/>
      <c r="U733" s="145"/>
      <c r="V733" s="145"/>
      <c r="W733" s="111"/>
      <c r="X733" s="233"/>
      <c r="Y733" s="226"/>
      <c r="Z733" s="139"/>
      <c r="AA733" s="139"/>
      <c r="AB733" s="139"/>
      <c r="AC733" s="139"/>
      <c r="AD733" s="139"/>
      <c r="AE733" s="139"/>
      <c r="AF733" s="139"/>
      <c r="AG733" s="139"/>
      <c r="AH733" s="139"/>
      <c r="AI733" s="139"/>
      <c r="AJ733" s="139"/>
      <c r="AK733" s="139"/>
      <c r="AL733" s="139"/>
      <c r="AM733" s="139"/>
      <c r="AN733" s="139"/>
      <c r="AO733" s="139"/>
      <c r="AP733" s="139"/>
      <c r="AQ733" s="139"/>
      <c r="AR733" s="139"/>
      <c r="AS733" s="139"/>
      <c r="AT733" s="139"/>
      <c r="AU733" s="139"/>
      <c r="AV733" s="139"/>
    </row>
    <row r="734">
      <c r="A734" s="139"/>
      <c r="B734" s="234"/>
      <c r="C734" s="139"/>
      <c r="D734" s="139"/>
      <c r="E734" s="139"/>
      <c r="F734" s="139"/>
      <c r="G734" s="139"/>
      <c r="H734" s="139"/>
      <c r="I734" s="139"/>
      <c r="J734" s="139"/>
      <c r="K734" s="139"/>
      <c r="L734" s="139"/>
      <c r="M734" s="139"/>
      <c r="N734" s="145"/>
      <c r="O734" s="139"/>
      <c r="P734" s="139"/>
      <c r="Q734" s="231"/>
      <c r="R734" s="139"/>
      <c r="S734" s="235"/>
      <c r="T734" s="235"/>
      <c r="U734" s="145"/>
      <c r="V734" s="145"/>
      <c r="W734" s="111"/>
      <c r="X734" s="233"/>
      <c r="Y734" s="226"/>
      <c r="Z734" s="139"/>
      <c r="AA734" s="139"/>
      <c r="AB734" s="139"/>
      <c r="AC734" s="139"/>
      <c r="AD734" s="139"/>
      <c r="AE734" s="139"/>
      <c r="AF734" s="139"/>
      <c r="AG734" s="139"/>
      <c r="AH734" s="139"/>
      <c r="AI734" s="139"/>
      <c r="AJ734" s="139"/>
      <c r="AK734" s="139"/>
      <c r="AL734" s="139"/>
      <c r="AM734" s="139"/>
      <c r="AN734" s="139"/>
      <c r="AO734" s="139"/>
      <c r="AP734" s="139"/>
      <c r="AQ734" s="139"/>
      <c r="AR734" s="139"/>
      <c r="AS734" s="139"/>
      <c r="AT734" s="139"/>
      <c r="AU734" s="139"/>
      <c r="AV734" s="139"/>
    </row>
    <row r="735">
      <c r="A735" s="139"/>
      <c r="B735" s="234"/>
      <c r="C735" s="139"/>
      <c r="D735" s="139"/>
      <c r="E735" s="139"/>
      <c r="F735" s="139"/>
      <c r="G735" s="139"/>
      <c r="H735" s="139"/>
      <c r="I735" s="139"/>
      <c r="J735" s="139"/>
      <c r="K735" s="139"/>
      <c r="L735" s="139"/>
      <c r="M735" s="139"/>
      <c r="N735" s="145"/>
      <c r="O735" s="139"/>
      <c r="P735" s="139"/>
      <c r="Q735" s="231"/>
      <c r="R735" s="139"/>
      <c r="S735" s="235"/>
      <c r="T735" s="235"/>
      <c r="U735" s="145"/>
      <c r="V735" s="145"/>
      <c r="W735" s="111"/>
      <c r="X735" s="233"/>
      <c r="Y735" s="226"/>
      <c r="Z735" s="139"/>
      <c r="AA735" s="139"/>
      <c r="AB735" s="139"/>
      <c r="AC735" s="139"/>
      <c r="AD735" s="139"/>
      <c r="AE735" s="139"/>
      <c r="AF735" s="139"/>
      <c r="AG735" s="139"/>
      <c r="AH735" s="139"/>
      <c r="AI735" s="139"/>
      <c r="AJ735" s="139"/>
      <c r="AK735" s="139"/>
      <c r="AL735" s="139"/>
      <c r="AM735" s="139"/>
      <c r="AN735" s="139"/>
      <c r="AO735" s="139"/>
      <c r="AP735" s="139"/>
      <c r="AQ735" s="139"/>
      <c r="AR735" s="139"/>
      <c r="AS735" s="139"/>
      <c r="AT735" s="139"/>
      <c r="AU735" s="139"/>
      <c r="AV735" s="139"/>
    </row>
    <row r="736">
      <c r="A736" s="139"/>
      <c r="B736" s="234"/>
      <c r="C736" s="139"/>
      <c r="D736" s="139"/>
      <c r="E736" s="139"/>
      <c r="F736" s="139"/>
      <c r="G736" s="139"/>
      <c r="H736" s="139"/>
      <c r="I736" s="139"/>
      <c r="J736" s="139"/>
      <c r="K736" s="139"/>
      <c r="L736" s="139"/>
      <c r="M736" s="139"/>
      <c r="N736" s="145"/>
      <c r="O736" s="139"/>
      <c r="P736" s="139"/>
      <c r="Q736" s="231"/>
      <c r="R736" s="139"/>
      <c r="S736" s="235"/>
      <c r="T736" s="235"/>
      <c r="U736" s="145"/>
      <c r="V736" s="145"/>
      <c r="W736" s="111"/>
      <c r="X736" s="233"/>
      <c r="Y736" s="226"/>
      <c r="Z736" s="139"/>
      <c r="AA736" s="139"/>
      <c r="AB736" s="139"/>
      <c r="AC736" s="139"/>
      <c r="AD736" s="139"/>
      <c r="AE736" s="139"/>
      <c r="AF736" s="139"/>
      <c r="AG736" s="139"/>
      <c r="AH736" s="139"/>
      <c r="AI736" s="139"/>
      <c r="AJ736" s="139"/>
      <c r="AK736" s="139"/>
      <c r="AL736" s="139"/>
      <c r="AM736" s="139"/>
      <c r="AN736" s="139"/>
      <c r="AO736" s="139"/>
      <c r="AP736" s="139"/>
      <c r="AQ736" s="139"/>
      <c r="AR736" s="139"/>
      <c r="AS736" s="139"/>
      <c r="AT736" s="139"/>
      <c r="AU736" s="139"/>
      <c r="AV736" s="139"/>
    </row>
    <row r="737">
      <c r="A737" s="139"/>
      <c r="B737" s="234"/>
      <c r="C737" s="139"/>
      <c r="D737" s="139"/>
      <c r="E737" s="139"/>
      <c r="F737" s="139"/>
      <c r="G737" s="139"/>
      <c r="H737" s="139"/>
      <c r="I737" s="139"/>
      <c r="J737" s="139"/>
      <c r="K737" s="139"/>
      <c r="L737" s="139"/>
      <c r="M737" s="139"/>
      <c r="N737" s="145"/>
      <c r="O737" s="139"/>
      <c r="P737" s="139"/>
      <c r="Q737" s="231"/>
      <c r="R737" s="139"/>
      <c r="S737" s="235"/>
      <c r="T737" s="235"/>
      <c r="U737" s="145"/>
      <c r="V737" s="145"/>
      <c r="W737" s="111"/>
      <c r="X737" s="233"/>
      <c r="Y737" s="226"/>
      <c r="Z737" s="139"/>
      <c r="AA737" s="139"/>
      <c r="AB737" s="139"/>
      <c r="AC737" s="139"/>
      <c r="AD737" s="139"/>
      <c r="AE737" s="139"/>
      <c r="AF737" s="139"/>
      <c r="AG737" s="139"/>
      <c r="AH737" s="139"/>
      <c r="AI737" s="139"/>
      <c r="AJ737" s="139"/>
      <c r="AK737" s="139"/>
      <c r="AL737" s="139"/>
      <c r="AM737" s="139"/>
      <c r="AN737" s="139"/>
      <c r="AO737" s="139"/>
      <c r="AP737" s="139"/>
      <c r="AQ737" s="139"/>
      <c r="AR737" s="139"/>
      <c r="AS737" s="139"/>
      <c r="AT737" s="139"/>
      <c r="AU737" s="139"/>
      <c r="AV737" s="139"/>
    </row>
    <row r="738">
      <c r="A738" s="139"/>
      <c r="B738" s="234"/>
      <c r="C738" s="139"/>
      <c r="D738" s="139"/>
      <c r="E738" s="139"/>
      <c r="F738" s="139"/>
      <c r="G738" s="139"/>
      <c r="H738" s="139"/>
      <c r="I738" s="139"/>
      <c r="J738" s="139"/>
      <c r="K738" s="139"/>
      <c r="L738" s="139"/>
      <c r="M738" s="139"/>
      <c r="N738" s="145"/>
      <c r="O738" s="139"/>
      <c r="P738" s="139"/>
      <c r="Q738" s="231"/>
      <c r="R738" s="139"/>
      <c r="S738" s="235"/>
      <c r="T738" s="235"/>
      <c r="U738" s="145"/>
      <c r="V738" s="145"/>
      <c r="W738" s="111"/>
      <c r="X738" s="233"/>
      <c r="Y738" s="226"/>
      <c r="Z738" s="139"/>
      <c r="AA738" s="139"/>
      <c r="AB738" s="139"/>
      <c r="AC738" s="139"/>
      <c r="AD738" s="139"/>
      <c r="AE738" s="139"/>
      <c r="AF738" s="139"/>
      <c r="AG738" s="139"/>
      <c r="AH738" s="139"/>
      <c r="AI738" s="139"/>
      <c r="AJ738" s="139"/>
      <c r="AK738" s="139"/>
      <c r="AL738" s="139"/>
      <c r="AM738" s="139"/>
      <c r="AN738" s="139"/>
      <c r="AO738" s="139"/>
      <c r="AP738" s="139"/>
      <c r="AQ738" s="139"/>
      <c r="AR738" s="139"/>
      <c r="AS738" s="139"/>
      <c r="AT738" s="139"/>
      <c r="AU738" s="139"/>
      <c r="AV738" s="139"/>
    </row>
    <row r="739">
      <c r="A739" s="139"/>
      <c r="B739" s="234"/>
      <c r="C739" s="139"/>
      <c r="D739" s="139"/>
      <c r="E739" s="139"/>
      <c r="F739" s="139"/>
      <c r="G739" s="139"/>
      <c r="H739" s="139"/>
      <c r="I739" s="139"/>
      <c r="J739" s="139"/>
      <c r="K739" s="139"/>
      <c r="L739" s="139"/>
      <c r="M739" s="139"/>
      <c r="N739" s="145"/>
      <c r="O739" s="139"/>
      <c r="P739" s="139"/>
      <c r="Q739" s="231"/>
      <c r="R739" s="139"/>
      <c r="S739" s="235"/>
      <c r="T739" s="235"/>
      <c r="U739" s="145"/>
      <c r="V739" s="145"/>
      <c r="W739" s="111"/>
      <c r="X739" s="233"/>
      <c r="Y739" s="226"/>
      <c r="Z739" s="139"/>
      <c r="AA739" s="139"/>
      <c r="AB739" s="139"/>
      <c r="AC739" s="139"/>
      <c r="AD739" s="139"/>
      <c r="AE739" s="139"/>
      <c r="AF739" s="139"/>
      <c r="AG739" s="139"/>
      <c r="AH739" s="139"/>
      <c r="AI739" s="139"/>
      <c r="AJ739" s="139"/>
      <c r="AK739" s="139"/>
      <c r="AL739" s="139"/>
      <c r="AM739" s="139"/>
      <c r="AN739" s="139"/>
      <c r="AO739" s="139"/>
      <c r="AP739" s="139"/>
      <c r="AQ739" s="139"/>
      <c r="AR739" s="139"/>
      <c r="AS739" s="139"/>
      <c r="AT739" s="139"/>
      <c r="AU739" s="139"/>
      <c r="AV739" s="139"/>
    </row>
    <row r="740">
      <c r="A740" s="139"/>
      <c r="B740" s="234"/>
      <c r="C740" s="139"/>
      <c r="D740" s="139"/>
      <c r="E740" s="139"/>
      <c r="F740" s="139"/>
      <c r="G740" s="139"/>
      <c r="H740" s="139"/>
      <c r="I740" s="139"/>
      <c r="J740" s="139"/>
      <c r="K740" s="139"/>
      <c r="L740" s="139"/>
      <c r="M740" s="139"/>
      <c r="N740" s="145"/>
      <c r="O740" s="139"/>
      <c r="P740" s="139"/>
      <c r="Q740" s="231"/>
      <c r="R740" s="139"/>
      <c r="S740" s="235"/>
      <c r="T740" s="235"/>
      <c r="U740" s="145"/>
      <c r="V740" s="145"/>
      <c r="W740" s="111"/>
      <c r="X740" s="233"/>
      <c r="Y740" s="226"/>
      <c r="Z740" s="139"/>
      <c r="AA740" s="139"/>
      <c r="AB740" s="139"/>
      <c r="AC740" s="139"/>
      <c r="AD740" s="139"/>
      <c r="AE740" s="139"/>
      <c r="AF740" s="139"/>
      <c r="AG740" s="139"/>
      <c r="AH740" s="139"/>
      <c r="AI740" s="139"/>
      <c r="AJ740" s="139"/>
      <c r="AK740" s="139"/>
      <c r="AL740" s="139"/>
      <c r="AM740" s="139"/>
      <c r="AN740" s="139"/>
      <c r="AO740" s="139"/>
      <c r="AP740" s="139"/>
      <c r="AQ740" s="139"/>
      <c r="AR740" s="139"/>
      <c r="AS740" s="139"/>
      <c r="AT740" s="139"/>
      <c r="AU740" s="139"/>
      <c r="AV740" s="139"/>
    </row>
    <row r="741">
      <c r="A741" s="139"/>
      <c r="B741" s="234"/>
      <c r="C741" s="139"/>
      <c r="D741" s="139"/>
      <c r="E741" s="139"/>
      <c r="F741" s="139"/>
      <c r="G741" s="139"/>
      <c r="H741" s="139"/>
      <c r="I741" s="139"/>
      <c r="J741" s="139"/>
      <c r="K741" s="139"/>
      <c r="L741" s="139"/>
      <c r="M741" s="139"/>
      <c r="N741" s="145"/>
      <c r="O741" s="139"/>
      <c r="P741" s="139"/>
      <c r="Q741" s="231"/>
      <c r="R741" s="139"/>
      <c r="S741" s="235"/>
      <c r="T741" s="235"/>
      <c r="U741" s="145"/>
      <c r="V741" s="145"/>
      <c r="W741" s="111"/>
      <c r="X741" s="233"/>
      <c r="Y741" s="226"/>
      <c r="Z741" s="139"/>
      <c r="AA741" s="139"/>
      <c r="AB741" s="139"/>
      <c r="AC741" s="139"/>
      <c r="AD741" s="139"/>
      <c r="AE741" s="139"/>
      <c r="AF741" s="139"/>
      <c r="AG741" s="139"/>
      <c r="AH741" s="139"/>
      <c r="AI741" s="139"/>
      <c r="AJ741" s="139"/>
      <c r="AK741" s="139"/>
      <c r="AL741" s="139"/>
      <c r="AM741" s="139"/>
      <c r="AN741" s="139"/>
      <c r="AO741" s="139"/>
      <c r="AP741" s="139"/>
      <c r="AQ741" s="139"/>
      <c r="AR741" s="139"/>
      <c r="AS741" s="139"/>
      <c r="AT741" s="139"/>
      <c r="AU741" s="139"/>
      <c r="AV741" s="139"/>
    </row>
    <row r="742">
      <c r="A742" s="139"/>
      <c r="B742" s="234"/>
      <c r="C742" s="139"/>
      <c r="D742" s="139"/>
      <c r="E742" s="139"/>
      <c r="F742" s="139"/>
      <c r="G742" s="139"/>
      <c r="H742" s="139"/>
      <c r="I742" s="139"/>
      <c r="J742" s="139"/>
      <c r="K742" s="139"/>
      <c r="L742" s="139"/>
      <c r="M742" s="139"/>
      <c r="N742" s="145"/>
      <c r="O742" s="139"/>
      <c r="P742" s="139"/>
      <c r="Q742" s="231"/>
      <c r="R742" s="139"/>
      <c r="S742" s="235"/>
      <c r="T742" s="235"/>
      <c r="U742" s="145"/>
      <c r="V742" s="145"/>
      <c r="W742" s="111"/>
      <c r="X742" s="233"/>
      <c r="Y742" s="226"/>
      <c r="Z742" s="139"/>
      <c r="AA742" s="139"/>
      <c r="AB742" s="139"/>
      <c r="AC742" s="139"/>
      <c r="AD742" s="139"/>
      <c r="AE742" s="139"/>
      <c r="AF742" s="139"/>
      <c r="AG742" s="139"/>
      <c r="AH742" s="139"/>
      <c r="AI742" s="139"/>
      <c r="AJ742" s="139"/>
      <c r="AK742" s="139"/>
      <c r="AL742" s="139"/>
      <c r="AM742" s="139"/>
      <c r="AN742" s="139"/>
      <c r="AO742" s="139"/>
      <c r="AP742" s="139"/>
      <c r="AQ742" s="139"/>
      <c r="AR742" s="139"/>
      <c r="AS742" s="139"/>
      <c r="AT742" s="139"/>
      <c r="AU742" s="139"/>
      <c r="AV742" s="139"/>
    </row>
    <row r="743">
      <c r="A743" s="139"/>
      <c r="B743" s="234"/>
      <c r="C743" s="139"/>
      <c r="D743" s="139"/>
      <c r="E743" s="139"/>
      <c r="F743" s="139"/>
      <c r="G743" s="139"/>
      <c r="H743" s="139"/>
      <c r="I743" s="139"/>
      <c r="J743" s="139"/>
      <c r="K743" s="139"/>
      <c r="L743" s="139"/>
      <c r="M743" s="139"/>
      <c r="N743" s="145"/>
      <c r="O743" s="139"/>
      <c r="P743" s="139"/>
      <c r="Q743" s="231"/>
      <c r="R743" s="139"/>
      <c r="S743" s="235"/>
      <c r="T743" s="235"/>
      <c r="U743" s="145"/>
      <c r="V743" s="145"/>
      <c r="W743" s="111"/>
      <c r="X743" s="233"/>
      <c r="Y743" s="226"/>
      <c r="Z743" s="139"/>
      <c r="AA743" s="139"/>
      <c r="AB743" s="139"/>
      <c r="AC743" s="139"/>
      <c r="AD743" s="139"/>
      <c r="AE743" s="139"/>
      <c r="AF743" s="139"/>
      <c r="AG743" s="139"/>
      <c r="AH743" s="139"/>
      <c r="AI743" s="139"/>
      <c r="AJ743" s="139"/>
      <c r="AK743" s="139"/>
      <c r="AL743" s="139"/>
      <c r="AM743" s="139"/>
      <c r="AN743" s="139"/>
      <c r="AO743" s="139"/>
      <c r="AP743" s="139"/>
      <c r="AQ743" s="139"/>
      <c r="AR743" s="139"/>
      <c r="AS743" s="139"/>
      <c r="AT743" s="139"/>
      <c r="AU743" s="139"/>
      <c r="AV743" s="139"/>
    </row>
    <row r="744">
      <c r="A744" s="139"/>
      <c r="B744" s="234"/>
      <c r="C744" s="139"/>
      <c r="D744" s="139"/>
      <c r="E744" s="139"/>
      <c r="F744" s="139"/>
      <c r="G744" s="139"/>
      <c r="H744" s="139"/>
      <c r="I744" s="139"/>
      <c r="J744" s="139"/>
      <c r="K744" s="139"/>
      <c r="L744" s="139"/>
      <c r="M744" s="139"/>
      <c r="N744" s="145"/>
      <c r="O744" s="139"/>
      <c r="P744" s="139"/>
      <c r="Q744" s="231"/>
      <c r="R744" s="139"/>
      <c r="S744" s="235"/>
      <c r="T744" s="235"/>
      <c r="U744" s="145"/>
      <c r="V744" s="145"/>
      <c r="W744" s="111"/>
      <c r="X744" s="233"/>
      <c r="Y744" s="226"/>
      <c r="Z744" s="139"/>
      <c r="AA744" s="139"/>
      <c r="AB744" s="139"/>
      <c r="AC744" s="139"/>
      <c r="AD744" s="139"/>
      <c r="AE744" s="139"/>
      <c r="AF744" s="139"/>
      <c r="AG744" s="139"/>
      <c r="AH744" s="139"/>
      <c r="AI744" s="139"/>
      <c r="AJ744" s="139"/>
      <c r="AK744" s="139"/>
      <c r="AL744" s="139"/>
      <c r="AM744" s="139"/>
      <c r="AN744" s="139"/>
      <c r="AO744" s="139"/>
      <c r="AP744" s="139"/>
      <c r="AQ744" s="139"/>
      <c r="AR744" s="139"/>
      <c r="AS744" s="139"/>
      <c r="AT744" s="139"/>
      <c r="AU744" s="139"/>
      <c r="AV744" s="139"/>
    </row>
    <row r="745">
      <c r="A745" s="139"/>
      <c r="B745" s="234"/>
      <c r="C745" s="139"/>
      <c r="D745" s="139"/>
      <c r="E745" s="139"/>
      <c r="F745" s="139"/>
      <c r="G745" s="139"/>
      <c r="H745" s="139"/>
      <c r="I745" s="139"/>
      <c r="J745" s="139"/>
      <c r="K745" s="139"/>
      <c r="L745" s="139"/>
      <c r="M745" s="139"/>
      <c r="N745" s="145"/>
      <c r="O745" s="139"/>
      <c r="P745" s="139"/>
      <c r="Q745" s="231"/>
      <c r="R745" s="139"/>
      <c r="S745" s="235"/>
      <c r="T745" s="235"/>
      <c r="U745" s="145"/>
      <c r="V745" s="145"/>
      <c r="W745" s="111"/>
      <c r="X745" s="233"/>
      <c r="Y745" s="226"/>
      <c r="Z745" s="139"/>
      <c r="AA745" s="139"/>
      <c r="AB745" s="139"/>
      <c r="AC745" s="139"/>
      <c r="AD745" s="139"/>
      <c r="AE745" s="139"/>
      <c r="AF745" s="139"/>
      <c r="AG745" s="139"/>
      <c r="AH745" s="139"/>
      <c r="AI745" s="139"/>
      <c r="AJ745" s="139"/>
      <c r="AK745" s="139"/>
      <c r="AL745" s="139"/>
      <c r="AM745" s="139"/>
      <c r="AN745" s="139"/>
      <c r="AO745" s="139"/>
      <c r="AP745" s="139"/>
      <c r="AQ745" s="139"/>
      <c r="AR745" s="139"/>
      <c r="AS745" s="139"/>
      <c r="AT745" s="139"/>
      <c r="AU745" s="139"/>
      <c r="AV745" s="139"/>
    </row>
    <row r="746">
      <c r="A746" s="139"/>
      <c r="B746" s="234"/>
      <c r="C746" s="139"/>
      <c r="D746" s="139"/>
      <c r="E746" s="139"/>
      <c r="F746" s="139"/>
      <c r="G746" s="139"/>
      <c r="H746" s="139"/>
      <c r="I746" s="139"/>
      <c r="J746" s="139"/>
      <c r="K746" s="139"/>
      <c r="L746" s="139"/>
      <c r="M746" s="139"/>
      <c r="N746" s="145"/>
      <c r="O746" s="139"/>
      <c r="P746" s="139"/>
      <c r="Q746" s="231"/>
      <c r="R746" s="139"/>
      <c r="S746" s="235"/>
      <c r="T746" s="235"/>
      <c r="U746" s="145"/>
      <c r="V746" s="145"/>
      <c r="W746" s="111"/>
      <c r="X746" s="233"/>
      <c r="Y746" s="226"/>
      <c r="Z746" s="139"/>
      <c r="AA746" s="139"/>
      <c r="AB746" s="139"/>
      <c r="AC746" s="139"/>
      <c r="AD746" s="139"/>
      <c r="AE746" s="139"/>
      <c r="AF746" s="139"/>
      <c r="AG746" s="139"/>
      <c r="AH746" s="139"/>
      <c r="AI746" s="139"/>
      <c r="AJ746" s="139"/>
      <c r="AK746" s="139"/>
      <c r="AL746" s="139"/>
      <c r="AM746" s="139"/>
      <c r="AN746" s="139"/>
      <c r="AO746" s="139"/>
      <c r="AP746" s="139"/>
      <c r="AQ746" s="139"/>
      <c r="AR746" s="139"/>
      <c r="AS746" s="139"/>
      <c r="AT746" s="139"/>
      <c r="AU746" s="139"/>
      <c r="AV746" s="139"/>
    </row>
    <row r="747">
      <c r="A747" s="139"/>
      <c r="B747" s="234"/>
      <c r="C747" s="139"/>
      <c r="D747" s="139"/>
      <c r="E747" s="139"/>
      <c r="F747" s="139"/>
      <c r="G747" s="139"/>
      <c r="H747" s="139"/>
      <c r="I747" s="139"/>
      <c r="J747" s="139"/>
      <c r="K747" s="139"/>
      <c r="L747" s="139"/>
      <c r="M747" s="139"/>
      <c r="N747" s="145"/>
      <c r="O747" s="139"/>
      <c r="P747" s="139"/>
      <c r="Q747" s="231"/>
      <c r="R747" s="139"/>
      <c r="S747" s="235"/>
      <c r="T747" s="235"/>
      <c r="U747" s="145"/>
      <c r="V747" s="145"/>
      <c r="W747" s="111"/>
      <c r="X747" s="233"/>
      <c r="Y747" s="226"/>
      <c r="Z747" s="139"/>
      <c r="AA747" s="139"/>
      <c r="AB747" s="139"/>
      <c r="AC747" s="139"/>
      <c r="AD747" s="139"/>
      <c r="AE747" s="139"/>
      <c r="AF747" s="139"/>
      <c r="AG747" s="139"/>
      <c r="AH747" s="139"/>
      <c r="AI747" s="139"/>
      <c r="AJ747" s="139"/>
      <c r="AK747" s="139"/>
      <c r="AL747" s="139"/>
      <c r="AM747" s="139"/>
      <c r="AN747" s="139"/>
      <c r="AO747" s="139"/>
      <c r="AP747" s="139"/>
      <c r="AQ747" s="139"/>
      <c r="AR747" s="139"/>
      <c r="AS747" s="139"/>
      <c r="AT747" s="139"/>
      <c r="AU747" s="139"/>
      <c r="AV747" s="139"/>
    </row>
    <row r="748">
      <c r="A748" s="139"/>
      <c r="B748" s="234"/>
      <c r="C748" s="139"/>
      <c r="D748" s="139"/>
      <c r="E748" s="139"/>
      <c r="F748" s="139"/>
      <c r="G748" s="139"/>
      <c r="H748" s="139"/>
      <c r="I748" s="139"/>
      <c r="J748" s="139"/>
      <c r="K748" s="139"/>
      <c r="L748" s="139"/>
      <c r="M748" s="139"/>
      <c r="N748" s="145"/>
      <c r="O748" s="139"/>
      <c r="P748" s="139"/>
      <c r="Q748" s="231"/>
      <c r="R748" s="139"/>
      <c r="S748" s="235"/>
      <c r="T748" s="235"/>
      <c r="U748" s="145"/>
      <c r="V748" s="145"/>
      <c r="W748" s="111"/>
      <c r="X748" s="233"/>
      <c r="Y748" s="226"/>
      <c r="Z748" s="139"/>
      <c r="AA748" s="139"/>
      <c r="AB748" s="139"/>
      <c r="AC748" s="139"/>
      <c r="AD748" s="139"/>
      <c r="AE748" s="139"/>
      <c r="AF748" s="139"/>
      <c r="AG748" s="139"/>
      <c r="AH748" s="139"/>
      <c r="AI748" s="139"/>
      <c r="AJ748" s="139"/>
      <c r="AK748" s="139"/>
      <c r="AL748" s="139"/>
      <c r="AM748" s="139"/>
      <c r="AN748" s="139"/>
      <c r="AO748" s="139"/>
      <c r="AP748" s="139"/>
      <c r="AQ748" s="139"/>
      <c r="AR748" s="139"/>
      <c r="AS748" s="139"/>
      <c r="AT748" s="139"/>
      <c r="AU748" s="139"/>
      <c r="AV748" s="139"/>
    </row>
    <row r="749">
      <c r="A749" s="139"/>
      <c r="B749" s="234"/>
      <c r="C749" s="139"/>
      <c r="D749" s="139"/>
      <c r="E749" s="139"/>
      <c r="F749" s="139"/>
      <c r="G749" s="139"/>
      <c r="H749" s="139"/>
      <c r="I749" s="139"/>
      <c r="J749" s="139"/>
      <c r="K749" s="139"/>
      <c r="L749" s="139"/>
      <c r="M749" s="139"/>
      <c r="N749" s="145"/>
      <c r="O749" s="139"/>
      <c r="P749" s="139"/>
      <c r="Q749" s="231"/>
      <c r="R749" s="139"/>
      <c r="S749" s="235"/>
      <c r="T749" s="235"/>
      <c r="U749" s="145"/>
      <c r="V749" s="145"/>
      <c r="W749" s="111"/>
      <c r="X749" s="233"/>
      <c r="Y749" s="226"/>
      <c r="Z749" s="139"/>
      <c r="AA749" s="139"/>
      <c r="AB749" s="139"/>
      <c r="AC749" s="139"/>
      <c r="AD749" s="139"/>
      <c r="AE749" s="139"/>
      <c r="AF749" s="139"/>
      <c r="AG749" s="139"/>
      <c r="AH749" s="139"/>
      <c r="AI749" s="139"/>
      <c r="AJ749" s="139"/>
      <c r="AK749" s="139"/>
      <c r="AL749" s="139"/>
      <c r="AM749" s="139"/>
      <c r="AN749" s="139"/>
      <c r="AO749" s="139"/>
      <c r="AP749" s="139"/>
      <c r="AQ749" s="139"/>
      <c r="AR749" s="139"/>
      <c r="AS749" s="139"/>
      <c r="AT749" s="139"/>
      <c r="AU749" s="139"/>
      <c r="AV749" s="139"/>
    </row>
    <row r="750">
      <c r="A750" s="139"/>
      <c r="B750" s="234"/>
      <c r="C750" s="139"/>
      <c r="D750" s="139"/>
      <c r="E750" s="139"/>
      <c r="F750" s="139"/>
      <c r="G750" s="139"/>
      <c r="H750" s="139"/>
      <c r="I750" s="139"/>
      <c r="J750" s="139"/>
      <c r="K750" s="139"/>
      <c r="L750" s="139"/>
      <c r="M750" s="139"/>
      <c r="N750" s="145"/>
      <c r="O750" s="139"/>
      <c r="P750" s="139"/>
      <c r="Q750" s="231"/>
      <c r="R750" s="139"/>
      <c r="S750" s="235"/>
      <c r="T750" s="235"/>
      <c r="U750" s="145"/>
      <c r="V750" s="145"/>
      <c r="W750" s="111"/>
      <c r="X750" s="233"/>
      <c r="Y750" s="226"/>
      <c r="Z750" s="139"/>
      <c r="AA750" s="139"/>
      <c r="AB750" s="139"/>
      <c r="AC750" s="139"/>
      <c r="AD750" s="139"/>
      <c r="AE750" s="139"/>
      <c r="AF750" s="139"/>
      <c r="AG750" s="139"/>
      <c r="AH750" s="139"/>
      <c r="AI750" s="139"/>
      <c r="AJ750" s="139"/>
      <c r="AK750" s="139"/>
      <c r="AL750" s="139"/>
      <c r="AM750" s="139"/>
      <c r="AN750" s="139"/>
      <c r="AO750" s="139"/>
      <c r="AP750" s="139"/>
      <c r="AQ750" s="139"/>
      <c r="AR750" s="139"/>
      <c r="AS750" s="139"/>
      <c r="AT750" s="139"/>
      <c r="AU750" s="139"/>
      <c r="AV750" s="139"/>
    </row>
    <row r="751">
      <c r="A751" s="139"/>
      <c r="B751" s="234"/>
      <c r="C751" s="139"/>
      <c r="D751" s="139"/>
      <c r="E751" s="139"/>
      <c r="F751" s="139"/>
      <c r="G751" s="139"/>
      <c r="H751" s="139"/>
      <c r="I751" s="139"/>
      <c r="J751" s="139"/>
      <c r="K751" s="139"/>
      <c r="L751" s="139"/>
      <c r="M751" s="139"/>
      <c r="N751" s="145"/>
      <c r="O751" s="139"/>
      <c r="P751" s="139"/>
      <c r="Q751" s="231"/>
      <c r="R751" s="139"/>
      <c r="S751" s="235"/>
      <c r="T751" s="235"/>
      <c r="U751" s="145"/>
      <c r="V751" s="145"/>
      <c r="W751" s="111"/>
      <c r="X751" s="233"/>
      <c r="Y751" s="226"/>
      <c r="Z751" s="139"/>
      <c r="AA751" s="139"/>
      <c r="AB751" s="139"/>
      <c r="AC751" s="139"/>
      <c r="AD751" s="139"/>
      <c r="AE751" s="139"/>
      <c r="AF751" s="139"/>
      <c r="AG751" s="139"/>
      <c r="AH751" s="139"/>
      <c r="AI751" s="139"/>
      <c r="AJ751" s="139"/>
      <c r="AK751" s="139"/>
      <c r="AL751" s="139"/>
      <c r="AM751" s="139"/>
      <c r="AN751" s="139"/>
      <c r="AO751" s="139"/>
      <c r="AP751" s="139"/>
      <c r="AQ751" s="139"/>
      <c r="AR751" s="139"/>
      <c r="AS751" s="139"/>
      <c r="AT751" s="139"/>
      <c r="AU751" s="139"/>
      <c r="AV751" s="139"/>
    </row>
    <row r="752">
      <c r="A752" s="139"/>
      <c r="B752" s="234"/>
      <c r="C752" s="139"/>
      <c r="D752" s="139"/>
      <c r="E752" s="139"/>
      <c r="F752" s="139"/>
      <c r="G752" s="139"/>
      <c r="H752" s="139"/>
      <c r="I752" s="139"/>
      <c r="J752" s="139"/>
      <c r="K752" s="139"/>
      <c r="L752" s="139"/>
      <c r="M752" s="139"/>
      <c r="N752" s="145"/>
      <c r="O752" s="139"/>
      <c r="P752" s="139"/>
      <c r="Q752" s="231"/>
      <c r="R752" s="139"/>
      <c r="S752" s="235"/>
      <c r="T752" s="235"/>
      <c r="U752" s="145"/>
      <c r="V752" s="145"/>
      <c r="W752" s="111"/>
      <c r="X752" s="233"/>
      <c r="Y752" s="226"/>
      <c r="Z752" s="139"/>
      <c r="AA752" s="139"/>
      <c r="AB752" s="139"/>
      <c r="AC752" s="139"/>
      <c r="AD752" s="139"/>
      <c r="AE752" s="139"/>
      <c r="AF752" s="139"/>
      <c r="AG752" s="139"/>
      <c r="AH752" s="139"/>
      <c r="AI752" s="139"/>
      <c r="AJ752" s="139"/>
      <c r="AK752" s="139"/>
      <c r="AL752" s="139"/>
      <c r="AM752" s="139"/>
      <c r="AN752" s="139"/>
      <c r="AO752" s="139"/>
      <c r="AP752" s="139"/>
      <c r="AQ752" s="139"/>
      <c r="AR752" s="139"/>
      <c r="AS752" s="139"/>
      <c r="AT752" s="139"/>
      <c r="AU752" s="139"/>
      <c r="AV752" s="139"/>
    </row>
    <row r="753">
      <c r="A753" s="139"/>
      <c r="B753" s="234"/>
      <c r="C753" s="139"/>
      <c r="D753" s="139"/>
      <c r="E753" s="139"/>
      <c r="F753" s="139"/>
      <c r="G753" s="139"/>
      <c r="H753" s="139"/>
      <c r="I753" s="139"/>
      <c r="J753" s="139"/>
      <c r="K753" s="139"/>
      <c r="L753" s="139"/>
      <c r="M753" s="139"/>
      <c r="N753" s="145"/>
      <c r="O753" s="139"/>
      <c r="P753" s="139"/>
      <c r="Q753" s="231"/>
      <c r="R753" s="139"/>
      <c r="S753" s="235"/>
      <c r="T753" s="235"/>
      <c r="U753" s="145"/>
      <c r="V753" s="145"/>
      <c r="W753" s="111"/>
      <c r="X753" s="233"/>
      <c r="Y753" s="226"/>
      <c r="Z753" s="139"/>
      <c r="AA753" s="139"/>
      <c r="AB753" s="139"/>
      <c r="AC753" s="139"/>
      <c r="AD753" s="139"/>
      <c r="AE753" s="139"/>
      <c r="AF753" s="139"/>
      <c r="AG753" s="139"/>
      <c r="AH753" s="139"/>
      <c r="AI753" s="139"/>
      <c r="AJ753" s="139"/>
      <c r="AK753" s="139"/>
      <c r="AL753" s="139"/>
      <c r="AM753" s="139"/>
      <c r="AN753" s="139"/>
      <c r="AO753" s="139"/>
      <c r="AP753" s="139"/>
      <c r="AQ753" s="139"/>
      <c r="AR753" s="139"/>
      <c r="AS753" s="139"/>
      <c r="AT753" s="139"/>
      <c r="AU753" s="139"/>
      <c r="AV753" s="139"/>
    </row>
    <row r="754">
      <c r="A754" s="139"/>
      <c r="B754" s="234"/>
      <c r="C754" s="139"/>
      <c r="D754" s="139"/>
      <c r="E754" s="139"/>
      <c r="F754" s="139"/>
      <c r="G754" s="139"/>
      <c r="H754" s="139"/>
      <c r="I754" s="139"/>
      <c r="J754" s="139"/>
      <c r="K754" s="139"/>
      <c r="L754" s="139"/>
      <c r="M754" s="139"/>
      <c r="N754" s="145"/>
      <c r="O754" s="139"/>
      <c r="P754" s="139"/>
      <c r="Q754" s="231"/>
      <c r="R754" s="139"/>
      <c r="S754" s="235"/>
      <c r="T754" s="235"/>
      <c r="U754" s="145"/>
      <c r="V754" s="145"/>
      <c r="W754" s="111"/>
      <c r="X754" s="233"/>
      <c r="Y754" s="226"/>
      <c r="Z754" s="139"/>
      <c r="AA754" s="139"/>
      <c r="AB754" s="139"/>
      <c r="AC754" s="139"/>
      <c r="AD754" s="139"/>
      <c r="AE754" s="139"/>
      <c r="AF754" s="139"/>
      <c r="AG754" s="139"/>
      <c r="AH754" s="139"/>
      <c r="AI754" s="139"/>
      <c r="AJ754" s="139"/>
      <c r="AK754" s="139"/>
      <c r="AL754" s="139"/>
      <c r="AM754" s="139"/>
      <c r="AN754" s="139"/>
      <c r="AO754" s="139"/>
      <c r="AP754" s="139"/>
      <c r="AQ754" s="139"/>
      <c r="AR754" s="139"/>
      <c r="AS754" s="139"/>
      <c r="AT754" s="139"/>
      <c r="AU754" s="139"/>
      <c r="AV754" s="139"/>
    </row>
    <row r="755">
      <c r="A755" s="139"/>
      <c r="B755" s="234"/>
      <c r="C755" s="139"/>
      <c r="D755" s="139"/>
      <c r="E755" s="139"/>
      <c r="F755" s="139"/>
      <c r="G755" s="139"/>
      <c r="H755" s="139"/>
      <c r="I755" s="139"/>
      <c r="J755" s="139"/>
      <c r="K755" s="139"/>
      <c r="L755" s="139"/>
      <c r="M755" s="139"/>
      <c r="N755" s="145"/>
      <c r="O755" s="139"/>
      <c r="P755" s="139"/>
      <c r="Q755" s="231"/>
      <c r="R755" s="139"/>
      <c r="S755" s="235"/>
      <c r="T755" s="235"/>
      <c r="U755" s="145"/>
      <c r="V755" s="145"/>
      <c r="W755" s="111"/>
      <c r="X755" s="233"/>
      <c r="Y755" s="226"/>
      <c r="Z755" s="139"/>
      <c r="AA755" s="139"/>
      <c r="AB755" s="139"/>
      <c r="AC755" s="139"/>
      <c r="AD755" s="139"/>
      <c r="AE755" s="139"/>
      <c r="AF755" s="139"/>
      <c r="AG755" s="139"/>
      <c r="AH755" s="139"/>
      <c r="AI755" s="139"/>
      <c r="AJ755" s="139"/>
      <c r="AK755" s="139"/>
      <c r="AL755" s="139"/>
      <c r="AM755" s="139"/>
      <c r="AN755" s="139"/>
      <c r="AO755" s="139"/>
      <c r="AP755" s="139"/>
      <c r="AQ755" s="139"/>
      <c r="AR755" s="139"/>
      <c r="AS755" s="139"/>
      <c r="AT755" s="139"/>
      <c r="AU755" s="139"/>
      <c r="AV755" s="139"/>
    </row>
    <row r="756">
      <c r="A756" s="139"/>
      <c r="B756" s="234"/>
      <c r="C756" s="139"/>
      <c r="D756" s="139"/>
      <c r="E756" s="139"/>
      <c r="F756" s="139"/>
      <c r="G756" s="139"/>
      <c r="H756" s="139"/>
      <c r="I756" s="139"/>
      <c r="J756" s="139"/>
      <c r="K756" s="139"/>
      <c r="L756" s="139"/>
      <c r="M756" s="139"/>
      <c r="N756" s="145"/>
      <c r="O756" s="139"/>
      <c r="P756" s="139"/>
      <c r="Q756" s="231"/>
      <c r="R756" s="139"/>
      <c r="S756" s="235"/>
      <c r="T756" s="235"/>
      <c r="U756" s="145"/>
      <c r="V756" s="145"/>
      <c r="W756" s="111"/>
      <c r="X756" s="233"/>
      <c r="Y756" s="226"/>
      <c r="Z756" s="139"/>
      <c r="AA756" s="139"/>
      <c r="AB756" s="139"/>
      <c r="AC756" s="139"/>
      <c r="AD756" s="139"/>
      <c r="AE756" s="139"/>
      <c r="AF756" s="139"/>
      <c r="AG756" s="139"/>
      <c r="AH756" s="139"/>
      <c r="AI756" s="139"/>
      <c r="AJ756" s="139"/>
      <c r="AK756" s="139"/>
      <c r="AL756" s="139"/>
      <c r="AM756" s="139"/>
      <c r="AN756" s="139"/>
      <c r="AO756" s="139"/>
      <c r="AP756" s="139"/>
      <c r="AQ756" s="139"/>
      <c r="AR756" s="139"/>
      <c r="AS756" s="139"/>
      <c r="AT756" s="139"/>
      <c r="AU756" s="139"/>
      <c r="AV756" s="139"/>
    </row>
    <row r="757">
      <c r="A757" s="139"/>
      <c r="B757" s="234"/>
      <c r="C757" s="139"/>
      <c r="D757" s="139"/>
      <c r="E757" s="139"/>
      <c r="F757" s="139"/>
      <c r="G757" s="139"/>
      <c r="H757" s="139"/>
      <c r="I757" s="139"/>
      <c r="J757" s="139"/>
      <c r="K757" s="139"/>
      <c r="L757" s="139"/>
      <c r="M757" s="139"/>
      <c r="N757" s="145"/>
      <c r="O757" s="139"/>
      <c r="P757" s="139"/>
      <c r="Q757" s="231"/>
      <c r="R757" s="139"/>
      <c r="S757" s="235"/>
      <c r="T757" s="235"/>
      <c r="U757" s="145"/>
      <c r="V757" s="145"/>
      <c r="W757" s="111"/>
      <c r="X757" s="233"/>
      <c r="Y757" s="226"/>
      <c r="Z757" s="139"/>
      <c r="AA757" s="139"/>
      <c r="AB757" s="139"/>
      <c r="AC757" s="139"/>
      <c r="AD757" s="139"/>
      <c r="AE757" s="139"/>
      <c r="AF757" s="139"/>
      <c r="AG757" s="139"/>
      <c r="AH757" s="139"/>
      <c r="AI757" s="139"/>
      <c r="AJ757" s="139"/>
      <c r="AK757" s="139"/>
      <c r="AL757" s="139"/>
      <c r="AM757" s="139"/>
      <c r="AN757" s="139"/>
      <c r="AO757" s="139"/>
      <c r="AP757" s="139"/>
      <c r="AQ757" s="139"/>
      <c r="AR757" s="139"/>
      <c r="AS757" s="139"/>
      <c r="AT757" s="139"/>
      <c r="AU757" s="139"/>
      <c r="AV757" s="139"/>
    </row>
    <row r="758">
      <c r="A758" s="139"/>
      <c r="B758" s="234"/>
      <c r="C758" s="139"/>
      <c r="D758" s="139"/>
      <c r="E758" s="139"/>
      <c r="F758" s="139"/>
      <c r="G758" s="139"/>
      <c r="H758" s="139"/>
      <c r="I758" s="139"/>
      <c r="J758" s="139"/>
      <c r="K758" s="139"/>
      <c r="L758" s="139"/>
      <c r="M758" s="139"/>
      <c r="N758" s="145"/>
      <c r="O758" s="139"/>
      <c r="P758" s="139"/>
      <c r="Q758" s="231"/>
      <c r="R758" s="139"/>
      <c r="S758" s="235"/>
      <c r="T758" s="235"/>
      <c r="U758" s="145"/>
      <c r="V758" s="145"/>
      <c r="W758" s="111"/>
      <c r="X758" s="233"/>
      <c r="Y758" s="226"/>
      <c r="Z758" s="139"/>
      <c r="AA758" s="139"/>
      <c r="AB758" s="139"/>
      <c r="AC758" s="139"/>
      <c r="AD758" s="139"/>
      <c r="AE758" s="139"/>
      <c r="AF758" s="139"/>
      <c r="AG758" s="139"/>
      <c r="AH758" s="139"/>
      <c r="AI758" s="139"/>
      <c r="AJ758" s="139"/>
      <c r="AK758" s="139"/>
      <c r="AL758" s="139"/>
      <c r="AM758" s="139"/>
      <c r="AN758" s="139"/>
      <c r="AO758" s="139"/>
      <c r="AP758" s="139"/>
      <c r="AQ758" s="139"/>
      <c r="AR758" s="139"/>
      <c r="AS758" s="139"/>
      <c r="AT758" s="139"/>
      <c r="AU758" s="139"/>
      <c r="AV758" s="139"/>
    </row>
    <row r="759">
      <c r="A759" s="139"/>
      <c r="B759" s="234"/>
      <c r="C759" s="139"/>
      <c r="D759" s="139"/>
      <c r="E759" s="139"/>
      <c r="F759" s="139"/>
      <c r="G759" s="139"/>
      <c r="H759" s="139"/>
      <c r="I759" s="139"/>
      <c r="J759" s="139"/>
      <c r="K759" s="139"/>
      <c r="L759" s="139"/>
      <c r="M759" s="139"/>
      <c r="N759" s="145"/>
      <c r="O759" s="139"/>
      <c r="P759" s="139"/>
      <c r="Q759" s="231"/>
      <c r="R759" s="139"/>
      <c r="S759" s="235"/>
      <c r="T759" s="235"/>
      <c r="U759" s="145"/>
      <c r="V759" s="145"/>
      <c r="W759" s="111"/>
      <c r="X759" s="233"/>
      <c r="Y759" s="226"/>
      <c r="Z759" s="139"/>
      <c r="AA759" s="139"/>
      <c r="AB759" s="139"/>
      <c r="AC759" s="139"/>
      <c r="AD759" s="139"/>
      <c r="AE759" s="139"/>
      <c r="AF759" s="139"/>
      <c r="AG759" s="139"/>
      <c r="AH759" s="139"/>
      <c r="AI759" s="139"/>
      <c r="AJ759" s="139"/>
      <c r="AK759" s="139"/>
      <c r="AL759" s="139"/>
      <c r="AM759" s="139"/>
      <c r="AN759" s="139"/>
      <c r="AO759" s="139"/>
      <c r="AP759" s="139"/>
      <c r="AQ759" s="139"/>
      <c r="AR759" s="139"/>
      <c r="AS759" s="139"/>
      <c r="AT759" s="139"/>
      <c r="AU759" s="139"/>
      <c r="AV759" s="139"/>
    </row>
    <row r="760">
      <c r="A760" s="139"/>
      <c r="B760" s="234"/>
      <c r="C760" s="139"/>
      <c r="D760" s="139"/>
      <c r="E760" s="139"/>
      <c r="F760" s="139"/>
      <c r="G760" s="139"/>
      <c r="H760" s="139"/>
      <c r="I760" s="139"/>
      <c r="J760" s="139"/>
      <c r="K760" s="139"/>
      <c r="L760" s="139"/>
      <c r="M760" s="139"/>
      <c r="N760" s="145"/>
      <c r="O760" s="139"/>
      <c r="P760" s="139"/>
      <c r="Q760" s="231"/>
      <c r="R760" s="139"/>
      <c r="S760" s="235"/>
      <c r="T760" s="235"/>
      <c r="U760" s="145"/>
      <c r="V760" s="145"/>
      <c r="W760" s="111"/>
      <c r="X760" s="233"/>
      <c r="Y760" s="226"/>
      <c r="Z760" s="139"/>
      <c r="AA760" s="139"/>
      <c r="AB760" s="139"/>
      <c r="AC760" s="139"/>
      <c r="AD760" s="139"/>
      <c r="AE760" s="139"/>
      <c r="AF760" s="139"/>
      <c r="AG760" s="139"/>
      <c r="AH760" s="139"/>
      <c r="AI760" s="139"/>
      <c r="AJ760" s="139"/>
      <c r="AK760" s="139"/>
      <c r="AL760" s="139"/>
      <c r="AM760" s="139"/>
      <c r="AN760" s="139"/>
      <c r="AO760" s="139"/>
      <c r="AP760" s="139"/>
      <c r="AQ760" s="139"/>
      <c r="AR760" s="139"/>
      <c r="AS760" s="139"/>
      <c r="AT760" s="139"/>
      <c r="AU760" s="139"/>
      <c r="AV760" s="139"/>
    </row>
    <row r="761">
      <c r="A761" s="139"/>
      <c r="B761" s="234"/>
      <c r="C761" s="139"/>
      <c r="D761" s="139"/>
      <c r="E761" s="139"/>
      <c r="F761" s="139"/>
      <c r="G761" s="139"/>
      <c r="H761" s="139"/>
      <c r="I761" s="139"/>
      <c r="J761" s="139"/>
      <c r="K761" s="139"/>
      <c r="L761" s="139"/>
      <c r="M761" s="139"/>
      <c r="N761" s="145"/>
      <c r="O761" s="139"/>
      <c r="P761" s="139"/>
      <c r="Q761" s="231"/>
      <c r="R761" s="139"/>
      <c r="S761" s="235"/>
      <c r="T761" s="235"/>
      <c r="U761" s="145"/>
      <c r="V761" s="145"/>
      <c r="W761" s="111"/>
      <c r="X761" s="233"/>
      <c r="Y761" s="226"/>
      <c r="Z761" s="139"/>
      <c r="AA761" s="139"/>
      <c r="AB761" s="139"/>
      <c r="AC761" s="139"/>
      <c r="AD761" s="139"/>
      <c r="AE761" s="139"/>
      <c r="AF761" s="139"/>
      <c r="AG761" s="139"/>
      <c r="AH761" s="139"/>
      <c r="AI761" s="139"/>
      <c r="AJ761" s="139"/>
      <c r="AK761" s="139"/>
      <c r="AL761" s="139"/>
      <c r="AM761" s="139"/>
      <c r="AN761" s="139"/>
      <c r="AO761" s="139"/>
      <c r="AP761" s="139"/>
      <c r="AQ761" s="139"/>
      <c r="AR761" s="139"/>
      <c r="AS761" s="139"/>
      <c r="AT761" s="139"/>
      <c r="AU761" s="139"/>
      <c r="AV761" s="139"/>
    </row>
    <row r="762">
      <c r="A762" s="139"/>
      <c r="B762" s="234"/>
      <c r="C762" s="139"/>
      <c r="D762" s="139"/>
      <c r="E762" s="139"/>
      <c r="F762" s="139"/>
      <c r="G762" s="139"/>
      <c r="H762" s="139"/>
      <c r="I762" s="139"/>
      <c r="J762" s="139"/>
      <c r="K762" s="139"/>
      <c r="L762" s="139"/>
      <c r="M762" s="139"/>
      <c r="N762" s="145"/>
      <c r="O762" s="139"/>
      <c r="P762" s="139"/>
      <c r="Q762" s="231"/>
      <c r="R762" s="139"/>
      <c r="S762" s="235"/>
      <c r="T762" s="235"/>
      <c r="U762" s="145"/>
      <c r="V762" s="145"/>
      <c r="W762" s="111"/>
      <c r="X762" s="233"/>
      <c r="Y762" s="226"/>
      <c r="Z762" s="139"/>
      <c r="AA762" s="139"/>
      <c r="AB762" s="139"/>
      <c r="AC762" s="139"/>
      <c r="AD762" s="139"/>
      <c r="AE762" s="139"/>
      <c r="AF762" s="139"/>
      <c r="AG762" s="139"/>
      <c r="AH762" s="139"/>
      <c r="AI762" s="139"/>
      <c r="AJ762" s="139"/>
      <c r="AK762" s="139"/>
      <c r="AL762" s="139"/>
      <c r="AM762" s="139"/>
      <c r="AN762" s="139"/>
      <c r="AO762" s="139"/>
      <c r="AP762" s="139"/>
      <c r="AQ762" s="139"/>
      <c r="AR762" s="139"/>
      <c r="AS762" s="139"/>
      <c r="AT762" s="139"/>
      <c r="AU762" s="139"/>
      <c r="AV762" s="139"/>
    </row>
    <row r="763">
      <c r="A763" s="139"/>
      <c r="B763" s="234"/>
      <c r="C763" s="139"/>
      <c r="D763" s="139"/>
      <c r="E763" s="139"/>
      <c r="F763" s="139"/>
      <c r="G763" s="139"/>
      <c r="H763" s="139"/>
      <c r="I763" s="139"/>
      <c r="J763" s="139"/>
      <c r="K763" s="139"/>
      <c r="L763" s="139"/>
      <c r="M763" s="139"/>
      <c r="N763" s="145"/>
      <c r="O763" s="139"/>
      <c r="P763" s="139"/>
      <c r="Q763" s="231"/>
      <c r="R763" s="139"/>
      <c r="S763" s="235"/>
      <c r="T763" s="235"/>
      <c r="U763" s="145"/>
      <c r="V763" s="145"/>
      <c r="W763" s="111"/>
      <c r="X763" s="233"/>
      <c r="Y763" s="226"/>
      <c r="Z763" s="139"/>
      <c r="AA763" s="139"/>
      <c r="AB763" s="139"/>
      <c r="AC763" s="139"/>
      <c r="AD763" s="139"/>
      <c r="AE763" s="139"/>
      <c r="AF763" s="139"/>
      <c r="AG763" s="139"/>
      <c r="AH763" s="139"/>
      <c r="AI763" s="139"/>
      <c r="AJ763" s="139"/>
      <c r="AK763" s="139"/>
      <c r="AL763" s="139"/>
      <c r="AM763" s="139"/>
      <c r="AN763" s="139"/>
      <c r="AO763" s="139"/>
      <c r="AP763" s="139"/>
      <c r="AQ763" s="139"/>
      <c r="AR763" s="139"/>
      <c r="AS763" s="139"/>
      <c r="AT763" s="139"/>
      <c r="AU763" s="139"/>
      <c r="AV763" s="139"/>
    </row>
    <row r="764">
      <c r="A764" s="139"/>
      <c r="B764" s="234"/>
      <c r="C764" s="139"/>
      <c r="D764" s="139"/>
      <c r="E764" s="139"/>
      <c r="F764" s="139"/>
      <c r="G764" s="139"/>
      <c r="H764" s="139"/>
      <c r="I764" s="139"/>
      <c r="J764" s="139"/>
      <c r="K764" s="139"/>
      <c r="L764" s="139"/>
      <c r="M764" s="139"/>
      <c r="N764" s="145"/>
      <c r="O764" s="139"/>
      <c r="P764" s="139"/>
      <c r="Q764" s="231"/>
      <c r="R764" s="139"/>
      <c r="S764" s="235"/>
      <c r="T764" s="235"/>
      <c r="U764" s="145"/>
      <c r="V764" s="145"/>
      <c r="W764" s="111"/>
      <c r="X764" s="233"/>
      <c r="Y764" s="226"/>
      <c r="Z764" s="139"/>
      <c r="AA764" s="139"/>
      <c r="AB764" s="139"/>
      <c r="AC764" s="139"/>
      <c r="AD764" s="139"/>
      <c r="AE764" s="139"/>
      <c r="AF764" s="139"/>
      <c r="AG764" s="139"/>
      <c r="AH764" s="139"/>
      <c r="AI764" s="139"/>
      <c r="AJ764" s="139"/>
      <c r="AK764" s="139"/>
      <c r="AL764" s="139"/>
      <c r="AM764" s="139"/>
      <c r="AN764" s="139"/>
      <c r="AO764" s="139"/>
      <c r="AP764" s="139"/>
      <c r="AQ764" s="139"/>
      <c r="AR764" s="139"/>
      <c r="AS764" s="139"/>
      <c r="AT764" s="139"/>
      <c r="AU764" s="139"/>
      <c r="AV764" s="139"/>
    </row>
    <row r="765">
      <c r="A765" s="139"/>
      <c r="B765" s="234"/>
      <c r="C765" s="139"/>
      <c r="D765" s="139"/>
      <c r="E765" s="139"/>
      <c r="F765" s="139"/>
      <c r="G765" s="139"/>
      <c r="H765" s="139"/>
      <c r="I765" s="139"/>
      <c r="J765" s="139"/>
      <c r="K765" s="139"/>
      <c r="L765" s="139"/>
      <c r="M765" s="139"/>
      <c r="N765" s="145"/>
      <c r="O765" s="139"/>
      <c r="P765" s="139"/>
      <c r="Q765" s="231"/>
      <c r="R765" s="139"/>
      <c r="S765" s="235"/>
      <c r="T765" s="235"/>
      <c r="U765" s="145"/>
      <c r="V765" s="145"/>
      <c r="W765" s="111"/>
      <c r="X765" s="233"/>
      <c r="Y765" s="226"/>
      <c r="Z765" s="139"/>
      <c r="AA765" s="139"/>
      <c r="AB765" s="139"/>
      <c r="AC765" s="139"/>
      <c r="AD765" s="139"/>
      <c r="AE765" s="139"/>
      <c r="AF765" s="139"/>
      <c r="AG765" s="139"/>
      <c r="AH765" s="139"/>
      <c r="AI765" s="139"/>
      <c r="AJ765" s="139"/>
      <c r="AK765" s="139"/>
      <c r="AL765" s="139"/>
      <c r="AM765" s="139"/>
      <c r="AN765" s="139"/>
      <c r="AO765" s="139"/>
      <c r="AP765" s="139"/>
      <c r="AQ765" s="139"/>
      <c r="AR765" s="139"/>
      <c r="AS765" s="139"/>
      <c r="AT765" s="139"/>
      <c r="AU765" s="139"/>
      <c r="AV765" s="139"/>
    </row>
    <row r="766">
      <c r="A766" s="139"/>
      <c r="B766" s="234"/>
      <c r="C766" s="139"/>
      <c r="D766" s="139"/>
      <c r="E766" s="139"/>
      <c r="F766" s="139"/>
      <c r="G766" s="139"/>
      <c r="H766" s="139"/>
      <c r="I766" s="139"/>
      <c r="J766" s="139"/>
      <c r="K766" s="139"/>
      <c r="L766" s="139"/>
      <c r="M766" s="139"/>
      <c r="N766" s="145"/>
      <c r="O766" s="139"/>
      <c r="P766" s="139"/>
      <c r="Q766" s="231"/>
      <c r="R766" s="139"/>
      <c r="S766" s="235"/>
      <c r="T766" s="235"/>
      <c r="U766" s="145"/>
      <c r="V766" s="145"/>
      <c r="W766" s="111"/>
      <c r="X766" s="233"/>
      <c r="Y766" s="226"/>
      <c r="Z766" s="139"/>
      <c r="AA766" s="139"/>
      <c r="AB766" s="139"/>
      <c r="AC766" s="139"/>
      <c r="AD766" s="139"/>
      <c r="AE766" s="139"/>
      <c r="AF766" s="139"/>
      <c r="AG766" s="139"/>
      <c r="AH766" s="139"/>
      <c r="AI766" s="139"/>
      <c r="AJ766" s="139"/>
      <c r="AK766" s="139"/>
      <c r="AL766" s="139"/>
      <c r="AM766" s="139"/>
      <c r="AN766" s="139"/>
      <c r="AO766" s="139"/>
      <c r="AP766" s="139"/>
      <c r="AQ766" s="139"/>
      <c r="AR766" s="139"/>
      <c r="AS766" s="139"/>
      <c r="AT766" s="139"/>
      <c r="AU766" s="139"/>
      <c r="AV766" s="139"/>
    </row>
    <row r="767">
      <c r="A767" s="139"/>
      <c r="B767" s="234"/>
      <c r="C767" s="139"/>
      <c r="D767" s="139"/>
      <c r="E767" s="139"/>
      <c r="F767" s="139"/>
      <c r="G767" s="139"/>
      <c r="H767" s="139"/>
      <c r="I767" s="139"/>
      <c r="J767" s="139"/>
      <c r="K767" s="139"/>
      <c r="L767" s="139"/>
      <c r="M767" s="139"/>
      <c r="N767" s="145"/>
      <c r="O767" s="139"/>
      <c r="P767" s="139"/>
      <c r="Q767" s="231"/>
      <c r="R767" s="139"/>
      <c r="S767" s="235"/>
      <c r="T767" s="235"/>
      <c r="U767" s="145"/>
      <c r="V767" s="145"/>
      <c r="W767" s="111"/>
      <c r="X767" s="233"/>
      <c r="Y767" s="226"/>
      <c r="Z767" s="139"/>
      <c r="AA767" s="139"/>
      <c r="AB767" s="139"/>
      <c r="AC767" s="139"/>
      <c r="AD767" s="139"/>
      <c r="AE767" s="139"/>
      <c r="AF767" s="139"/>
      <c r="AG767" s="139"/>
      <c r="AH767" s="139"/>
      <c r="AI767" s="139"/>
      <c r="AJ767" s="139"/>
      <c r="AK767" s="139"/>
      <c r="AL767" s="139"/>
      <c r="AM767" s="139"/>
      <c r="AN767" s="139"/>
      <c r="AO767" s="139"/>
      <c r="AP767" s="139"/>
      <c r="AQ767" s="139"/>
      <c r="AR767" s="139"/>
      <c r="AS767" s="139"/>
      <c r="AT767" s="139"/>
      <c r="AU767" s="139"/>
      <c r="AV767" s="139"/>
    </row>
    <row r="768">
      <c r="A768" s="139"/>
      <c r="B768" s="234"/>
      <c r="C768" s="139"/>
      <c r="D768" s="139"/>
      <c r="E768" s="139"/>
      <c r="F768" s="139"/>
      <c r="G768" s="139"/>
      <c r="H768" s="139"/>
      <c r="I768" s="139"/>
      <c r="J768" s="139"/>
      <c r="K768" s="139"/>
      <c r="L768" s="139"/>
      <c r="M768" s="139"/>
      <c r="N768" s="145"/>
      <c r="O768" s="139"/>
      <c r="P768" s="139"/>
      <c r="Q768" s="231"/>
      <c r="R768" s="139"/>
      <c r="S768" s="235"/>
      <c r="T768" s="235"/>
      <c r="U768" s="145"/>
      <c r="V768" s="145"/>
      <c r="W768" s="111"/>
      <c r="X768" s="233"/>
      <c r="Y768" s="226"/>
      <c r="Z768" s="139"/>
      <c r="AA768" s="139"/>
      <c r="AB768" s="139"/>
      <c r="AC768" s="139"/>
      <c r="AD768" s="139"/>
      <c r="AE768" s="139"/>
      <c r="AF768" s="139"/>
      <c r="AG768" s="139"/>
      <c r="AH768" s="139"/>
      <c r="AI768" s="139"/>
      <c r="AJ768" s="139"/>
      <c r="AK768" s="139"/>
      <c r="AL768" s="139"/>
      <c r="AM768" s="139"/>
      <c r="AN768" s="139"/>
      <c r="AO768" s="139"/>
      <c r="AP768" s="139"/>
      <c r="AQ768" s="139"/>
      <c r="AR768" s="139"/>
      <c r="AS768" s="139"/>
      <c r="AT768" s="139"/>
      <c r="AU768" s="139"/>
      <c r="AV768" s="139"/>
    </row>
    <row r="769">
      <c r="A769" s="139"/>
      <c r="B769" s="234"/>
      <c r="C769" s="139"/>
      <c r="D769" s="139"/>
      <c r="E769" s="139"/>
      <c r="F769" s="139"/>
      <c r="G769" s="139"/>
      <c r="H769" s="139"/>
      <c r="I769" s="139"/>
      <c r="J769" s="139"/>
      <c r="K769" s="139"/>
      <c r="L769" s="139"/>
      <c r="M769" s="139"/>
      <c r="N769" s="145"/>
      <c r="O769" s="139"/>
      <c r="P769" s="139"/>
      <c r="Q769" s="231"/>
      <c r="R769" s="139"/>
      <c r="S769" s="235"/>
      <c r="T769" s="235"/>
      <c r="U769" s="145"/>
      <c r="V769" s="145"/>
      <c r="W769" s="111"/>
      <c r="X769" s="233"/>
      <c r="Y769" s="226"/>
      <c r="Z769" s="139"/>
      <c r="AA769" s="139"/>
      <c r="AB769" s="139"/>
      <c r="AC769" s="139"/>
      <c r="AD769" s="139"/>
      <c r="AE769" s="139"/>
      <c r="AF769" s="139"/>
      <c r="AG769" s="139"/>
      <c r="AH769" s="139"/>
      <c r="AI769" s="139"/>
      <c r="AJ769" s="139"/>
      <c r="AK769" s="139"/>
      <c r="AL769" s="139"/>
      <c r="AM769" s="139"/>
      <c r="AN769" s="139"/>
      <c r="AO769" s="139"/>
      <c r="AP769" s="139"/>
      <c r="AQ769" s="139"/>
      <c r="AR769" s="139"/>
      <c r="AS769" s="139"/>
      <c r="AT769" s="139"/>
      <c r="AU769" s="139"/>
      <c r="AV769" s="139"/>
    </row>
    <row r="770">
      <c r="A770" s="139"/>
      <c r="B770" s="234"/>
      <c r="C770" s="139"/>
      <c r="D770" s="139"/>
      <c r="E770" s="139"/>
      <c r="F770" s="139"/>
      <c r="G770" s="139"/>
      <c r="H770" s="139"/>
      <c r="I770" s="139"/>
      <c r="J770" s="139"/>
      <c r="K770" s="139"/>
      <c r="L770" s="139"/>
      <c r="M770" s="139"/>
      <c r="N770" s="145"/>
      <c r="O770" s="139"/>
      <c r="P770" s="139"/>
      <c r="Q770" s="231"/>
      <c r="R770" s="139"/>
      <c r="S770" s="235"/>
      <c r="T770" s="235"/>
      <c r="U770" s="145"/>
      <c r="V770" s="145"/>
      <c r="W770" s="111"/>
      <c r="X770" s="233"/>
      <c r="Y770" s="226"/>
      <c r="Z770" s="139"/>
      <c r="AA770" s="139"/>
      <c r="AB770" s="139"/>
      <c r="AC770" s="139"/>
      <c r="AD770" s="139"/>
      <c r="AE770" s="139"/>
      <c r="AF770" s="139"/>
      <c r="AG770" s="139"/>
      <c r="AH770" s="139"/>
      <c r="AI770" s="139"/>
      <c r="AJ770" s="139"/>
      <c r="AK770" s="139"/>
      <c r="AL770" s="139"/>
      <c r="AM770" s="139"/>
      <c r="AN770" s="139"/>
      <c r="AO770" s="139"/>
      <c r="AP770" s="139"/>
      <c r="AQ770" s="139"/>
      <c r="AR770" s="139"/>
      <c r="AS770" s="139"/>
      <c r="AT770" s="139"/>
      <c r="AU770" s="139"/>
      <c r="AV770" s="139"/>
    </row>
    <row r="771">
      <c r="A771" s="139"/>
      <c r="B771" s="234"/>
      <c r="C771" s="139"/>
      <c r="D771" s="139"/>
      <c r="E771" s="139"/>
      <c r="F771" s="139"/>
      <c r="G771" s="139"/>
      <c r="H771" s="139"/>
      <c r="I771" s="139"/>
      <c r="J771" s="139"/>
      <c r="K771" s="139"/>
      <c r="L771" s="139"/>
      <c r="M771" s="139"/>
      <c r="N771" s="145"/>
      <c r="O771" s="139"/>
      <c r="P771" s="139"/>
      <c r="Q771" s="231"/>
      <c r="R771" s="139"/>
      <c r="S771" s="235"/>
      <c r="T771" s="235"/>
      <c r="U771" s="145"/>
      <c r="V771" s="145"/>
      <c r="W771" s="111"/>
      <c r="X771" s="233"/>
      <c r="Y771" s="226"/>
      <c r="Z771" s="139"/>
      <c r="AA771" s="139"/>
      <c r="AB771" s="139"/>
      <c r="AC771" s="139"/>
      <c r="AD771" s="139"/>
      <c r="AE771" s="139"/>
      <c r="AF771" s="139"/>
      <c r="AG771" s="139"/>
      <c r="AH771" s="139"/>
      <c r="AI771" s="139"/>
      <c r="AJ771" s="139"/>
      <c r="AK771" s="139"/>
      <c r="AL771" s="139"/>
      <c r="AM771" s="139"/>
      <c r="AN771" s="139"/>
      <c r="AO771" s="139"/>
      <c r="AP771" s="139"/>
      <c r="AQ771" s="139"/>
      <c r="AR771" s="139"/>
      <c r="AS771" s="139"/>
      <c r="AT771" s="139"/>
      <c r="AU771" s="139"/>
      <c r="AV771" s="139"/>
    </row>
    <row r="772">
      <c r="A772" s="139"/>
      <c r="B772" s="234"/>
      <c r="C772" s="139"/>
      <c r="D772" s="139"/>
      <c r="E772" s="139"/>
      <c r="F772" s="139"/>
      <c r="G772" s="139"/>
      <c r="H772" s="139"/>
      <c r="I772" s="139"/>
      <c r="J772" s="139"/>
      <c r="K772" s="139"/>
      <c r="L772" s="139"/>
      <c r="M772" s="139"/>
      <c r="N772" s="145"/>
      <c r="O772" s="139"/>
      <c r="P772" s="139"/>
      <c r="Q772" s="231"/>
      <c r="R772" s="139"/>
      <c r="S772" s="235"/>
      <c r="T772" s="235"/>
      <c r="U772" s="145"/>
      <c r="V772" s="145"/>
      <c r="W772" s="111"/>
      <c r="X772" s="233"/>
      <c r="Y772" s="226"/>
      <c r="Z772" s="139"/>
      <c r="AA772" s="139"/>
      <c r="AB772" s="139"/>
      <c r="AC772" s="139"/>
      <c r="AD772" s="139"/>
      <c r="AE772" s="139"/>
      <c r="AF772" s="139"/>
      <c r="AG772" s="139"/>
      <c r="AH772" s="139"/>
      <c r="AI772" s="139"/>
      <c r="AJ772" s="139"/>
      <c r="AK772" s="139"/>
      <c r="AL772" s="139"/>
      <c r="AM772" s="139"/>
      <c r="AN772" s="139"/>
      <c r="AO772" s="139"/>
      <c r="AP772" s="139"/>
      <c r="AQ772" s="139"/>
      <c r="AR772" s="139"/>
      <c r="AS772" s="139"/>
      <c r="AT772" s="139"/>
      <c r="AU772" s="139"/>
      <c r="AV772" s="139"/>
    </row>
    <row r="773">
      <c r="A773" s="139"/>
      <c r="B773" s="234"/>
      <c r="C773" s="139"/>
      <c r="D773" s="139"/>
      <c r="E773" s="139"/>
      <c r="F773" s="139"/>
      <c r="G773" s="139"/>
      <c r="H773" s="139"/>
      <c r="I773" s="139"/>
      <c r="J773" s="139"/>
      <c r="K773" s="139"/>
      <c r="L773" s="139"/>
      <c r="M773" s="139"/>
      <c r="N773" s="145"/>
      <c r="O773" s="139"/>
      <c r="P773" s="139"/>
      <c r="Q773" s="231"/>
      <c r="R773" s="139"/>
      <c r="S773" s="235"/>
      <c r="T773" s="235"/>
      <c r="U773" s="145"/>
      <c r="V773" s="145"/>
      <c r="W773" s="111"/>
      <c r="X773" s="233"/>
      <c r="Y773" s="226"/>
      <c r="Z773" s="139"/>
      <c r="AA773" s="139"/>
      <c r="AB773" s="139"/>
      <c r="AC773" s="139"/>
      <c r="AD773" s="139"/>
      <c r="AE773" s="139"/>
      <c r="AF773" s="139"/>
      <c r="AG773" s="139"/>
      <c r="AH773" s="139"/>
      <c r="AI773" s="139"/>
      <c r="AJ773" s="139"/>
      <c r="AK773" s="139"/>
      <c r="AL773" s="139"/>
      <c r="AM773" s="139"/>
      <c r="AN773" s="139"/>
      <c r="AO773" s="139"/>
      <c r="AP773" s="139"/>
      <c r="AQ773" s="139"/>
      <c r="AR773" s="139"/>
      <c r="AS773" s="139"/>
      <c r="AT773" s="139"/>
      <c r="AU773" s="139"/>
      <c r="AV773" s="139"/>
    </row>
    <row r="774">
      <c r="A774" s="139"/>
      <c r="B774" s="234"/>
      <c r="C774" s="139"/>
      <c r="D774" s="139"/>
      <c r="E774" s="139"/>
      <c r="F774" s="139"/>
      <c r="G774" s="139"/>
      <c r="H774" s="139"/>
      <c r="I774" s="139"/>
      <c r="J774" s="139"/>
      <c r="K774" s="139"/>
      <c r="L774" s="139"/>
      <c r="M774" s="139"/>
      <c r="N774" s="145"/>
      <c r="O774" s="139"/>
      <c r="P774" s="139"/>
      <c r="Q774" s="231"/>
      <c r="R774" s="139"/>
      <c r="S774" s="235"/>
      <c r="T774" s="235"/>
      <c r="U774" s="145"/>
      <c r="V774" s="145"/>
      <c r="W774" s="111"/>
      <c r="X774" s="233"/>
      <c r="Y774" s="226"/>
      <c r="Z774" s="139"/>
      <c r="AA774" s="139"/>
      <c r="AB774" s="139"/>
      <c r="AC774" s="139"/>
      <c r="AD774" s="139"/>
      <c r="AE774" s="139"/>
      <c r="AF774" s="139"/>
      <c r="AG774" s="139"/>
      <c r="AH774" s="139"/>
      <c r="AI774" s="139"/>
      <c r="AJ774" s="139"/>
      <c r="AK774" s="139"/>
      <c r="AL774" s="139"/>
      <c r="AM774" s="139"/>
      <c r="AN774" s="139"/>
      <c r="AO774" s="139"/>
      <c r="AP774" s="139"/>
      <c r="AQ774" s="139"/>
      <c r="AR774" s="139"/>
      <c r="AS774" s="139"/>
      <c r="AT774" s="139"/>
      <c r="AU774" s="139"/>
      <c r="AV774" s="139"/>
    </row>
    <row r="775">
      <c r="A775" s="139"/>
      <c r="B775" s="234"/>
      <c r="C775" s="139"/>
      <c r="D775" s="139"/>
      <c r="E775" s="139"/>
      <c r="F775" s="139"/>
      <c r="G775" s="139"/>
      <c r="H775" s="139"/>
      <c r="I775" s="139"/>
      <c r="J775" s="139"/>
      <c r="K775" s="139"/>
      <c r="L775" s="139"/>
      <c r="M775" s="139"/>
      <c r="N775" s="145"/>
      <c r="O775" s="139"/>
      <c r="P775" s="139"/>
      <c r="Q775" s="231"/>
      <c r="R775" s="139"/>
      <c r="S775" s="235"/>
      <c r="T775" s="235"/>
      <c r="U775" s="145"/>
      <c r="V775" s="145"/>
      <c r="W775" s="111"/>
      <c r="X775" s="233"/>
      <c r="Y775" s="226"/>
      <c r="Z775" s="139"/>
      <c r="AA775" s="139"/>
      <c r="AB775" s="139"/>
      <c r="AC775" s="139"/>
      <c r="AD775" s="139"/>
      <c r="AE775" s="139"/>
      <c r="AF775" s="139"/>
      <c r="AG775" s="139"/>
      <c r="AH775" s="139"/>
      <c r="AI775" s="139"/>
      <c r="AJ775" s="139"/>
      <c r="AK775" s="139"/>
      <c r="AL775" s="139"/>
      <c r="AM775" s="139"/>
      <c r="AN775" s="139"/>
      <c r="AO775" s="139"/>
      <c r="AP775" s="139"/>
      <c r="AQ775" s="139"/>
      <c r="AR775" s="139"/>
      <c r="AS775" s="139"/>
      <c r="AT775" s="139"/>
      <c r="AU775" s="139"/>
      <c r="AV775" s="139"/>
    </row>
    <row r="776">
      <c r="A776" s="139"/>
      <c r="B776" s="234"/>
      <c r="C776" s="139"/>
      <c r="D776" s="139"/>
      <c r="E776" s="139"/>
      <c r="F776" s="139"/>
      <c r="G776" s="139"/>
      <c r="H776" s="139"/>
      <c r="I776" s="139"/>
      <c r="J776" s="139"/>
      <c r="K776" s="139"/>
      <c r="L776" s="139"/>
      <c r="M776" s="139"/>
      <c r="N776" s="145"/>
      <c r="O776" s="139"/>
      <c r="P776" s="139"/>
      <c r="Q776" s="231"/>
      <c r="R776" s="139"/>
      <c r="S776" s="235"/>
      <c r="T776" s="235"/>
      <c r="U776" s="145"/>
      <c r="V776" s="145"/>
      <c r="W776" s="111"/>
      <c r="X776" s="233"/>
      <c r="Y776" s="226"/>
      <c r="Z776" s="139"/>
      <c r="AA776" s="139"/>
      <c r="AB776" s="139"/>
      <c r="AC776" s="139"/>
      <c r="AD776" s="139"/>
      <c r="AE776" s="139"/>
      <c r="AF776" s="139"/>
      <c r="AG776" s="139"/>
      <c r="AH776" s="139"/>
      <c r="AI776" s="139"/>
      <c r="AJ776" s="139"/>
      <c r="AK776" s="139"/>
      <c r="AL776" s="139"/>
      <c r="AM776" s="139"/>
      <c r="AN776" s="139"/>
      <c r="AO776" s="139"/>
      <c r="AP776" s="139"/>
      <c r="AQ776" s="139"/>
      <c r="AR776" s="139"/>
      <c r="AS776" s="139"/>
      <c r="AT776" s="139"/>
      <c r="AU776" s="139"/>
      <c r="AV776" s="139"/>
    </row>
    <row r="777">
      <c r="A777" s="139"/>
      <c r="B777" s="234"/>
      <c r="C777" s="139"/>
      <c r="D777" s="139"/>
      <c r="E777" s="139"/>
      <c r="F777" s="139"/>
      <c r="G777" s="139"/>
      <c r="H777" s="139"/>
      <c r="I777" s="139"/>
      <c r="J777" s="139"/>
      <c r="K777" s="139"/>
      <c r="L777" s="139"/>
      <c r="M777" s="139"/>
      <c r="N777" s="145"/>
      <c r="O777" s="139"/>
      <c r="P777" s="139"/>
      <c r="Q777" s="231"/>
      <c r="R777" s="139"/>
      <c r="S777" s="235"/>
      <c r="T777" s="235"/>
      <c r="U777" s="145"/>
      <c r="V777" s="145"/>
      <c r="W777" s="111"/>
      <c r="X777" s="233"/>
      <c r="Y777" s="226"/>
      <c r="Z777" s="139"/>
      <c r="AA777" s="139"/>
      <c r="AB777" s="139"/>
      <c r="AC777" s="139"/>
      <c r="AD777" s="139"/>
      <c r="AE777" s="139"/>
      <c r="AF777" s="139"/>
      <c r="AG777" s="139"/>
      <c r="AH777" s="139"/>
      <c r="AI777" s="139"/>
      <c r="AJ777" s="139"/>
      <c r="AK777" s="139"/>
      <c r="AL777" s="139"/>
      <c r="AM777" s="139"/>
      <c r="AN777" s="139"/>
      <c r="AO777" s="139"/>
      <c r="AP777" s="139"/>
      <c r="AQ777" s="139"/>
      <c r="AR777" s="139"/>
      <c r="AS777" s="139"/>
      <c r="AT777" s="139"/>
      <c r="AU777" s="139"/>
      <c r="AV777" s="139"/>
    </row>
    <row r="778">
      <c r="A778" s="139"/>
      <c r="B778" s="234"/>
      <c r="C778" s="139"/>
      <c r="D778" s="139"/>
      <c r="E778" s="139"/>
      <c r="F778" s="139"/>
      <c r="G778" s="139"/>
      <c r="H778" s="139"/>
      <c r="I778" s="139"/>
      <c r="J778" s="139"/>
      <c r="K778" s="139"/>
      <c r="L778" s="139"/>
      <c r="M778" s="139"/>
      <c r="N778" s="145"/>
      <c r="O778" s="139"/>
      <c r="P778" s="139"/>
      <c r="Q778" s="231"/>
      <c r="R778" s="139"/>
      <c r="S778" s="235"/>
      <c r="T778" s="235"/>
      <c r="U778" s="145"/>
      <c r="V778" s="145"/>
      <c r="W778" s="111"/>
      <c r="X778" s="233"/>
      <c r="Y778" s="226"/>
      <c r="Z778" s="139"/>
      <c r="AA778" s="139"/>
      <c r="AB778" s="139"/>
      <c r="AC778" s="139"/>
      <c r="AD778" s="139"/>
      <c r="AE778" s="139"/>
      <c r="AF778" s="139"/>
      <c r="AG778" s="139"/>
      <c r="AH778" s="139"/>
      <c r="AI778" s="139"/>
      <c r="AJ778" s="139"/>
      <c r="AK778" s="139"/>
      <c r="AL778" s="139"/>
      <c r="AM778" s="139"/>
      <c r="AN778" s="139"/>
      <c r="AO778" s="139"/>
      <c r="AP778" s="139"/>
      <c r="AQ778" s="139"/>
      <c r="AR778" s="139"/>
      <c r="AS778" s="139"/>
      <c r="AT778" s="139"/>
      <c r="AU778" s="139"/>
      <c r="AV778" s="139"/>
    </row>
    <row r="779">
      <c r="A779" s="139"/>
      <c r="B779" s="234"/>
      <c r="C779" s="139"/>
      <c r="D779" s="139"/>
      <c r="E779" s="139"/>
      <c r="F779" s="139"/>
      <c r="G779" s="139"/>
      <c r="H779" s="139"/>
      <c r="I779" s="139"/>
      <c r="J779" s="139"/>
      <c r="K779" s="139"/>
      <c r="L779" s="139"/>
      <c r="M779" s="139"/>
      <c r="N779" s="145"/>
      <c r="O779" s="139"/>
      <c r="P779" s="139"/>
      <c r="Q779" s="231"/>
      <c r="R779" s="139"/>
      <c r="S779" s="235"/>
      <c r="T779" s="235"/>
      <c r="U779" s="145"/>
      <c r="V779" s="145"/>
      <c r="W779" s="111"/>
      <c r="X779" s="233"/>
      <c r="Y779" s="226"/>
      <c r="Z779" s="139"/>
      <c r="AA779" s="139"/>
      <c r="AB779" s="139"/>
      <c r="AC779" s="139"/>
      <c r="AD779" s="139"/>
      <c r="AE779" s="139"/>
      <c r="AF779" s="139"/>
      <c r="AG779" s="139"/>
      <c r="AH779" s="139"/>
      <c r="AI779" s="139"/>
      <c r="AJ779" s="139"/>
      <c r="AK779" s="139"/>
      <c r="AL779" s="139"/>
      <c r="AM779" s="139"/>
      <c r="AN779" s="139"/>
      <c r="AO779" s="139"/>
      <c r="AP779" s="139"/>
      <c r="AQ779" s="139"/>
      <c r="AR779" s="139"/>
      <c r="AS779" s="139"/>
      <c r="AT779" s="139"/>
      <c r="AU779" s="139"/>
      <c r="AV779" s="139"/>
    </row>
    <row r="780">
      <c r="A780" s="139"/>
      <c r="B780" s="234"/>
      <c r="C780" s="139"/>
      <c r="D780" s="139"/>
      <c r="E780" s="139"/>
      <c r="F780" s="139"/>
      <c r="G780" s="139"/>
      <c r="H780" s="139"/>
      <c r="I780" s="139"/>
      <c r="J780" s="139"/>
      <c r="K780" s="139"/>
      <c r="L780" s="139"/>
      <c r="M780" s="139"/>
      <c r="N780" s="145"/>
      <c r="O780" s="139"/>
      <c r="P780" s="139"/>
      <c r="Q780" s="231"/>
      <c r="R780" s="139"/>
      <c r="S780" s="235"/>
      <c r="T780" s="235"/>
      <c r="U780" s="145"/>
      <c r="V780" s="145"/>
      <c r="W780" s="111"/>
      <c r="X780" s="233"/>
      <c r="Y780" s="226"/>
      <c r="Z780" s="139"/>
      <c r="AA780" s="139"/>
      <c r="AB780" s="139"/>
      <c r="AC780" s="139"/>
      <c r="AD780" s="139"/>
      <c r="AE780" s="139"/>
      <c r="AF780" s="139"/>
      <c r="AG780" s="139"/>
      <c r="AH780" s="139"/>
      <c r="AI780" s="139"/>
      <c r="AJ780" s="139"/>
      <c r="AK780" s="139"/>
      <c r="AL780" s="139"/>
      <c r="AM780" s="139"/>
      <c r="AN780" s="139"/>
      <c r="AO780" s="139"/>
      <c r="AP780" s="139"/>
      <c r="AQ780" s="139"/>
      <c r="AR780" s="139"/>
      <c r="AS780" s="139"/>
      <c r="AT780" s="139"/>
      <c r="AU780" s="139"/>
      <c r="AV780" s="139"/>
    </row>
    <row r="781">
      <c r="A781" s="139"/>
      <c r="B781" s="234"/>
      <c r="C781" s="139"/>
      <c r="D781" s="139"/>
      <c r="E781" s="139"/>
      <c r="F781" s="139"/>
      <c r="G781" s="139"/>
      <c r="H781" s="139"/>
      <c r="I781" s="139"/>
      <c r="J781" s="139"/>
      <c r="K781" s="139"/>
      <c r="L781" s="139"/>
      <c r="M781" s="139"/>
      <c r="N781" s="145"/>
      <c r="O781" s="139"/>
      <c r="P781" s="139"/>
      <c r="Q781" s="231"/>
      <c r="R781" s="139"/>
      <c r="S781" s="235"/>
      <c r="T781" s="235"/>
      <c r="U781" s="145"/>
      <c r="V781" s="145"/>
      <c r="W781" s="111"/>
      <c r="X781" s="233"/>
      <c r="Y781" s="226"/>
      <c r="Z781" s="139"/>
      <c r="AA781" s="139"/>
      <c r="AB781" s="139"/>
      <c r="AC781" s="139"/>
      <c r="AD781" s="139"/>
      <c r="AE781" s="139"/>
      <c r="AF781" s="139"/>
      <c r="AG781" s="139"/>
      <c r="AH781" s="139"/>
      <c r="AI781" s="139"/>
      <c r="AJ781" s="139"/>
      <c r="AK781" s="139"/>
      <c r="AL781" s="139"/>
      <c r="AM781" s="139"/>
      <c r="AN781" s="139"/>
      <c r="AO781" s="139"/>
      <c r="AP781" s="139"/>
      <c r="AQ781" s="139"/>
      <c r="AR781" s="139"/>
      <c r="AS781" s="139"/>
      <c r="AT781" s="139"/>
      <c r="AU781" s="139"/>
      <c r="AV781" s="139"/>
    </row>
    <row r="782">
      <c r="A782" s="139"/>
      <c r="B782" s="234"/>
      <c r="C782" s="139"/>
      <c r="D782" s="139"/>
      <c r="E782" s="139"/>
      <c r="F782" s="139"/>
      <c r="G782" s="139"/>
      <c r="H782" s="139"/>
      <c r="I782" s="139"/>
      <c r="J782" s="139"/>
      <c r="K782" s="139"/>
      <c r="L782" s="139"/>
      <c r="M782" s="139"/>
      <c r="N782" s="145"/>
      <c r="O782" s="139"/>
      <c r="P782" s="139"/>
      <c r="Q782" s="231"/>
      <c r="R782" s="139"/>
      <c r="S782" s="235"/>
      <c r="T782" s="235"/>
      <c r="U782" s="145"/>
      <c r="V782" s="145"/>
      <c r="W782" s="111"/>
      <c r="X782" s="233"/>
      <c r="Y782" s="226"/>
      <c r="Z782" s="139"/>
      <c r="AA782" s="139"/>
      <c r="AB782" s="139"/>
      <c r="AC782" s="139"/>
      <c r="AD782" s="139"/>
      <c r="AE782" s="139"/>
      <c r="AF782" s="139"/>
      <c r="AG782" s="139"/>
      <c r="AH782" s="139"/>
      <c r="AI782" s="139"/>
      <c r="AJ782" s="139"/>
      <c r="AK782" s="139"/>
      <c r="AL782" s="139"/>
      <c r="AM782" s="139"/>
      <c r="AN782" s="139"/>
      <c r="AO782" s="139"/>
      <c r="AP782" s="139"/>
      <c r="AQ782" s="139"/>
      <c r="AR782" s="139"/>
      <c r="AS782" s="139"/>
      <c r="AT782" s="139"/>
      <c r="AU782" s="139"/>
      <c r="AV782" s="139"/>
    </row>
    <row r="783">
      <c r="A783" s="139"/>
      <c r="B783" s="234"/>
      <c r="C783" s="139"/>
      <c r="D783" s="139"/>
      <c r="E783" s="139"/>
      <c r="F783" s="139"/>
      <c r="G783" s="139"/>
      <c r="H783" s="139"/>
      <c r="I783" s="139"/>
      <c r="J783" s="139"/>
      <c r="K783" s="139"/>
      <c r="L783" s="139"/>
      <c r="M783" s="139"/>
      <c r="N783" s="145"/>
      <c r="O783" s="139"/>
      <c r="P783" s="139"/>
      <c r="Q783" s="231"/>
      <c r="R783" s="139"/>
      <c r="S783" s="235"/>
      <c r="T783" s="235"/>
      <c r="U783" s="145"/>
      <c r="V783" s="145"/>
      <c r="W783" s="111"/>
      <c r="X783" s="233"/>
      <c r="Y783" s="226"/>
      <c r="Z783" s="139"/>
      <c r="AA783" s="139"/>
      <c r="AB783" s="139"/>
      <c r="AC783" s="139"/>
      <c r="AD783" s="139"/>
      <c r="AE783" s="139"/>
      <c r="AF783" s="139"/>
      <c r="AG783" s="139"/>
      <c r="AH783" s="139"/>
      <c r="AI783" s="139"/>
      <c r="AJ783" s="139"/>
      <c r="AK783" s="139"/>
      <c r="AL783" s="139"/>
      <c r="AM783" s="139"/>
      <c r="AN783" s="139"/>
      <c r="AO783" s="139"/>
      <c r="AP783" s="139"/>
      <c r="AQ783" s="139"/>
      <c r="AR783" s="139"/>
      <c r="AS783" s="139"/>
      <c r="AT783" s="139"/>
      <c r="AU783" s="139"/>
      <c r="AV783" s="139"/>
    </row>
    <row r="784">
      <c r="A784" s="139"/>
      <c r="B784" s="234"/>
      <c r="C784" s="139"/>
      <c r="D784" s="139"/>
      <c r="E784" s="139"/>
      <c r="F784" s="139"/>
      <c r="G784" s="139"/>
      <c r="H784" s="139"/>
      <c r="I784" s="139"/>
      <c r="J784" s="139"/>
      <c r="K784" s="139"/>
      <c r="L784" s="139"/>
      <c r="M784" s="139"/>
      <c r="N784" s="145"/>
      <c r="O784" s="139"/>
      <c r="P784" s="139"/>
      <c r="Q784" s="231"/>
      <c r="R784" s="139"/>
      <c r="S784" s="235"/>
      <c r="T784" s="235"/>
      <c r="U784" s="145"/>
      <c r="V784" s="145"/>
      <c r="W784" s="111"/>
      <c r="X784" s="233"/>
      <c r="Y784" s="226"/>
      <c r="Z784" s="139"/>
      <c r="AA784" s="139"/>
      <c r="AB784" s="139"/>
      <c r="AC784" s="139"/>
      <c r="AD784" s="139"/>
      <c r="AE784" s="139"/>
      <c r="AF784" s="139"/>
      <c r="AG784" s="139"/>
      <c r="AH784" s="139"/>
      <c r="AI784" s="139"/>
      <c r="AJ784" s="139"/>
      <c r="AK784" s="139"/>
      <c r="AL784" s="139"/>
      <c r="AM784" s="139"/>
      <c r="AN784" s="139"/>
      <c r="AO784" s="139"/>
      <c r="AP784" s="139"/>
      <c r="AQ784" s="139"/>
      <c r="AR784" s="139"/>
      <c r="AS784" s="139"/>
      <c r="AT784" s="139"/>
      <c r="AU784" s="139"/>
      <c r="AV784" s="139"/>
    </row>
    <row r="785">
      <c r="A785" s="139"/>
      <c r="B785" s="234"/>
      <c r="C785" s="139"/>
      <c r="D785" s="139"/>
      <c r="E785" s="139"/>
      <c r="F785" s="139"/>
      <c r="G785" s="139"/>
      <c r="H785" s="139"/>
      <c r="I785" s="139"/>
      <c r="J785" s="139"/>
      <c r="K785" s="139"/>
      <c r="L785" s="139"/>
      <c r="M785" s="139"/>
      <c r="N785" s="145"/>
      <c r="O785" s="139"/>
      <c r="P785" s="139"/>
      <c r="Q785" s="231"/>
      <c r="R785" s="139"/>
      <c r="S785" s="235"/>
      <c r="T785" s="235"/>
      <c r="U785" s="145"/>
      <c r="V785" s="145"/>
      <c r="W785" s="111"/>
      <c r="X785" s="233"/>
      <c r="Y785" s="226"/>
      <c r="Z785" s="139"/>
      <c r="AA785" s="139"/>
      <c r="AB785" s="139"/>
      <c r="AC785" s="139"/>
      <c r="AD785" s="139"/>
      <c r="AE785" s="139"/>
      <c r="AF785" s="139"/>
      <c r="AG785" s="139"/>
      <c r="AH785" s="139"/>
      <c r="AI785" s="139"/>
      <c r="AJ785" s="139"/>
      <c r="AK785" s="139"/>
      <c r="AL785" s="139"/>
      <c r="AM785" s="139"/>
      <c r="AN785" s="139"/>
      <c r="AO785" s="139"/>
      <c r="AP785" s="139"/>
      <c r="AQ785" s="139"/>
      <c r="AR785" s="139"/>
      <c r="AS785" s="139"/>
      <c r="AT785" s="139"/>
      <c r="AU785" s="139"/>
      <c r="AV785" s="139"/>
    </row>
    <row r="786">
      <c r="A786" s="139"/>
      <c r="B786" s="234"/>
      <c r="C786" s="139"/>
      <c r="D786" s="139"/>
      <c r="E786" s="139"/>
      <c r="F786" s="139"/>
      <c r="G786" s="139"/>
      <c r="H786" s="139"/>
      <c r="I786" s="139"/>
      <c r="J786" s="139"/>
      <c r="K786" s="139"/>
      <c r="L786" s="139"/>
      <c r="M786" s="139"/>
      <c r="N786" s="145"/>
      <c r="O786" s="139"/>
      <c r="P786" s="139"/>
      <c r="Q786" s="231"/>
      <c r="R786" s="139"/>
      <c r="S786" s="235"/>
      <c r="T786" s="235"/>
      <c r="U786" s="145"/>
      <c r="V786" s="145"/>
      <c r="W786" s="111"/>
      <c r="X786" s="233"/>
      <c r="Y786" s="226"/>
      <c r="Z786" s="139"/>
      <c r="AA786" s="139"/>
      <c r="AB786" s="139"/>
      <c r="AC786" s="139"/>
      <c r="AD786" s="139"/>
      <c r="AE786" s="139"/>
      <c r="AF786" s="139"/>
      <c r="AG786" s="139"/>
      <c r="AH786" s="139"/>
      <c r="AI786" s="139"/>
      <c r="AJ786" s="139"/>
      <c r="AK786" s="139"/>
      <c r="AL786" s="139"/>
      <c r="AM786" s="139"/>
      <c r="AN786" s="139"/>
      <c r="AO786" s="139"/>
      <c r="AP786" s="139"/>
      <c r="AQ786" s="139"/>
      <c r="AR786" s="139"/>
      <c r="AS786" s="139"/>
      <c r="AT786" s="139"/>
      <c r="AU786" s="139"/>
      <c r="AV786" s="139"/>
    </row>
    <row r="787">
      <c r="A787" s="139"/>
      <c r="B787" s="234"/>
      <c r="C787" s="139"/>
      <c r="D787" s="139"/>
      <c r="E787" s="139"/>
      <c r="F787" s="139"/>
      <c r="G787" s="139"/>
      <c r="H787" s="139"/>
      <c r="I787" s="139"/>
      <c r="J787" s="139"/>
      <c r="K787" s="139"/>
      <c r="L787" s="139"/>
      <c r="M787" s="139"/>
      <c r="N787" s="145"/>
      <c r="O787" s="139"/>
      <c r="P787" s="139"/>
      <c r="Q787" s="231"/>
      <c r="R787" s="139"/>
      <c r="S787" s="235"/>
      <c r="T787" s="235"/>
      <c r="U787" s="145"/>
      <c r="V787" s="145"/>
      <c r="W787" s="111"/>
      <c r="X787" s="233"/>
      <c r="Y787" s="226"/>
      <c r="Z787" s="139"/>
      <c r="AA787" s="139"/>
      <c r="AB787" s="139"/>
      <c r="AC787" s="139"/>
      <c r="AD787" s="139"/>
      <c r="AE787" s="139"/>
      <c r="AF787" s="139"/>
      <c r="AG787" s="139"/>
      <c r="AH787" s="139"/>
      <c r="AI787" s="139"/>
      <c r="AJ787" s="139"/>
      <c r="AK787" s="139"/>
      <c r="AL787" s="139"/>
      <c r="AM787" s="139"/>
      <c r="AN787" s="139"/>
      <c r="AO787" s="139"/>
      <c r="AP787" s="139"/>
      <c r="AQ787" s="139"/>
      <c r="AR787" s="139"/>
      <c r="AS787" s="139"/>
      <c r="AT787" s="139"/>
      <c r="AU787" s="139"/>
      <c r="AV787" s="139"/>
    </row>
    <row r="788">
      <c r="A788" s="139"/>
      <c r="B788" s="234"/>
      <c r="C788" s="139"/>
      <c r="D788" s="139"/>
      <c r="E788" s="139"/>
      <c r="F788" s="139"/>
      <c r="G788" s="139"/>
      <c r="H788" s="139"/>
      <c r="I788" s="139"/>
      <c r="J788" s="139"/>
      <c r="K788" s="139"/>
      <c r="L788" s="139"/>
      <c r="M788" s="139"/>
      <c r="N788" s="145"/>
      <c r="O788" s="139"/>
      <c r="P788" s="139"/>
      <c r="Q788" s="231"/>
      <c r="R788" s="139"/>
      <c r="S788" s="235"/>
      <c r="T788" s="235"/>
      <c r="U788" s="145"/>
      <c r="V788" s="145"/>
      <c r="W788" s="111"/>
      <c r="X788" s="233"/>
      <c r="Y788" s="226"/>
      <c r="Z788" s="139"/>
      <c r="AA788" s="139"/>
      <c r="AB788" s="139"/>
      <c r="AC788" s="139"/>
      <c r="AD788" s="139"/>
      <c r="AE788" s="139"/>
      <c r="AF788" s="139"/>
      <c r="AG788" s="139"/>
      <c r="AH788" s="139"/>
      <c r="AI788" s="139"/>
      <c r="AJ788" s="139"/>
      <c r="AK788" s="139"/>
      <c r="AL788" s="139"/>
      <c r="AM788" s="139"/>
      <c r="AN788" s="139"/>
      <c r="AO788" s="139"/>
      <c r="AP788" s="139"/>
      <c r="AQ788" s="139"/>
      <c r="AR788" s="139"/>
      <c r="AS788" s="139"/>
      <c r="AT788" s="139"/>
      <c r="AU788" s="139"/>
      <c r="AV788" s="139"/>
    </row>
    <row r="789">
      <c r="A789" s="139"/>
      <c r="B789" s="234"/>
      <c r="C789" s="139"/>
      <c r="D789" s="139"/>
      <c r="E789" s="139"/>
      <c r="F789" s="139"/>
      <c r="G789" s="139"/>
      <c r="H789" s="139"/>
      <c r="I789" s="139"/>
      <c r="J789" s="139"/>
      <c r="K789" s="139"/>
      <c r="L789" s="139"/>
      <c r="M789" s="139"/>
      <c r="N789" s="145"/>
      <c r="O789" s="139"/>
      <c r="P789" s="139"/>
      <c r="Q789" s="231"/>
      <c r="R789" s="139"/>
      <c r="S789" s="235"/>
      <c r="T789" s="235"/>
      <c r="U789" s="145"/>
      <c r="V789" s="145"/>
      <c r="W789" s="111"/>
      <c r="X789" s="233"/>
      <c r="Y789" s="226"/>
      <c r="Z789" s="139"/>
      <c r="AA789" s="139"/>
      <c r="AB789" s="139"/>
      <c r="AC789" s="139"/>
      <c r="AD789" s="139"/>
      <c r="AE789" s="139"/>
      <c r="AF789" s="139"/>
      <c r="AG789" s="139"/>
      <c r="AH789" s="139"/>
      <c r="AI789" s="139"/>
      <c r="AJ789" s="139"/>
      <c r="AK789" s="139"/>
      <c r="AL789" s="139"/>
      <c r="AM789" s="139"/>
      <c r="AN789" s="139"/>
      <c r="AO789" s="139"/>
      <c r="AP789" s="139"/>
      <c r="AQ789" s="139"/>
      <c r="AR789" s="139"/>
      <c r="AS789" s="139"/>
      <c r="AT789" s="139"/>
      <c r="AU789" s="139"/>
      <c r="AV789" s="139"/>
    </row>
    <row r="790">
      <c r="A790" s="139"/>
      <c r="B790" s="234"/>
      <c r="C790" s="139"/>
      <c r="D790" s="139"/>
      <c r="E790" s="139"/>
      <c r="F790" s="139"/>
      <c r="G790" s="139"/>
      <c r="H790" s="139"/>
      <c r="I790" s="139"/>
      <c r="J790" s="139"/>
      <c r="K790" s="139"/>
      <c r="L790" s="139"/>
      <c r="M790" s="139"/>
      <c r="N790" s="145"/>
      <c r="O790" s="139"/>
      <c r="P790" s="139"/>
      <c r="Q790" s="231"/>
      <c r="R790" s="139"/>
      <c r="S790" s="235"/>
      <c r="T790" s="235"/>
      <c r="U790" s="145"/>
      <c r="V790" s="145"/>
      <c r="W790" s="111"/>
      <c r="X790" s="233"/>
      <c r="Y790" s="226"/>
      <c r="Z790" s="139"/>
      <c r="AA790" s="139"/>
      <c r="AB790" s="139"/>
      <c r="AC790" s="139"/>
      <c r="AD790" s="139"/>
      <c r="AE790" s="139"/>
      <c r="AF790" s="139"/>
      <c r="AG790" s="139"/>
      <c r="AH790" s="139"/>
      <c r="AI790" s="139"/>
      <c r="AJ790" s="139"/>
      <c r="AK790" s="139"/>
      <c r="AL790" s="139"/>
      <c r="AM790" s="139"/>
      <c r="AN790" s="139"/>
      <c r="AO790" s="139"/>
      <c r="AP790" s="139"/>
      <c r="AQ790" s="139"/>
      <c r="AR790" s="139"/>
      <c r="AS790" s="139"/>
      <c r="AT790" s="139"/>
      <c r="AU790" s="139"/>
      <c r="AV790" s="139"/>
    </row>
    <row r="791">
      <c r="A791" s="139"/>
      <c r="B791" s="234"/>
      <c r="C791" s="139"/>
      <c r="D791" s="139"/>
      <c r="E791" s="139"/>
      <c r="F791" s="139"/>
      <c r="G791" s="139"/>
      <c r="H791" s="139"/>
      <c r="I791" s="139"/>
      <c r="J791" s="139"/>
      <c r="K791" s="139"/>
      <c r="L791" s="139"/>
      <c r="M791" s="139"/>
      <c r="N791" s="145"/>
      <c r="O791" s="139"/>
      <c r="P791" s="139"/>
      <c r="Q791" s="231"/>
      <c r="R791" s="139"/>
      <c r="S791" s="235"/>
      <c r="T791" s="235"/>
      <c r="U791" s="145"/>
      <c r="V791" s="145"/>
      <c r="W791" s="111"/>
      <c r="X791" s="233"/>
      <c r="Y791" s="226"/>
      <c r="Z791" s="139"/>
      <c r="AA791" s="139"/>
      <c r="AB791" s="139"/>
      <c r="AC791" s="139"/>
      <c r="AD791" s="139"/>
      <c r="AE791" s="139"/>
      <c r="AF791" s="139"/>
      <c r="AG791" s="139"/>
      <c r="AH791" s="139"/>
      <c r="AI791" s="139"/>
      <c r="AJ791" s="139"/>
      <c r="AK791" s="139"/>
      <c r="AL791" s="139"/>
      <c r="AM791" s="139"/>
      <c r="AN791" s="139"/>
      <c r="AO791" s="139"/>
      <c r="AP791" s="139"/>
      <c r="AQ791" s="139"/>
      <c r="AR791" s="139"/>
      <c r="AS791" s="139"/>
      <c r="AT791" s="139"/>
      <c r="AU791" s="139"/>
      <c r="AV791" s="139"/>
    </row>
    <row r="792">
      <c r="A792" s="139"/>
      <c r="B792" s="234"/>
      <c r="C792" s="139"/>
      <c r="D792" s="139"/>
      <c r="E792" s="139"/>
      <c r="F792" s="139"/>
      <c r="G792" s="139"/>
      <c r="H792" s="139"/>
      <c r="I792" s="139"/>
      <c r="J792" s="139"/>
      <c r="K792" s="139"/>
      <c r="L792" s="139"/>
      <c r="M792" s="139"/>
      <c r="N792" s="145"/>
      <c r="O792" s="139"/>
      <c r="P792" s="139"/>
      <c r="Q792" s="231"/>
      <c r="R792" s="139"/>
      <c r="S792" s="235"/>
      <c r="T792" s="235"/>
      <c r="U792" s="145"/>
      <c r="V792" s="145"/>
      <c r="W792" s="111"/>
      <c r="X792" s="233"/>
      <c r="Y792" s="226"/>
      <c r="Z792" s="139"/>
      <c r="AA792" s="139"/>
      <c r="AB792" s="139"/>
      <c r="AC792" s="139"/>
      <c r="AD792" s="139"/>
      <c r="AE792" s="139"/>
      <c r="AF792" s="139"/>
      <c r="AG792" s="139"/>
      <c r="AH792" s="139"/>
      <c r="AI792" s="139"/>
      <c r="AJ792" s="139"/>
      <c r="AK792" s="139"/>
      <c r="AL792" s="139"/>
      <c r="AM792" s="139"/>
      <c r="AN792" s="139"/>
      <c r="AO792" s="139"/>
      <c r="AP792" s="139"/>
      <c r="AQ792" s="139"/>
      <c r="AR792" s="139"/>
      <c r="AS792" s="139"/>
      <c r="AT792" s="139"/>
      <c r="AU792" s="139"/>
      <c r="AV792" s="139"/>
    </row>
    <row r="793">
      <c r="A793" s="139"/>
      <c r="B793" s="234"/>
      <c r="C793" s="139"/>
      <c r="D793" s="139"/>
      <c r="E793" s="139"/>
      <c r="F793" s="139"/>
      <c r="G793" s="139"/>
      <c r="H793" s="139"/>
      <c r="I793" s="139"/>
      <c r="J793" s="139"/>
      <c r="K793" s="139"/>
      <c r="L793" s="139"/>
      <c r="M793" s="139"/>
      <c r="N793" s="145"/>
      <c r="O793" s="139"/>
      <c r="P793" s="139"/>
      <c r="Q793" s="231"/>
      <c r="R793" s="139"/>
      <c r="S793" s="235"/>
      <c r="T793" s="235"/>
      <c r="U793" s="145"/>
      <c r="V793" s="145"/>
      <c r="W793" s="111"/>
      <c r="X793" s="233"/>
      <c r="Y793" s="226"/>
      <c r="Z793" s="139"/>
      <c r="AA793" s="139"/>
      <c r="AB793" s="139"/>
      <c r="AC793" s="139"/>
      <c r="AD793" s="139"/>
      <c r="AE793" s="139"/>
      <c r="AF793" s="139"/>
      <c r="AG793" s="139"/>
      <c r="AH793" s="139"/>
      <c r="AI793" s="139"/>
      <c r="AJ793" s="139"/>
      <c r="AK793" s="139"/>
      <c r="AL793" s="139"/>
      <c r="AM793" s="139"/>
      <c r="AN793" s="139"/>
      <c r="AO793" s="139"/>
      <c r="AP793" s="139"/>
      <c r="AQ793" s="139"/>
      <c r="AR793" s="139"/>
      <c r="AS793" s="139"/>
      <c r="AT793" s="139"/>
      <c r="AU793" s="139"/>
      <c r="AV793" s="139"/>
    </row>
    <row r="794">
      <c r="A794" s="139"/>
      <c r="B794" s="234"/>
      <c r="C794" s="139"/>
      <c r="D794" s="139"/>
      <c r="E794" s="139"/>
      <c r="F794" s="139"/>
      <c r="G794" s="139"/>
      <c r="H794" s="139"/>
      <c r="I794" s="139"/>
      <c r="J794" s="139"/>
      <c r="K794" s="139"/>
      <c r="L794" s="139"/>
      <c r="M794" s="139"/>
      <c r="N794" s="145"/>
      <c r="O794" s="139"/>
      <c r="P794" s="139"/>
      <c r="Q794" s="231"/>
      <c r="R794" s="139"/>
      <c r="S794" s="235"/>
      <c r="T794" s="235"/>
      <c r="U794" s="145"/>
      <c r="V794" s="145"/>
      <c r="W794" s="111"/>
      <c r="X794" s="233"/>
      <c r="Y794" s="226"/>
      <c r="Z794" s="139"/>
      <c r="AA794" s="139"/>
      <c r="AB794" s="139"/>
      <c r="AC794" s="139"/>
      <c r="AD794" s="139"/>
      <c r="AE794" s="139"/>
      <c r="AF794" s="139"/>
      <c r="AG794" s="139"/>
      <c r="AH794" s="139"/>
      <c r="AI794" s="139"/>
      <c r="AJ794" s="139"/>
      <c r="AK794" s="139"/>
      <c r="AL794" s="139"/>
      <c r="AM794" s="139"/>
      <c r="AN794" s="139"/>
      <c r="AO794" s="139"/>
      <c r="AP794" s="139"/>
      <c r="AQ794" s="139"/>
      <c r="AR794" s="139"/>
      <c r="AS794" s="139"/>
      <c r="AT794" s="139"/>
      <c r="AU794" s="139"/>
      <c r="AV794" s="139"/>
    </row>
    <row r="795">
      <c r="A795" s="139"/>
      <c r="B795" s="234"/>
      <c r="C795" s="139"/>
      <c r="D795" s="139"/>
      <c r="E795" s="139"/>
      <c r="F795" s="139"/>
      <c r="G795" s="139"/>
      <c r="H795" s="139"/>
      <c r="I795" s="139"/>
      <c r="J795" s="139"/>
      <c r="K795" s="139"/>
      <c r="L795" s="139"/>
      <c r="M795" s="139"/>
      <c r="N795" s="145"/>
      <c r="O795" s="139"/>
      <c r="P795" s="139"/>
      <c r="Q795" s="231"/>
      <c r="R795" s="139"/>
      <c r="S795" s="235"/>
      <c r="T795" s="235"/>
      <c r="U795" s="145"/>
      <c r="V795" s="145"/>
      <c r="W795" s="111"/>
      <c r="X795" s="233"/>
      <c r="Y795" s="226"/>
      <c r="Z795" s="139"/>
      <c r="AA795" s="139"/>
      <c r="AB795" s="139"/>
      <c r="AC795" s="139"/>
      <c r="AD795" s="139"/>
      <c r="AE795" s="139"/>
      <c r="AF795" s="139"/>
      <c r="AG795" s="139"/>
      <c r="AH795" s="139"/>
      <c r="AI795" s="139"/>
      <c r="AJ795" s="139"/>
      <c r="AK795" s="139"/>
      <c r="AL795" s="139"/>
      <c r="AM795" s="139"/>
      <c r="AN795" s="139"/>
      <c r="AO795" s="139"/>
      <c r="AP795" s="139"/>
      <c r="AQ795" s="139"/>
      <c r="AR795" s="139"/>
      <c r="AS795" s="139"/>
      <c r="AT795" s="139"/>
      <c r="AU795" s="139"/>
      <c r="AV795" s="139"/>
    </row>
    <row r="796">
      <c r="A796" s="139"/>
      <c r="B796" s="234"/>
      <c r="C796" s="139"/>
      <c r="D796" s="139"/>
      <c r="E796" s="139"/>
      <c r="F796" s="139"/>
      <c r="G796" s="139"/>
      <c r="H796" s="139"/>
      <c r="I796" s="139"/>
      <c r="J796" s="139"/>
      <c r="K796" s="139"/>
      <c r="L796" s="139"/>
      <c r="M796" s="139"/>
      <c r="N796" s="145"/>
      <c r="O796" s="139"/>
      <c r="P796" s="139"/>
      <c r="Q796" s="231"/>
      <c r="R796" s="139"/>
      <c r="S796" s="235"/>
      <c r="T796" s="235"/>
      <c r="U796" s="145"/>
      <c r="V796" s="145"/>
      <c r="W796" s="111"/>
      <c r="X796" s="233"/>
      <c r="Y796" s="226"/>
      <c r="Z796" s="139"/>
      <c r="AA796" s="139"/>
      <c r="AB796" s="139"/>
      <c r="AC796" s="139"/>
      <c r="AD796" s="139"/>
      <c r="AE796" s="139"/>
      <c r="AF796" s="139"/>
      <c r="AG796" s="139"/>
      <c r="AH796" s="139"/>
      <c r="AI796" s="139"/>
      <c r="AJ796" s="139"/>
      <c r="AK796" s="139"/>
      <c r="AL796" s="139"/>
      <c r="AM796" s="139"/>
      <c r="AN796" s="139"/>
      <c r="AO796" s="139"/>
      <c r="AP796" s="139"/>
      <c r="AQ796" s="139"/>
      <c r="AR796" s="139"/>
      <c r="AS796" s="139"/>
      <c r="AT796" s="139"/>
      <c r="AU796" s="139"/>
      <c r="AV796" s="139"/>
    </row>
    <row r="797">
      <c r="A797" s="139"/>
      <c r="B797" s="234"/>
      <c r="C797" s="139"/>
      <c r="D797" s="139"/>
      <c r="E797" s="139"/>
      <c r="F797" s="139"/>
      <c r="G797" s="139"/>
      <c r="H797" s="139"/>
      <c r="I797" s="139"/>
      <c r="J797" s="139"/>
      <c r="K797" s="139"/>
      <c r="L797" s="139"/>
      <c r="M797" s="139"/>
      <c r="N797" s="145"/>
      <c r="O797" s="139"/>
      <c r="P797" s="139"/>
      <c r="Q797" s="231"/>
      <c r="R797" s="139"/>
      <c r="S797" s="235"/>
      <c r="T797" s="235"/>
      <c r="U797" s="145"/>
      <c r="V797" s="145"/>
      <c r="W797" s="111"/>
      <c r="X797" s="233"/>
      <c r="Y797" s="226"/>
      <c r="Z797" s="139"/>
      <c r="AA797" s="139"/>
      <c r="AB797" s="139"/>
      <c r="AC797" s="139"/>
      <c r="AD797" s="139"/>
      <c r="AE797" s="139"/>
      <c r="AF797" s="139"/>
      <c r="AG797" s="139"/>
      <c r="AH797" s="139"/>
      <c r="AI797" s="139"/>
      <c r="AJ797" s="139"/>
      <c r="AK797" s="139"/>
      <c r="AL797" s="139"/>
      <c r="AM797" s="139"/>
      <c r="AN797" s="139"/>
      <c r="AO797" s="139"/>
      <c r="AP797" s="139"/>
      <c r="AQ797" s="139"/>
      <c r="AR797" s="139"/>
      <c r="AS797" s="139"/>
      <c r="AT797" s="139"/>
      <c r="AU797" s="139"/>
      <c r="AV797" s="139"/>
    </row>
    <row r="798">
      <c r="A798" s="139"/>
      <c r="B798" s="234"/>
      <c r="C798" s="139"/>
      <c r="D798" s="139"/>
      <c r="E798" s="139"/>
      <c r="F798" s="139"/>
      <c r="G798" s="139"/>
      <c r="H798" s="139"/>
      <c r="I798" s="139"/>
      <c r="J798" s="139"/>
      <c r="K798" s="139"/>
      <c r="L798" s="139"/>
      <c r="M798" s="139"/>
      <c r="N798" s="145"/>
      <c r="O798" s="139"/>
      <c r="P798" s="139"/>
      <c r="Q798" s="231"/>
      <c r="R798" s="139"/>
      <c r="S798" s="235"/>
      <c r="T798" s="235"/>
      <c r="U798" s="145"/>
      <c r="V798" s="145"/>
      <c r="W798" s="111"/>
      <c r="X798" s="233"/>
      <c r="Y798" s="226"/>
      <c r="Z798" s="139"/>
      <c r="AA798" s="139"/>
      <c r="AB798" s="139"/>
      <c r="AC798" s="139"/>
      <c r="AD798" s="139"/>
      <c r="AE798" s="139"/>
      <c r="AF798" s="139"/>
      <c r="AG798" s="139"/>
      <c r="AH798" s="139"/>
      <c r="AI798" s="139"/>
      <c r="AJ798" s="139"/>
      <c r="AK798" s="139"/>
      <c r="AL798" s="139"/>
      <c r="AM798" s="139"/>
      <c r="AN798" s="139"/>
      <c r="AO798" s="139"/>
      <c r="AP798" s="139"/>
      <c r="AQ798" s="139"/>
      <c r="AR798" s="139"/>
      <c r="AS798" s="139"/>
      <c r="AT798" s="139"/>
      <c r="AU798" s="139"/>
      <c r="AV798" s="139"/>
    </row>
    <row r="799">
      <c r="A799" s="139"/>
      <c r="B799" s="234"/>
      <c r="C799" s="139"/>
      <c r="D799" s="139"/>
      <c r="E799" s="139"/>
      <c r="F799" s="139"/>
      <c r="G799" s="139"/>
      <c r="H799" s="139"/>
      <c r="I799" s="139"/>
      <c r="J799" s="139"/>
      <c r="K799" s="139"/>
      <c r="L799" s="139"/>
      <c r="M799" s="139"/>
      <c r="N799" s="145"/>
      <c r="O799" s="139"/>
      <c r="P799" s="139"/>
      <c r="Q799" s="231"/>
      <c r="R799" s="139"/>
      <c r="S799" s="235"/>
      <c r="T799" s="235"/>
      <c r="U799" s="145"/>
      <c r="V799" s="145"/>
      <c r="W799" s="111"/>
      <c r="X799" s="233"/>
      <c r="Y799" s="226"/>
      <c r="Z799" s="139"/>
      <c r="AA799" s="139"/>
      <c r="AB799" s="139"/>
      <c r="AC799" s="139"/>
      <c r="AD799" s="139"/>
      <c r="AE799" s="139"/>
      <c r="AF799" s="139"/>
      <c r="AG799" s="139"/>
      <c r="AH799" s="139"/>
      <c r="AI799" s="139"/>
      <c r="AJ799" s="139"/>
      <c r="AK799" s="139"/>
      <c r="AL799" s="139"/>
      <c r="AM799" s="139"/>
      <c r="AN799" s="139"/>
      <c r="AO799" s="139"/>
      <c r="AP799" s="139"/>
      <c r="AQ799" s="139"/>
      <c r="AR799" s="139"/>
      <c r="AS799" s="139"/>
      <c r="AT799" s="139"/>
      <c r="AU799" s="139"/>
      <c r="AV799" s="139"/>
    </row>
    <row r="800">
      <c r="A800" s="139"/>
      <c r="B800" s="234"/>
      <c r="C800" s="139"/>
      <c r="D800" s="139"/>
      <c r="E800" s="139"/>
      <c r="F800" s="139"/>
      <c r="G800" s="139"/>
      <c r="H800" s="139"/>
      <c r="I800" s="139"/>
      <c r="J800" s="139"/>
      <c r="K800" s="139"/>
      <c r="L800" s="139"/>
      <c r="M800" s="139"/>
      <c r="N800" s="145"/>
      <c r="O800" s="139"/>
      <c r="P800" s="139"/>
      <c r="Q800" s="231"/>
      <c r="R800" s="139"/>
      <c r="S800" s="235"/>
      <c r="T800" s="235"/>
      <c r="U800" s="145"/>
      <c r="V800" s="145"/>
      <c r="W800" s="111"/>
      <c r="X800" s="233"/>
      <c r="Y800" s="226"/>
      <c r="Z800" s="139"/>
      <c r="AA800" s="139"/>
      <c r="AB800" s="139"/>
      <c r="AC800" s="139"/>
      <c r="AD800" s="139"/>
      <c r="AE800" s="139"/>
      <c r="AF800" s="139"/>
      <c r="AG800" s="139"/>
      <c r="AH800" s="139"/>
      <c r="AI800" s="139"/>
      <c r="AJ800" s="139"/>
      <c r="AK800" s="139"/>
      <c r="AL800" s="139"/>
      <c r="AM800" s="139"/>
      <c r="AN800" s="139"/>
      <c r="AO800" s="139"/>
      <c r="AP800" s="139"/>
      <c r="AQ800" s="139"/>
      <c r="AR800" s="139"/>
      <c r="AS800" s="139"/>
      <c r="AT800" s="139"/>
      <c r="AU800" s="139"/>
      <c r="AV800" s="139"/>
    </row>
    <row r="801">
      <c r="A801" s="139"/>
      <c r="B801" s="234"/>
      <c r="C801" s="139"/>
      <c r="D801" s="139"/>
      <c r="E801" s="139"/>
      <c r="F801" s="139"/>
      <c r="G801" s="139"/>
      <c r="H801" s="139"/>
      <c r="I801" s="139"/>
      <c r="J801" s="139"/>
      <c r="K801" s="139"/>
      <c r="L801" s="139"/>
      <c r="M801" s="139"/>
      <c r="N801" s="145"/>
      <c r="O801" s="139"/>
      <c r="P801" s="139"/>
      <c r="Q801" s="231"/>
      <c r="R801" s="139"/>
      <c r="S801" s="235"/>
      <c r="T801" s="235"/>
      <c r="U801" s="145"/>
      <c r="V801" s="145"/>
      <c r="W801" s="111"/>
      <c r="X801" s="233"/>
      <c r="Y801" s="226"/>
      <c r="Z801" s="139"/>
      <c r="AA801" s="139"/>
      <c r="AB801" s="139"/>
      <c r="AC801" s="139"/>
      <c r="AD801" s="139"/>
      <c r="AE801" s="139"/>
      <c r="AF801" s="139"/>
      <c r="AG801" s="139"/>
      <c r="AH801" s="139"/>
      <c r="AI801" s="139"/>
      <c r="AJ801" s="139"/>
      <c r="AK801" s="139"/>
      <c r="AL801" s="139"/>
      <c r="AM801" s="139"/>
      <c r="AN801" s="139"/>
      <c r="AO801" s="139"/>
      <c r="AP801" s="139"/>
      <c r="AQ801" s="139"/>
      <c r="AR801" s="139"/>
      <c r="AS801" s="139"/>
      <c r="AT801" s="139"/>
      <c r="AU801" s="139"/>
      <c r="AV801" s="139"/>
    </row>
    <row r="802">
      <c r="A802" s="139"/>
      <c r="B802" s="234"/>
      <c r="C802" s="139"/>
      <c r="D802" s="139"/>
      <c r="E802" s="139"/>
      <c r="F802" s="139"/>
      <c r="G802" s="139"/>
      <c r="H802" s="139"/>
      <c r="I802" s="139"/>
      <c r="J802" s="139"/>
      <c r="K802" s="139"/>
      <c r="L802" s="139"/>
      <c r="M802" s="139"/>
      <c r="N802" s="145"/>
      <c r="O802" s="139"/>
      <c r="P802" s="139"/>
      <c r="Q802" s="231"/>
      <c r="R802" s="139"/>
      <c r="S802" s="235"/>
      <c r="T802" s="235"/>
      <c r="U802" s="145"/>
      <c r="V802" s="145"/>
      <c r="W802" s="111"/>
      <c r="X802" s="233"/>
      <c r="Y802" s="226"/>
      <c r="Z802" s="139"/>
      <c r="AA802" s="139"/>
      <c r="AB802" s="139"/>
      <c r="AC802" s="139"/>
      <c r="AD802" s="139"/>
      <c r="AE802" s="139"/>
      <c r="AF802" s="139"/>
      <c r="AG802" s="139"/>
      <c r="AH802" s="139"/>
      <c r="AI802" s="139"/>
      <c r="AJ802" s="139"/>
      <c r="AK802" s="139"/>
      <c r="AL802" s="139"/>
      <c r="AM802" s="139"/>
      <c r="AN802" s="139"/>
      <c r="AO802" s="139"/>
      <c r="AP802" s="139"/>
      <c r="AQ802" s="139"/>
      <c r="AR802" s="139"/>
      <c r="AS802" s="139"/>
      <c r="AT802" s="139"/>
      <c r="AU802" s="139"/>
      <c r="AV802" s="139"/>
    </row>
    <row r="803">
      <c r="A803" s="139"/>
      <c r="B803" s="234"/>
      <c r="C803" s="139"/>
      <c r="D803" s="139"/>
      <c r="E803" s="139"/>
      <c r="F803" s="139"/>
      <c r="G803" s="139"/>
      <c r="H803" s="139"/>
      <c r="I803" s="139"/>
      <c r="J803" s="139"/>
      <c r="K803" s="139"/>
      <c r="L803" s="139"/>
      <c r="M803" s="139"/>
      <c r="N803" s="145"/>
      <c r="O803" s="139"/>
      <c r="P803" s="139"/>
      <c r="Q803" s="231"/>
      <c r="R803" s="139"/>
      <c r="S803" s="235"/>
      <c r="T803" s="235"/>
      <c r="U803" s="145"/>
      <c r="V803" s="145"/>
      <c r="W803" s="111"/>
      <c r="X803" s="233"/>
      <c r="Y803" s="226"/>
      <c r="Z803" s="139"/>
      <c r="AA803" s="139"/>
      <c r="AB803" s="139"/>
      <c r="AC803" s="139"/>
      <c r="AD803" s="139"/>
      <c r="AE803" s="139"/>
      <c r="AF803" s="139"/>
      <c r="AG803" s="139"/>
      <c r="AH803" s="139"/>
      <c r="AI803" s="139"/>
      <c r="AJ803" s="139"/>
      <c r="AK803" s="139"/>
      <c r="AL803" s="139"/>
      <c r="AM803" s="139"/>
      <c r="AN803" s="139"/>
      <c r="AO803" s="139"/>
      <c r="AP803" s="139"/>
      <c r="AQ803" s="139"/>
      <c r="AR803" s="139"/>
      <c r="AS803" s="139"/>
      <c r="AT803" s="139"/>
      <c r="AU803" s="139"/>
      <c r="AV803" s="139"/>
    </row>
    <row r="804">
      <c r="A804" s="139"/>
      <c r="B804" s="234"/>
      <c r="C804" s="139"/>
      <c r="D804" s="139"/>
      <c r="E804" s="139"/>
      <c r="F804" s="139"/>
      <c r="G804" s="139"/>
      <c r="H804" s="139"/>
      <c r="I804" s="139"/>
      <c r="J804" s="139"/>
      <c r="K804" s="139"/>
      <c r="L804" s="139"/>
      <c r="M804" s="139"/>
      <c r="N804" s="145"/>
      <c r="O804" s="139"/>
      <c r="P804" s="139"/>
      <c r="Q804" s="231"/>
      <c r="R804" s="139"/>
      <c r="S804" s="235"/>
      <c r="T804" s="235"/>
      <c r="U804" s="145"/>
      <c r="V804" s="145"/>
      <c r="W804" s="111"/>
      <c r="X804" s="233"/>
      <c r="Y804" s="226"/>
      <c r="Z804" s="139"/>
      <c r="AA804" s="139"/>
      <c r="AB804" s="139"/>
      <c r="AC804" s="139"/>
      <c r="AD804" s="139"/>
      <c r="AE804" s="139"/>
      <c r="AF804" s="139"/>
      <c r="AG804" s="139"/>
      <c r="AH804" s="139"/>
      <c r="AI804" s="139"/>
      <c r="AJ804" s="139"/>
      <c r="AK804" s="139"/>
      <c r="AL804" s="139"/>
      <c r="AM804" s="139"/>
      <c r="AN804" s="139"/>
      <c r="AO804" s="139"/>
      <c r="AP804" s="139"/>
      <c r="AQ804" s="139"/>
      <c r="AR804" s="139"/>
      <c r="AS804" s="139"/>
      <c r="AT804" s="139"/>
      <c r="AU804" s="139"/>
      <c r="AV804" s="139"/>
    </row>
    <row r="805">
      <c r="A805" s="139"/>
      <c r="B805" s="234"/>
      <c r="C805" s="139"/>
      <c r="D805" s="139"/>
      <c r="E805" s="139"/>
      <c r="F805" s="139"/>
      <c r="G805" s="139"/>
      <c r="H805" s="139"/>
      <c r="I805" s="139"/>
      <c r="J805" s="139"/>
      <c r="K805" s="139"/>
      <c r="L805" s="139"/>
      <c r="M805" s="139"/>
      <c r="N805" s="145"/>
      <c r="O805" s="139"/>
      <c r="P805" s="139"/>
      <c r="Q805" s="231"/>
      <c r="R805" s="139"/>
      <c r="S805" s="235"/>
      <c r="T805" s="235"/>
      <c r="U805" s="145"/>
      <c r="V805" s="145"/>
      <c r="W805" s="111"/>
      <c r="X805" s="233"/>
      <c r="Y805" s="226"/>
      <c r="Z805" s="139"/>
      <c r="AA805" s="139"/>
      <c r="AB805" s="139"/>
      <c r="AC805" s="139"/>
      <c r="AD805" s="139"/>
      <c r="AE805" s="139"/>
      <c r="AF805" s="139"/>
      <c r="AG805" s="139"/>
      <c r="AH805" s="139"/>
      <c r="AI805" s="139"/>
      <c r="AJ805" s="139"/>
      <c r="AK805" s="139"/>
      <c r="AL805" s="139"/>
      <c r="AM805" s="139"/>
      <c r="AN805" s="139"/>
      <c r="AO805" s="139"/>
      <c r="AP805" s="139"/>
      <c r="AQ805" s="139"/>
      <c r="AR805" s="139"/>
      <c r="AS805" s="139"/>
      <c r="AT805" s="139"/>
      <c r="AU805" s="139"/>
      <c r="AV805" s="139"/>
    </row>
    <row r="806">
      <c r="A806" s="139"/>
      <c r="B806" s="234"/>
      <c r="C806" s="139"/>
      <c r="D806" s="139"/>
      <c r="E806" s="139"/>
      <c r="F806" s="139"/>
      <c r="G806" s="139"/>
      <c r="H806" s="139"/>
      <c r="I806" s="139"/>
      <c r="J806" s="139"/>
      <c r="K806" s="139"/>
      <c r="L806" s="139"/>
      <c r="M806" s="139"/>
      <c r="N806" s="145"/>
      <c r="O806" s="139"/>
      <c r="P806" s="139"/>
      <c r="Q806" s="231"/>
      <c r="R806" s="139"/>
      <c r="S806" s="235"/>
      <c r="T806" s="235"/>
      <c r="U806" s="145"/>
      <c r="V806" s="145"/>
      <c r="W806" s="111"/>
      <c r="X806" s="233"/>
      <c r="Y806" s="226"/>
      <c r="Z806" s="139"/>
      <c r="AA806" s="139"/>
      <c r="AB806" s="139"/>
      <c r="AC806" s="139"/>
      <c r="AD806" s="139"/>
      <c r="AE806" s="139"/>
      <c r="AF806" s="139"/>
      <c r="AG806" s="139"/>
      <c r="AH806" s="139"/>
      <c r="AI806" s="139"/>
      <c r="AJ806" s="139"/>
      <c r="AK806" s="139"/>
      <c r="AL806" s="139"/>
      <c r="AM806" s="139"/>
      <c r="AN806" s="139"/>
      <c r="AO806" s="139"/>
      <c r="AP806" s="139"/>
      <c r="AQ806" s="139"/>
      <c r="AR806" s="139"/>
      <c r="AS806" s="139"/>
      <c r="AT806" s="139"/>
      <c r="AU806" s="139"/>
      <c r="AV806" s="139"/>
    </row>
    <row r="807">
      <c r="A807" s="139"/>
      <c r="B807" s="234"/>
      <c r="C807" s="139"/>
      <c r="D807" s="139"/>
      <c r="E807" s="139"/>
      <c r="F807" s="139"/>
      <c r="G807" s="139"/>
      <c r="H807" s="139"/>
      <c r="I807" s="139"/>
      <c r="J807" s="139"/>
      <c r="K807" s="139"/>
      <c r="L807" s="139"/>
      <c r="M807" s="139"/>
      <c r="N807" s="145"/>
      <c r="O807" s="139"/>
      <c r="P807" s="139"/>
      <c r="Q807" s="231"/>
      <c r="R807" s="139"/>
      <c r="S807" s="235"/>
      <c r="T807" s="235"/>
      <c r="U807" s="145"/>
      <c r="V807" s="145"/>
      <c r="W807" s="111"/>
      <c r="X807" s="233"/>
      <c r="Y807" s="226"/>
      <c r="Z807" s="139"/>
      <c r="AA807" s="139"/>
      <c r="AB807" s="139"/>
      <c r="AC807" s="139"/>
      <c r="AD807" s="139"/>
      <c r="AE807" s="139"/>
      <c r="AF807" s="139"/>
      <c r="AG807" s="139"/>
      <c r="AH807" s="139"/>
      <c r="AI807" s="139"/>
      <c r="AJ807" s="139"/>
      <c r="AK807" s="139"/>
      <c r="AL807" s="139"/>
      <c r="AM807" s="139"/>
      <c r="AN807" s="139"/>
      <c r="AO807" s="139"/>
      <c r="AP807" s="139"/>
      <c r="AQ807" s="139"/>
      <c r="AR807" s="139"/>
      <c r="AS807" s="139"/>
      <c r="AT807" s="139"/>
      <c r="AU807" s="139"/>
      <c r="AV807" s="139"/>
    </row>
    <row r="808">
      <c r="A808" s="139"/>
      <c r="B808" s="234"/>
      <c r="C808" s="139"/>
      <c r="D808" s="139"/>
      <c r="E808" s="139"/>
      <c r="F808" s="139"/>
      <c r="G808" s="139"/>
      <c r="H808" s="139"/>
      <c r="I808" s="139"/>
      <c r="J808" s="139"/>
      <c r="K808" s="139"/>
      <c r="L808" s="139"/>
      <c r="M808" s="139"/>
      <c r="N808" s="145"/>
      <c r="O808" s="139"/>
      <c r="P808" s="139"/>
      <c r="Q808" s="231"/>
      <c r="R808" s="139"/>
      <c r="S808" s="235"/>
      <c r="T808" s="235"/>
      <c r="U808" s="145"/>
      <c r="V808" s="145"/>
      <c r="W808" s="111"/>
      <c r="X808" s="233"/>
      <c r="Y808" s="226"/>
      <c r="Z808" s="139"/>
      <c r="AA808" s="139"/>
      <c r="AB808" s="139"/>
      <c r="AC808" s="139"/>
      <c r="AD808" s="139"/>
      <c r="AE808" s="139"/>
      <c r="AF808" s="139"/>
      <c r="AG808" s="139"/>
      <c r="AH808" s="139"/>
      <c r="AI808" s="139"/>
      <c r="AJ808" s="139"/>
      <c r="AK808" s="139"/>
      <c r="AL808" s="139"/>
      <c r="AM808" s="139"/>
      <c r="AN808" s="139"/>
      <c r="AO808" s="139"/>
      <c r="AP808" s="139"/>
      <c r="AQ808" s="139"/>
      <c r="AR808" s="139"/>
      <c r="AS808" s="139"/>
      <c r="AT808" s="139"/>
      <c r="AU808" s="139"/>
      <c r="AV808" s="139"/>
    </row>
    <row r="809">
      <c r="A809" s="139"/>
      <c r="B809" s="234"/>
      <c r="C809" s="139"/>
      <c r="D809" s="139"/>
      <c r="E809" s="139"/>
      <c r="F809" s="139"/>
      <c r="G809" s="139"/>
      <c r="H809" s="139"/>
      <c r="I809" s="139"/>
      <c r="J809" s="139"/>
      <c r="K809" s="139"/>
      <c r="L809" s="139"/>
      <c r="M809" s="139"/>
      <c r="N809" s="145"/>
      <c r="O809" s="139"/>
      <c r="P809" s="139"/>
      <c r="Q809" s="231"/>
      <c r="R809" s="139"/>
      <c r="S809" s="235"/>
      <c r="T809" s="235"/>
      <c r="U809" s="145"/>
      <c r="V809" s="145"/>
      <c r="W809" s="111"/>
      <c r="X809" s="233"/>
      <c r="Y809" s="226"/>
      <c r="Z809" s="139"/>
      <c r="AA809" s="139"/>
      <c r="AB809" s="139"/>
      <c r="AC809" s="139"/>
      <c r="AD809" s="139"/>
      <c r="AE809" s="139"/>
      <c r="AF809" s="139"/>
      <c r="AG809" s="139"/>
      <c r="AH809" s="139"/>
      <c r="AI809" s="139"/>
      <c r="AJ809" s="139"/>
      <c r="AK809" s="139"/>
      <c r="AL809" s="139"/>
      <c r="AM809" s="139"/>
      <c r="AN809" s="139"/>
      <c r="AO809" s="139"/>
      <c r="AP809" s="139"/>
      <c r="AQ809" s="139"/>
      <c r="AR809" s="139"/>
      <c r="AS809" s="139"/>
      <c r="AT809" s="139"/>
      <c r="AU809" s="139"/>
      <c r="AV809" s="139"/>
    </row>
    <row r="810">
      <c r="A810" s="139"/>
      <c r="B810" s="234"/>
      <c r="C810" s="139"/>
      <c r="D810" s="139"/>
      <c r="E810" s="139"/>
      <c r="F810" s="139"/>
      <c r="G810" s="139"/>
      <c r="H810" s="139"/>
      <c r="I810" s="139"/>
      <c r="J810" s="139"/>
      <c r="K810" s="139"/>
      <c r="L810" s="139"/>
      <c r="M810" s="139"/>
      <c r="N810" s="145"/>
      <c r="O810" s="139"/>
      <c r="P810" s="139"/>
      <c r="Q810" s="231"/>
      <c r="R810" s="139"/>
      <c r="S810" s="235"/>
      <c r="T810" s="235"/>
      <c r="U810" s="145"/>
      <c r="V810" s="145"/>
      <c r="W810" s="111"/>
      <c r="X810" s="233"/>
      <c r="Y810" s="226"/>
      <c r="Z810" s="139"/>
      <c r="AA810" s="139"/>
      <c r="AB810" s="139"/>
      <c r="AC810" s="139"/>
      <c r="AD810" s="139"/>
      <c r="AE810" s="139"/>
      <c r="AF810" s="139"/>
      <c r="AG810" s="139"/>
      <c r="AH810" s="139"/>
      <c r="AI810" s="139"/>
      <c r="AJ810" s="139"/>
      <c r="AK810" s="139"/>
      <c r="AL810" s="139"/>
      <c r="AM810" s="139"/>
      <c r="AN810" s="139"/>
      <c r="AO810" s="139"/>
      <c r="AP810" s="139"/>
      <c r="AQ810" s="139"/>
      <c r="AR810" s="139"/>
      <c r="AS810" s="139"/>
      <c r="AT810" s="139"/>
      <c r="AU810" s="139"/>
      <c r="AV810" s="139"/>
    </row>
    <row r="811">
      <c r="A811" s="139"/>
      <c r="B811" s="234"/>
      <c r="C811" s="139"/>
      <c r="D811" s="139"/>
      <c r="E811" s="139"/>
      <c r="F811" s="139"/>
      <c r="G811" s="139"/>
      <c r="H811" s="139"/>
      <c r="I811" s="139"/>
      <c r="J811" s="139"/>
      <c r="K811" s="139"/>
      <c r="L811" s="139"/>
      <c r="M811" s="139"/>
      <c r="N811" s="145"/>
      <c r="O811" s="139"/>
      <c r="P811" s="139"/>
      <c r="Q811" s="231"/>
      <c r="R811" s="139"/>
      <c r="S811" s="235"/>
      <c r="T811" s="235"/>
      <c r="U811" s="145"/>
      <c r="V811" s="145"/>
      <c r="W811" s="111"/>
      <c r="X811" s="233"/>
      <c r="Y811" s="226"/>
      <c r="Z811" s="139"/>
      <c r="AA811" s="139"/>
      <c r="AB811" s="139"/>
      <c r="AC811" s="139"/>
      <c r="AD811" s="139"/>
      <c r="AE811" s="139"/>
      <c r="AF811" s="139"/>
      <c r="AG811" s="139"/>
      <c r="AH811" s="139"/>
      <c r="AI811" s="139"/>
      <c r="AJ811" s="139"/>
      <c r="AK811" s="139"/>
      <c r="AL811" s="139"/>
      <c r="AM811" s="139"/>
      <c r="AN811" s="139"/>
      <c r="AO811" s="139"/>
      <c r="AP811" s="139"/>
      <c r="AQ811" s="139"/>
      <c r="AR811" s="139"/>
      <c r="AS811" s="139"/>
      <c r="AT811" s="139"/>
      <c r="AU811" s="139"/>
      <c r="AV811" s="139"/>
    </row>
    <row r="812">
      <c r="A812" s="139"/>
      <c r="B812" s="234"/>
      <c r="C812" s="139"/>
      <c r="D812" s="139"/>
      <c r="E812" s="139"/>
      <c r="F812" s="139"/>
      <c r="G812" s="139"/>
      <c r="H812" s="139"/>
      <c r="I812" s="139"/>
      <c r="J812" s="139"/>
      <c r="K812" s="139"/>
      <c r="L812" s="139"/>
      <c r="M812" s="139"/>
      <c r="N812" s="145"/>
      <c r="O812" s="139"/>
      <c r="P812" s="139"/>
      <c r="Q812" s="231"/>
      <c r="R812" s="139"/>
      <c r="S812" s="235"/>
      <c r="T812" s="235"/>
      <c r="U812" s="145"/>
      <c r="V812" s="145"/>
      <c r="W812" s="111"/>
      <c r="X812" s="233"/>
      <c r="Y812" s="226"/>
      <c r="Z812" s="139"/>
      <c r="AA812" s="139"/>
      <c r="AB812" s="139"/>
      <c r="AC812" s="139"/>
      <c r="AD812" s="139"/>
      <c r="AE812" s="139"/>
      <c r="AF812" s="139"/>
      <c r="AG812" s="139"/>
      <c r="AH812" s="139"/>
      <c r="AI812" s="139"/>
      <c r="AJ812" s="139"/>
      <c r="AK812" s="139"/>
      <c r="AL812" s="139"/>
      <c r="AM812" s="139"/>
      <c r="AN812" s="139"/>
      <c r="AO812" s="139"/>
      <c r="AP812" s="139"/>
      <c r="AQ812" s="139"/>
      <c r="AR812" s="139"/>
      <c r="AS812" s="139"/>
      <c r="AT812" s="139"/>
      <c r="AU812" s="139"/>
      <c r="AV812" s="139"/>
    </row>
    <row r="813">
      <c r="A813" s="139"/>
      <c r="B813" s="234"/>
      <c r="C813" s="139"/>
      <c r="D813" s="139"/>
      <c r="E813" s="139"/>
      <c r="F813" s="139"/>
      <c r="G813" s="139"/>
      <c r="H813" s="139"/>
      <c r="I813" s="139"/>
      <c r="J813" s="139"/>
      <c r="K813" s="139"/>
      <c r="L813" s="139"/>
      <c r="M813" s="139"/>
      <c r="N813" s="145"/>
      <c r="O813" s="139"/>
      <c r="P813" s="139"/>
      <c r="Q813" s="231"/>
      <c r="R813" s="139"/>
      <c r="S813" s="235"/>
      <c r="T813" s="235"/>
      <c r="U813" s="145"/>
      <c r="V813" s="145"/>
      <c r="W813" s="111"/>
      <c r="X813" s="233"/>
      <c r="Y813" s="226"/>
      <c r="Z813" s="139"/>
      <c r="AA813" s="139"/>
      <c r="AB813" s="139"/>
      <c r="AC813" s="139"/>
      <c r="AD813" s="139"/>
      <c r="AE813" s="139"/>
      <c r="AF813" s="139"/>
      <c r="AG813" s="139"/>
      <c r="AH813" s="139"/>
      <c r="AI813" s="139"/>
      <c r="AJ813" s="139"/>
      <c r="AK813" s="139"/>
      <c r="AL813" s="139"/>
      <c r="AM813" s="139"/>
      <c r="AN813" s="139"/>
      <c r="AO813" s="139"/>
      <c r="AP813" s="139"/>
      <c r="AQ813" s="139"/>
      <c r="AR813" s="139"/>
      <c r="AS813" s="139"/>
      <c r="AT813" s="139"/>
      <c r="AU813" s="139"/>
      <c r="AV813" s="139"/>
    </row>
    <row r="814">
      <c r="A814" s="139"/>
      <c r="B814" s="234"/>
      <c r="C814" s="139"/>
      <c r="D814" s="139"/>
      <c r="E814" s="139"/>
      <c r="F814" s="139"/>
      <c r="G814" s="139"/>
      <c r="H814" s="139"/>
      <c r="I814" s="139"/>
      <c r="J814" s="139"/>
      <c r="K814" s="139"/>
      <c r="L814" s="139"/>
      <c r="M814" s="139"/>
      <c r="N814" s="145"/>
      <c r="O814" s="139"/>
      <c r="P814" s="139"/>
      <c r="Q814" s="231"/>
      <c r="R814" s="139"/>
      <c r="S814" s="235"/>
      <c r="T814" s="235"/>
      <c r="U814" s="145"/>
      <c r="V814" s="145"/>
      <c r="W814" s="111"/>
      <c r="X814" s="233"/>
      <c r="Y814" s="226"/>
      <c r="Z814" s="139"/>
      <c r="AA814" s="139"/>
      <c r="AB814" s="139"/>
      <c r="AC814" s="139"/>
      <c r="AD814" s="139"/>
      <c r="AE814" s="139"/>
      <c r="AF814" s="139"/>
      <c r="AG814" s="139"/>
      <c r="AH814" s="139"/>
      <c r="AI814" s="139"/>
      <c r="AJ814" s="139"/>
      <c r="AK814" s="139"/>
      <c r="AL814" s="139"/>
      <c r="AM814" s="139"/>
      <c r="AN814" s="139"/>
      <c r="AO814" s="139"/>
      <c r="AP814" s="139"/>
      <c r="AQ814" s="139"/>
      <c r="AR814" s="139"/>
      <c r="AS814" s="139"/>
      <c r="AT814" s="139"/>
      <c r="AU814" s="139"/>
      <c r="AV814" s="139"/>
    </row>
    <row r="815">
      <c r="A815" s="139"/>
      <c r="B815" s="234"/>
      <c r="C815" s="139"/>
      <c r="D815" s="139"/>
      <c r="E815" s="139"/>
      <c r="F815" s="139"/>
      <c r="G815" s="139"/>
      <c r="H815" s="139"/>
      <c r="I815" s="139"/>
      <c r="J815" s="139"/>
      <c r="K815" s="139"/>
      <c r="L815" s="139"/>
      <c r="M815" s="139"/>
      <c r="N815" s="145"/>
      <c r="O815" s="139"/>
      <c r="P815" s="139"/>
      <c r="Q815" s="231"/>
      <c r="R815" s="139"/>
      <c r="S815" s="235"/>
      <c r="T815" s="235"/>
      <c r="U815" s="145"/>
      <c r="V815" s="145"/>
      <c r="W815" s="111"/>
      <c r="X815" s="233"/>
      <c r="Y815" s="226"/>
      <c r="Z815" s="139"/>
      <c r="AA815" s="139"/>
      <c r="AB815" s="139"/>
      <c r="AC815" s="139"/>
      <c r="AD815" s="139"/>
      <c r="AE815" s="139"/>
      <c r="AF815" s="139"/>
      <c r="AG815" s="139"/>
      <c r="AH815" s="139"/>
      <c r="AI815" s="139"/>
      <c r="AJ815" s="139"/>
      <c r="AK815" s="139"/>
      <c r="AL815" s="139"/>
      <c r="AM815" s="139"/>
      <c r="AN815" s="139"/>
      <c r="AO815" s="139"/>
      <c r="AP815" s="139"/>
      <c r="AQ815" s="139"/>
      <c r="AR815" s="139"/>
      <c r="AS815" s="139"/>
      <c r="AT815" s="139"/>
      <c r="AU815" s="139"/>
      <c r="AV815" s="139"/>
    </row>
    <row r="816">
      <c r="A816" s="139"/>
      <c r="B816" s="234"/>
      <c r="C816" s="139"/>
      <c r="D816" s="139"/>
      <c r="E816" s="139"/>
      <c r="F816" s="139"/>
      <c r="G816" s="139"/>
      <c r="H816" s="139"/>
      <c r="I816" s="139"/>
      <c r="J816" s="139"/>
      <c r="K816" s="139"/>
      <c r="L816" s="139"/>
      <c r="M816" s="139"/>
      <c r="N816" s="145"/>
      <c r="O816" s="139"/>
      <c r="P816" s="139"/>
      <c r="Q816" s="231"/>
      <c r="R816" s="139"/>
      <c r="S816" s="235"/>
      <c r="T816" s="235"/>
      <c r="U816" s="145"/>
      <c r="V816" s="145"/>
      <c r="W816" s="111"/>
      <c r="X816" s="233"/>
      <c r="Y816" s="226"/>
      <c r="Z816" s="139"/>
      <c r="AA816" s="139"/>
      <c r="AB816" s="139"/>
      <c r="AC816" s="139"/>
      <c r="AD816" s="139"/>
      <c r="AE816" s="139"/>
      <c r="AF816" s="139"/>
      <c r="AG816" s="139"/>
      <c r="AH816" s="139"/>
      <c r="AI816" s="139"/>
      <c r="AJ816" s="139"/>
      <c r="AK816" s="139"/>
      <c r="AL816" s="139"/>
      <c r="AM816" s="139"/>
      <c r="AN816" s="139"/>
      <c r="AO816" s="139"/>
      <c r="AP816" s="139"/>
      <c r="AQ816" s="139"/>
      <c r="AR816" s="139"/>
      <c r="AS816" s="139"/>
      <c r="AT816" s="139"/>
      <c r="AU816" s="139"/>
      <c r="AV816" s="139"/>
    </row>
    <row r="817">
      <c r="A817" s="139"/>
      <c r="B817" s="234"/>
      <c r="C817" s="139"/>
      <c r="D817" s="139"/>
      <c r="E817" s="139"/>
      <c r="F817" s="139"/>
      <c r="G817" s="139"/>
      <c r="H817" s="139"/>
      <c r="I817" s="139"/>
      <c r="J817" s="139"/>
      <c r="K817" s="139"/>
      <c r="L817" s="139"/>
      <c r="M817" s="139"/>
      <c r="N817" s="145"/>
      <c r="O817" s="139"/>
      <c r="P817" s="139"/>
      <c r="Q817" s="231"/>
      <c r="R817" s="139"/>
      <c r="S817" s="235"/>
      <c r="T817" s="235"/>
      <c r="U817" s="145"/>
      <c r="V817" s="145"/>
      <c r="W817" s="111"/>
      <c r="X817" s="233"/>
      <c r="Y817" s="226"/>
      <c r="Z817" s="139"/>
      <c r="AA817" s="139"/>
      <c r="AB817" s="139"/>
      <c r="AC817" s="139"/>
      <c r="AD817" s="139"/>
      <c r="AE817" s="139"/>
      <c r="AF817" s="139"/>
      <c r="AG817" s="139"/>
      <c r="AH817" s="139"/>
      <c r="AI817" s="139"/>
      <c r="AJ817" s="139"/>
      <c r="AK817" s="139"/>
      <c r="AL817" s="139"/>
      <c r="AM817" s="139"/>
      <c r="AN817" s="139"/>
      <c r="AO817" s="139"/>
      <c r="AP817" s="139"/>
      <c r="AQ817" s="139"/>
      <c r="AR817" s="139"/>
      <c r="AS817" s="139"/>
      <c r="AT817" s="139"/>
      <c r="AU817" s="139"/>
      <c r="AV817" s="139"/>
    </row>
    <row r="818">
      <c r="A818" s="139"/>
      <c r="B818" s="234"/>
      <c r="C818" s="139"/>
      <c r="D818" s="139"/>
      <c r="E818" s="139"/>
      <c r="F818" s="139"/>
      <c r="G818" s="139"/>
      <c r="H818" s="139"/>
      <c r="I818" s="139"/>
      <c r="J818" s="139"/>
      <c r="K818" s="139"/>
      <c r="L818" s="139"/>
      <c r="M818" s="139"/>
      <c r="N818" s="145"/>
      <c r="O818" s="139"/>
      <c r="P818" s="139"/>
      <c r="Q818" s="231"/>
      <c r="R818" s="139"/>
      <c r="S818" s="235"/>
      <c r="T818" s="235"/>
      <c r="U818" s="145"/>
      <c r="V818" s="145"/>
      <c r="W818" s="111"/>
      <c r="X818" s="233"/>
      <c r="Y818" s="226"/>
      <c r="Z818" s="139"/>
      <c r="AA818" s="139"/>
      <c r="AB818" s="139"/>
      <c r="AC818" s="139"/>
      <c r="AD818" s="139"/>
      <c r="AE818" s="139"/>
      <c r="AF818" s="139"/>
      <c r="AG818" s="139"/>
      <c r="AH818" s="139"/>
      <c r="AI818" s="139"/>
      <c r="AJ818" s="139"/>
      <c r="AK818" s="139"/>
      <c r="AL818" s="139"/>
      <c r="AM818" s="139"/>
      <c r="AN818" s="139"/>
      <c r="AO818" s="139"/>
      <c r="AP818" s="139"/>
      <c r="AQ818" s="139"/>
      <c r="AR818" s="139"/>
      <c r="AS818" s="139"/>
      <c r="AT818" s="139"/>
      <c r="AU818" s="139"/>
      <c r="AV818" s="139"/>
    </row>
    <row r="819">
      <c r="A819" s="139"/>
      <c r="B819" s="234"/>
      <c r="C819" s="139"/>
      <c r="D819" s="139"/>
      <c r="E819" s="139"/>
      <c r="F819" s="139"/>
      <c r="G819" s="139"/>
      <c r="H819" s="139"/>
      <c r="I819" s="139"/>
      <c r="J819" s="139"/>
      <c r="K819" s="139"/>
      <c r="L819" s="139"/>
      <c r="M819" s="139"/>
      <c r="N819" s="145"/>
      <c r="O819" s="139"/>
      <c r="P819" s="139"/>
      <c r="Q819" s="231"/>
      <c r="R819" s="139"/>
      <c r="S819" s="235"/>
      <c r="T819" s="235"/>
      <c r="U819" s="145"/>
      <c r="V819" s="145"/>
      <c r="W819" s="111"/>
      <c r="X819" s="233"/>
      <c r="Y819" s="226"/>
      <c r="Z819" s="139"/>
      <c r="AA819" s="139"/>
      <c r="AB819" s="139"/>
      <c r="AC819" s="139"/>
      <c r="AD819" s="139"/>
      <c r="AE819" s="139"/>
      <c r="AF819" s="139"/>
      <c r="AG819" s="139"/>
      <c r="AH819" s="139"/>
      <c r="AI819" s="139"/>
      <c r="AJ819" s="139"/>
      <c r="AK819" s="139"/>
      <c r="AL819" s="139"/>
      <c r="AM819" s="139"/>
      <c r="AN819" s="139"/>
      <c r="AO819" s="139"/>
      <c r="AP819" s="139"/>
      <c r="AQ819" s="139"/>
      <c r="AR819" s="139"/>
      <c r="AS819" s="139"/>
      <c r="AT819" s="139"/>
      <c r="AU819" s="139"/>
      <c r="AV819" s="139"/>
    </row>
    <row r="820">
      <c r="A820" s="139"/>
      <c r="B820" s="234"/>
      <c r="C820" s="139"/>
      <c r="D820" s="139"/>
      <c r="E820" s="139"/>
      <c r="F820" s="139"/>
      <c r="G820" s="139"/>
      <c r="H820" s="139"/>
      <c r="I820" s="139"/>
      <c r="J820" s="139"/>
      <c r="K820" s="139"/>
      <c r="L820" s="139"/>
      <c r="M820" s="139"/>
      <c r="N820" s="145"/>
      <c r="O820" s="139"/>
      <c r="P820" s="139"/>
      <c r="Q820" s="231"/>
      <c r="R820" s="139"/>
      <c r="S820" s="235"/>
      <c r="T820" s="235"/>
      <c r="U820" s="145"/>
      <c r="V820" s="145"/>
      <c r="W820" s="111"/>
      <c r="X820" s="233"/>
      <c r="Y820" s="226"/>
      <c r="Z820" s="139"/>
      <c r="AA820" s="139"/>
      <c r="AB820" s="139"/>
      <c r="AC820" s="139"/>
      <c r="AD820" s="139"/>
      <c r="AE820" s="139"/>
      <c r="AF820" s="139"/>
      <c r="AG820" s="139"/>
      <c r="AH820" s="139"/>
      <c r="AI820" s="139"/>
      <c r="AJ820" s="139"/>
      <c r="AK820" s="139"/>
      <c r="AL820" s="139"/>
      <c r="AM820" s="139"/>
      <c r="AN820" s="139"/>
      <c r="AO820" s="139"/>
      <c r="AP820" s="139"/>
      <c r="AQ820" s="139"/>
      <c r="AR820" s="139"/>
      <c r="AS820" s="139"/>
      <c r="AT820" s="139"/>
      <c r="AU820" s="139"/>
      <c r="AV820" s="139"/>
    </row>
    <row r="821">
      <c r="A821" s="139"/>
      <c r="B821" s="234"/>
      <c r="C821" s="139"/>
      <c r="D821" s="139"/>
      <c r="E821" s="139"/>
      <c r="F821" s="139"/>
      <c r="G821" s="139"/>
      <c r="H821" s="139"/>
      <c r="I821" s="139"/>
      <c r="J821" s="139"/>
      <c r="K821" s="139"/>
      <c r="L821" s="139"/>
      <c r="M821" s="139"/>
      <c r="N821" s="145"/>
      <c r="O821" s="139"/>
      <c r="P821" s="139"/>
      <c r="Q821" s="231"/>
      <c r="R821" s="139"/>
      <c r="S821" s="235"/>
      <c r="T821" s="235"/>
      <c r="U821" s="145"/>
      <c r="V821" s="145"/>
      <c r="W821" s="111"/>
      <c r="X821" s="233"/>
      <c r="Y821" s="226"/>
      <c r="Z821" s="139"/>
      <c r="AA821" s="139"/>
      <c r="AB821" s="139"/>
      <c r="AC821" s="139"/>
      <c r="AD821" s="139"/>
      <c r="AE821" s="139"/>
      <c r="AF821" s="139"/>
      <c r="AG821" s="139"/>
      <c r="AH821" s="139"/>
      <c r="AI821" s="139"/>
      <c r="AJ821" s="139"/>
      <c r="AK821" s="139"/>
      <c r="AL821" s="139"/>
      <c r="AM821" s="139"/>
      <c r="AN821" s="139"/>
      <c r="AO821" s="139"/>
      <c r="AP821" s="139"/>
      <c r="AQ821" s="139"/>
      <c r="AR821" s="139"/>
      <c r="AS821" s="139"/>
      <c r="AT821" s="139"/>
      <c r="AU821" s="139"/>
      <c r="AV821" s="139"/>
    </row>
    <row r="822">
      <c r="A822" s="139"/>
      <c r="B822" s="234"/>
      <c r="C822" s="139"/>
      <c r="D822" s="139"/>
      <c r="E822" s="139"/>
      <c r="F822" s="139"/>
      <c r="G822" s="139"/>
      <c r="H822" s="139"/>
      <c r="I822" s="139"/>
      <c r="J822" s="139"/>
      <c r="K822" s="139"/>
      <c r="L822" s="139"/>
      <c r="M822" s="139"/>
      <c r="N822" s="145"/>
      <c r="O822" s="139"/>
      <c r="P822" s="139"/>
      <c r="Q822" s="231"/>
      <c r="R822" s="139"/>
      <c r="S822" s="235"/>
      <c r="T822" s="235"/>
      <c r="U822" s="145"/>
      <c r="V822" s="145"/>
      <c r="W822" s="111"/>
      <c r="X822" s="233"/>
      <c r="Y822" s="226"/>
      <c r="Z822" s="139"/>
      <c r="AA822" s="139"/>
      <c r="AB822" s="139"/>
      <c r="AC822" s="139"/>
      <c r="AD822" s="139"/>
      <c r="AE822" s="139"/>
      <c r="AF822" s="139"/>
      <c r="AG822" s="139"/>
      <c r="AH822" s="139"/>
      <c r="AI822" s="139"/>
      <c r="AJ822" s="139"/>
      <c r="AK822" s="139"/>
      <c r="AL822" s="139"/>
      <c r="AM822" s="139"/>
      <c r="AN822" s="139"/>
      <c r="AO822" s="139"/>
      <c r="AP822" s="139"/>
      <c r="AQ822" s="139"/>
      <c r="AR822" s="139"/>
      <c r="AS822" s="139"/>
      <c r="AT822" s="139"/>
      <c r="AU822" s="139"/>
      <c r="AV822" s="139"/>
    </row>
    <row r="823">
      <c r="A823" s="139"/>
      <c r="B823" s="234"/>
      <c r="C823" s="139"/>
      <c r="D823" s="139"/>
      <c r="E823" s="139"/>
      <c r="F823" s="139"/>
      <c r="G823" s="139"/>
      <c r="H823" s="139"/>
      <c r="I823" s="139"/>
      <c r="J823" s="139"/>
      <c r="K823" s="139"/>
      <c r="L823" s="139"/>
      <c r="M823" s="139"/>
      <c r="N823" s="145"/>
      <c r="O823" s="139"/>
      <c r="P823" s="139"/>
      <c r="Q823" s="231"/>
      <c r="R823" s="139"/>
      <c r="S823" s="235"/>
      <c r="T823" s="235"/>
      <c r="U823" s="145"/>
      <c r="V823" s="145"/>
      <c r="W823" s="111"/>
      <c r="X823" s="233"/>
      <c r="Y823" s="226"/>
      <c r="Z823" s="139"/>
      <c r="AA823" s="139"/>
      <c r="AB823" s="139"/>
      <c r="AC823" s="139"/>
      <c r="AD823" s="139"/>
      <c r="AE823" s="139"/>
      <c r="AF823" s="139"/>
      <c r="AG823" s="139"/>
      <c r="AH823" s="139"/>
      <c r="AI823" s="139"/>
      <c r="AJ823" s="139"/>
      <c r="AK823" s="139"/>
      <c r="AL823" s="139"/>
      <c r="AM823" s="139"/>
      <c r="AN823" s="139"/>
      <c r="AO823" s="139"/>
      <c r="AP823" s="139"/>
      <c r="AQ823" s="139"/>
      <c r="AR823" s="139"/>
      <c r="AS823" s="139"/>
      <c r="AT823" s="139"/>
      <c r="AU823" s="139"/>
      <c r="AV823" s="139"/>
    </row>
    <row r="824">
      <c r="A824" s="139"/>
      <c r="B824" s="234"/>
      <c r="C824" s="139"/>
      <c r="D824" s="139"/>
      <c r="E824" s="139"/>
      <c r="F824" s="139"/>
      <c r="G824" s="139"/>
      <c r="H824" s="139"/>
      <c r="I824" s="139"/>
      <c r="J824" s="139"/>
      <c r="K824" s="139"/>
      <c r="L824" s="139"/>
      <c r="M824" s="139"/>
      <c r="N824" s="145"/>
      <c r="O824" s="139"/>
      <c r="P824" s="139"/>
      <c r="Q824" s="231"/>
      <c r="R824" s="139"/>
      <c r="S824" s="235"/>
      <c r="T824" s="235"/>
      <c r="U824" s="145"/>
      <c r="V824" s="145"/>
      <c r="W824" s="111"/>
      <c r="X824" s="233"/>
      <c r="Y824" s="226"/>
      <c r="Z824" s="139"/>
      <c r="AA824" s="139"/>
      <c r="AB824" s="139"/>
      <c r="AC824" s="139"/>
      <c r="AD824" s="139"/>
      <c r="AE824" s="139"/>
      <c r="AF824" s="139"/>
      <c r="AG824" s="139"/>
      <c r="AH824" s="139"/>
      <c r="AI824" s="139"/>
      <c r="AJ824" s="139"/>
      <c r="AK824" s="139"/>
      <c r="AL824" s="139"/>
      <c r="AM824" s="139"/>
      <c r="AN824" s="139"/>
      <c r="AO824" s="139"/>
      <c r="AP824" s="139"/>
      <c r="AQ824" s="139"/>
      <c r="AR824" s="139"/>
      <c r="AS824" s="139"/>
      <c r="AT824" s="139"/>
      <c r="AU824" s="139"/>
      <c r="AV824" s="139"/>
    </row>
    <row r="825">
      <c r="A825" s="139"/>
      <c r="B825" s="234"/>
      <c r="C825" s="139"/>
      <c r="D825" s="139"/>
      <c r="E825" s="139"/>
      <c r="F825" s="139"/>
      <c r="G825" s="139"/>
      <c r="H825" s="139"/>
      <c r="I825" s="139"/>
      <c r="J825" s="139"/>
      <c r="K825" s="139"/>
      <c r="L825" s="139"/>
      <c r="M825" s="139"/>
      <c r="N825" s="145"/>
      <c r="O825" s="139"/>
      <c r="P825" s="139"/>
      <c r="Q825" s="231"/>
      <c r="R825" s="139"/>
      <c r="S825" s="235"/>
      <c r="T825" s="235"/>
      <c r="U825" s="145"/>
      <c r="V825" s="145"/>
      <c r="W825" s="111"/>
      <c r="X825" s="233"/>
      <c r="Y825" s="226"/>
      <c r="Z825" s="139"/>
      <c r="AA825" s="139"/>
      <c r="AB825" s="139"/>
      <c r="AC825" s="139"/>
      <c r="AD825" s="139"/>
      <c r="AE825" s="139"/>
      <c r="AF825" s="139"/>
      <c r="AG825" s="139"/>
      <c r="AH825" s="139"/>
      <c r="AI825" s="139"/>
      <c r="AJ825" s="139"/>
      <c r="AK825" s="139"/>
      <c r="AL825" s="139"/>
      <c r="AM825" s="139"/>
      <c r="AN825" s="139"/>
      <c r="AO825" s="139"/>
      <c r="AP825" s="139"/>
      <c r="AQ825" s="139"/>
      <c r="AR825" s="139"/>
      <c r="AS825" s="139"/>
      <c r="AT825" s="139"/>
      <c r="AU825" s="139"/>
      <c r="AV825" s="139"/>
    </row>
    <row r="826">
      <c r="A826" s="139"/>
      <c r="B826" s="234"/>
      <c r="C826" s="139"/>
      <c r="D826" s="139"/>
      <c r="E826" s="139"/>
      <c r="F826" s="139"/>
      <c r="G826" s="139"/>
      <c r="H826" s="139"/>
      <c r="I826" s="139"/>
      <c r="J826" s="139"/>
      <c r="K826" s="139"/>
      <c r="L826" s="139"/>
      <c r="M826" s="139"/>
      <c r="N826" s="145"/>
      <c r="O826" s="139"/>
      <c r="P826" s="139"/>
      <c r="Q826" s="231"/>
      <c r="R826" s="139"/>
      <c r="S826" s="235"/>
      <c r="T826" s="235"/>
      <c r="U826" s="145"/>
      <c r="V826" s="145"/>
      <c r="W826" s="111"/>
      <c r="X826" s="233"/>
      <c r="Y826" s="226"/>
      <c r="Z826" s="139"/>
      <c r="AA826" s="139"/>
      <c r="AB826" s="139"/>
      <c r="AC826" s="139"/>
      <c r="AD826" s="139"/>
      <c r="AE826" s="139"/>
      <c r="AF826" s="139"/>
      <c r="AG826" s="139"/>
      <c r="AH826" s="139"/>
      <c r="AI826" s="139"/>
      <c r="AJ826" s="139"/>
      <c r="AK826" s="139"/>
      <c r="AL826" s="139"/>
      <c r="AM826" s="139"/>
      <c r="AN826" s="139"/>
      <c r="AO826" s="139"/>
      <c r="AP826" s="139"/>
      <c r="AQ826" s="139"/>
      <c r="AR826" s="139"/>
      <c r="AS826" s="139"/>
      <c r="AT826" s="139"/>
      <c r="AU826" s="139"/>
      <c r="AV826" s="139"/>
    </row>
    <row r="827">
      <c r="A827" s="139"/>
      <c r="B827" s="234"/>
      <c r="C827" s="139"/>
      <c r="D827" s="139"/>
      <c r="E827" s="139"/>
      <c r="F827" s="139"/>
      <c r="G827" s="139"/>
      <c r="H827" s="139"/>
      <c r="I827" s="139"/>
      <c r="J827" s="139"/>
      <c r="K827" s="139"/>
      <c r="L827" s="139"/>
      <c r="M827" s="139"/>
      <c r="N827" s="145"/>
      <c r="O827" s="139"/>
      <c r="P827" s="139"/>
      <c r="Q827" s="231"/>
      <c r="R827" s="139"/>
      <c r="S827" s="235"/>
      <c r="T827" s="235"/>
      <c r="U827" s="145"/>
      <c r="V827" s="145"/>
      <c r="W827" s="111"/>
      <c r="X827" s="233"/>
      <c r="Y827" s="226"/>
      <c r="Z827" s="139"/>
      <c r="AA827" s="139"/>
      <c r="AB827" s="139"/>
      <c r="AC827" s="139"/>
      <c r="AD827" s="139"/>
      <c r="AE827" s="139"/>
      <c r="AF827" s="139"/>
      <c r="AG827" s="139"/>
      <c r="AH827" s="139"/>
      <c r="AI827" s="139"/>
      <c r="AJ827" s="139"/>
      <c r="AK827" s="139"/>
      <c r="AL827" s="139"/>
      <c r="AM827" s="139"/>
      <c r="AN827" s="139"/>
      <c r="AO827" s="139"/>
      <c r="AP827" s="139"/>
      <c r="AQ827" s="139"/>
      <c r="AR827" s="139"/>
      <c r="AS827" s="139"/>
      <c r="AT827" s="139"/>
      <c r="AU827" s="139"/>
      <c r="AV827" s="139"/>
    </row>
    <row r="828">
      <c r="A828" s="139"/>
      <c r="B828" s="234"/>
      <c r="C828" s="139"/>
      <c r="D828" s="139"/>
      <c r="E828" s="139"/>
      <c r="F828" s="139"/>
      <c r="G828" s="139"/>
      <c r="H828" s="139"/>
      <c r="I828" s="139"/>
      <c r="J828" s="139"/>
      <c r="K828" s="139"/>
      <c r="L828" s="139"/>
      <c r="M828" s="139"/>
      <c r="N828" s="145"/>
      <c r="O828" s="139"/>
      <c r="P828" s="139"/>
      <c r="Q828" s="231"/>
      <c r="R828" s="139"/>
      <c r="S828" s="235"/>
      <c r="T828" s="235"/>
      <c r="U828" s="145"/>
      <c r="V828" s="145"/>
      <c r="W828" s="111"/>
      <c r="X828" s="233"/>
      <c r="Y828" s="226"/>
      <c r="Z828" s="139"/>
      <c r="AA828" s="139"/>
      <c r="AB828" s="139"/>
      <c r="AC828" s="139"/>
      <c r="AD828" s="139"/>
      <c r="AE828" s="139"/>
      <c r="AF828" s="139"/>
      <c r="AG828" s="139"/>
      <c r="AH828" s="139"/>
      <c r="AI828" s="139"/>
      <c r="AJ828" s="139"/>
      <c r="AK828" s="139"/>
      <c r="AL828" s="139"/>
      <c r="AM828" s="139"/>
      <c r="AN828" s="139"/>
      <c r="AO828" s="139"/>
      <c r="AP828" s="139"/>
      <c r="AQ828" s="139"/>
      <c r="AR828" s="139"/>
      <c r="AS828" s="139"/>
      <c r="AT828" s="139"/>
      <c r="AU828" s="139"/>
      <c r="AV828" s="139"/>
    </row>
    <row r="829">
      <c r="A829" s="139"/>
      <c r="B829" s="234"/>
      <c r="C829" s="139"/>
      <c r="D829" s="139"/>
      <c r="E829" s="139"/>
      <c r="F829" s="139"/>
      <c r="G829" s="139"/>
      <c r="H829" s="139"/>
      <c r="I829" s="139"/>
      <c r="J829" s="139"/>
      <c r="K829" s="139"/>
      <c r="L829" s="139"/>
      <c r="M829" s="139"/>
      <c r="N829" s="145"/>
      <c r="O829" s="139"/>
      <c r="P829" s="139"/>
      <c r="Q829" s="231"/>
      <c r="R829" s="139"/>
      <c r="S829" s="235"/>
      <c r="T829" s="235"/>
      <c r="U829" s="145"/>
      <c r="V829" s="145"/>
      <c r="W829" s="111"/>
      <c r="X829" s="233"/>
      <c r="Y829" s="226"/>
      <c r="Z829" s="139"/>
      <c r="AA829" s="139"/>
      <c r="AB829" s="139"/>
      <c r="AC829" s="139"/>
      <c r="AD829" s="139"/>
      <c r="AE829" s="139"/>
      <c r="AF829" s="139"/>
      <c r="AG829" s="139"/>
      <c r="AH829" s="139"/>
      <c r="AI829" s="139"/>
      <c r="AJ829" s="139"/>
      <c r="AK829" s="139"/>
      <c r="AL829" s="139"/>
      <c r="AM829" s="139"/>
      <c r="AN829" s="139"/>
      <c r="AO829" s="139"/>
      <c r="AP829" s="139"/>
      <c r="AQ829" s="139"/>
      <c r="AR829" s="139"/>
      <c r="AS829" s="139"/>
      <c r="AT829" s="139"/>
      <c r="AU829" s="139"/>
      <c r="AV829" s="139"/>
    </row>
    <row r="830">
      <c r="A830" s="139"/>
      <c r="B830" s="234"/>
      <c r="C830" s="139"/>
      <c r="D830" s="139"/>
      <c r="E830" s="139"/>
      <c r="F830" s="139"/>
      <c r="G830" s="139"/>
      <c r="H830" s="139"/>
      <c r="I830" s="139"/>
      <c r="J830" s="139"/>
      <c r="K830" s="139"/>
      <c r="L830" s="139"/>
      <c r="M830" s="139"/>
      <c r="N830" s="145"/>
      <c r="O830" s="139"/>
      <c r="P830" s="139"/>
      <c r="Q830" s="231"/>
      <c r="R830" s="139"/>
      <c r="S830" s="235"/>
      <c r="T830" s="235"/>
      <c r="U830" s="145"/>
      <c r="V830" s="145"/>
      <c r="W830" s="111"/>
      <c r="X830" s="233"/>
      <c r="Y830" s="226"/>
      <c r="Z830" s="139"/>
      <c r="AA830" s="139"/>
      <c r="AB830" s="139"/>
      <c r="AC830" s="139"/>
      <c r="AD830" s="139"/>
      <c r="AE830" s="139"/>
      <c r="AF830" s="139"/>
      <c r="AG830" s="139"/>
      <c r="AH830" s="139"/>
      <c r="AI830" s="139"/>
      <c r="AJ830" s="139"/>
      <c r="AK830" s="139"/>
      <c r="AL830" s="139"/>
      <c r="AM830" s="139"/>
      <c r="AN830" s="139"/>
      <c r="AO830" s="139"/>
      <c r="AP830" s="139"/>
      <c r="AQ830" s="139"/>
      <c r="AR830" s="139"/>
      <c r="AS830" s="139"/>
      <c r="AT830" s="139"/>
      <c r="AU830" s="139"/>
      <c r="AV830" s="139"/>
    </row>
    <row r="831">
      <c r="A831" s="139"/>
      <c r="B831" s="234"/>
      <c r="C831" s="139"/>
      <c r="D831" s="139"/>
      <c r="E831" s="139"/>
      <c r="F831" s="139"/>
      <c r="G831" s="139"/>
      <c r="H831" s="139"/>
      <c r="I831" s="139"/>
      <c r="J831" s="139"/>
      <c r="K831" s="139"/>
      <c r="L831" s="139"/>
      <c r="M831" s="139"/>
      <c r="N831" s="145"/>
      <c r="O831" s="139"/>
      <c r="P831" s="139"/>
      <c r="Q831" s="231"/>
      <c r="R831" s="139"/>
      <c r="S831" s="235"/>
      <c r="T831" s="235"/>
      <c r="U831" s="145"/>
      <c r="V831" s="145"/>
      <c r="W831" s="111"/>
      <c r="X831" s="233"/>
      <c r="Y831" s="226"/>
      <c r="Z831" s="139"/>
      <c r="AA831" s="139"/>
      <c r="AB831" s="139"/>
      <c r="AC831" s="139"/>
      <c r="AD831" s="139"/>
      <c r="AE831" s="139"/>
      <c r="AF831" s="139"/>
      <c r="AG831" s="139"/>
      <c r="AH831" s="139"/>
      <c r="AI831" s="139"/>
      <c r="AJ831" s="139"/>
      <c r="AK831" s="139"/>
      <c r="AL831" s="139"/>
      <c r="AM831" s="139"/>
      <c r="AN831" s="139"/>
      <c r="AO831" s="139"/>
      <c r="AP831" s="139"/>
      <c r="AQ831" s="139"/>
      <c r="AR831" s="139"/>
      <c r="AS831" s="139"/>
      <c r="AT831" s="139"/>
      <c r="AU831" s="139"/>
      <c r="AV831" s="139"/>
    </row>
    <row r="832">
      <c r="A832" s="139"/>
      <c r="B832" s="234"/>
      <c r="C832" s="139"/>
      <c r="D832" s="139"/>
      <c r="E832" s="139"/>
      <c r="F832" s="139"/>
      <c r="G832" s="139"/>
      <c r="H832" s="139"/>
      <c r="I832" s="139"/>
      <c r="J832" s="139"/>
      <c r="K832" s="139"/>
      <c r="L832" s="139"/>
      <c r="M832" s="139"/>
      <c r="N832" s="145"/>
      <c r="O832" s="139"/>
      <c r="P832" s="139"/>
      <c r="Q832" s="231"/>
      <c r="R832" s="139"/>
      <c r="S832" s="235"/>
      <c r="T832" s="235"/>
      <c r="U832" s="145"/>
      <c r="V832" s="145"/>
      <c r="W832" s="111"/>
      <c r="X832" s="233"/>
      <c r="Y832" s="226"/>
      <c r="Z832" s="139"/>
      <c r="AA832" s="139"/>
      <c r="AB832" s="139"/>
      <c r="AC832" s="139"/>
      <c r="AD832" s="139"/>
      <c r="AE832" s="139"/>
      <c r="AF832" s="139"/>
      <c r="AG832" s="139"/>
      <c r="AH832" s="139"/>
      <c r="AI832" s="139"/>
      <c r="AJ832" s="139"/>
      <c r="AK832" s="139"/>
      <c r="AL832" s="139"/>
      <c r="AM832" s="139"/>
      <c r="AN832" s="139"/>
      <c r="AO832" s="139"/>
      <c r="AP832" s="139"/>
      <c r="AQ832" s="139"/>
      <c r="AR832" s="139"/>
      <c r="AS832" s="139"/>
      <c r="AT832" s="139"/>
      <c r="AU832" s="139"/>
      <c r="AV832" s="139"/>
    </row>
    <row r="833">
      <c r="A833" s="139"/>
      <c r="B833" s="234"/>
      <c r="C833" s="139"/>
      <c r="D833" s="139"/>
      <c r="E833" s="139"/>
      <c r="F833" s="139"/>
      <c r="G833" s="139"/>
      <c r="H833" s="139"/>
      <c r="I833" s="139"/>
      <c r="J833" s="139"/>
      <c r="K833" s="139"/>
      <c r="L833" s="139"/>
      <c r="M833" s="139"/>
      <c r="N833" s="145"/>
      <c r="O833" s="139"/>
      <c r="P833" s="139"/>
      <c r="Q833" s="231"/>
      <c r="R833" s="139"/>
      <c r="S833" s="235"/>
      <c r="T833" s="235"/>
      <c r="U833" s="145"/>
      <c r="V833" s="145"/>
      <c r="W833" s="111"/>
      <c r="X833" s="233"/>
      <c r="Y833" s="226"/>
      <c r="Z833" s="139"/>
      <c r="AA833" s="139"/>
      <c r="AB833" s="139"/>
      <c r="AC833" s="139"/>
      <c r="AD833" s="139"/>
      <c r="AE833" s="139"/>
      <c r="AF833" s="139"/>
      <c r="AG833" s="139"/>
      <c r="AH833" s="139"/>
      <c r="AI833" s="139"/>
      <c r="AJ833" s="139"/>
      <c r="AK833" s="139"/>
      <c r="AL833" s="139"/>
      <c r="AM833" s="139"/>
      <c r="AN833" s="139"/>
      <c r="AO833" s="139"/>
      <c r="AP833" s="139"/>
      <c r="AQ833" s="139"/>
      <c r="AR833" s="139"/>
      <c r="AS833" s="139"/>
      <c r="AT833" s="139"/>
      <c r="AU833" s="139"/>
      <c r="AV833" s="139"/>
    </row>
    <row r="834">
      <c r="A834" s="139"/>
      <c r="B834" s="234"/>
      <c r="C834" s="139"/>
      <c r="D834" s="139"/>
      <c r="E834" s="139"/>
      <c r="F834" s="139"/>
      <c r="G834" s="139"/>
      <c r="H834" s="139"/>
      <c r="I834" s="139"/>
      <c r="J834" s="139"/>
      <c r="K834" s="139"/>
      <c r="L834" s="139"/>
      <c r="M834" s="139"/>
      <c r="N834" s="145"/>
      <c r="O834" s="139"/>
      <c r="P834" s="139"/>
      <c r="Q834" s="231"/>
      <c r="R834" s="139"/>
      <c r="S834" s="235"/>
      <c r="T834" s="235"/>
      <c r="U834" s="145"/>
      <c r="V834" s="145"/>
      <c r="W834" s="111"/>
      <c r="X834" s="233"/>
      <c r="Y834" s="226"/>
      <c r="Z834" s="139"/>
      <c r="AA834" s="139"/>
      <c r="AB834" s="139"/>
      <c r="AC834" s="139"/>
      <c r="AD834" s="139"/>
      <c r="AE834" s="139"/>
      <c r="AF834" s="139"/>
      <c r="AG834" s="139"/>
      <c r="AH834" s="139"/>
      <c r="AI834" s="139"/>
      <c r="AJ834" s="139"/>
      <c r="AK834" s="139"/>
      <c r="AL834" s="139"/>
      <c r="AM834" s="139"/>
      <c r="AN834" s="139"/>
      <c r="AO834" s="139"/>
      <c r="AP834" s="139"/>
      <c r="AQ834" s="139"/>
      <c r="AR834" s="139"/>
      <c r="AS834" s="139"/>
      <c r="AT834" s="139"/>
      <c r="AU834" s="139"/>
      <c r="AV834" s="139"/>
    </row>
    <row r="835">
      <c r="A835" s="139"/>
      <c r="B835" s="234"/>
      <c r="C835" s="139"/>
      <c r="D835" s="139"/>
      <c r="E835" s="139"/>
      <c r="F835" s="139"/>
      <c r="G835" s="139"/>
      <c r="H835" s="139"/>
      <c r="I835" s="139"/>
      <c r="J835" s="139"/>
      <c r="K835" s="139"/>
      <c r="L835" s="139"/>
      <c r="M835" s="139"/>
      <c r="N835" s="145"/>
      <c r="O835" s="139"/>
      <c r="P835" s="139"/>
      <c r="Q835" s="231"/>
      <c r="R835" s="139"/>
      <c r="S835" s="235"/>
      <c r="T835" s="235"/>
      <c r="U835" s="145"/>
      <c r="V835" s="145"/>
      <c r="W835" s="111"/>
      <c r="X835" s="233"/>
      <c r="Y835" s="226"/>
      <c r="Z835" s="139"/>
      <c r="AA835" s="139"/>
      <c r="AB835" s="139"/>
      <c r="AC835" s="139"/>
      <c r="AD835" s="139"/>
      <c r="AE835" s="139"/>
      <c r="AF835" s="139"/>
      <c r="AG835" s="139"/>
      <c r="AH835" s="139"/>
      <c r="AI835" s="139"/>
      <c r="AJ835" s="139"/>
      <c r="AK835" s="139"/>
      <c r="AL835" s="139"/>
      <c r="AM835" s="139"/>
      <c r="AN835" s="139"/>
      <c r="AO835" s="139"/>
      <c r="AP835" s="139"/>
      <c r="AQ835" s="139"/>
      <c r="AR835" s="139"/>
      <c r="AS835" s="139"/>
      <c r="AT835" s="139"/>
      <c r="AU835" s="139"/>
      <c r="AV835" s="139"/>
    </row>
    <row r="836">
      <c r="A836" s="139"/>
      <c r="B836" s="234"/>
      <c r="C836" s="139"/>
      <c r="D836" s="139"/>
      <c r="E836" s="139"/>
      <c r="F836" s="139"/>
      <c r="G836" s="139"/>
      <c r="H836" s="139"/>
      <c r="I836" s="139"/>
      <c r="J836" s="139"/>
      <c r="K836" s="139"/>
      <c r="L836" s="139"/>
      <c r="M836" s="139"/>
      <c r="N836" s="145"/>
      <c r="O836" s="139"/>
      <c r="P836" s="139"/>
      <c r="Q836" s="231"/>
      <c r="R836" s="139"/>
      <c r="S836" s="235"/>
      <c r="T836" s="235"/>
      <c r="U836" s="145"/>
      <c r="V836" s="145"/>
      <c r="W836" s="111"/>
      <c r="X836" s="233"/>
      <c r="Y836" s="226"/>
      <c r="Z836" s="139"/>
      <c r="AA836" s="139"/>
      <c r="AB836" s="139"/>
      <c r="AC836" s="139"/>
      <c r="AD836" s="139"/>
      <c r="AE836" s="139"/>
      <c r="AF836" s="139"/>
      <c r="AG836" s="139"/>
      <c r="AH836" s="139"/>
      <c r="AI836" s="139"/>
      <c r="AJ836" s="139"/>
      <c r="AK836" s="139"/>
      <c r="AL836" s="139"/>
      <c r="AM836" s="139"/>
      <c r="AN836" s="139"/>
      <c r="AO836" s="139"/>
      <c r="AP836" s="139"/>
      <c r="AQ836" s="139"/>
      <c r="AR836" s="139"/>
      <c r="AS836" s="139"/>
      <c r="AT836" s="139"/>
      <c r="AU836" s="139"/>
      <c r="AV836" s="139"/>
    </row>
    <row r="837">
      <c r="A837" s="139"/>
      <c r="B837" s="234"/>
      <c r="C837" s="139"/>
      <c r="D837" s="139"/>
      <c r="E837" s="139"/>
      <c r="F837" s="139"/>
      <c r="G837" s="139"/>
      <c r="H837" s="139"/>
      <c r="I837" s="139"/>
      <c r="J837" s="139"/>
      <c r="K837" s="139"/>
      <c r="L837" s="139"/>
      <c r="M837" s="139"/>
      <c r="N837" s="145"/>
      <c r="O837" s="139"/>
      <c r="P837" s="139"/>
      <c r="Q837" s="231"/>
      <c r="R837" s="139"/>
      <c r="S837" s="235"/>
      <c r="T837" s="235"/>
      <c r="U837" s="145"/>
      <c r="V837" s="145"/>
      <c r="W837" s="111"/>
      <c r="X837" s="233"/>
      <c r="Y837" s="226"/>
      <c r="Z837" s="139"/>
      <c r="AA837" s="139"/>
      <c r="AB837" s="139"/>
      <c r="AC837" s="139"/>
      <c r="AD837" s="139"/>
      <c r="AE837" s="139"/>
      <c r="AF837" s="139"/>
      <c r="AG837" s="139"/>
      <c r="AH837" s="139"/>
      <c r="AI837" s="139"/>
      <c r="AJ837" s="139"/>
      <c r="AK837" s="139"/>
      <c r="AL837" s="139"/>
      <c r="AM837" s="139"/>
      <c r="AN837" s="139"/>
      <c r="AO837" s="139"/>
      <c r="AP837" s="139"/>
      <c r="AQ837" s="139"/>
      <c r="AR837" s="139"/>
      <c r="AS837" s="139"/>
      <c r="AT837" s="139"/>
      <c r="AU837" s="139"/>
      <c r="AV837" s="139"/>
    </row>
    <row r="838">
      <c r="A838" s="139"/>
      <c r="B838" s="234"/>
      <c r="C838" s="139"/>
      <c r="D838" s="139"/>
      <c r="E838" s="139"/>
      <c r="F838" s="139"/>
      <c r="G838" s="139"/>
      <c r="H838" s="139"/>
      <c r="I838" s="139"/>
      <c r="J838" s="139"/>
      <c r="K838" s="139"/>
      <c r="L838" s="139"/>
      <c r="M838" s="139"/>
      <c r="N838" s="145"/>
      <c r="O838" s="139"/>
      <c r="P838" s="139"/>
      <c r="Q838" s="231"/>
      <c r="R838" s="139"/>
      <c r="S838" s="235"/>
      <c r="T838" s="235"/>
      <c r="U838" s="145"/>
      <c r="V838" s="145"/>
      <c r="W838" s="111"/>
      <c r="X838" s="233"/>
      <c r="Y838" s="226"/>
      <c r="Z838" s="139"/>
      <c r="AA838" s="139"/>
      <c r="AB838" s="139"/>
      <c r="AC838" s="139"/>
      <c r="AD838" s="139"/>
      <c r="AE838" s="139"/>
      <c r="AF838" s="139"/>
      <c r="AG838" s="139"/>
      <c r="AH838" s="139"/>
      <c r="AI838" s="139"/>
      <c r="AJ838" s="139"/>
      <c r="AK838" s="139"/>
      <c r="AL838" s="139"/>
      <c r="AM838" s="139"/>
      <c r="AN838" s="139"/>
      <c r="AO838" s="139"/>
      <c r="AP838" s="139"/>
      <c r="AQ838" s="139"/>
      <c r="AR838" s="139"/>
      <c r="AS838" s="139"/>
      <c r="AT838" s="139"/>
      <c r="AU838" s="139"/>
      <c r="AV838" s="139"/>
    </row>
    <row r="839">
      <c r="A839" s="139"/>
      <c r="B839" s="234"/>
      <c r="C839" s="139"/>
      <c r="D839" s="139"/>
      <c r="E839" s="139"/>
      <c r="F839" s="139"/>
      <c r="G839" s="139"/>
      <c r="H839" s="139"/>
      <c r="I839" s="139"/>
      <c r="J839" s="139"/>
      <c r="K839" s="139"/>
      <c r="L839" s="139"/>
      <c r="M839" s="139"/>
      <c r="N839" s="145"/>
      <c r="O839" s="139"/>
      <c r="P839" s="139"/>
      <c r="Q839" s="231"/>
      <c r="R839" s="139"/>
      <c r="S839" s="235"/>
      <c r="T839" s="235"/>
      <c r="U839" s="145"/>
      <c r="V839" s="145"/>
      <c r="W839" s="111"/>
      <c r="X839" s="233"/>
      <c r="Y839" s="226"/>
      <c r="Z839" s="139"/>
      <c r="AA839" s="139"/>
      <c r="AB839" s="139"/>
      <c r="AC839" s="139"/>
      <c r="AD839" s="139"/>
      <c r="AE839" s="139"/>
      <c r="AF839" s="139"/>
      <c r="AG839" s="139"/>
      <c r="AH839" s="139"/>
      <c r="AI839" s="139"/>
      <c r="AJ839" s="139"/>
      <c r="AK839" s="139"/>
      <c r="AL839" s="139"/>
      <c r="AM839" s="139"/>
      <c r="AN839" s="139"/>
      <c r="AO839" s="139"/>
      <c r="AP839" s="139"/>
      <c r="AQ839" s="139"/>
      <c r="AR839" s="139"/>
      <c r="AS839" s="139"/>
      <c r="AT839" s="139"/>
      <c r="AU839" s="139"/>
      <c r="AV839" s="139"/>
    </row>
    <row r="840">
      <c r="A840" s="139"/>
      <c r="B840" s="234"/>
      <c r="C840" s="139"/>
      <c r="D840" s="139"/>
      <c r="E840" s="139"/>
      <c r="F840" s="139"/>
      <c r="G840" s="139"/>
      <c r="H840" s="139"/>
      <c r="I840" s="139"/>
      <c r="J840" s="139"/>
      <c r="K840" s="139"/>
      <c r="L840" s="139"/>
      <c r="M840" s="139"/>
      <c r="N840" s="145"/>
      <c r="O840" s="139"/>
      <c r="P840" s="139"/>
      <c r="Q840" s="231"/>
      <c r="R840" s="139"/>
      <c r="S840" s="235"/>
      <c r="T840" s="235"/>
      <c r="U840" s="145"/>
      <c r="V840" s="145"/>
      <c r="W840" s="111"/>
      <c r="X840" s="233"/>
      <c r="Y840" s="226"/>
      <c r="Z840" s="139"/>
      <c r="AA840" s="139"/>
      <c r="AB840" s="139"/>
      <c r="AC840" s="139"/>
      <c r="AD840" s="139"/>
      <c r="AE840" s="139"/>
      <c r="AF840" s="139"/>
      <c r="AG840" s="139"/>
      <c r="AH840" s="139"/>
      <c r="AI840" s="139"/>
      <c r="AJ840" s="139"/>
      <c r="AK840" s="139"/>
      <c r="AL840" s="139"/>
      <c r="AM840" s="139"/>
      <c r="AN840" s="139"/>
      <c r="AO840" s="139"/>
      <c r="AP840" s="139"/>
      <c r="AQ840" s="139"/>
      <c r="AR840" s="139"/>
      <c r="AS840" s="139"/>
      <c r="AT840" s="139"/>
      <c r="AU840" s="139"/>
      <c r="AV840" s="139"/>
    </row>
    <row r="841">
      <c r="A841" s="139"/>
      <c r="B841" s="234"/>
      <c r="C841" s="139"/>
      <c r="D841" s="139"/>
      <c r="E841" s="139"/>
      <c r="F841" s="139"/>
      <c r="G841" s="139"/>
      <c r="H841" s="139"/>
      <c r="I841" s="139"/>
      <c r="J841" s="139"/>
      <c r="K841" s="139"/>
      <c r="L841" s="139"/>
      <c r="M841" s="139"/>
      <c r="N841" s="145"/>
      <c r="O841" s="139"/>
      <c r="P841" s="139"/>
      <c r="Q841" s="231"/>
      <c r="R841" s="139"/>
      <c r="S841" s="235"/>
      <c r="T841" s="235"/>
      <c r="U841" s="145"/>
      <c r="V841" s="145"/>
      <c r="W841" s="111"/>
      <c r="X841" s="233"/>
      <c r="Y841" s="226"/>
      <c r="Z841" s="139"/>
      <c r="AA841" s="139"/>
      <c r="AB841" s="139"/>
      <c r="AC841" s="139"/>
      <c r="AD841" s="139"/>
      <c r="AE841" s="139"/>
      <c r="AF841" s="139"/>
      <c r="AG841" s="139"/>
      <c r="AH841" s="139"/>
      <c r="AI841" s="139"/>
      <c r="AJ841" s="139"/>
      <c r="AK841" s="139"/>
      <c r="AL841" s="139"/>
      <c r="AM841" s="139"/>
      <c r="AN841" s="139"/>
      <c r="AO841" s="139"/>
      <c r="AP841" s="139"/>
      <c r="AQ841" s="139"/>
      <c r="AR841" s="139"/>
      <c r="AS841" s="139"/>
      <c r="AT841" s="139"/>
      <c r="AU841" s="139"/>
      <c r="AV841" s="139"/>
    </row>
    <row r="842">
      <c r="A842" s="139"/>
      <c r="B842" s="234"/>
      <c r="C842" s="139"/>
      <c r="D842" s="139"/>
      <c r="E842" s="139"/>
      <c r="F842" s="139"/>
      <c r="G842" s="139"/>
      <c r="H842" s="139"/>
      <c r="I842" s="139"/>
      <c r="J842" s="139"/>
      <c r="K842" s="139"/>
      <c r="L842" s="139"/>
      <c r="M842" s="139"/>
      <c r="N842" s="145"/>
      <c r="O842" s="139"/>
      <c r="P842" s="139"/>
      <c r="Q842" s="231"/>
      <c r="R842" s="139"/>
      <c r="S842" s="235"/>
      <c r="T842" s="235"/>
      <c r="U842" s="145"/>
      <c r="V842" s="145"/>
      <c r="W842" s="111"/>
      <c r="X842" s="233"/>
      <c r="Y842" s="226"/>
      <c r="Z842" s="139"/>
      <c r="AA842" s="139"/>
      <c r="AB842" s="139"/>
      <c r="AC842" s="139"/>
      <c r="AD842" s="139"/>
      <c r="AE842" s="139"/>
      <c r="AF842" s="139"/>
      <c r="AG842" s="139"/>
      <c r="AH842" s="139"/>
      <c r="AI842" s="139"/>
      <c r="AJ842" s="139"/>
      <c r="AK842" s="139"/>
      <c r="AL842" s="139"/>
      <c r="AM842" s="139"/>
      <c r="AN842" s="139"/>
      <c r="AO842" s="139"/>
      <c r="AP842" s="139"/>
      <c r="AQ842" s="139"/>
      <c r="AR842" s="139"/>
      <c r="AS842" s="139"/>
      <c r="AT842" s="139"/>
      <c r="AU842" s="139"/>
      <c r="AV842" s="139"/>
    </row>
    <row r="843">
      <c r="A843" s="139"/>
      <c r="B843" s="234"/>
      <c r="C843" s="139"/>
      <c r="D843" s="139"/>
      <c r="E843" s="139"/>
      <c r="F843" s="139"/>
      <c r="G843" s="139"/>
      <c r="H843" s="139"/>
      <c r="I843" s="139"/>
      <c r="J843" s="139"/>
      <c r="K843" s="139"/>
      <c r="L843" s="139"/>
      <c r="M843" s="139"/>
      <c r="N843" s="145"/>
      <c r="O843" s="139"/>
      <c r="P843" s="139"/>
      <c r="Q843" s="231"/>
      <c r="R843" s="139"/>
      <c r="S843" s="235"/>
      <c r="T843" s="235"/>
      <c r="U843" s="145"/>
      <c r="V843" s="145"/>
      <c r="W843" s="111"/>
      <c r="X843" s="233"/>
      <c r="Y843" s="226"/>
      <c r="Z843" s="139"/>
      <c r="AA843" s="139"/>
      <c r="AB843" s="139"/>
      <c r="AC843" s="139"/>
      <c r="AD843" s="139"/>
      <c r="AE843" s="139"/>
      <c r="AF843" s="139"/>
      <c r="AG843" s="139"/>
      <c r="AH843" s="139"/>
      <c r="AI843" s="139"/>
      <c r="AJ843" s="139"/>
      <c r="AK843" s="139"/>
      <c r="AL843" s="139"/>
      <c r="AM843" s="139"/>
      <c r="AN843" s="139"/>
      <c r="AO843" s="139"/>
      <c r="AP843" s="139"/>
      <c r="AQ843" s="139"/>
      <c r="AR843" s="139"/>
      <c r="AS843" s="139"/>
      <c r="AT843" s="139"/>
      <c r="AU843" s="139"/>
      <c r="AV843" s="139"/>
    </row>
    <row r="844">
      <c r="A844" s="139"/>
      <c r="B844" s="234"/>
      <c r="C844" s="139"/>
      <c r="D844" s="139"/>
      <c r="E844" s="139"/>
      <c r="F844" s="139"/>
      <c r="G844" s="139"/>
      <c r="H844" s="139"/>
      <c r="I844" s="139"/>
      <c r="J844" s="139"/>
      <c r="K844" s="139"/>
      <c r="L844" s="139"/>
      <c r="M844" s="139"/>
      <c r="N844" s="145"/>
      <c r="O844" s="139"/>
      <c r="P844" s="139"/>
      <c r="Q844" s="231"/>
      <c r="R844" s="139"/>
      <c r="S844" s="235"/>
      <c r="T844" s="235"/>
      <c r="U844" s="145"/>
      <c r="V844" s="145"/>
      <c r="W844" s="111"/>
      <c r="X844" s="233"/>
      <c r="Y844" s="226"/>
      <c r="Z844" s="139"/>
      <c r="AA844" s="139"/>
      <c r="AB844" s="139"/>
      <c r="AC844" s="139"/>
      <c r="AD844" s="139"/>
      <c r="AE844" s="139"/>
      <c r="AF844" s="139"/>
      <c r="AG844" s="139"/>
      <c r="AH844" s="139"/>
      <c r="AI844" s="139"/>
      <c r="AJ844" s="139"/>
      <c r="AK844" s="139"/>
      <c r="AL844" s="139"/>
      <c r="AM844" s="139"/>
      <c r="AN844" s="139"/>
      <c r="AO844" s="139"/>
      <c r="AP844" s="139"/>
      <c r="AQ844" s="139"/>
      <c r="AR844" s="139"/>
      <c r="AS844" s="139"/>
      <c r="AT844" s="139"/>
      <c r="AU844" s="139"/>
      <c r="AV844" s="139"/>
    </row>
    <row r="845">
      <c r="A845" s="139"/>
      <c r="B845" s="234"/>
      <c r="C845" s="139"/>
      <c r="D845" s="139"/>
      <c r="E845" s="139"/>
      <c r="F845" s="139"/>
      <c r="G845" s="139"/>
      <c r="H845" s="139"/>
      <c r="I845" s="139"/>
      <c r="J845" s="139"/>
      <c r="K845" s="139"/>
      <c r="L845" s="139"/>
      <c r="M845" s="139"/>
      <c r="N845" s="145"/>
      <c r="O845" s="139"/>
      <c r="P845" s="139"/>
      <c r="Q845" s="231"/>
      <c r="R845" s="139"/>
      <c r="S845" s="235"/>
      <c r="T845" s="235"/>
      <c r="U845" s="145"/>
      <c r="V845" s="145"/>
      <c r="W845" s="111"/>
      <c r="X845" s="233"/>
      <c r="Y845" s="226"/>
      <c r="Z845" s="139"/>
      <c r="AA845" s="139"/>
      <c r="AB845" s="139"/>
      <c r="AC845" s="139"/>
      <c r="AD845" s="139"/>
      <c r="AE845" s="139"/>
      <c r="AF845" s="139"/>
      <c r="AG845" s="139"/>
      <c r="AH845" s="139"/>
      <c r="AI845" s="139"/>
      <c r="AJ845" s="139"/>
      <c r="AK845" s="139"/>
      <c r="AL845" s="139"/>
      <c r="AM845" s="139"/>
      <c r="AN845" s="139"/>
      <c r="AO845" s="139"/>
      <c r="AP845" s="139"/>
      <c r="AQ845" s="139"/>
      <c r="AR845" s="139"/>
      <c r="AS845" s="139"/>
      <c r="AT845" s="139"/>
      <c r="AU845" s="139"/>
      <c r="AV845" s="139"/>
    </row>
    <row r="846">
      <c r="A846" s="139"/>
      <c r="B846" s="234"/>
      <c r="C846" s="139"/>
      <c r="D846" s="139"/>
      <c r="E846" s="139"/>
      <c r="F846" s="139"/>
      <c r="G846" s="139"/>
      <c r="H846" s="139"/>
      <c r="I846" s="139"/>
      <c r="J846" s="139"/>
      <c r="K846" s="139"/>
      <c r="L846" s="139"/>
      <c r="M846" s="139"/>
      <c r="N846" s="145"/>
      <c r="O846" s="139"/>
      <c r="P846" s="139"/>
      <c r="Q846" s="231"/>
      <c r="R846" s="139"/>
      <c r="S846" s="235"/>
      <c r="T846" s="235"/>
      <c r="U846" s="145"/>
      <c r="V846" s="145"/>
      <c r="W846" s="111"/>
      <c r="X846" s="233"/>
      <c r="Y846" s="226"/>
      <c r="Z846" s="139"/>
      <c r="AA846" s="139"/>
      <c r="AB846" s="139"/>
      <c r="AC846" s="139"/>
      <c r="AD846" s="139"/>
      <c r="AE846" s="139"/>
      <c r="AF846" s="139"/>
      <c r="AG846" s="139"/>
      <c r="AH846" s="139"/>
      <c r="AI846" s="139"/>
      <c r="AJ846" s="139"/>
      <c r="AK846" s="139"/>
      <c r="AL846" s="139"/>
      <c r="AM846" s="139"/>
      <c r="AN846" s="139"/>
      <c r="AO846" s="139"/>
      <c r="AP846" s="139"/>
      <c r="AQ846" s="139"/>
      <c r="AR846" s="139"/>
      <c r="AS846" s="139"/>
      <c r="AT846" s="139"/>
      <c r="AU846" s="139"/>
      <c r="AV846" s="139"/>
    </row>
    <row r="847">
      <c r="A847" s="139"/>
      <c r="B847" s="234"/>
      <c r="C847" s="139"/>
      <c r="D847" s="139"/>
      <c r="E847" s="139"/>
      <c r="F847" s="139"/>
      <c r="G847" s="139"/>
      <c r="H847" s="139"/>
      <c r="I847" s="139"/>
      <c r="J847" s="139"/>
      <c r="K847" s="139"/>
      <c r="L847" s="139"/>
      <c r="M847" s="139"/>
      <c r="N847" s="145"/>
      <c r="O847" s="139"/>
      <c r="P847" s="139"/>
      <c r="Q847" s="231"/>
      <c r="R847" s="139"/>
      <c r="S847" s="235"/>
      <c r="T847" s="235"/>
      <c r="U847" s="145"/>
      <c r="V847" s="145"/>
      <c r="W847" s="111"/>
      <c r="X847" s="233"/>
      <c r="Y847" s="226"/>
      <c r="Z847" s="139"/>
      <c r="AA847" s="139"/>
      <c r="AB847" s="139"/>
      <c r="AC847" s="139"/>
      <c r="AD847" s="139"/>
      <c r="AE847" s="139"/>
      <c r="AF847" s="139"/>
      <c r="AG847" s="139"/>
      <c r="AH847" s="139"/>
      <c r="AI847" s="139"/>
      <c r="AJ847" s="139"/>
      <c r="AK847" s="139"/>
      <c r="AL847" s="139"/>
      <c r="AM847" s="139"/>
      <c r="AN847" s="139"/>
      <c r="AO847" s="139"/>
      <c r="AP847" s="139"/>
      <c r="AQ847" s="139"/>
      <c r="AR847" s="139"/>
      <c r="AS847" s="139"/>
      <c r="AT847" s="139"/>
      <c r="AU847" s="139"/>
      <c r="AV847" s="139"/>
    </row>
    <row r="848">
      <c r="A848" s="139"/>
      <c r="B848" s="234"/>
      <c r="C848" s="139"/>
      <c r="D848" s="139"/>
      <c r="E848" s="139"/>
      <c r="F848" s="139"/>
      <c r="G848" s="139"/>
      <c r="H848" s="139"/>
      <c r="I848" s="139"/>
      <c r="J848" s="139"/>
      <c r="K848" s="139"/>
      <c r="L848" s="139"/>
      <c r="M848" s="139"/>
      <c r="N848" s="145"/>
      <c r="O848" s="139"/>
      <c r="P848" s="139"/>
      <c r="Q848" s="231"/>
      <c r="R848" s="139"/>
      <c r="S848" s="235"/>
      <c r="T848" s="235"/>
      <c r="U848" s="145"/>
      <c r="V848" s="145"/>
      <c r="W848" s="111"/>
      <c r="X848" s="233"/>
      <c r="Y848" s="226"/>
      <c r="Z848" s="139"/>
      <c r="AA848" s="139"/>
      <c r="AB848" s="139"/>
      <c r="AC848" s="139"/>
      <c r="AD848" s="139"/>
      <c r="AE848" s="139"/>
      <c r="AF848" s="139"/>
      <c r="AG848" s="139"/>
      <c r="AH848" s="139"/>
      <c r="AI848" s="139"/>
      <c r="AJ848" s="139"/>
      <c r="AK848" s="139"/>
      <c r="AL848" s="139"/>
      <c r="AM848" s="139"/>
      <c r="AN848" s="139"/>
      <c r="AO848" s="139"/>
      <c r="AP848" s="139"/>
      <c r="AQ848" s="139"/>
      <c r="AR848" s="139"/>
      <c r="AS848" s="139"/>
      <c r="AT848" s="139"/>
      <c r="AU848" s="139"/>
      <c r="AV848" s="139"/>
    </row>
    <row r="849">
      <c r="A849" s="139"/>
      <c r="B849" s="234"/>
      <c r="C849" s="139"/>
      <c r="D849" s="139"/>
      <c r="E849" s="139"/>
      <c r="F849" s="139"/>
      <c r="G849" s="139"/>
      <c r="H849" s="139"/>
      <c r="I849" s="139"/>
      <c r="J849" s="139"/>
      <c r="K849" s="139"/>
      <c r="L849" s="139"/>
      <c r="M849" s="139"/>
      <c r="N849" s="145"/>
      <c r="O849" s="139"/>
      <c r="P849" s="139"/>
      <c r="Q849" s="231"/>
      <c r="R849" s="139"/>
      <c r="S849" s="235"/>
      <c r="T849" s="235"/>
      <c r="U849" s="145"/>
      <c r="V849" s="145"/>
      <c r="W849" s="111"/>
      <c r="X849" s="233"/>
      <c r="Y849" s="226"/>
      <c r="Z849" s="139"/>
      <c r="AA849" s="139"/>
      <c r="AB849" s="139"/>
      <c r="AC849" s="139"/>
      <c r="AD849" s="139"/>
      <c r="AE849" s="139"/>
      <c r="AF849" s="139"/>
      <c r="AG849" s="139"/>
      <c r="AH849" s="139"/>
      <c r="AI849" s="139"/>
      <c r="AJ849" s="139"/>
      <c r="AK849" s="139"/>
      <c r="AL849" s="139"/>
      <c r="AM849" s="139"/>
      <c r="AN849" s="139"/>
      <c r="AO849" s="139"/>
      <c r="AP849" s="139"/>
      <c r="AQ849" s="139"/>
      <c r="AR849" s="139"/>
      <c r="AS849" s="139"/>
      <c r="AT849" s="139"/>
      <c r="AU849" s="139"/>
      <c r="AV849" s="139"/>
    </row>
    <row r="850">
      <c r="A850" s="139"/>
      <c r="B850" s="234"/>
      <c r="C850" s="139"/>
      <c r="D850" s="139"/>
      <c r="E850" s="139"/>
      <c r="F850" s="139"/>
      <c r="G850" s="139"/>
      <c r="H850" s="139"/>
      <c r="I850" s="139"/>
      <c r="J850" s="139"/>
      <c r="K850" s="139"/>
      <c r="L850" s="139"/>
      <c r="M850" s="139"/>
      <c r="N850" s="145"/>
      <c r="O850" s="139"/>
      <c r="P850" s="139"/>
      <c r="Q850" s="231"/>
      <c r="R850" s="139"/>
      <c r="S850" s="235"/>
      <c r="T850" s="235"/>
      <c r="U850" s="145"/>
      <c r="V850" s="145"/>
      <c r="W850" s="111"/>
      <c r="X850" s="233"/>
      <c r="Y850" s="226"/>
      <c r="Z850" s="139"/>
      <c r="AA850" s="139"/>
      <c r="AB850" s="139"/>
      <c r="AC850" s="139"/>
      <c r="AD850" s="139"/>
      <c r="AE850" s="139"/>
      <c r="AF850" s="139"/>
      <c r="AG850" s="139"/>
      <c r="AH850" s="139"/>
      <c r="AI850" s="139"/>
      <c r="AJ850" s="139"/>
      <c r="AK850" s="139"/>
      <c r="AL850" s="139"/>
      <c r="AM850" s="139"/>
      <c r="AN850" s="139"/>
      <c r="AO850" s="139"/>
      <c r="AP850" s="139"/>
      <c r="AQ850" s="139"/>
      <c r="AR850" s="139"/>
      <c r="AS850" s="139"/>
      <c r="AT850" s="139"/>
      <c r="AU850" s="139"/>
      <c r="AV850" s="139"/>
    </row>
    <row r="851">
      <c r="A851" s="139"/>
      <c r="B851" s="234"/>
      <c r="C851" s="139"/>
      <c r="D851" s="139"/>
      <c r="E851" s="139"/>
      <c r="F851" s="139"/>
      <c r="G851" s="139"/>
      <c r="H851" s="139"/>
      <c r="I851" s="139"/>
      <c r="J851" s="139"/>
      <c r="K851" s="139"/>
      <c r="L851" s="139"/>
      <c r="M851" s="139"/>
      <c r="N851" s="145"/>
      <c r="O851" s="139"/>
      <c r="P851" s="139"/>
      <c r="Q851" s="231"/>
      <c r="R851" s="139"/>
      <c r="S851" s="235"/>
      <c r="T851" s="235"/>
      <c r="U851" s="145"/>
      <c r="V851" s="145"/>
      <c r="W851" s="111"/>
      <c r="X851" s="233"/>
      <c r="Y851" s="226"/>
      <c r="Z851" s="139"/>
      <c r="AA851" s="139"/>
      <c r="AB851" s="139"/>
      <c r="AC851" s="139"/>
      <c r="AD851" s="139"/>
      <c r="AE851" s="139"/>
      <c r="AF851" s="139"/>
      <c r="AG851" s="139"/>
      <c r="AH851" s="139"/>
      <c r="AI851" s="139"/>
      <c r="AJ851" s="139"/>
      <c r="AK851" s="139"/>
      <c r="AL851" s="139"/>
      <c r="AM851" s="139"/>
      <c r="AN851" s="139"/>
      <c r="AO851" s="139"/>
      <c r="AP851" s="139"/>
      <c r="AQ851" s="139"/>
      <c r="AR851" s="139"/>
      <c r="AS851" s="139"/>
      <c r="AT851" s="139"/>
      <c r="AU851" s="139"/>
      <c r="AV851" s="139"/>
    </row>
    <row r="852">
      <c r="A852" s="139"/>
      <c r="B852" s="234"/>
      <c r="C852" s="139"/>
      <c r="D852" s="139"/>
      <c r="E852" s="139"/>
      <c r="F852" s="139"/>
      <c r="G852" s="139"/>
      <c r="H852" s="139"/>
      <c r="I852" s="139"/>
      <c r="J852" s="139"/>
      <c r="K852" s="139"/>
      <c r="L852" s="139"/>
      <c r="M852" s="139"/>
      <c r="N852" s="145"/>
      <c r="O852" s="139"/>
      <c r="P852" s="139"/>
      <c r="Q852" s="231"/>
      <c r="R852" s="139"/>
      <c r="S852" s="235"/>
      <c r="T852" s="235"/>
      <c r="U852" s="145"/>
      <c r="V852" s="145"/>
      <c r="W852" s="111"/>
      <c r="X852" s="233"/>
      <c r="Y852" s="226"/>
      <c r="Z852" s="139"/>
      <c r="AA852" s="139"/>
      <c r="AB852" s="139"/>
      <c r="AC852" s="139"/>
      <c r="AD852" s="139"/>
      <c r="AE852" s="139"/>
      <c r="AF852" s="139"/>
      <c r="AG852" s="139"/>
      <c r="AH852" s="139"/>
      <c r="AI852" s="139"/>
      <c r="AJ852" s="139"/>
      <c r="AK852" s="139"/>
      <c r="AL852" s="139"/>
      <c r="AM852" s="139"/>
      <c r="AN852" s="139"/>
      <c r="AO852" s="139"/>
      <c r="AP852" s="139"/>
      <c r="AQ852" s="139"/>
      <c r="AR852" s="139"/>
      <c r="AS852" s="139"/>
      <c r="AT852" s="139"/>
      <c r="AU852" s="139"/>
      <c r="AV852" s="139"/>
    </row>
    <row r="853">
      <c r="A853" s="139"/>
      <c r="B853" s="234"/>
      <c r="C853" s="139"/>
      <c r="D853" s="139"/>
      <c r="E853" s="139"/>
      <c r="F853" s="139"/>
      <c r="G853" s="139"/>
      <c r="H853" s="139"/>
      <c r="I853" s="139"/>
      <c r="J853" s="139"/>
      <c r="K853" s="139"/>
      <c r="L853" s="139"/>
      <c r="M853" s="139"/>
      <c r="N853" s="145"/>
      <c r="O853" s="139"/>
      <c r="P853" s="139"/>
      <c r="Q853" s="231"/>
      <c r="R853" s="139"/>
      <c r="S853" s="235"/>
      <c r="T853" s="235"/>
      <c r="U853" s="145"/>
      <c r="V853" s="145"/>
      <c r="W853" s="111"/>
      <c r="X853" s="233"/>
      <c r="Y853" s="226"/>
      <c r="Z853" s="139"/>
      <c r="AA853" s="139"/>
      <c r="AB853" s="139"/>
      <c r="AC853" s="139"/>
      <c r="AD853" s="139"/>
      <c r="AE853" s="139"/>
      <c r="AF853" s="139"/>
      <c r="AG853" s="139"/>
      <c r="AH853" s="139"/>
      <c r="AI853" s="139"/>
      <c r="AJ853" s="139"/>
      <c r="AK853" s="139"/>
      <c r="AL853" s="139"/>
      <c r="AM853" s="139"/>
      <c r="AN853" s="139"/>
      <c r="AO853" s="139"/>
      <c r="AP853" s="139"/>
      <c r="AQ853" s="139"/>
      <c r="AR853" s="139"/>
      <c r="AS853" s="139"/>
      <c r="AT853" s="139"/>
      <c r="AU853" s="139"/>
      <c r="AV853" s="139"/>
    </row>
    <row r="854">
      <c r="A854" s="139"/>
      <c r="B854" s="234"/>
      <c r="C854" s="139"/>
      <c r="D854" s="139"/>
      <c r="E854" s="139"/>
      <c r="F854" s="139"/>
      <c r="G854" s="139"/>
      <c r="H854" s="139"/>
      <c r="I854" s="139"/>
      <c r="J854" s="139"/>
      <c r="K854" s="139"/>
      <c r="L854" s="139"/>
      <c r="M854" s="139"/>
      <c r="N854" s="145"/>
      <c r="O854" s="139"/>
      <c r="P854" s="139"/>
      <c r="Q854" s="231"/>
      <c r="R854" s="139"/>
      <c r="S854" s="235"/>
      <c r="T854" s="235"/>
      <c r="U854" s="145"/>
      <c r="V854" s="145"/>
      <c r="W854" s="111"/>
      <c r="X854" s="233"/>
      <c r="Y854" s="226"/>
      <c r="Z854" s="139"/>
      <c r="AA854" s="139"/>
      <c r="AB854" s="139"/>
      <c r="AC854" s="139"/>
      <c r="AD854" s="139"/>
      <c r="AE854" s="139"/>
      <c r="AF854" s="139"/>
      <c r="AG854" s="139"/>
      <c r="AH854" s="139"/>
      <c r="AI854" s="139"/>
      <c r="AJ854" s="139"/>
      <c r="AK854" s="139"/>
      <c r="AL854" s="139"/>
      <c r="AM854" s="139"/>
      <c r="AN854" s="139"/>
      <c r="AO854" s="139"/>
      <c r="AP854" s="139"/>
      <c r="AQ854" s="139"/>
      <c r="AR854" s="139"/>
      <c r="AS854" s="139"/>
      <c r="AT854" s="139"/>
      <c r="AU854" s="139"/>
      <c r="AV854" s="139"/>
    </row>
    <row r="855">
      <c r="A855" s="139"/>
      <c r="B855" s="234"/>
      <c r="C855" s="139"/>
      <c r="D855" s="139"/>
      <c r="E855" s="139"/>
      <c r="F855" s="139"/>
      <c r="G855" s="139"/>
      <c r="H855" s="139"/>
      <c r="I855" s="139"/>
      <c r="J855" s="139"/>
      <c r="K855" s="139"/>
      <c r="L855" s="139"/>
      <c r="M855" s="139"/>
      <c r="N855" s="145"/>
      <c r="O855" s="139"/>
      <c r="P855" s="139"/>
      <c r="Q855" s="231"/>
      <c r="R855" s="139"/>
      <c r="S855" s="235"/>
      <c r="T855" s="235"/>
      <c r="U855" s="145"/>
      <c r="V855" s="145"/>
      <c r="W855" s="111"/>
      <c r="X855" s="233"/>
      <c r="Y855" s="226"/>
      <c r="Z855" s="139"/>
      <c r="AA855" s="139"/>
      <c r="AB855" s="139"/>
      <c r="AC855" s="139"/>
      <c r="AD855" s="139"/>
      <c r="AE855" s="139"/>
      <c r="AF855" s="139"/>
      <c r="AG855" s="139"/>
      <c r="AH855" s="139"/>
      <c r="AI855" s="139"/>
      <c r="AJ855" s="139"/>
      <c r="AK855" s="139"/>
      <c r="AL855" s="139"/>
      <c r="AM855" s="139"/>
      <c r="AN855" s="139"/>
      <c r="AO855" s="139"/>
      <c r="AP855" s="139"/>
      <c r="AQ855" s="139"/>
      <c r="AR855" s="139"/>
      <c r="AS855" s="139"/>
      <c r="AT855" s="139"/>
      <c r="AU855" s="139"/>
      <c r="AV855" s="139"/>
    </row>
    <row r="856">
      <c r="A856" s="139"/>
      <c r="B856" s="234"/>
      <c r="C856" s="139"/>
      <c r="D856" s="139"/>
      <c r="E856" s="139"/>
      <c r="F856" s="139"/>
      <c r="G856" s="139"/>
      <c r="H856" s="139"/>
      <c r="I856" s="139"/>
      <c r="J856" s="139"/>
      <c r="K856" s="139"/>
      <c r="L856" s="139"/>
      <c r="M856" s="139"/>
      <c r="N856" s="145"/>
      <c r="O856" s="139"/>
      <c r="P856" s="139"/>
      <c r="Q856" s="231"/>
      <c r="R856" s="139"/>
      <c r="S856" s="235"/>
      <c r="T856" s="235"/>
      <c r="U856" s="145"/>
      <c r="V856" s="145"/>
      <c r="W856" s="111"/>
      <c r="X856" s="233"/>
      <c r="Y856" s="226"/>
      <c r="Z856" s="139"/>
      <c r="AA856" s="139"/>
      <c r="AB856" s="139"/>
      <c r="AC856" s="139"/>
      <c r="AD856" s="139"/>
      <c r="AE856" s="139"/>
      <c r="AF856" s="139"/>
      <c r="AG856" s="139"/>
      <c r="AH856" s="139"/>
      <c r="AI856" s="139"/>
      <c r="AJ856" s="139"/>
      <c r="AK856" s="139"/>
      <c r="AL856" s="139"/>
      <c r="AM856" s="139"/>
      <c r="AN856" s="139"/>
      <c r="AO856" s="139"/>
      <c r="AP856" s="139"/>
      <c r="AQ856" s="139"/>
      <c r="AR856" s="139"/>
      <c r="AS856" s="139"/>
      <c r="AT856" s="139"/>
      <c r="AU856" s="139"/>
      <c r="AV856" s="139"/>
    </row>
    <row r="857">
      <c r="A857" s="139"/>
      <c r="B857" s="234"/>
      <c r="C857" s="139"/>
      <c r="D857" s="139"/>
      <c r="E857" s="139"/>
      <c r="F857" s="139"/>
      <c r="G857" s="139"/>
      <c r="H857" s="139"/>
      <c r="I857" s="139"/>
      <c r="J857" s="139"/>
      <c r="K857" s="139"/>
      <c r="L857" s="139"/>
      <c r="M857" s="139"/>
      <c r="N857" s="145"/>
      <c r="O857" s="139"/>
      <c r="P857" s="139"/>
      <c r="Q857" s="231"/>
      <c r="R857" s="139"/>
      <c r="S857" s="235"/>
      <c r="T857" s="235"/>
      <c r="U857" s="145"/>
      <c r="V857" s="145"/>
      <c r="W857" s="111"/>
      <c r="X857" s="233"/>
      <c r="Y857" s="226"/>
      <c r="Z857" s="139"/>
      <c r="AA857" s="139"/>
      <c r="AB857" s="139"/>
      <c r="AC857" s="139"/>
      <c r="AD857" s="139"/>
      <c r="AE857" s="139"/>
      <c r="AF857" s="139"/>
      <c r="AG857" s="139"/>
      <c r="AH857" s="139"/>
      <c r="AI857" s="139"/>
      <c r="AJ857" s="139"/>
      <c r="AK857" s="139"/>
      <c r="AL857" s="139"/>
      <c r="AM857" s="139"/>
      <c r="AN857" s="139"/>
      <c r="AO857" s="139"/>
      <c r="AP857" s="139"/>
      <c r="AQ857" s="139"/>
      <c r="AR857" s="139"/>
      <c r="AS857" s="139"/>
      <c r="AT857" s="139"/>
      <c r="AU857" s="139"/>
      <c r="AV857" s="139"/>
    </row>
    <row r="858">
      <c r="A858" s="139"/>
      <c r="B858" s="234"/>
      <c r="C858" s="139"/>
      <c r="D858" s="139"/>
      <c r="E858" s="139"/>
      <c r="F858" s="139"/>
      <c r="G858" s="139"/>
      <c r="H858" s="139"/>
      <c r="I858" s="139"/>
      <c r="J858" s="139"/>
      <c r="K858" s="139"/>
      <c r="L858" s="139"/>
      <c r="M858" s="139"/>
      <c r="N858" s="145"/>
      <c r="O858" s="139"/>
      <c r="P858" s="139"/>
      <c r="Q858" s="231"/>
      <c r="R858" s="139"/>
      <c r="S858" s="235"/>
      <c r="T858" s="235"/>
      <c r="U858" s="145"/>
      <c r="V858" s="145"/>
      <c r="W858" s="111"/>
      <c r="X858" s="233"/>
      <c r="Y858" s="226"/>
      <c r="Z858" s="139"/>
      <c r="AA858" s="139"/>
      <c r="AB858" s="139"/>
      <c r="AC858" s="139"/>
      <c r="AD858" s="139"/>
      <c r="AE858" s="139"/>
      <c r="AF858" s="139"/>
      <c r="AG858" s="139"/>
      <c r="AH858" s="139"/>
      <c r="AI858" s="139"/>
      <c r="AJ858" s="139"/>
      <c r="AK858" s="139"/>
      <c r="AL858" s="139"/>
      <c r="AM858" s="139"/>
      <c r="AN858" s="139"/>
      <c r="AO858" s="139"/>
      <c r="AP858" s="139"/>
      <c r="AQ858" s="139"/>
      <c r="AR858" s="139"/>
      <c r="AS858" s="139"/>
      <c r="AT858" s="139"/>
      <c r="AU858" s="139"/>
      <c r="AV858" s="139"/>
    </row>
    <row r="859">
      <c r="A859" s="139"/>
      <c r="B859" s="234"/>
      <c r="C859" s="139"/>
      <c r="D859" s="139"/>
      <c r="E859" s="139"/>
      <c r="F859" s="139"/>
      <c r="G859" s="139"/>
      <c r="H859" s="139"/>
      <c r="I859" s="139"/>
      <c r="J859" s="139"/>
      <c r="K859" s="139"/>
      <c r="L859" s="139"/>
      <c r="M859" s="139"/>
      <c r="N859" s="145"/>
      <c r="O859" s="139"/>
      <c r="P859" s="139"/>
      <c r="Q859" s="231"/>
      <c r="R859" s="139"/>
      <c r="S859" s="235"/>
      <c r="T859" s="235"/>
      <c r="U859" s="145"/>
      <c r="V859" s="145"/>
      <c r="W859" s="111"/>
      <c r="X859" s="233"/>
      <c r="Y859" s="226"/>
      <c r="Z859" s="139"/>
      <c r="AA859" s="139"/>
      <c r="AB859" s="139"/>
      <c r="AC859" s="139"/>
      <c r="AD859" s="139"/>
      <c r="AE859" s="139"/>
      <c r="AF859" s="139"/>
      <c r="AG859" s="139"/>
      <c r="AH859" s="139"/>
      <c r="AI859" s="139"/>
      <c r="AJ859" s="139"/>
      <c r="AK859" s="139"/>
      <c r="AL859" s="139"/>
      <c r="AM859" s="139"/>
      <c r="AN859" s="139"/>
      <c r="AO859" s="139"/>
      <c r="AP859" s="139"/>
      <c r="AQ859" s="139"/>
      <c r="AR859" s="139"/>
      <c r="AS859" s="139"/>
      <c r="AT859" s="139"/>
      <c r="AU859" s="139"/>
      <c r="AV859" s="139"/>
    </row>
    <row r="860">
      <c r="A860" s="139"/>
      <c r="B860" s="234"/>
      <c r="C860" s="139"/>
      <c r="D860" s="139"/>
      <c r="E860" s="139"/>
      <c r="F860" s="139"/>
      <c r="G860" s="139"/>
      <c r="H860" s="139"/>
      <c r="I860" s="139"/>
      <c r="J860" s="139"/>
      <c r="K860" s="139"/>
      <c r="L860" s="139"/>
      <c r="M860" s="139"/>
      <c r="N860" s="145"/>
      <c r="O860" s="139"/>
      <c r="P860" s="139"/>
      <c r="Q860" s="231"/>
      <c r="R860" s="139"/>
      <c r="S860" s="235"/>
      <c r="T860" s="235"/>
      <c r="U860" s="145"/>
      <c r="V860" s="145"/>
      <c r="W860" s="111"/>
      <c r="X860" s="233"/>
      <c r="Y860" s="226"/>
      <c r="Z860" s="139"/>
      <c r="AA860" s="139"/>
      <c r="AB860" s="139"/>
      <c r="AC860" s="139"/>
      <c r="AD860" s="139"/>
      <c r="AE860" s="139"/>
      <c r="AF860" s="139"/>
      <c r="AG860" s="139"/>
      <c r="AH860" s="139"/>
      <c r="AI860" s="139"/>
      <c r="AJ860" s="139"/>
      <c r="AK860" s="139"/>
      <c r="AL860" s="139"/>
      <c r="AM860" s="139"/>
      <c r="AN860" s="139"/>
      <c r="AO860" s="139"/>
      <c r="AP860" s="139"/>
      <c r="AQ860" s="139"/>
      <c r="AR860" s="139"/>
      <c r="AS860" s="139"/>
      <c r="AT860" s="139"/>
      <c r="AU860" s="139"/>
      <c r="AV860" s="139"/>
    </row>
    <row r="861">
      <c r="A861" s="139"/>
      <c r="B861" s="234"/>
      <c r="C861" s="139"/>
      <c r="D861" s="139"/>
      <c r="E861" s="139"/>
      <c r="F861" s="139"/>
      <c r="G861" s="139"/>
      <c r="H861" s="139"/>
      <c r="I861" s="139"/>
      <c r="J861" s="139"/>
      <c r="K861" s="139"/>
      <c r="L861" s="139"/>
      <c r="M861" s="139"/>
      <c r="N861" s="145"/>
      <c r="O861" s="139"/>
      <c r="P861" s="139"/>
      <c r="Q861" s="231"/>
      <c r="R861" s="139"/>
      <c r="S861" s="235"/>
      <c r="T861" s="235"/>
      <c r="U861" s="145"/>
      <c r="V861" s="145"/>
      <c r="W861" s="111"/>
      <c r="X861" s="233"/>
      <c r="Y861" s="226"/>
      <c r="Z861" s="139"/>
      <c r="AA861" s="139"/>
      <c r="AB861" s="139"/>
      <c r="AC861" s="139"/>
      <c r="AD861" s="139"/>
      <c r="AE861" s="139"/>
      <c r="AF861" s="139"/>
      <c r="AG861" s="139"/>
      <c r="AH861" s="139"/>
      <c r="AI861" s="139"/>
      <c r="AJ861" s="139"/>
      <c r="AK861" s="139"/>
      <c r="AL861" s="139"/>
      <c r="AM861" s="139"/>
      <c r="AN861" s="139"/>
      <c r="AO861" s="139"/>
      <c r="AP861" s="139"/>
      <c r="AQ861" s="139"/>
      <c r="AR861" s="139"/>
      <c r="AS861" s="139"/>
      <c r="AT861" s="139"/>
      <c r="AU861" s="139"/>
      <c r="AV861" s="139"/>
    </row>
    <row r="862">
      <c r="A862" s="139"/>
      <c r="B862" s="234"/>
      <c r="C862" s="139"/>
      <c r="D862" s="139"/>
      <c r="E862" s="139"/>
      <c r="F862" s="139"/>
      <c r="G862" s="139"/>
      <c r="H862" s="139"/>
      <c r="I862" s="139"/>
      <c r="J862" s="139"/>
      <c r="K862" s="139"/>
      <c r="L862" s="139"/>
      <c r="M862" s="139"/>
      <c r="N862" s="145"/>
      <c r="O862" s="139"/>
      <c r="P862" s="139"/>
      <c r="Q862" s="231"/>
      <c r="R862" s="139"/>
      <c r="S862" s="235"/>
      <c r="T862" s="235"/>
      <c r="U862" s="145"/>
      <c r="V862" s="145"/>
      <c r="W862" s="111"/>
      <c r="X862" s="233"/>
      <c r="Y862" s="226"/>
      <c r="Z862" s="139"/>
      <c r="AA862" s="139"/>
      <c r="AB862" s="139"/>
      <c r="AC862" s="139"/>
      <c r="AD862" s="139"/>
      <c r="AE862" s="139"/>
      <c r="AF862" s="139"/>
      <c r="AG862" s="139"/>
      <c r="AH862" s="139"/>
      <c r="AI862" s="139"/>
      <c r="AJ862" s="139"/>
      <c r="AK862" s="139"/>
      <c r="AL862" s="139"/>
      <c r="AM862" s="139"/>
      <c r="AN862" s="139"/>
      <c r="AO862" s="139"/>
      <c r="AP862" s="139"/>
      <c r="AQ862" s="139"/>
      <c r="AR862" s="139"/>
      <c r="AS862" s="139"/>
      <c r="AT862" s="139"/>
      <c r="AU862" s="139"/>
      <c r="AV862" s="139"/>
    </row>
    <row r="863">
      <c r="A863" s="139"/>
      <c r="B863" s="234"/>
      <c r="C863" s="139"/>
      <c r="D863" s="139"/>
      <c r="E863" s="139"/>
      <c r="F863" s="139"/>
      <c r="G863" s="139"/>
      <c r="H863" s="139"/>
      <c r="I863" s="139"/>
      <c r="J863" s="139"/>
      <c r="K863" s="139"/>
      <c r="L863" s="139"/>
      <c r="M863" s="139"/>
      <c r="N863" s="145"/>
      <c r="O863" s="139"/>
      <c r="P863" s="139"/>
      <c r="Q863" s="231"/>
      <c r="R863" s="139"/>
      <c r="S863" s="235"/>
      <c r="T863" s="235"/>
      <c r="U863" s="145"/>
      <c r="V863" s="145"/>
      <c r="W863" s="111"/>
      <c r="X863" s="233"/>
      <c r="Y863" s="226"/>
      <c r="Z863" s="139"/>
      <c r="AA863" s="139"/>
      <c r="AB863" s="139"/>
      <c r="AC863" s="139"/>
      <c r="AD863" s="139"/>
      <c r="AE863" s="139"/>
      <c r="AF863" s="139"/>
      <c r="AG863" s="139"/>
      <c r="AH863" s="139"/>
      <c r="AI863" s="139"/>
      <c r="AJ863" s="139"/>
      <c r="AK863" s="139"/>
      <c r="AL863" s="139"/>
      <c r="AM863" s="139"/>
      <c r="AN863" s="139"/>
      <c r="AO863" s="139"/>
      <c r="AP863" s="139"/>
      <c r="AQ863" s="139"/>
      <c r="AR863" s="139"/>
      <c r="AS863" s="139"/>
      <c r="AT863" s="139"/>
      <c r="AU863" s="139"/>
      <c r="AV863" s="139"/>
    </row>
    <row r="864">
      <c r="A864" s="139"/>
      <c r="B864" s="234"/>
      <c r="C864" s="139"/>
      <c r="D864" s="139"/>
      <c r="E864" s="139"/>
      <c r="F864" s="139"/>
      <c r="G864" s="139"/>
      <c r="H864" s="139"/>
      <c r="I864" s="139"/>
      <c r="J864" s="139"/>
      <c r="K864" s="139"/>
      <c r="L864" s="139"/>
      <c r="M864" s="139"/>
      <c r="N864" s="145"/>
      <c r="O864" s="139"/>
      <c r="P864" s="139"/>
      <c r="Q864" s="231"/>
      <c r="R864" s="139"/>
      <c r="S864" s="235"/>
      <c r="T864" s="235"/>
      <c r="U864" s="145"/>
      <c r="V864" s="145"/>
      <c r="W864" s="111"/>
      <c r="X864" s="233"/>
      <c r="Y864" s="226"/>
      <c r="Z864" s="139"/>
      <c r="AA864" s="139"/>
      <c r="AB864" s="139"/>
      <c r="AC864" s="139"/>
      <c r="AD864" s="139"/>
      <c r="AE864" s="139"/>
      <c r="AF864" s="139"/>
      <c r="AG864" s="139"/>
      <c r="AH864" s="139"/>
      <c r="AI864" s="139"/>
      <c r="AJ864" s="139"/>
      <c r="AK864" s="139"/>
      <c r="AL864" s="139"/>
      <c r="AM864" s="139"/>
      <c r="AN864" s="139"/>
      <c r="AO864" s="139"/>
      <c r="AP864" s="139"/>
      <c r="AQ864" s="139"/>
      <c r="AR864" s="139"/>
      <c r="AS864" s="139"/>
      <c r="AT864" s="139"/>
      <c r="AU864" s="139"/>
      <c r="AV864" s="139"/>
    </row>
    <row r="865">
      <c r="A865" s="139"/>
      <c r="B865" s="234"/>
      <c r="C865" s="139"/>
      <c r="D865" s="139"/>
      <c r="E865" s="139"/>
      <c r="F865" s="139"/>
      <c r="G865" s="139"/>
      <c r="H865" s="139"/>
      <c r="I865" s="139"/>
      <c r="J865" s="139"/>
      <c r="K865" s="139"/>
      <c r="L865" s="139"/>
      <c r="M865" s="139"/>
      <c r="N865" s="145"/>
      <c r="O865" s="139"/>
      <c r="P865" s="139"/>
      <c r="Q865" s="231"/>
      <c r="R865" s="139"/>
      <c r="S865" s="235"/>
      <c r="T865" s="235"/>
      <c r="U865" s="145"/>
      <c r="V865" s="145"/>
      <c r="W865" s="111"/>
      <c r="X865" s="233"/>
      <c r="Y865" s="226"/>
      <c r="Z865" s="139"/>
      <c r="AA865" s="139"/>
      <c r="AB865" s="139"/>
      <c r="AC865" s="139"/>
      <c r="AD865" s="139"/>
      <c r="AE865" s="139"/>
      <c r="AF865" s="139"/>
      <c r="AG865" s="139"/>
      <c r="AH865" s="139"/>
      <c r="AI865" s="139"/>
      <c r="AJ865" s="139"/>
      <c r="AK865" s="139"/>
      <c r="AL865" s="139"/>
      <c r="AM865" s="139"/>
      <c r="AN865" s="139"/>
      <c r="AO865" s="139"/>
      <c r="AP865" s="139"/>
      <c r="AQ865" s="139"/>
      <c r="AR865" s="139"/>
      <c r="AS865" s="139"/>
      <c r="AT865" s="139"/>
      <c r="AU865" s="139"/>
      <c r="AV865" s="139"/>
    </row>
    <row r="866">
      <c r="A866" s="139"/>
      <c r="B866" s="234"/>
      <c r="C866" s="139"/>
      <c r="D866" s="139"/>
      <c r="E866" s="139"/>
      <c r="F866" s="139"/>
      <c r="G866" s="139"/>
      <c r="H866" s="139"/>
      <c r="I866" s="139"/>
      <c r="J866" s="139"/>
      <c r="K866" s="139"/>
      <c r="L866" s="139"/>
      <c r="M866" s="139"/>
      <c r="N866" s="145"/>
      <c r="O866" s="139"/>
      <c r="P866" s="139"/>
      <c r="Q866" s="231"/>
      <c r="R866" s="139"/>
      <c r="S866" s="235"/>
      <c r="T866" s="235"/>
      <c r="U866" s="145"/>
      <c r="V866" s="145"/>
      <c r="W866" s="111"/>
      <c r="X866" s="233"/>
      <c r="Y866" s="226"/>
      <c r="Z866" s="139"/>
      <c r="AA866" s="139"/>
      <c r="AB866" s="139"/>
      <c r="AC866" s="139"/>
      <c r="AD866" s="139"/>
      <c r="AE866" s="139"/>
      <c r="AF866" s="139"/>
      <c r="AG866" s="139"/>
      <c r="AH866" s="139"/>
      <c r="AI866" s="139"/>
      <c r="AJ866" s="139"/>
      <c r="AK866" s="139"/>
      <c r="AL866" s="139"/>
      <c r="AM866" s="139"/>
      <c r="AN866" s="139"/>
      <c r="AO866" s="139"/>
      <c r="AP866" s="139"/>
      <c r="AQ866" s="139"/>
      <c r="AR866" s="139"/>
      <c r="AS866" s="139"/>
      <c r="AT866" s="139"/>
      <c r="AU866" s="139"/>
      <c r="AV866" s="139"/>
    </row>
    <row r="867">
      <c r="A867" s="139"/>
      <c r="B867" s="234"/>
      <c r="C867" s="139"/>
      <c r="D867" s="139"/>
      <c r="E867" s="139"/>
      <c r="F867" s="139"/>
      <c r="G867" s="139"/>
      <c r="H867" s="139"/>
      <c r="I867" s="139"/>
      <c r="J867" s="139"/>
      <c r="K867" s="139"/>
      <c r="L867" s="139"/>
      <c r="M867" s="139"/>
      <c r="N867" s="145"/>
      <c r="O867" s="139"/>
      <c r="P867" s="139"/>
      <c r="Q867" s="231"/>
      <c r="R867" s="139"/>
      <c r="S867" s="235"/>
      <c r="T867" s="235"/>
      <c r="U867" s="145"/>
      <c r="V867" s="145"/>
      <c r="W867" s="111"/>
      <c r="X867" s="233"/>
      <c r="Y867" s="226"/>
      <c r="Z867" s="139"/>
      <c r="AA867" s="139"/>
      <c r="AB867" s="139"/>
      <c r="AC867" s="139"/>
      <c r="AD867" s="139"/>
      <c r="AE867" s="139"/>
      <c r="AF867" s="139"/>
      <c r="AG867" s="139"/>
      <c r="AH867" s="139"/>
      <c r="AI867" s="139"/>
      <c r="AJ867" s="139"/>
      <c r="AK867" s="139"/>
      <c r="AL867" s="139"/>
      <c r="AM867" s="139"/>
      <c r="AN867" s="139"/>
      <c r="AO867" s="139"/>
      <c r="AP867" s="139"/>
      <c r="AQ867" s="139"/>
      <c r="AR867" s="139"/>
      <c r="AS867" s="139"/>
      <c r="AT867" s="139"/>
      <c r="AU867" s="139"/>
      <c r="AV867" s="139"/>
    </row>
    <row r="868">
      <c r="A868" s="139"/>
      <c r="B868" s="234"/>
      <c r="C868" s="139"/>
      <c r="D868" s="139"/>
      <c r="E868" s="139"/>
      <c r="F868" s="139"/>
      <c r="G868" s="139"/>
      <c r="H868" s="139"/>
      <c r="I868" s="139"/>
      <c r="J868" s="139"/>
      <c r="K868" s="139"/>
      <c r="L868" s="139"/>
      <c r="M868" s="139"/>
      <c r="N868" s="145"/>
      <c r="O868" s="139"/>
      <c r="P868" s="139"/>
      <c r="Q868" s="231"/>
      <c r="R868" s="139"/>
      <c r="S868" s="235"/>
      <c r="T868" s="235"/>
      <c r="U868" s="145"/>
      <c r="V868" s="145"/>
      <c r="W868" s="111"/>
      <c r="X868" s="233"/>
      <c r="Y868" s="226"/>
      <c r="Z868" s="139"/>
      <c r="AA868" s="139"/>
      <c r="AB868" s="139"/>
      <c r="AC868" s="139"/>
      <c r="AD868" s="139"/>
      <c r="AE868" s="139"/>
      <c r="AF868" s="139"/>
      <c r="AG868" s="139"/>
      <c r="AH868" s="139"/>
      <c r="AI868" s="139"/>
      <c r="AJ868" s="139"/>
      <c r="AK868" s="139"/>
      <c r="AL868" s="139"/>
      <c r="AM868" s="139"/>
      <c r="AN868" s="139"/>
      <c r="AO868" s="139"/>
      <c r="AP868" s="139"/>
      <c r="AQ868" s="139"/>
      <c r="AR868" s="139"/>
      <c r="AS868" s="139"/>
      <c r="AT868" s="139"/>
      <c r="AU868" s="139"/>
      <c r="AV868" s="139"/>
    </row>
    <row r="869">
      <c r="A869" s="139"/>
      <c r="B869" s="234"/>
      <c r="C869" s="139"/>
      <c r="D869" s="139"/>
      <c r="E869" s="139"/>
      <c r="F869" s="139"/>
      <c r="G869" s="139"/>
      <c r="H869" s="139"/>
      <c r="I869" s="139"/>
      <c r="J869" s="139"/>
      <c r="K869" s="139"/>
      <c r="L869" s="139"/>
      <c r="M869" s="139"/>
      <c r="N869" s="145"/>
      <c r="O869" s="139"/>
      <c r="P869" s="139"/>
      <c r="Q869" s="231"/>
      <c r="R869" s="139"/>
      <c r="S869" s="235"/>
      <c r="T869" s="235"/>
      <c r="U869" s="145"/>
      <c r="V869" s="145"/>
      <c r="W869" s="111"/>
      <c r="X869" s="233"/>
      <c r="Y869" s="226"/>
      <c r="Z869" s="139"/>
      <c r="AA869" s="139"/>
      <c r="AB869" s="139"/>
      <c r="AC869" s="139"/>
      <c r="AD869" s="139"/>
      <c r="AE869" s="139"/>
      <c r="AF869" s="139"/>
      <c r="AG869" s="139"/>
      <c r="AH869" s="139"/>
      <c r="AI869" s="139"/>
      <c r="AJ869" s="139"/>
      <c r="AK869" s="139"/>
      <c r="AL869" s="139"/>
      <c r="AM869" s="139"/>
      <c r="AN869" s="139"/>
      <c r="AO869" s="139"/>
      <c r="AP869" s="139"/>
      <c r="AQ869" s="139"/>
      <c r="AR869" s="139"/>
      <c r="AS869" s="139"/>
      <c r="AT869" s="139"/>
      <c r="AU869" s="139"/>
      <c r="AV869" s="139"/>
    </row>
    <row r="870">
      <c r="A870" s="139"/>
      <c r="B870" s="234"/>
      <c r="C870" s="139"/>
      <c r="D870" s="139"/>
      <c r="E870" s="139"/>
      <c r="F870" s="139"/>
      <c r="G870" s="139"/>
      <c r="H870" s="139"/>
      <c r="I870" s="139"/>
      <c r="J870" s="139"/>
      <c r="K870" s="139"/>
      <c r="L870" s="139"/>
      <c r="M870" s="139"/>
      <c r="N870" s="145"/>
      <c r="O870" s="139"/>
      <c r="P870" s="139"/>
      <c r="Q870" s="231"/>
      <c r="R870" s="139"/>
      <c r="S870" s="235"/>
      <c r="T870" s="235"/>
      <c r="U870" s="145"/>
      <c r="V870" s="145"/>
      <c r="W870" s="111"/>
      <c r="X870" s="233"/>
      <c r="Y870" s="226"/>
      <c r="Z870" s="139"/>
      <c r="AA870" s="139"/>
      <c r="AB870" s="139"/>
      <c r="AC870" s="139"/>
      <c r="AD870" s="139"/>
      <c r="AE870" s="139"/>
      <c r="AF870" s="139"/>
      <c r="AG870" s="139"/>
      <c r="AH870" s="139"/>
      <c r="AI870" s="139"/>
      <c r="AJ870" s="139"/>
      <c r="AK870" s="139"/>
      <c r="AL870" s="139"/>
      <c r="AM870" s="139"/>
      <c r="AN870" s="139"/>
      <c r="AO870" s="139"/>
      <c r="AP870" s="139"/>
      <c r="AQ870" s="139"/>
      <c r="AR870" s="139"/>
      <c r="AS870" s="139"/>
      <c r="AT870" s="139"/>
      <c r="AU870" s="139"/>
      <c r="AV870" s="139"/>
    </row>
    <row r="871">
      <c r="A871" s="139"/>
      <c r="B871" s="234"/>
      <c r="C871" s="139"/>
      <c r="D871" s="139"/>
      <c r="E871" s="139"/>
      <c r="F871" s="139"/>
      <c r="G871" s="139"/>
      <c r="H871" s="139"/>
      <c r="I871" s="139"/>
      <c r="J871" s="139"/>
      <c r="K871" s="139"/>
      <c r="L871" s="139"/>
      <c r="M871" s="139"/>
      <c r="N871" s="145"/>
      <c r="O871" s="139"/>
      <c r="P871" s="139"/>
      <c r="Q871" s="231"/>
      <c r="R871" s="139"/>
      <c r="S871" s="235"/>
      <c r="T871" s="235"/>
      <c r="U871" s="145"/>
      <c r="V871" s="145"/>
      <c r="W871" s="111"/>
      <c r="X871" s="233"/>
      <c r="Y871" s="226"/>
      <c r="Z871" s="139"/>
      <c r="AA871" s="139"/>
      <c r="AB871" s="139"/>
      <c r="AC871" s="139"/>
      <c r="AD871" s="139"/>
      <c r="AE871" s="139"/>
      <c r="AF871" s="139"/>
      <c r="AG871" s="139"/>
      <c r="AH871" s="139"/>
      <c r="AI871" s="139"/>
      <c r="AJ871" s="139"/>
      <c r="AK871" s="139"/>
      <c r="AL871" s="139"/>
      <c r="AM871" s="139"/>
      <c r="AN871" s="139"/>
      <c r="AO871" s="139"/>
      <c r="AP871" s="139"/>
      <c r="AQ871" s="139"/>
      <c r="AR871" s="139"/>
      <c r="AS871" s="139"/>
      <c r="AT871" s="139"/>
      <c r="AU871" s="139"/>
      <c r="AV871" s="139"/>
    </row>
    <row r="872">
      <c r="A872" s="139"/>
      <c r="B872" s="234"/>
      <c r="C872" s="139"/>
      <c r="D872" s="139"/>
      <c r="E872" s="139"/>
      <c r="F872" s="139"/>
      <c r="G872" s="139"/>
      <c r="H872" s="139"/>
      <c r="I872" s="139"/>
      <c r="J872" s="139"/>
      <c r="K872" s="139"/>
      <c r="L872" s="139"/>
      <c r="M872" s="139"/>
      <c r="N872" s="145"/>
      <c r="O872" s="139"/>
      <c r="P872" s="139"/>
      <c r="Q872" s="231"/>
      <c r="R872" s="139"/>
      <c r="S872" s="235"/>
      <c r="T872" s="235"/>
      <c r="U872" s="145"/>
      <c r="V872" s="145"/>
      <c r="W872" s="111"/>
      <c r="X872" s="233"/>
      <c r="Y872" s="226"/>
      <c r="Z872" s="139"/>
      <c r="AA872" s="139"/>
      <c r="AB872" s="139"/>
      <c r="AC872" s="139"/>
      <c r="AD872" s="139"/>
      <c r="AE872" s="139"/>
      <c r="AF872" s="139"/>
      <c r="AG872" s="139"/>
      <c r="AH872" s="139"/>
      <c r="AI872" s="139"/>
      <c r="AJ872" s="139"/>
      <c r="AK872" s="139"/>
      <c r="AL872" s="139"/>
      <c r="AM872" s="139"/>
      <c r="AN872" s="139"/>
      <c r="AO872" s="139"/>
      <c r="AP872" s="139"/>
      <c r="AQ872" s="139"/>
      <c r="AR872" s="139"/>
      <c r="AS872" s="139"/>
      <c r="AT872" s="139"/>
      <c r="AU872" s="139"/>
      <c r="AV872" s="139"/>
    </row>
    <row r="873">
      <c r="A873" s="139"/>
      <c r="B873" s="234"/>
      <c r="C873" s="139"/>
      <c r="D873" s="139"/>
      <c r="E873" s="139"/>
      <c r="F873" s="139"/>
      <c r="G873" s="139"/>
      <c r="H873" s="139"/>
      <c r="I873" s="139"/>
      <c r="J873" s="139"/>
      <c r="K873" s="139"/>
      <c r="L873" s="139"/>
      <c r="M873" s="139"/>
      <c r="N873" s="145"/>
      <c r="O873" s="139"/>
      <c r="P873" s="139"/>
      <c r="Q873" s="231"/>
      <c r="R873" s="139"/>
      <c r="S873" s="235"/>
      <c r="T873" s="235"/>
      <c r="U873" s="145"/>
      <c r="V873" s="145"/>
      <c r="W873" s="111"/>
      <c r="X873" s="233"/>
      <c r="Y873" s="226"/>
      <c r="Z873" s="139"/>
      <c r="AA873" s="139"/>
      <c r="AB873" s="139"/>
      <c r="AC873" s="139"/>
      <c r="AD873" s="139"/>
      <c r="AE873" s="139"/>
      <c r="AF873" s="139"/>
      <c r="AG873" s="139"/>
      <c r="AH873" s="139"/>
      <c r="AI873" s="139"/>
      <c r="AJ873" s="139"/>
      <c r="AK873" s="139"/>
      <c r="AL873" s="139"/>
      <c r="AM873" s="139"/>
      <c r="AN873" s="139"/>
      <c r="AO873" s="139"/>
      <c r="AP873" s="139"/>
      <c r="AQ873" s="139"/>
      <c r="AR873" s="139"/>
      <c r="AS873" s="139"/>
      <c r="AT873" s="139"/>
      <c r="AU873" s="139"/>
      <c r="AV873" s="139"/>
    </row>
    <row r="874">
      <c r="A874" s="139"/>
      <c r="B874" s="234"/>
      <c r="C874" s="139"/>
      <c r="D874" s="139"/>
      <c r="E874" s="139"/>
      <c r="F874" s="139"/>
      <c r="G874" s="139"/>
      <c r="H874" s="139"/>
      <c r="I874" s="139"/>
      <c r="J874" s="139"/>
      <c r="K874" s="139"/>
      <c r="L874" s="139"/>
      <c r="M874" s="139"/>
      <c r="N874" s="145"/>
      <c r="O874" s="139"/>
      <c r="P874" s="139"/>
      <c r="Q874" s="231"/>
      <c r="R874" s="139"/>
      <c r="S874" s="235"/>
      <c r="T874" s="235"/>
      <c r="U874" s="145"/>
      <c r="V874" s="145"/>
      <c r="W874" s="111"/>
      <c r="X874" s="233"/>
      <c r="Y874" s="226"/>
      <c r="Z874" s="139"/>
      <c r="AA874" s="139"/>
      <c r="AB874" s="139"/>
      <c r="AC874" s="139"/>
      <c r="AD874" s="139"/>
      <c r="AE874" s="139"/>
      <c r="AF874" s="139"/>
      <c r="AG874" s="139"/>
      <c r="AH874" s="139"/>
      <c r="AI874" s="139"/>
      <c r="AJ874" s="139"/>
      <c r="AK874" s="139"/>
      <c r="AL874" s="139"/>
      <c r="AM874" s="139"/>
      <c r="AN874" s="139"/>
      <c r="AO874" s="139"/>
      <c r="AP874" s="139"/>
      <c r="AQ874" s="139"/>
      <c r="AR874" s="139"/>
      <c r="AS874" s="139"/>
      <c r="AT874" s="139"/>
      <c r="AU874" s="139"/>
      <c r="AV874" s="139"/>
    </row>
    <row r="875">
      <c r="A875" s="139"/>
      <c r="B875" s="234"/>
      <c r="C875" s="139"/>
      <c r="D875" s="139"/>
      <c r="E875" s="139"/>
      <c r="F875" s="139"/>
      <c r="G875" s="139"/>
      <c r="H875" s="139"/>
      <c r="I875" s="139"/>
      <c r="J875" s="139"/>
      <c r="K875" s="139"/>
      <c r="L875" s="139"/>
      <c r="M875" s="139"/>
      <c r="N875" s="145"/>
      <c r="O875" s="139"/>
      <c r="P875" s="139"/>
      <c r="Q875" s="231"/>
      <c r="R875" s="139"/>
      <c r="S875" s="235"/>
      <c r="T875" s="235"/>
      <c r="U875" s="145"/>
      <c r="V875" s="145"/>
      <c r="W875" s="111"/>
      <c r="X875" s="233"/>
      <c r="Y875" s="226"/>
      <c r="Z875" s="139"/>
      <c r="AA875" s="139"/>
      <c r="AB875" s="139"/>
      <c r="AC875" s="139"/>
      <c r="AD875" s="139"/>
      <c r="AE875" s="139"/>
      <c r="AF875" s="139"/>
      <c r="AG875" s="139"/>
      <c r="AH875" s="139"/>
      <c r="AI875" s="139"/>
      <c r="AJ875" s="139"/>
      <c r="AK875" s="139"/>
      <c r="AL875" s="139"/>
      <c r="AM875" s="139"/>
      <c r="AN875" s="139"/>
      <c r="AO875" s="139"/>
      <c r="AP875" s="139"/>
      <c r="AQ875" s="139"/>
      <c r="AR875" s="139"/>
      <c r="AS875" s="139"/>
      <c r="AT875" s="139"/>
      <c r="AU875" s="139"/>
      <c r="AV875" s="139"/>
    </row>
    <row r="876">
      <c r="A876" s="139"/>
      <c r="B876" s="234"/>
      <c r="C876" s="139"/>
      <c r="D876" s="139"/>
      <c r="E876" s="139"/>
      <c r="F876" s="139"/>
      <c r="G876" s="139"/>
      <c r="H876" s="139"/>
      <c r="I876" s="139"/>
      <c r="J876" s="139"/>
      <c r="K876" s="139"/>
      <c r="L876" s="139"/>
      <c r="M876" s="139"/>
      <c r="N876" s="145"/>
      <c r="O876" s="139"/>
      <c r="P876" s="139"/>
      <c r="Q876" s="231"/>
      <c r="R876" s="139"/>
      <c r="S876" s="235"/>
      <c r="T876" s="235"/>
      <c r="U876" s="145"/>
      <c r="V876" s="145"/>
      <c r="W876" s="111"/>
      <c r="X876" s="233"/>
      <c r="Y876" s="226"/>
      <c r="Z876" s="139"/>
      <c r="AA876" s="139"/>
      <c r="AB876" s="139"/>
      <c r="AC876" s="139"/>
      <c r="AD876" s="139"/>
      <c r="AE876" s="139"/>
      <c r="AF876" s="139"/>
      <c r="AG876" s="139"/>
      <c r="AH876" s="139"/>
      <c r="AI876" s="139"/>
      <c r="AJ876" s="139"/>
      <c r="AK876" s="139"/>
      <c r="AL876" s="139"/>
      <c r="AM876" s="139"/>
      <c r="AN876" s="139"/>
      <c r="AO876" s="139"/>
      <c r="AP876" s="139"/>
      <c r="AQ876" s="139"/>
      <c r="AR876" s="139"/>
      <c r="AS876" s="139"/>
      <c r="AT876" s="139"/>
      <c r="AU876" s="139"/>
      <c r="AV876" s="139"/>
    </row>
    <row r="877">
      <c r="A877" s="139"/>
      <c r="B877" s="234"/>
      <c r="C877" s="139"/>
      <c r="D877" s="139"/>
      <c r="E877" s="139"/>
      <c r="F877" s="139"/>
      <c r="G877" s="139"/>
      <c r="H877" s="139"/>
      <c r="I877" s="139"/>
      <c r="J877" s="139"/>
      <c r="K877" s="139"/>
      <c r="L877" s="139"/>
      <c r="M877" s="139"/>
      <c r="N877" s="145"/>
      <c r="O877" s="139"/>
      <c r="P877" s="139"/>
      <c r="Q877" s="231"/>
      <c r="R877" s="139"/>
      <c r="S877" s="235"/>
      <c r="T877" s="235"/>
      <c r="U877" s="145"/>
      <c r="V877" s="145"/>
      <c r="W877" s="111"/>
      <c r="X877" s="233"/>
      <c r="Y877" s="226"/>
      <c r="Z877" s="139"/>
      <c r="AA877" s="139"/>
      <c r="AB877" s="139"/>
      <c r="AC877" s="139"/>
      <c r="AD877" s="139"/>
      <c r="AE877" s="139"/>
      <c r="AF877" s="139"/>
      <c r="AG877" s="139"/>
      <c r="AH877" s="139"/>
      <c r="AI877" s="139"/>
      <c r="AJ877" s="139"/>
      <c r="AK877" s="139"/>
      <c r="AL877" s="139"/>
      <c r="AM877" s="139"/>
      <c r="AN877" s="139"/>
      <c r="AO877" s="139"/>
      <c r="AP877" s="139"/>
      <c r="AQ877" s="139"/>
      <c r="AR877" s="139"/>
      <c r="AS877" s="139"/>
      <c r="AT877" s="139"/>
      <c r="AU877" s="139"/>
      <c r="AV877" s="139"/>
    </row>
    <row r="878">
      <c r="A878" s="139"/>
      <c r="B878" s="234"/>
      <c r="C878" s="139"/>
      <c r="D878" s="139"/>
      <c r="E878" s="139"/>
      <c r="F878" s="139"/>
      <c r="G878" s="139"/>
      <c r="H878" s="139"/>
      <c r="I878" s="139"/>
      <c r="J878" s="139"/>
      <c r="K878" s="139"/>
      <c r="L878" s="139"/>
      <c r="M878" s="139"/>
      <c r="N878" s="145"/>
      <c r="O878" s="139"/>
      <c r="P878" s="139"/>
      <c r="Q878" s="231"/>
      <c r="R878" s="139"/>
      <c r="S878" s="235"/>
      <c r="T878" s="235"/>
      <c r="U878" s="145"/>
      <c r="V878" s="145"/>
      <c r="W878" s="111"/>
      <c r="X878" s="233"/>
      <c r="Y878" s="226"/>
      <c r="Z878" s="139"/>
      <c r="AA878" s="139"/>
      <c r="AB878" s="139"/>
      <c r="AC878" s="139"/>
      <c r="AD878" s="139"/>
      <c r="AE878" s="139"/>
      <c r="AF878" s="139"/>
      <c r="AG878" s="139"/>
      <c r="AH878" s="139"/>
      <c r="AI878" s="139"/>
      <c r="AJ878" s="139"/>
      <c r="AK878" s="139"/>
      <c r="AL878" s="139"/>
      <c r="AM878" s="139"/>
      <c r="AN878" s="139"/>
      <c r="AO878" s="139"/>
      <c r="AP878" s="139"/>
      <c r="AQ878" s="139"/>
      <c r="AR878" s="139"/>
      <c r="AS878" s="139"/>
      <c r="AT878" s="139"/>
      <c r="AU878" s="139"/>
      <c r="AV878" s="139"/>
    </row>
    <row r="879">
      <c r="A879" s="139"/>
      <c r="B879" s="234"/>
      <c r="C879" s="139"/>
      <c r="D879" s="139"/>
      <c r="E879" s="139"/>
      <c r="F879" s="139"/>
      <c r="G879" s="139"/>
      <c r="H879" s="139"/>
      <c r="I879" s="139"/>
      <c r="J879" s="139"/>
      <c r="K879" s="139"/>
      <c r="L879" s="139"/>
      <c r="M879" s="139"/>
      <c r="N879" s="145"/>
      <c r="O879" s="139"/>
      <c r="P879" s="139"/>
      <c r="Q879" s="231"/>
      <c r="R879" s="139"/>
      <c r="S879" s="235"/>
      <c r="T879" s="235"/>
      <c r="U879" s="145"/>
      <c r="V879" s="145"/>
      <c r="W879" s="111"/>
      <c r="X879" s="233"/>
      <c r="Y879" s="226"/>
      <c r="Z879" s="139"/>
      <c r="AA879" s="139"/>
      <c r="AB879" s="139"/>
      <c r="AC879" s="139"/>
      <c r="AD879" s="139"/>
      <c r="AE879" s="139"/>
      <c r="AF879" s="139"/>
      <c r="AG879" s="139"/>
      <c r="AH879" s="139"/>
      <c r="AI879" s="139"/>
      <c r="AJ879" s="139"/>
      <c r="AK879" s="139"/>
      <c r="AL879" s="139"/>
      <c r="AM879" s="139"/>
      <c r="AN879" s="139"/>
      <c r="AO879" s="139"/>
      <c r="AP879" s="139"/>
      <c r="AQ879" s="139"/>
      <c r="AR879" s="139"/>
      <c r="AS879" s="139"/>
      <c r="AT879" s="139"/>
      <c r="AU879" s="139"/>
      <c r="AV879" s="139"/>
    </row>
    <row r="880">
      <c r="A880" s="139"/>
      <c r="B880" s="234"/>
      <c r="C880" s="139"/>
      <c r="D880" s="139"/>
      <c r="E880" s="139"/>
      <c r="F880" s="139"/>
      <c r="G880" s="139"/>
      <c r="H880" s="139"/>
      <c r="I880" s="139"/>
      <c r="J880" s="139"/>
      <c r="K880" s="139"/>
      <c r="L880" s="139"/>
      <c r="M880" s="139"/>
      <c r="N880" s="145"/>
      <c r="O880" s="139"/>
      <c r="P880" s="139"/>
      <c r="Q880" s="231"/>
      <c r="R880" s="139"/>
      <c r="S880" s="235"/>
      <c r="T880" s="235"/>
      <c r="U880" s="145"/>
      <c r="V880" s="145"/>
      <c r="W880" s="111"/>
      <c r="X880" s="233"/>
      <c r="Y880" s="226"/>
      <c r="Z880" s="139"/>
      <c r="AA880" s="139"/>
      <c r="AB880" s="139"/>
      <c r="AC880" s="139"/>
      <c r="AD880" s="139"/>
      <c r="AE880" s="139"/>
      <c r="AF880" s="139"/>
      <c r="AG880" s="139"/>
      <c r="AH880" s="139"/>
      <c r="AI880" s="139"/>
      <c r="AJ880" s="139"/>
      <c r="AK880" s="139"/>
      <c r="AL880" s="139"/>
      <c r="AM880" s="139"/>
      <c r="AN880" s="139"/>
      <c r="AO880" s="139"/>
      <c r="AP880" s="139"/>
      <c r="AQ880" s="139"/>
      <c r="AR880" s="139"/>
      <c r="AS880" s="139"/>
      <c r="AT880" s="139"/>
      <c r="AU880" s="139"/>
      <c r="AV880" s="139"/>
    </row>
    <row r="881">
      <c r="A881" s="139"/>
      <c r="B881" s="234"/>
      <c r="C881" s="139"/>
      <c r="D881" s="139"/>
      <c r="E881" s="139"/>
      <c r="F881" s="139"/>
      <c r="G881" s="139"/>
      <c r="H881" s="139"/>
      <c r="I881" s="139"/>
      <c r="J881" s="139"/>
      <c r="K881" s="139"/>
      <c r="L881" s="139"/>
      <c r="M881" s="139"/>
      <c r="N881" s="145"/>
      <c r="O881" s="139"/>
      <c r="P881" s="139"/>
      <c r="Q881" s="231"/>
      <c r="R881" s="139"/>
      <c r="S881" s="235"/>
      <c r="T881" s="235"/>
      <c r="U881" s="145"/>
      <c r="V881" s="145"/>
      <c r="W881" s="111"/>
      <c r="X881" s="233"/>
      <c r="Y881" s="226"/>
      <c r="Z881" s="139"/>
      <c r="AA881" s="139"/>
      <c r="AB881" s="139"/>
      <c r="AC881" s="139"/>
      <c r="AD881" s="139"/>
      <c r="AE881" s="139"/>
      <c r="AF881" s="139"/>
      <c r="AG881" s="139"/>
      <c r="AH881" s="139"/>
      <c r="AI881" s="139"/>
      <c r="AJ881" s="139"/>
      <c r="AK881" s="139"/>
      <c r="AL881" s="139"/>
      <c r="AM881" s="139"/>
      <c r="AN881" s="139"/>
      <c r="AO881" s="139"/>
      <c r="AP881" s="139"/>
      <c r="AQ881" s="139"/>
      <c r="AR881" s="139"/>
      <c r="AS881" s="139"/>
      <c r="AT881" s="139"/>
      <c r="AU881" s="139"/>
      <c r="AV881" s="139"/>
    </row>
    <row r="882">
      <c r="A882" s="139"/>
      <c r="B882" s="234"/>
      <c r="C882" s="139"/>
      <c r="D882" s="139"/>
      <c r="E882" s="139"/>
      <c r="F882" s="139"/>
      <c r="G882" s="139"/>
      <c r="H882" s="139"/>
      <c r="I882" s="139"/>
      <c r="J882" s="139"/>
      <c r="K882" s="139"/>
      <c r="L882" s="139"/>
      <c r="M882" s="139"/>
      <c r="N882" s="145"/>
      <c r="O882" s="139"/>
      <c r="P882" s="139"/>
      <c r="Q882" s="231"/>
      <c r="R882" s="139"/>
      <c r="S882" s="235"/>
      <c r="T882" s="235"/>
      <c r="U882" s="145"/>
      <c r="V882" s="145"/>
      <c r="W882" s="111"/>
      <c r="X882" s="233"/>
      <c r="Y882" s="226"/>
      <c r="Z882" s="139"/>
      <c r="AA882" s="139"/>
      <c r="AB882" s="139"/>
      <c r="AC882" s="139"/>
      <c r="AD882" s="139"/>
      <c r="AE882" s="139"/>
      <c r="AF882" s="139"/>
      <c r="AG882" s="139"/>
      <c r="AH882" s="139"/>
      <c r="AI882" s="139"/>
      <c r="AJ882" s="139"/>
      <c r="AK882" s="139"/>
      <c r="AL882" s="139"/>
      <c r="AM882" s="139"/>
      <c r="AN882" s="139"/>
      <c r="AO882" s="139"/>
      <c r="AP882" s="139"/>
      <c r="AQ882" s="139"/>
      <c r="AR882" s="139"/>
      <c r="AS882" s="139"/>
      <c r="AT882" s="139"/>
      <c r="AU882" s="139"/>
      <c r="AV882" s="139"/>
    </row>
    <row r="883">
      <c r="A883" s="139"/>
      <c r="B883" s="234"/>
      <c r="C883" s="139"/>
      <c r="D883" s="139"/>
      <c r="E883" s="139"/>
      <c r="F883" s="139"/>
      <c r="G883" s="139"/>
      <c r="H883" s="139"/>
      <c r="I883" s="139"/>
      <c r="J883" s="139"/>
      <c r="K883" s="139"/>
      <c r="L883" s="139"/>
      <c r="M883" s="139"/>
      <c r="N883" s="145"/>
      <c r="O883" s="139"/>
      <c r="P883" s="139"/>
      <c r="Q883" s="231"/>
      <c r="R883" s="139"/>
      <c r="S883" s="235"/>
      <c r="T883" s="235"/>
      <c r="U883" s="145"/>
      <c r="V883" s="145"/>
      <c r="W883" s="111"/>
      <c r="X883" s="233"/>
      <c r="Y883" s="226"/>
      <c r="Z883" s="139"/>
      <c r="AA883" s="139"/>
      <c r="AB883" s="139"/>
      <c r="AC883" s="139"/>
      <c r="AD883" s="139"/>
      <c r="AE883" s="139"/>
      <c r="AF883" s="139"/>
      <c r="AG883" s="139"/>
      <c r="AH883" s="139"/>
      <c r="AI883" s="139"/>
      <c r="AJ883" s="139"/>
      <c r="AK883" s="139"/>
      <c r="AL883" s="139"/>
      <c r="AM883" s="139"/>
      <c r="AN883" s="139"/>
      <c r="AO883" s="139"/>
      <c r="AP883" s="139"/>
      <c r="AQ883" s="139"/>
      <c r="AR883" s="139"/>
      <c r="AS883" s="139"/>
      <c r="AT883" s="139"/>
      <c r="AU883" s="139"/>
      <c r="AV883" s="139"/>
    </row>
    <row r="884">
      <c r="A884" s="139"/>
      <c r="B884" s="234"/>
      <c r="C884" s="139"/>
      <c r="D884" s="139"/>
      <c r="E884" s="139"/>
      <c r="F884" s="139"/>
      <c r="G884" s="139"/>
      <c r="H884" s="139"/>
      <c r="I884" s="139"/>
      <c r="J884" s="139"/>
      <c r="K884" s="139"/>
      <c r="L884" s="139"/>
      <c r="M884" s="139"/>
      <c r="N884" s="145"/>
      <c r="O884" s="139"/>
      <c r="P884" s="139"/>
      <c r="Q884" s="231"/>
      <c r="R884" s="139"/>
      <c r="S884" s="235"/>
      <c r="T884" s="235"/>
      <c r="U884" s="145"/>
      <c r="V884" s="145"/>
      <c r="W884" s="111"/>
      <c r="X884" s="233"/>
      <c r="Y884" s="226"/>
      <c r="Z884" s="139"/>
      <c r="AA884" s="139"/>
      <c r="AB884" s="139"/>
      <c r="AC884" s="139"/>
      <c r="AD884" s="139"/>
      <c r="AE884" s="139"/>
      <c r="AF884" s="139"/>
      <c r="AG884" s="139"/>
      <c r="AH884" s="139"/>
      <c r="AI884" s="139"/>
      <c r="AJ884" s="139"/>
      <c r="AK884" s="139"/>
      <c r="AL884" s="139"/>
      <c r="AM884" s="139"/>
      <c r="AN884" s="139"/>
      <c r="AO884" s="139"/>
      <c r="AP884" s="139"/>
      <c r="AQ884" s="139"/>
      <c r="AR884" s="139"/>
      <c r="AS884" s="139"/>
      <c r="AT884" s="139"/>
      <c r="AU884" s="139"/>
      <c r="AV884" s="139"/>
    </row>
    <row r="885">
      <c r="A885" s="139"/>
      <c r="B885" s="234"/>
      <c r="C885" s="139"/>
      <c r="D885" s="139"/>
      <c r="E885" s="139"/>
      <c r="F885" s="139"/>
      <c r="G885" s="139"/>
      <c r="H885" s="139"/>
      <c r="I885" s="139"/>
      <c r="J885" s="139"/>
      <c r="K885" s="139"/>
      <c r="L885" s="139"/>
      <c r="M885" s="139"/>
      <c r="N885" s="145"/>
      <c r="O885" s="139"/>
      <c r="P885" s="139"/>
      <c r="Q885" s="231"/>
      <c r="R885" s="139"/>
      <c r="S885" s="235"/>
      <c r="T885" s="235"/>
      <c r="U885" s="145"/>
      <c r="V885" s="145"/>
      <c r="W885" s="111"/>
      <c r="X885" s="233"/>
      <c r="Y885" s="226"/>
      <c r="Z885" s="139"/>
      <c r="AA885" s="139"/>
      <c r="AB885" s="139"/>
      <c r="AC885" s="139"/>
      <c r="AD885" s="139"/>
      <c r="AE885" s="139"/>
      <c r="AF885" s="139"/>
      <c r="AG885" s="139"/>
      <c r="AH885" s="139"/>
      <c r="AI885" s="139"/>
      <c r="AJ885" s="139"/>
      <c r="AK885" s="139"/>
      <c r="AL885" s="139"/>
      <c r="AM885" s="139"/>
      <c r="AN885" s="139"/>
      <c r="AO885" s="139"/>
      <c r="AP885" s="139"/>
      <c r="AQ885" s="139"/>
      <c r="AR885" s="139"/>
      <c r="AS885" s="139"/>
      <c r="AT885" s="139"/>
      <c r="AU885" s="139"/>
      <c r="AV885" s="139"/>
    </row>
    <row r="886">
      <c r="A886" s="139"/>
      <c r="B886" s="234"/>
      <c r="C886" s="139"/>
      <c r="D886" s="139"/>
      <c r="E886" s="139"/>
      <c r="F886" s="139"/>
      <c r="G886" s="139"/>
      <c r="H886" s="139"/>
      <c r="I886" s="139"/>
      <c r="J886" s="139"/>
      <c r="K886" s="139"/>
      <c r="L886" s="139"/>
      <c r="M886" s="139"/>
      <c r="N886" s="145"/>
      <c r="O886" s="139"/>
      <c r="P886" s="139"/>
      <c r="Q886" s="231"/>
      <c r="R886" s="139"/>
      <c r="S886" s="235"/>
      <c r="T886" s="235"/>
      <c r="U886" s="145"/>
      <c r="V886" s="145"/>
      <c r="W886" s="111"/>
      <c r="X886" s="233"/>
      <c r="Y886" s="226"/>
      <c r="Z886" s="139"/>
      <c r="AA886" s="139"/>
      <c r="AB886" s="139"/>
      <c r="AC886" s="139"/>
      <c r="AD886" s="139"/>
      <c r="AE886" s="139"/>
      <c r="AF886" s="139"/>
      <c r="AG886" s="139"/>
      <c r="AH886" s="139"/>
      <c r="AI886" s="139"/>
      <c r="AJ886" s="139"/>
      <c r="AK886" s="139"/>
      <c r="AL886" s="139"/>
      <c r="AM886" s="139"/>
      <c r="AN886" s="139"/>
      <c r="AO886" s="139"/>
      <c r="AP886" s="139"/>
      <c r="AQ886" s="139"/>
      <c r="AR886" s="139"/>
      <c r="AS886" s="139"/>
      <c r="AT886" s="139"/>
      <c r="AU886" s="139"/>
      <c r="AV886" s="139"/>
    </row>
    <row r="887">
      <c r="A887" s="139"/>
      <c r="B887" s="234"/>
      <c r="C887" s="139"/>
      <c r="D887" s="139"/>
      <c r="E887" s="139"/>
      <c r="F887" s="139"/>
      <c r="G887" s="139"/>
      <c r="H887" s="139"/>
      <c r="I887" s="139"/>
      <c r="J887" s="139"/>
      <c r="K887" s="139"/>
      <c r="L887" s="139"/>
      <c r="M887" s="139"/>
      <c r="N887" s="145"/>
      <c r="O887" s="139"/>
      <c r="P887" s="139"/>
      <c r="Q887" s="231"/>
      <c r="R887" s="139"/>
      <c r="S887" s="235"/>
      <c r="T887" s="235"/>
      <c r="U887" s="145"/>
      <c r="V887" s="145"/>
      <c r="W887" s="111"/>
      <c r="X887" s="233"/>
      <c r="Y887" s="226"/>
      <c r="Z887" s="139"/>
      <c r="AA887" s="139"/>
      <c r="AB887" s="139"/>
      <c r="AC887" s="139"/>
      <c r="AD887" s="139"/>
      <c r="AE887" s="139"/>
      <c r="AF887" s="139"/>
      <c r="AG887" s="139"/>
      <c r="AH887" s="139"/>
      <c r="AI887" s="139"/>
      <c r="AJ887" s="139"/>
      <c r="AK887" s="139"/>
      <c r="AL887" s="139"/>
      <c r="AM887" s="139"/>
      <c r="AN887" s="139"/>
      <c r="AO887" s="139"/>
      <c r="AP887" s="139"/>
      <c r="AQ887" s="139"/>
      <c r="AR887" s="139"/>
      <c r="AS887" s="139"/>
      <c r="AT887" s="139"/>
      <c r="AU887" s="139"/>
      <c r="AV887" s="139"/>
    </row>
    <row r="888">
      <c r="A888" s="139"/>
      <c r="B888" s="234"/>
      <c r="C888" s="139"/>
      <c r="D888" s="139"/>
      <c r="E888" s="139"/>
      <c r="F888" s="139"/>
      <c r="G888" s="139"/>
      <c r="H888" s="139"/>
      <c r="I888" s="139"/>
      <c r="J888" s="139"/>
      <c r="K888" s="139"/>
      <c r="L888" s="139"/>
      <c r="M888" s="139"/>
      <c r="N888" s="145"/>
      <c r="O888" s="139"/>
      <c r="P888" s="139"/>
      <c r="Q888" s="231"/>
      <c r="R888" s="139"/>
      <c r="S888" s="235"/>
      <c r="T888" s="235"/>
      <c r="U888" s="145"/>
      <c r="V888" s="145"/>
      <c r="W888" s="111"/>
      <c r="X888" s="233"/>
      <c r="Y888" s="226"/>
      <c r="Z888" s="139"/>
      <c r="AA888" s="139"/>
      <c r="AB888" s="139"/>
      <c r="AC888" s="139"/>
      <c r="AD888" s="139"/>
      <c r="AE888" s="139"/>
      <c r="AF888" s="139"/>
      <c r="AG888" s="139"/>
      <c r="AH888" s="139"/>
      <c r="AI888" s="139"/>
      <c r="AJ888" s="139"/>
      <c r="AK888" s="139"/>
      <c r="AL888" s="139"/>
      <c r="AM888" s="139"/>
      <c r="AN888" s="139"/>
      <c r="AO888" s="139"/>
      <c r="AP888" s="139"/>
      <c r="AQ888" s="139"/>
      <c r="AR888" s="139"/>
      <c r="AS888" s="139"/>
      <c r="AT888" s="139"/>
      <c r="AU888" s="139"/>
      <c r="AV888" s="139"/>
    </row>
    <row r="889">
      <c r="A889" s="139"/>
      <c r="B889" s="234"/>
      <c r="C889" s="139"/>
      <c r="D889" s="139"/>
      <c r="E889" s="139"/>
      <c r="F889" s="139"/>
      <c r="G889" s="139"/>
      <c r="H889" s="139"/>
      <c r="I889" s="139"/>
      <c r="J889" s="139"/>
      <c r="K889" s="139"/>
      <c r="L889" s="139"/>
      <c r="M889" s="139"/>
      <c r="N889" s="145"/>
      <c r="O889" s="139"/>
      <c r="P889" s="139"/>
      <c r="Q889" s="231"/>
      <c r="R889" s="139"/>
      <c r="S889" s="235"/>
      <c r="T889" s="235"/>
      <c r="U889" s="145"/>
      <c r="V889" s="145"/>
      <c r="W889" s="111"/>
      <c r="X889" s="233"/>
      <c r="Y889" s="226"/>
      <c r="Z889" s="139"/>
      <c r="AA889" s="139"/>
      <c r="AB889" s="139"/>
      <c r="AC889" s="139"/>
      <c r="AD889" s="139"/>
      <c r="AE889" s="139"/>
      <c r="AF889" s="139"/>
      <c r="AG889" s="139"/>
      <c r="AH889" s="139"/>
      <c r="AI889" s="139"/>
      <c r="AJ889" s="139"/>
      <c r="AK889" s="139"/>
      <c r="AL889" s="139"/>
      <c r="AM889" s="139"/>
      <c r="AN889" s="139"/>
      <c r="AO889" s="139"/>
      <c r="AP889" s="139"/>
      <c r="AQ889" s="139"/>
      <c r="AR889" s="139"/>
      <c r="AS889" s="139"/>
      <c r="AT889" s="139"/>
      <c r="AU889" s="139"/>
      <c r="AV889" s="139"/>
    </row>
    <row r="890">
      <c r="A890" s="139"/>
      <c r="B890" s="234"/>
      <c r="C890" s="139"/>
      <c r="D890" s="139"/>
      <c r="E890" s="139"/>
      <c r="F890" s="139"/>
      <c r="G890" s="139"/>
      <c r="H890" s="139"/>
      <c r="I890" s="139"/>
      <c r="J890" s="139"/>
      <c r="K890" s="139"/>
      <c r="L890" s="139"/>
      <c r="M890" s="139"/>
      <c r="N890" s="145"/>
      <c r="O890" s="139"/>
      <c r="P890" s="139"/>
      <c r="Q890" s="231"/>
      <c r="R890" s="139"/>
      <c r="S890" s="235"/>
      <c r="T890" s="235"/>
      <c r="U890" s="145"/>
      <c r="V890" s="145"/>
      <c r="W890" s="111"/>
      <c r="X890" s="233"/>
      <c r="Y890" s="226"/>
      <c r="Z890" s="139"/>
      <c r="AA890" s="139"/>
      <c r="AB890" s="139"/>
      <c r="AC890" s="139"/>
      <c r="AD890" s="139"/>
      <c r="AE890" s="139"/>
      <c r="AF890" s="139"/>
      <c r="AG890" s="139"/>
      <c r="AH890" s="139"/>
      <c r="AI890" s="139"/>
      <c r="AJ890" s="139"/>
      <c r="AK890" s="139"/>
      <c r="AL890" s="139"/>
      <c r="AM890" s="139"/>
      <c r="AN890" s="139"/>
      <c r="AO890" s="139"/>
      <c r="AP890" s="139"/>
      <c r="AQ890" s="139"/>
      <c r="AR890" s="139"/>
      <c r="AS890" s="139"/>
      <c r="AT890" s="139"/>
      <c r="AU890" s="139"/>
      <c r="AV890" s="139"/>
    </row>
    <row r="891">
      <c r="A891" s="139"/>
      <c r="B891" s="234"/>
      <c r="C891" s="139"/>
      <c r="D891" s="139"/>
      <c r="E891" s="139"/>
      <c r="F891" s="139"/>
      <c r="G891" s="139"/>
      <c r="H891" s="139"/>
      <c r="I891" s="139"/>
      <c r="J891" s="139"/>
      <c r="K891" s="139"/>
      <c r="L891" s="139"/>
      <c r="M891" s="139"/>
      <c r="N891" s="145"/>
      <c r="O891" s="139"/>
      <c r="P891" s="139"/>
      <c r="Q891" s="231"/>
      <c r="R891" s="139"/>
      <c r="S891" s="235"/>
      <c r="T891" s="235"/>
      <c r="U891" s="145"/>
      <c r="V891" s="145"/>
      <c r="W891" s="111"/>
      <c r="X891" s="233"/>
      <c r="Y891" s="226"/>
      <c r="Z891" s="139"/>
      <c r="AA891" s="139"/>
      <c r="AB891" s="139"/>
      <c r="AC891" s="139"/>
      <c r="AD891" s="139"/>
      <c r="AE891" s="139"/>
      <c r="AF891" s="139"/>
      <c r="AG891" s="139"/>
      <c r="AH891" s="139"/>
      <c r="AI891" s="139"/>
      <c r="AJ891" s="139"/>
      <c r="AK891" s="139"/>
      <c r="AL891" s="139"/>
      <c r="AM891" s="139"/>
      <c r="AN891" s="139"/>
      <c r="AO891" s="139"/>
      <c r="AP891" s="139"/>
      <c r="AQ891" s="139"/>
      <c r="AR891" s="139"/>
      <c r="AS891" s="139"/>
      <c r="AT891" s="139"/>
      <c r="AU891" s="139"/>
      <c r="AV891" s="139"/>
    </row>
    <row r="892">
      <c r="A892" s="139"/>
      <c r="B892" s="234"/>
      <c r="C892" s="139"/>
      <c r="D892" s="139"/>
      <c r="E892" s="139"/>
      <c r="F892" s="139"/>
      <c r="G892" s="139"/>
      <c r="H892" s="139"/>
      <c r="I892" s="139"/>
      <c r="J892" s="139"/>
      <c r="K892" s="139"/>
      <c r="L892" s="139"/>
      <c r="M892" s="139"/>
      <c r="N892" s="145"/>
      <c r="O892" s="139"/>
      <c r="P892" s="139"/>
      <c r="Q892" s="231"/>
      <c r="R892" s="139"/>
      <c r="S892" s="235"/>
      <c r="T892" s="235"/>
      <c r="U892" s="145"/>
      <c r="V892" s="145"/>
      <c r="W892" s="111"/>
      <c r="X892" s="233"/>
      <c r="Y892" s="226"/>
      <c r="Z892" s="139"/>
      <c r="AA892" s="139"/>
      <c r="AB892" s="139"/>
      <c r="AC892" s="139"/>
      <c r="AD892" s="139"/>
      <c r="AE892" s="139"/>
      <c r="AF892" s="139"/>
      <c r="AG892" s="139"/>
      <c r="AH892" s="139"/>
      <c r="AI892" s="139"/>
      <c r="AJ892" s="139"/>
      <c r="AK892" s="139"/>
      <c r="AL892" s="139"/>
      <c r="AM892" s="139"/>
      <c r="AN892" s="139"/>
      <c r="AO892" s="139"/>
      <c r="AP892" s="139"/>
      <c r="AQ892" s="139"/>
      <c r="AR892" s="139"/>
      <c r="AS892" s="139"/>
      <c r="AT892" s="139"/>
      <c r="AU892" s="139"/>
      <c r="AV892" s="139"/>
    </row>
    <row r="893">
      <c r="A893" s="139"/>
      <c r="B893" s="234"/>
      <c r="C893" s="139"/>
      <c r="D893" s="139"/>
      <c r="E893" s="139"/>
      <c r="F893" s="139"/>
      <c r="G893" s="139"/>
      <c r="H893" s="139"/>
      <c r="I893" s="139"/>
      <c r="J893" s="139"/>
      <c r="K893" s="139"/>
      <c r="L893" s="139"/>
      <c r="M893" s="139"/>
      <c r="N893" s="145"/>
      <c r="O893" s="139"/>
      <c r="P893" s="139"/>
      <c r="Q893" s="231"/>
      <c r="R893" s="139"/>
      <c r="S893" s="235"/>
      <c r="T893" s="235"/>
      <c r="U893" s="145"/>
      <c r="V893" s="145"/>
      <c r="W893" s="111"/>
      <c r="X893" s="233"/>
      <c r="Y893" s="226"/>
      <c r="Z893" s="139"/>
      <c r="AA893" s="139"/>
      <c r="AB893" s="139"/>
      <c r="AC893" s="139"/>
      <c r="AD893" s="139"/>
      <c r="AE893" s="139"/>
      <c r="AF893" s="139"/>
      <c r="AG893" s="139"/>
      <c r="AH893" s="139"/>
      <c r="AI893" s="139"/>
      <c r="AJ893" s="139"/>
      <c r="AK893" s="139"/>
      <c r="AL893" s="139"/>
      <c r="AM893" s="139"/>
      <c r="AN893" s="139"/>
      <c r="AO893" s="139"/>
      <c r="AP893" s="139"/>
      <c r="AQ893" s="139"/>
      <c r="AR893" s="139"/>
      <c r="AS893" s="139"/>
      <c r="AT893" s="139"/>
      <c r="AU893" s="139"/>
      <c r="AV893" s="139"/>
    </row>
    <row r="894">
      <c r="A894" s="139"/>
      <c r="B894" s="234"/>
      <c r="C894" s="139"/>
      <c r="D894" s="139"/>
      <c r="E894" s="139"/>
      <c r="F894" s="139"/>
      <c r="G894" s="139"/>
      <c r="H894" s="139"/>
      <c r="I894" s="139"/>
      <c r="J894" s="139"/>
      <c r="K894" s="139"/>
      <c r="L894" s="139"/>
      <c r="M894" s="139"/>
      <c r="N894" s="145"/>
      <c r="O894" s="139"/>
      <c r="P894" s="139"/>
      <c r="Q894" s="231"/>
      <c r="R894" s="139"/>
      <c r="S894" s="235"/>
      <c r="T894" s="235"/>
      <c r="U894" s="145"/>
      <c r="V894" s="145"/>
      <c r="W894" s="111"/>
      <c r="X894" s="233"/>
      <c r="Y894" s="226"/>
      <c r="Z894" s="139"/>
      <c r="AA894" s="139"/>
      <c r="AB894" s="139"/>
      <c r="AC894" s="139"/>
      <c r="AD894" s="139"/>
      <c r="AE894" s="139"/>
      <c r="AF894" s="139"/>
      <c r="AG894" s="139"/>
      <c r="AH894" s="139"/>
      <c r="AI894" s="139"/>
      <c r="AJ894" s="139"/>
      <c r="AK894" s="139"/>
      <c r="AL894" s="139"/>
      <c r="AM894" s="139"/>
      <c r="AN894" s="139"/>
      <c r="AO894" s="139"/>
      <c r="AP894" s="139"/>
      <c r="AQ894" s="139"/>
      <c r="AR894" s="139"/>
      <c r="AS894" s="139"/>
      <c r="AT894" s="139"/>
      <c r="AU894" s="139"/>
      <c r="AV894" s="139"/>
    </row>
    <row r="895">
      <c r="A895" s="139"/>
      <c r="B895" s="234"/>
      <c r="C895" s="139"/>
      <c r="D895" s="139"/>
      <c r="E895" s="139"/>
      <c r="F895" s="139"/>
      <c r="G895" s="139"/>
      <c r="H895" s="139"/>
      <c r="I895" s="139"/>
      <c r="J895" s="139"/>
      <c r="K895" s="139"/>
      <c r="L895" s="139"/>
      <c r="M895" s="139"/>
      <c r="N895" s="145"/>
      <c r="O895" s="139"/>
      <c r="P895" s="139"/>
      <c r="Q895" s="231"/>
      <c r="R895" s="139"/>
      <c r="S895" s="235"/>
      <c r="T895" s="235"/>
      <c r="U895" s="145"/>
      <c r="V895" s="145"/>
      <c r="W895" s="111"/>
      <c r="X895" s="233"/>
      <c r="Y895" s="226"/>
      <c r="Z895" s="139"/>
      <c r="AA895" s="139"/>
      <c r="AB895" s="139"/>
      <c r="AC895" s="139"/>
      <c r="AD895" s="139"/>
      <c r="AE895" s="139"/>
      <c r="AF895" s="139"/>
      <c r="AG895" s="139"/>
      <c r="AH895" s="139"/>
      <c r="AI895" s="139"/>
      <c r="AJ895" s="139"/>
      <c r="AK895" s="139"/>
      <c r="AL895" s="139"/>
      <c r="AM895" s="139"/>
      <c r="AN895" s="139"/>
      <c r="AO895" s="139"/>
      <c r="AP895" s="139"/>
      <c r="AQ895" s="139"/>
      <c r="AR895" s="139"/>
      <c r="AS895" s="139"/>
      <c r="AT895" s="139"/>
      <c r="AU895" s="139"/>
      <c r="AV895" s="139"/>
    </row>
    <row r="896">
      <c r="A896" s="139"/>
      <c r="B896" s="234"/>
      <c r="C896" s="139"/>
      <c r="D896" s="139"/>
      <c r="E896" s="139"/>
      <c r="F896" s="139"/>
      <c r="G896" s="139"/>
      <c r="H896" s="139"/>
      <c r="I896" s="139"/>
      <c r="J896" s="139"/>
      <c r="K896" s="139"/>
      <c r="L896" s="139"/>
      <c r="M896" s="139"/>
      <c r="N896" s="145"/>
      <c r="O896" s="139"/>
      <c r="P896" s="139"/>
      <c r="Q896" s="231"/>
      <c r="R896" s="139"/>
      <c r="S896" s="235"/>
      <c r="T896" s="235"/>
      <c r="U896" s="145"/>
      <c r="V896" s="145"/>
      <c r="W896" s="111"/>
      <c r="X896" s="233"/>
      <c r="Y896" s="226"/>
      <c r="Z896" s="139"/>
      <c r="AA896" s="139"/>
      <c r="AB896" s="139"/>
      <c r="AC896" s="139"/>
      <c r="AD896" s="139"/>
      <c r="AE896" s="139"/>
      <c r="AF896" s="139"/>
      <c r="AG896" s="139"/>
      <c r="AH896" s="139"/>
      <c r="AI896" s="139"/>
      <c r="AJ896" s="139"/>
      <c r="AK896" s="139"/>
      <c r="AL896" s="139"/>
      <c r="AM896" s="139"/>
      <c r="AN896" s="139"/>
      <c r="AO896" s="139"/>
      <c r="AP896" s="139"/>
      <c r="AQ896" s="139"/>
      <c r="AR896" s="139"/>
      <c r="AS896" s="139"/>
      <c r="AT896" s="139"/>
      <c r="AU896" s="139"/>
      <c r="AV896" s="139"/>
    </row>
    <row r="897">
      <c r="A897" s="139"/>
      <c r="B897" s="234"/>
      <c r="C897" s="139"/>
      <c r="D897" s="139"/>
      <c r="E897" s="139"/>
      <c r="F897" s="139"/>
      <c r="G897" s="139"/>
      <c r="H897" s="139"/>
      <c r="I897" s="139"/>
      <c r="J897" s="139"/>
      <c r="K897" s="139"/>
      <c r="L897" s="139"/>
      <c r="M897" s="139"/>
      <c r="N897" s="145"/>
      <c r="O897" s="139"/>
      <c r="P897" s="139"/>
      <c r="Q897" s="231"/>
      <c r="R897" s="139"/>
      <c r="S897" s="235"/>
      <c r="T897" s="235"/>
      <c r="U897" s="145"/>
      <c r="V897" s="145"/>
      <c r="W897" s="111"/>
      <c r="X897" s="233"/>
      <c r="Y897" s="226"/>
      <c r="Z897" s="139"/>
      <c r="AA897" s="139"/>
      <c r="AB897" s="139"/>
      <c r="AC897" s="139"/>
      <c r="AD897" s="139"/>
      <c r="AE897" s="139"/>
      <c r="AF897" s="139"/>
      <c r="AG897" s="139"/>
      <c r="AH897" s="139"/>
      <c r="AI897" s="139"/>
      <c r="AJ897" s="139"/>
      <c r="AK897" s="139"/>
      <c r="AL897" s="139"/>
      <c r="AM897" s="139"/>
      <c r="AN897" s="139"/>
      <c r="AO897" s="139"/>
      <c r="AP897" s="139"/>
      <c r="AQ897" s="139"/>
      <c r="AR897" s="139"/>
      <c r="AS897" s="139"/>
      <c r="AT897" s="139"/>
      <c r="AU897" s="139"/>
      <c r="AV897" s="139"/>
    </row>
    <row r="898">
      <c r="A898" s="139"/>
      <c r="B898" s="234"/>
      <c r="C898" s="139"/>
      <c r="D898" s="139"/>
      <c r="E898" s="139"/>
      <c r="F898" s="139"/>
      <c r="G898" s="139"/>
      <c r="H898" s="139"/>
      <c r="I898" s="139"/>
      <c r="J898" s="139"/>
      <c r="K898" s="139"/>
      <c r="L898" s="139"/>
      <c r="M898" s="139"/>
      <c r="N898" s="145"/>
      <c r="O898" s="139"/>
      <c r="P898" s="139"/>
      <c r="Q898" s="231"/>
      <c r="R898" s="139"/>
      <c r="S898" s="235"/>
      <c r="T898" s="235"/>
      <c r="U898" s="145"/>
      <c r="V898" s="145"/>
      <c r="W898" s="111"/>
      <c r="X898" s="233"/>
      <c r="Y898" s="226"/>
      <c r="Z898" s="139"/>
      <c r="AA898" s="139"/>
      <c r="AB898" s="139"/>
      <c r="AC898" s="139"/>
      <c r="AD898" s="139"/>
      <c r="AE898" s="139"/>
      <c r="AF898" s="139"/>
      <c r="AG898" s="139"/>
      <c r="AH898" s="139"/>
      <c r="AI898" s="139"/>
      <c r="AJ898" s="139"/>
      <c r="AK898" s="139"/>
      <c r="AL898" s="139"/>
      <c r="AM898" s="139"/>
      <c r="AN898" s="139"/>
      <c r="AO898" s="139"/>
      <c r="AP898" s="139"/>
      <c r="AQ898" s="139"/>
      <c r="AR898" s="139"/>
      <c r="AS898" s="139"/>
      <c r="AT898" s="139"/>
      <c r="AU898" s="139"/>
      <c r="AV898" s="139"/>
    </row>
    <row r="899">
      <c r="A899" s="139"/>
      <c r="B899" s="234"/>
      <c r="C899" s="139"/>
      <c r="D899" s="139"/>
      <c r="E899" s="139"/>
      <c r="F899" s="139"/>
      <c r="G899" s="139"/>
      <c r="H899" s="139"/>
      <c r="I899" s="139"/>
      <c r="J899" s="139"/>
      <c r="K899" s="139"/>
      <c r="L899" s="139"/>
      <c r="M899" s="139"/>
      <c r="N899" s="145"/>
      <c r="O899" s="139"/>
      <c r="P899" s="139"/>
      <c r="Q899" s="231"/>
      <c r="R899" s="139"/>
      <c r="S899" s="235"/>
      <c r="T899" s="235"/>
      <c r="U899" s="145"/>
      <c r="V899" s="145"/>
      <c r="W899" s="111"/>
      <c r="X899" s="233"/>
      <c r="Y899" s="226"/>
      <c r="Z899" s="139"/>
      <c r="AA899" s="139"/>
      <c r="AB899" s="139"/>
      <c r="AC899" s="139"/>
      <c r="AD899" s="139"/>
      <c r="AE899" s="139"/>
      <c r="AF899" s="139"/>
      <c r="AG899" s="139"/>
      <c r="AH899" s="139"/>
      <c r="AI899" s="139"/>
      <c r="AJ899" s="139"/>
      <c r="AK899" s="139"/>
      <c r="AL899" s="139"/>
      <c r="AM899" s="139"/>
      <c r="AN899" s="139"/>
      <c r="AO899" s="139"/>
      <c r="AP899" s="139"/>
      <c r="AQ899" s="139"/>
      <c r="AR899" s="139"/>
      <c r="AS899" s="139"/>
      <c r="AT899" s="139"/>
      <c r="AU899" s="139"/>
      <c r="AV899" s="139"/>
    </row>
    <row r="900">
      <c r="A900" s="139"/>
      <c r="B900" s="234"/>
      <c r="C900" s="139"/>
      <c r="D900" s="139"/>
      <c r="E900" s="139"/>
      <c r="F900" s="139"/>
      <c r="G900" s="139"/>
      <c r="H900" s="139"/>
      <c r="I900" s="139"/>
      <c r="J900" s="139"/>
      <c r="K900" s="139"/>
      <c r="L900" s="139"/>
      <c r="M900" s="139"/>
      <c r="N900" s="145"/>
      <c r="O900" s="139"/>
      <c r="P900" s="139"/>
      <c r="Q900" s="231"/>
      <c r="R900" s="139"/>
      <c r="S900" s="235"/>
      <c r="T900" s="235"/>
      <c r="U900" s="145"/>
      <c r="V900" s="145"/>
      <c r="W900" s="111"/>
      <c r="X900" s="233"/>
      <c r="Y900" s="226"/>
      <c r="Z900" s="139"/>
      <c r="AA900" s="139"/>
      <c r="AB900" s="139"/>
      <c r="AC900" s="139"/>
      <c r="AD900" s="139"/>
      <c r="AE900" s="139"/>
      <c r="AF900" s="139"/>
      <c r="AG900" s="139"/>
      <c r="AH900" s="139"/>
      <c r="AI900" s="139"/>
      <c r="AJ900" s="139"/>
      <c r="AK900" s="139"/>
      <c r="AL900" s="139"/>
      <c r="AM900" s="139"/>
      <c r="AN900" s="139"/>
      <c r="AO900" s="139"/>
      <c r="AP900" s="139"/>
      <c r="AQ900" s="139"/>
      <c r="AR900" s="139"/>
      <c r="AS900" s="139"/>
      <c r="AT900" s="139"/>
      <c r="AU900" s="139"/>
      <c r="AV900" s="139"/>
    </row>
    <row r="901">
      <c r="A901" s="139"/>
      <c r="B901" s="234"/>
      <c r="C901" s="139"/>
      <c r="D901" s="139"/>
      <c r="E901" s="139"/>
      <c r="F901" s="139"/>
      <c r="G901" s="139"/>
      <c r="H901" s="139"/>
      <c r="I901" s="139"/>
      <c r="J901" s="139"/>
      <c r="K901" s="139"/>
      <c r="L901" s="139"/>
      <c r="M901" s="139"/>
      <c r="N901" s="145"/>
      <c r="O901" s="139"/>
      <c r="P901" s="139"/>
      <c r="Q901" s="231"/>
      <c r="R901" s="139"/>
      <c r="S901" s="235"/>
      <c r="T901" s="235"/>
      <c r="U901" s="145"/>
      <c r="V901" s="145"/>
      <c r="W901" s="111"/>
      <c r="X901" s="233"/>
      <c r="Y901" s="226"/>
      <c r="Z901" s="139"/>
      <c r="AA901" s="139"/>
      <c r="AB901" s="139"/>
      <c r="AC901" s="139"/>
      <c r="AD901" s="139"/>
      <c r="AE901" s="139"/>
      <c r="AF901" s="139"/>
      <c r="AG901" s="139"/>
      <c r="AH901" s="139"/>
      <c r="AI901" s="139"/>
      <c r="AJ901" s="139"/>
      <c r="AK901" s="139"/>
      <c r="AL901" s="139"/>
      <c r="AM901" s="139"/>
      <c r="AN901" s="139"/>
      <c r="AO901" s="139"/>
      <c r="AP901" s="139"/>
      <c r="AQ901" s="139"/>
      <c r="AR901" s="139"/>
      <c r="AS901" s="139"/>
      <c r="AT901" s="139"/>
      <c r="AU901" s="139"/>
      <c r="AV901" s="139"/>
    </row>
    <row r="902">
      <c r="A902" s="139"/>
      <c r="B902" s="234"/>
      <c r="C902" s="139"/>
      <c r="D902" s="139"/>
      <c r="E902" s="139"/>
      <c r="F902" s="139"/>
      <c r="G902" s="139"/>
      <c r="H902" s="139"/>
      <c r="I902" s="139"/>
      <c r="J902" s="139"/>
      <c r="K902" s="139"/>
      <c r="L902" s="139"/>
      <c r="M902" s="139"/>
      <c r="N902" s="145"/>
      <c r="O902" s="139"/>
      <c r="P902" s="139"/>
      <c r="Q902" s="231"/>
      <c r="R902" s="139"/>
      <c r="S902" s="235"/>
      <c r="T902" s="235"/>
      <c r="U902" s="145"/>
      <c r="V902" s="145"/>
      <c r="W902" s="111"/>
      <c r="X902" s="233"/>
      <c r="Y902" s="226"/>
      <c r="Z902" s="139"/>
      <c r="AA902" s="139"/>
      <c r="AB902" s="139"/>
      <c r="AC902" s="139"/>
      <c r="AD902" s="139"/>
      <c r="AE902" s="139"/>
      <c r="AF902" s="139"/>
      <c r="AG902" s="139"/>
      <c r="AH902" s="139"/>
      <c r="AI902" s="139"/>
      <c r="AJ902" s="139"/>
      <c r="AK902" s="139"/>
      <c r="AL902" s="139"/>
      <c r="AM902" s="139"/>
      <c r="AN902" s="139"/>
      <c r="AO902" s="139"/>
      <c r="AP902" s="139"/>
      <c r="AQ902" s="139"/>
      <c r="AR902" s="139"/>
      <c r="AS902" s="139"/>
      <c r="AT902" s="139"/>
      <c r="AU902" s="139"/>
      <c r="AV902" s="139"/>
    </row>
    <row r="903">
      <c r="A903" s="139"/>
      <c r="B903" s="234"/>
      <c r="C903" s="139"/>
      <c r="D903" s="139"/>
      <c r="E903" s="139"/>
      <c r="F903" s="139"/>
      <c r="G903" s="139"/>
      <c r="H903" s="139"/>
      <c r="I903" s="139"/>
      <c r="J903" s="139"/>
      <c r="K903" s="139"/>
      <c r="L903" s="139"/>
      <c r="M903" s="139"/>
      <c r="N903" s="145"/>
      <c r="O903" s="139"/>
      <c r="P903" s="139"/>
      <c r="Q903" s="231"/>
      <c r="R903" s="139"/>
      <c r="S903" s="235"/>
      <c r="T903" s="235"/>
      <c r="U903" s="145"/>
      <c r="V903" s="145"/>
      <c r="W903" s="111"/>
      <c r="X903" s="233"/>
      <c r="Y903" s="226"/>
      <c r="Z903" s="139"/>
      <c r="AA903" s="139"/>
      <c r="AB903" s="139"/>
      <c r="AC903" s="139"/>
      <c r="AD903" s="139"/>
      <c r="AE903" s="139"/>
      <c r="AF903" s="139"/>
      <c r="AG903" s="139"/>
      <c r="AH903" s="139"/>
      <c r="AI903" s="139"/>
      <c r="AJ903" s="139"/>
      <c r="AK903" s="139"/>
      <c r="AL903" s="139"/>
      <c r="AM903" s="139"/>
      <c r="AN903" s="139"/>
      <c r="AO903" s="139"/>
      <c r="AP903" s="139"/>
      <c r="AQ903" s="139"/>
      <c r="AR903" s="139"/>
      <c r="AS903" s="139"/>
      <c r="AT903" s="139"/>
      <c r="AU903" s="139"/>
      <c r="AV903" s="139"/>
    </row>
    <row r="904">
      <c r="A904" s="139"/>
      <c r="B904" s="234"/>
      <c r="C904" s="139"/>
      <c r="D904" s="139"/>
      <c r="E904" s="139"/>
      <c r="F904" s="139"/>
      <c r="G904" s="139"/>
      <c r="H904" s="139"/>
      <c r="I904" s="139"/>
      <c r="J904" s="139"/>
      <c r="K904" s="139"/>
      <c r="L904" s="139"/>
      <c r="M904" s="139"/>
      <c r="N904" s="145"/>
      <c r="O904" s="139"/>
      <c r="P904" s="139"/>
      <c r="Q904" s="231"/>
      <c r="R904" s="139"/>
      <c r="S904" s="235"/>
      <c r="T904" s="235"/>
      <c r="U904" s="145"/>
      <c r="V904" s="145"/>
      <c r="W904" s="111"/>
      <c r="X904" s="233"/>
      <c r="Y904" s="226"/>
      <c r="Z904" s="139"/>
      <c r="AA904" s="139"/>
      <c r="AB904" s="139"/>
      <c r="AC904" s="139"/>
      <c r="AD904" s="139"/>
      <c r="AE904" s="139"/>
      <c r="AF904" s="139"/>
      <c r="AG904" s="139"/>
      <c r="AH904" s="139"/>
      <c r="AI904" s="139"/>
      <c r="AJ904" s="139"/>
      <c r="AK904" s="139"/>
      <c r="AL904" s="139"/>
      <c r="AM904" s="139"/>
      <c r="AN904" s="139"/>
      <c r="AO904" s="139"/>
      <c r="AP904" s="139"/>
      <c r="AQ904" s="139"/>
      <c r="AR904" s="139"/>
      <c r="AS904" s="139"/>
      <c r="AT904" s="139"/>
      <c r="AU904" s="139"/>
      <c r="AV904" s="139"/>
    </row>
    <row r="905">
      <c r="A905" s="139"/>
      <c r="B905" s="234"/>
      <c r="C905" s="139"/>
      <c r="D905" s="139"/>
      <c r="E905" s="139"/>
      <c r="F905" s="139"/>
      <c r="G905" s="139"/>
      <c r="H905" s="139"/>
      <c r="I905" s="139"/>
      <c r="J905" s="139"/>
      <c r="K905" s="139"/>
      <c r="L905" s="139"/>
      <c r="M905" s="139"/>
      <c r="N905" s="145"/>
      <c r="O905" s="139"/>
      <c r="P905" s="139"/>
      <c r="Q905" s="231"/>
      <c r="R905" s="139"/>
      <c r="S905" s="235"/>
      <c r="T905" s="235"/>
      <c r="U905" s="145"/>
      <c r="V905" s="145"/>
      <c r="W905" s="111"/>
      <c r="X905" s="233"/>
      <c r="Y905" s="226"/>
      <c r="Z905" s="139"/>
      <c r="AA905" s="139"/>
      <c r="AB905" s="139"/>
      <c r="AC905" s="139"/>
      <c r="AD905" s="139"/>
      <c r="AE905" s="139"/>
      <c r="AF905" s="139"/>
      <c r="AG905" s="139"/>
      <c r="AH905" s="139"/>
      <c r="AI905" s="139"/>
      <c r="AJ905" s="139"/>
      <c r="AK905" s="139"/>
      <c r="AL905" s="139"/>
      <c r="AM905" s="139"/>
      <c r="AN905" s="139"/>
      <c r="AO905" s="139"/>
      <c r="AP905" s="139"/>
      <c r="AQ905" s="139"/>
      <c r="AR905" s="139"/>
      <c r="AS905" s="139"/>
      <c r="AT905" s="139"/>
      <c r="AU905" s="139"/>
      <c r="AV905" s="139"/>
    </row>
    <row r="906">
      <c r="A906" s="139"/>
      <c r="B906" s="234"/>
      <c r="C906" s="139"/>
      <c r="D906" s="139"/>
      <c r="E906" s="139"/>
      <c r="F906" s="139"/>
      <c r="G906" s="139"/>
      <c r="H906" s="139"/>
      <c r="I906" s="139"/>
      <c r="J906" s="139"/>
      <c r="K906" s="139"/>
      <c r="L906" s="139"/>
      <c r="M906" s="139"/>
      <c r="N906" s="145"/>
      <c r="O906" s="139"/>
      <c r="P906" s="139"/>
      <c r="Q906" s="231"/>
      <c r="R906" s="139"/>
      <c r="S906" s="235"/>
      <c r="T906" s="235"/>
      <c r="U906" s="145"/>
      <c r="V906" s="145"/>
      <c r="W906" s="111"/>
      <c r="X906" s="233"/>
      <c r="Y906" s="226"/>
      <c r="Z906" s="139"/>
      <c r="AA906" s="139"/>
      <c r="AB906" s="139"/>
      <c r="AC906" s="139"/>
      <c r="AD906" s="139"/>
      <c r="AE906" s="139"/>
      <c r="AF906" s="139"/>
      <c r="AG906" s="139"/>
      <c r="AH906" s="139"/>
      <c r="AI906" s="139"/>
      <c r="AJ906" s="139"/>
      <c r="AK906" s="139"/>
      <c r="AL906" s="139"/>
      <c r="AM906" s="139"/>
      <c r="AN906" s="139"/>
      <c r="AO906" s="139"/>
      <c r="AP906" s="139"/>
      <c r="AQ906" s="139"/>
      <c r="AR906" s="139"/>
      <c r="AS906" s="139"/>
      <c r="AT906" s="139"/>
      <c r="AU906" s="139"/>
      <c r="AV906" s="139"/>
    </row>
    <row r="907">
      <c r="A907" s="139"/>
      <c r="B907" s="234"/>
      <c r="C907" s="139"/>
      <c r="D907" s="139"/>
      <c r="E907" s="139"/>
      <c r="F907" s="139"/>
      <c r="G907" s="139"/>
      <c r="H907" s="139"/>
      <c r="I907" s="139"/>
      <c r="J907" s="139"/>
      <c r="K907" s="139"/>
      <c r="L907" s="139"/>
      <c r="M907" s="139"/>
      <c r="N907" s="145"/>
      <c r="O907" s="139"/>
      <c r="P907" s="139"/>
      <c r="Q907" s="231"/>
      <c r="R907" s="139"/>
      <c r="S907" s="235"/>
      <c r="T907" s="235"/>
      <c r="U907" s="145"/>
      <c r="V907" s="145"/>
      <c r="W907" s="111"/>
      <c r="X907" s="233"/>
      <c r="Y907" s="226"/>
      <c r="Z907" s="139"/>
      <c r="AA907" s="139"/>
      <c r="AB907" s="139"/>
      <c r="AC907" s="139"/>
      <c r="AD907" s="139"/>
      <c r="AE907" s="139"/>
      <c r="AF907" s="139"/>
      <c r="AG907" s="139"/>
      <c r="AH907" s="139"/>
      <c r="AI907" s="139"/>
      <c r="AJ907" s="139"/>
      <c r="AK907" s="139"/>
      <c r="AL907" s="139"/>
      <c r="AM907" s="139"/>
      <c r="AN907" s="139"/>
      <c r="AO907" s="139"/>
      <c r="AP907" s="139"/>
      <c r="AQ907" s="139"/>
      <c r="AR907" s="139"/>
      <c r="AS907" s="139"/>
      <c r="AT907" s="139"/>
      <c r="AU907" s="139"/>
      <c r="AV907" s="139"/>
    </row>
    <row r="908">
      <c r="A908" s="139"/>
      <c r="B908" s="234"/>
      <c r="C908" s="139"/>
      <c r="D908" s="139"/>
      <c r="E908" s="139"/>
      <c r="F908" s="139"/>
      <c r="G908" s="139"/>
      <c r="H908" s="139"/>
      <c r="I908" s="139"/>
      <c r="J908" s="139"/>
      <c r="K908" s="139"/>
      <c r="L908" s="139"/>
      <c r="M908" s="139"/>
      <c r="N908" s="145"/>
      <c r="O908" s="139"/>
      <c r="P908" s="139"/>
      <c r="Q908" s="231"/>
      <c r="R908" s="139"/>
      <c r="S908" s="235"/>
      <c r="T908" s="235"/>
      <c r="U908" s="145"/>
      <c r="V908" s="145"/>
      <c r="W908" s="111"/>
      <c r="X908" s="233"/>
      <c r="Y908" s="226"/>
      <c r="Z908" s="139"/>
      <c r="AA908" s="139"/>
      <c r="AB908" s="139"/>
      <c r="AC908" s="139"/>
      <c r="AD908" s="139"/>
      <c r="AE908" s="139"/>
      <c r="AF908" s="139"/>
      <c r="AG908" s="139"/>
      <c r="AH908" s="139"/>
      <c r="AI908" s="139"/>
      <c r="AJ908" s="139"/>
      <c r="AK908" s="139"/>
      <c r="AL908" s="139"/>
      <c r="AM908" s="139"/>
      <c r="AN908" s="139"/>
      <c r="AO908" s="139"/>
      <c r="AP908" s="139"/>
      <c r="AQ908" s="139"/>
      <c r="AR908" s="139"/>
      <c r="AS908" s="139"/>
      <c r="AT908" s="139"/>
      <c r="AU908" s="139"/>
      <c r="AV908" s="139"/>
    </row>
    <row r="909">
      <c r="A909" s="139"/>
      <c r="B909" s="234"/>
      <c r="C909" s="139"/>
      <c r="D909" s="139"/>
      <c r="E909" s="139"/>
      <c r="F909" s="139"/>
      <c r="G909" s="139"/>
      <c r="H909" s="139"/>
      <c r="I909" s="139"/>
      <c r="J909" s="139"/>
      <c r="K909" s="139"/>
      <c r="L909" s="139"/>
      <c r="M909" s="139"/>
      <c r="N909" s="145"/>
      <c r="O909" s="139"/>
      <c r="P909" s="139"/>
      <c r="Q909" s="231"/>
      <c r="R909" s="139"/>
      <c r="S909" s="235"/>
      <c r="T909" s="235"/>
      <c r="U909" s="145"/>
      <c r="V909" s="145"/>
      <c r="W909" s="111"/>
      <c r="X909" s="233"/>
      <c r="Y909" s="226"/>
      <c r="Z909" s="139"/>
      <c r="AA909" s="139"/>
      <c r="AB909" s="139"/>
      <c r="AC909" s="139"/>
      <c r="AD909" s="139"/>
      <c r="AE909" s="139"/>
      <c r="AF909" s="139"/>
      <c r="AG909" s="139"/>
      <c r="AH909" s="139"/>
      <c r="AI909" s="139"/>
      <c r="AJ909" s="139"/>
      <c r="AK909" s="139"/>
      <c r="AL909" s="139"/>
      <c r="AM909" s="139"/>
      <c r="AN909" s="139"/>
      <c r="AO909" s="139"/>
      <c r="AP909" s="139"/>
      <c r="AQ909" s="139"/>
      <c r="AR909" s="139"/>
      <c r="AS909" s="139"/>
      <c r="AT909" s="139"/>
      <c r="AU909" s="139"/>
      <c r="AV909" s="139"/>
    </row>
    <row r="910">
      <c r="A910" s="139"/>
      <c r="B910" s="234"/>
      <c r="C910" s="139"/>
      <c r="D910" s="139"/>
      <c r="E910" s="139"/>
      <c r="F910" s="139"/>
      <c r="G910" s="139"/>
      <c r="H910" s="139"/>
      <c r="I910" s="139"/>
      <c r="J910" s="139"/>
      <c r="K910" s="139"/>
      <c r="L910" s="139"/>
      <c r="M910" s="139"/>
      <c r="N910" s="145"/>
      <c r="O910" s="139"/>
      <c r="P910" s="139"/>
      <c r="Q910" s="231"/>
      <c r="R910" s="139"/>
      <c r="S910" s="235"/>
      <c r="T910" s="235"/>
      <c r="U910" s="145"/>
      <c r="V910" s="145"/>
      <c r="W910" s="111"/>
      <c r="X910" s="233"/>
      <c r="Y910" s="226"/>
      <c r="Z910" s="139"/>
      <c r="AA910" s="139"/>
      <c r="AB910" s="139"/>
      <c r="AC910" s="139"/>
      <c r="AD910" s="139"/>
      <c r="AE910" s="139"/>
      <c r="AF910" s="139"/>
      <c r="AG910" s="139"/>
      <c r="AH910" s="139"/>
      <c r="AI910" s="139"/>
      <c r="AJ910" s="139"/>
      <c r="AK910" s="139"/>
      <c r="AL910" s="139"/>
      <c r="AM910" s="139"/>
      <c r="AN910" s="139"/>
      <c r="AO910" s="139"/>
      <c r="AP910" s="139"/>
      <c r="AQ910" s="139"/>
      <c r="AR910" s="139"/>
      <c r="AS910" s="139"/>
      <c r="AT910" s="139"/>
      <c r="AU910" s="139"/>
      <c r="AV910" s="139"/>
    </row>
    <row r="911">
      <c r="A911" s="139"/>
      <c r="B911" s="234"/>
      <c r="C911" s="139"/>
      <c r="D911" s="139"/>
      <c r="E911" s="139"/>
      <c r="F911" s="139"/>
      <c r="G911" s="139"/>
      <c r="H911" s="139"/>
      <c r="I911" s="139"/>
      <c r="J911" s="139"/>
      <c r="K911" s="139"/>
      <c r="L911" s="139"/>
      <c r="M911" s="139"/>
      <c r="N911" s="145"/>
      <c r="O911" s="139"/>
      <c r="P911" s="139"/>
      <c r="Q911" s="231"/>
      <c r="R911" s="139"/>
      <c r="S911" s="235"/>
      <c r="T911" s="235"/>
      <c r="U911" s="145"/>
      <c r="V911" s="145"/>
      <c r="W911" s="111"/>
      <c r="X911" s="233"/>
      <c r="Y911" s="226"/>
      <c r="Z911" s="139"/>
      <c r="AA911" s="139"/>
      <c r="AB911" s="139"/>
      <c r="AC911" s="139"/>
      <c r="AD911" s="139"/>
      <c r="AE911" s="139"/>
      <c r="AF911" s="139"/>
      <c r="AG911" s="139"/>
      <c r="AH911" s="139"/>
      <c r="AI911" s="139"/>
      <c r="AJ911" s="139"/>
      <c r="AK911" s="139"/>
      <c r="AL911" s="139"/>
      <c r="AM911" s="139"/>
      <c r="AN911" s="139"/>
      <c r="AO911" s="139"/>
      <c r="AP911" s="139"/>
      <c r="AQ911" s="139"/>
      <c r="AR911" s="139"/>
      <c r="AS911" s="139"/>
      <c r="AT911" s="139"/>
      <c r="AU911" s="139"/>
      <c r="AV911" s="139"/>
    </row>
    <row r="912">
      <c r="A912" s="139"/>
      <c r="B912" s="234"/>
      <c r="C912" s="139"/>
      <c r="D912" s="139"/>
      <c r="E912" s="139"/>
      <c r="F912" s="139"/>
      <c r="G912" s="139"/>
      <c r="H912" s="139"/>
      <c r="I912" s="139"/>
      <c r="J912" s="139"/>
      <c r="K912" s="139"/>
      <c r="L912" s="139"/>
      <c r="M912" s="139"/>
      <c r="N912" s="145"/>
      <c r="O912" s="139"/>
      <c r="P912" s="139"/>
      <c r="Q912" s="231"/>
      <c r="R912" s="139"/>
      <c r="S912" s="235"/>
      <c r="T912" s="235"/>
      <c r="U912" s="145"/>
      <c r="V912" s="145"/>
      <c r="W912" s="111"/>
      <c r="X912" s="233"/>
      <c r="Y912" s="226"/>
      <c r="Z912" s="139"/>
      <c r="AA912" s="139"/>
      <c r="AB912" s="139"/>
      <c r="AC912" s="139"/>
      <c r="AD912" s="139"/>
      <c r="AE912" s="139"/>
      <c r="AF912" s="139"/>
      <c r="AG912" s="139"/>
      <c r="AH912" s="139"/>
      <c r="AI912" s="139"/>
      <c r="AJ912" s="139"/>
      <c r="AK912" s="139"/>
      <c r="AL912" s="139"/>
      <c r="AM912" s="139"/>
      <c r="AN912" s="139"/>
      <c r="AO912" s="139"/>
      <c r="AP912" s="139"/>
      <c r="AQ912" s="139"/>
      <c r="AR912" s="139"/>
      <c r="AS912" s="139"/>
      <c r="AT912" s="139"/>
      <c r="AU912" s="139"/>
      <c r="AV912" s="139"/>
    </row>
    <row r="913">
      <c r="A913" s="139"/>
      <c r="B913" s="234"/>
      <c r="C913" s="139"/>
      <c r="D913" s="139"/>
      <c r="E913" s="139"/>
      <c r="F913" s="139"/>
      <c r="G913" s="139"/>
      <c r="H913" s="139"/>
      <c r="I913" s="139"/>
      <c r="J913" s="139"/>
      <c r="K913" s="139"/>
      <c r="L913" s="139"/>
      <c r="M913" s="139"/>
      <c r="N913" s="145"/>
      <c r="O913" s="139"/>
      <c r="P913" s="139"/>
      <c r="Q913" s="231"/>
      <c r="R913" s="139"/>
      <c r="S913" s="235"/>
      <c r="T913" s="235"/>
      <c r="U913" s="145"/>
      <c r="V913" s="145"/>
      <c r="W913" s="111"/>
      <c r="X913" s="233"/>
      <c r="Y913" s="226"/>
      <c r="Z913" s="139"/>
      <c r="AA913" s="139"/>
      <c r="AB913" s="139"/>
      <c r="AC913" s="139"/>
      <c r="AD913" s="139"/>
      <c r="AE913" s="139"/>
      <c r="AF913" s="139"/>
      <c r="AG913" s="139"/>
      <c r="AH913" s="139"/>
      <c r="AI913" s="139"/>
      <c r="AJ913" s="139"/>
      <c r="AK913" s="139"/>
      <c r="AL913" s="139"/>
      <c r="AM913" s="139"/>
      <c r="AN913" s="139"/>
      <c r="AO913" s="139"/>
      <c r="AP913" s="139"/>
      <c r="AQ913" s="139"/>
      <c r="AR913" s="139"/>
      <c r="AS913" s="139"/>
      <c r="AT913" s="139"/>
      <c r="AU913" s="139"/>
      <c r="AV913" s="139"/>
    </row>
    <row r="914">
      <c r="A914" s="139"/>
      <c r="B914" s="234"/>
      <c r="C914" s="139"/>
      <c r="D914" s="139"/>
      <c r="E914" s="139"/>
      <c r="F914" s="139"/>
      <c r="G914" s="139"/>
      <c r="H914" s="139"/>
      <c r="I914" s="139"/>
      <c r="J914" s="139"/>
      <c r="K914" s="139"/>
      <c r="L914" s="139"/>
      <c r="M914" s="139"/>
      <c r="N914" s="145"/>
      <c r="O914" s="139"/>
      <c r="P914" s="139"/>
      <c r="Q914" s="231"/>
      <c r="R914" s="139"/>
      <c r="S914" s="235"/>
      <c r="T914" s="235"/>
      <c r="U914" s="145"/>
      <c r="V914" s="145"/>
      <c r="W914" s="111"/>
      <c r="X914" s="233"/>
      <c r="Y914" s="226"/>
      <c r="Z914" s="139"/>
      <c r="AA914" s="139"/>
      <c r="AB914" s="139"/>
      <c r="AC914" s="139"/>
      <c r="AD914" s="139"/>
      <c r="AE914" s="139"/>
      <c r="AF914" s="139"/>
      <c r="AG914" s="139"/>
      <c r="AH914" s="139"/>
      <c r="AI914" s="139"/>
      <c r="AJ914" s="139"/>
      <c r="AK914" s="139"/>
      <c r="AL914" s="139"/>
      <c r="AM914" s="139"/>
      <c r="AN914" s="139"/>
      <c r="AO914" s="139"/>
      <c r="AP914" s="139"/>
      <c r="AQ914" s="139"/>
      <c r="AR914" s="139"/>
      <c r="AS914" s="139"/>
      <c r="AT914" s="139"/>
      <c r="AU914" s="139"/>
      <c r="AV914" s="139"/>
    </row>
    <row r="915">
      <c r="A915" s="139"/>
      <c r="B915" s="234"/>
      <c r="C915" s="139"/>
      <c r="D915" s="139"/>
      <c r="E915" s="139"/>
      <c r="F915" s="139"/>
      <c r="G915" s="139"/>
      <c r="H915" s="139"/>
      <c r="I915" s="139"/>
      <c r="J915" s="139"/>
      <c r="K915" s="139"/>
      <c r="L915" s="139"/>
      <c r="M915" s="139"/>
      <c r="N915" s="145"/>
      <c r="O915" s="139"/>
      <c r="P915" s="139"/>
      <c r="Q915" s="231"/>
      <c r="R915" s="139"/>
      <c r="S915" s="235"/>
      <c r="T915" s="235"/>
      <c r="U915" s="145"/>
      <c r="V915" s="145"/>
      <c r="W915" s="111"/>
      <c r="X915" s="233"/>
      <c r="Y915" s="226"/>
      <c r="Z915" s="139"/>
      <c r="AA915" s="139"/>
      <c r="AB915" s="139"/>
      <c r="AC915" s="139"/>
      <c r="AD915" s="139"/>
      <c r="AE915" s="139"/>
      <c r="AF915" s="139"/>
      <c r="AG915" s="139"/>
      <c r="AH915" s="139"/>
      <c r="AI915" s="139"/>
      <c r="AJ915" s="139"/>
      <c r="AK915" s="139"/>
      <c r="AL915" s="139"/>
      <c r="AM915" s="139"/>
      <c r="AN915" s="139"/>
      <c r="AO915" s="139"/>
      <c r="AP915" s="139"/>
      <c r="AQ915" s="139"/>
      <c r="AR915" s="139"/>
      <c r="AS915" s="139"/>
      <c r="AT915" s="139"/>
      <c r="AU915" s="139"/>
      <c r="AV915" s="139"/>
    </row>
    <row r="916">
      <c r="A916" s="139"/>
      <c r="B916" s="234"/>
      <c r="C916" s="139"/>
      <c r="D916" s="139"/>
      <c r="E916" s="139"/>
      <c r="F916" s="139"/>
      <c r="G916" s="139"/>
      <c r="H916" s="139"/>
      <c r="I916" s="139"/>
      <c r="J916" s="139"/>
      <c r="K916" s="139"/>
      <c r="L916" s="139"/>
      <c r="M916" s="139"/>
      <c r="N916" s="145"/>
      <c r="O916" s="139"/>
      <c r="P916" s="139"/>
      <c r="Q916" s="231"/>
      <c r="R916" s="139"/>
      <c r="S916" s="235"/>
      <c r="T916" s="235"/>
      <c r="U916" s="145"/>
      <c r="V916" s="145"/>
      <c r="W916" s="111"/>
      <c r="X916" s="233"/>
      <c r="Y916" s="226"/>
      <c r="Z916" s="139"/>
      <c r="AA916" s="139"/>
      <c r="AB916" s="139"/>
      <c r="AC916" s="139"/>
      <c r="AD916" s="139"/>
      <c r="AE916" s="139"/>
      <c r="AF916" s="139"/>
      <c r="AG916" s="139"/>
      <c r="AH916" s="139"/>
      <c r="AI916" s="139"/>
      <c r="AJ916" s="139"/>
      <c r="AK916" s="139"/>
      <c r="AL916" s="139"/>
      <c r="AM916" s="139"/>
      <c r="AN916" s="139"/>
      <c r="AO916" s="139"/>
      <c r="AP916" s="139"/>
      <c r="AQ916" s="139"/>
      <c r="AR916" s="139"/>
      <c r="AS916" s="139"/>
      <c r="AT916" s="139"/>
      <c r="AU916" s="139"/>
      <c r="AV916" s="139"/>
    </row>
    <row r="917">
      <c r="A917" s="139"/>
      <c r="B917" s="234"/>
      <c r="C917" s="139"/>
      <c r="D917" s="139"/>
      <c r="E917" s="139"/>
      <c r="F917" s="139"/>
      <c r="G917" s="139"/>
      <c r="H917" s="139"/>
      <c r="I917" s="139"/>
      <c r="J917" s="139"/>
      <c r="K917" s="139"/>
      <c r="L917" s="139"/>
      <c r="M917" s="139"/>
      <c r="N917" s="145"/>
      <c r="O917" s="139"/>
      <c r="P917" s="139"/>
      <c r="Q917" s="231"/>
      <c r="R917" s="139"/>
      <c r="S917" s="235"/>
      <c r="T917" s="235"/>
      <c r="U917" s="145"/>
      <c r="V917" s="145"/>
      <c r="W917" s="111"/>
      <c r="X917" s="233"/>
      <c r="Y917" s="226"/>
      <c r="Z917" s="139"/>
      <c r="AA917" s="139"/>
      <c r="AB917" s="139"/>
      <c r="AC917" s="139"/>
      <c r="AD917" s="139"/>
      <c r="AE917" s="139"/>
      <c r="AF917" s="139"/>
      <c r="AG917" s="139"/>
      <c r="AH917" s="139"/>
      <c r="AI917" s="139"/>
      <c r="AJ917" s="139"/>
      <c r="AK917" s="139"/>
      <c r="AL917" s="139"/>
      <c r="AM917" s="139"/>
      <c r="AN917" s="139"/>
      <c r="AO917" s="139"/>
      <c r="AP917" s="139"/>
      <c r="AQ917" s="139"/>
      <c r="AR917" s="139"/>
      <c r="AS917" s="139"/>
      <c r="AT917" s="139"/>
      <c r="AU917" s="139"/>
      <c r="AV917" s="139"/>
    </row>
    <row r="918">
      <c r="A918" s="139"/>
      <c r="B918" s="234"/>
      <c r="C918" s="139"/>
      <c r="D918" s="139"/>
      <c r="E918" s="139"/>
      <c r="F918" s="139"/>
      <c r="G918" s="139"/>
      <c r="H918" s="139"/>
      <c r="I918" s="139"/>
      <c r="J918" s="139"/>
      <c r="K918" s="139"/>
      <c r="L918" s="139"/>
      <c r="M918" s="139"/>
      <c r="N918" s="145"/>
      <c r="O918" s="139"/>
      <c r="P918" s="139"/>
      <c r="Q918" s="231"/>
      <c r="R918" s="139"/>
      <c r="S918" s="235"/>
      <c r="T918" s="235"/>
      <c r="U918" s="145"/>
      <c r="V918" s="145"/>
      <c r="W918" s="111"/>
      <c r="X918" s="233"/>
      <c r="Y918" s="226"/>
      <c r="Z918" s="139"/>
      <c r="AA918" s="139"/>
      <c r="AB918" s="139"/>
      <c r="AC918" s="139"/>
      <c r="AD918" s="139"/>
      <c r="AE918" s="139"/>
      <c r="AF918" s="139"/>
      <c r="AG918" s="139"/>
      <c r="AH918" s="139"/>
      <c r="AI918" s="139"/>
      <c r="AJ918" s="139"/>
      <c r="AK918" s="139"/>
      <c r="AL918" s="139"/>
      <c r="AM918" s="139"/>
      <c r="AN918" s="139"/>
      <c r="AO918" s="139"/>
      <c r="AP918" s="139"/>
      <c r="AQ918" s="139"/>
      <c r="AR918" s="139"/>
      <c r="AS918" s="139"/>
      <c r="AT918" s="139"/>
      <c r="AU918" s="139"/>
      <c r="AV918" s="139"/>
    </row>
    <row r="919">
      <c r="A919" s="139"/>
      <c r="B919" s="234"/>
      <c r="C919" s="139"/>
      <c r="D919" s="139"/>
      <c r="E919" s="139"/>
      <c r="F919" s="139"/>
      <c r="G919" s="139"/>
      <c r="H919" s="139"/>
      <c r="I919" s="139"/>
      <c r="J919" s="139"/>
      <c r="K919" s="139"/>
      <c r="L919" s="139"/>
      <c r="M919" s="139"/>
      <c r="N919" s="145"/>
      <c r="O919" s="139"/>
      <c r="P919" s="139"/>
      <c r="Q919" s="231"/>
      <c r="R919" s="139"/>
      <c r="S919" s="235"/>
      <c r="T919" s="235"/>
      <c r="U919" s="145"/>
      <c r="V919" s="145"/>
      <c r="W919" s="111"/>
      <c r="X919" s="233"/>
      <c r="Y919" s="226"/>
      <c r="Z919" s="139"/>
      <c r="AA919" s="139"/>
      <c r="AB919" s="139"/>
      <c r="AC919" s="139"/>
      <c r="AD919" s="139"/>
      <c r="AE919" s="139"/>
      <c r="AF919" s="139"/>
      <c r="AG919" s="139"/>
      <c r="AH919" s="139"/>
      <c r="AI919" s="139"/>
      <c r="AJ919" s="139"/>
      <c r="AK919" s="139"/>
      <c r="AL919" s="139"/>
      <c r="AM919" s="139"/>
      <c r="AN919" s="139"/>
      <c r="AO919" s="139"/>
      <c r="AP919" s="139"/>
      <c r="AQ919" s="139"/>
      <c r="AR919" s="139"/>
      <c r="AS919" s="139"/>
      <c r="AT919" s="139"/>
      <c r="AU919" s="139"/>
      <c r="AV919" s="139"/>
    </row>
    <row r="920">
      <c r="A920" s="139"/>
      <c r="B920" s="234"/>
      <c r="C920" s="139"/>
      <c r="D920" s="139"/>
      <c r="E920" s="139"/>
      <c r="F920" s="139"/>
      <c r="G920" s="139"/>
      <c r="H920" s="139"/>
      <c r="I920" s="139"/>
      <c r="J920" s="139"/>
      <c r="K920" s="139"/>
      <c r="L920" s="139"/>
      <c r="M920" s="139"/>
      <c r="N920" s="145"/>
      <c r="O920" s="139"/>
      <c r="P920" s="139"/>
      <c r="Q920" s="231"/>
      <c r="R920" s="139"/>
      <c r="S920" s="235"/>
      <c r="T920" s="235"/>
      <c r="U920" s="145"/>
      <c r="V920" s="145"/>
      <c r="W920" s="111"/>
      <c r="X920" s="233"/>
      <c r="Y920" s="226"/>
      <c r="Z920" s="139"/>
      <c r="AA920" s="139"/>
      <c r="AB920" s="139"/>
      <c r="AC920" s="139"/>
      <c r="AD920" s="139"/>
      <c r="AE920" s="139"/>
      <c r="AF920" s="139"/>
      <c r="AG920" s="139"/>
      <c r="AH920" s="139"/>
      <c r="AI920" s="139"/>
      <c r="AJ920" s="139"/>
      <c r="AK920" s="139"/>
      <c r="AL920" s="139"/>
      <c r="AM920" s="139"/>
      <c r="AN920" s="139"/>
      <c r="AO920" s="139"/>
      <c r="AP920" s="139"/>
      <c r="AQ920" s="139"/>
      <c r="AR920" s="139"/>
      <c r="AS920" s="139"/>
      <c r="AT920" s="139"/>
      <c r="AU920" s="139"/>
      <c r="AV920" s="139"/>
    </row>
    <row r="921">
      <c r="A921" s="139"/>
      <c r="B921" s="234"/>
      <c r="C921" s="139"/>
      <c r="D921" s="139"/>
      <c r="E921" s="139"/>
      <c r="F921" s="139"/>
      <c r="G921" s="139"/>
      <c r="H921" s="139"/>
      <c r="I921" s="139"/>
      <c r="J921" s="139"/>
      <c r="K921" s="139"/>
      <c r="L921" s="139"/>
      <c r="M921" s="139"/>
      <c r="N921" s="145"/>
      <c r="O921" s="139"/>
      <c r="P921" s="139"/>
      <c r="Q921" s="231"/>
      <c r="R921" s="139"/>
      <c r="S921" s="235"/>
      <c r="T921" s="235"/>
      <c r="U921" s="145"/>
      <c r="V921" s="145"/>
      <c r="W921" s="111"/>
      <c r="X921" s="233"/>
      <c r="Y921" s="226"/>
      <c r="Z921" s="139"/>
      <c r="AA921" s="139"/>
      <c r="AB921" s="139"/>
      <c r="AC921" s="139"/>
      <c r="AD921" s="139"/>
      <c r="AE921" s="139"/>
      <c r="AF921" s="139"/>
      <c r="AG921" s="139"/>
      <c r="AH921" s="139"/>
      <c r="AI921" s="139"/>
      <c r="AJ921" s="139"/>
      <c r="AK921" s="139"/>
      <c r="AL921" s="139"/>
      <c r="AM921" s="139"/>
      <c r="AN921" s="139"/>
      <c r="AO921" s="139"/>
      <c r="AP921" s="139"/>
      <c r="AQ921" s="139"/>
      <c r="AR921" s="139"/>
      <c r="AS921" s="139"/>
      <c r="AT921" s="139"/>
      <c r="AU921" s="139"/>
      <c r="AV921" s="139"/>
    </row>
    <row r="922">
      <c r="A922" s="139"/>
      <c r="B922" s="234"/>
      <c r="C922" s="139"/>
      <c r="D922" s="139"/>
      <c r="E922" s="139"/>
      <c r="F922" s="139"/>
      <c r="G922" s="139"/>
      <c r="H922" s="139"/>
      <c r="I922" s="139"/>
      <c r="J922" s="139"/>
      <c r="K922" s="139"/>
      <c r="L922" s="139"/>
      <c r="M922" s="139"/>
      <c r="N922" s="145"/>
      <c r="O922" s="139"/>
      <c r="P922" s="139"/>
      <c r="Q922" s="231"/>
      <c r="R922" s="139"/>
      <c r="S922" s="235"/>
      <c r="T922" s="235"/>
      <c r="U922" s="145"/>
      <c r="V922" s="145"/>
      <c r="W922" s="111"/>
      <c r="X922" s="233"/>
      <c r="Y922" s="226"/>
      <c r="Z922" s="139"/>
      <c r="AA922" s="139"/>
      <c r="AB922" s="139"/>
      <c r="AC922" s="139"/>
      <c r="AD922" s="139"/>
      <c r="AE922" s="139"/>
      <c r="AF922" s="139"/>
      <c r="AG922" s="139"/>
      <c r="AH922" s="139"/>
      <c r="AI922" s="139"/>
      <c r="AJ922" s="139"/>
      <c r="AK922" s="139"/>
      <c r="AL922" s="139"/>
      <c r="AM922" s="139"/>
      <c r="AN922" s="139"/>
      <c r="AO922" s="139"/>
      <c r="AP922" s="139"/>
      <c r="AQ922" s="139"/>
      <c r="AR922" s="139"/>
      <c r="AS922" s="139"/>
      <c r="AT922" s="139"/>
      <c r="AU922" s="139"/>
      <c r="AV922" s="139"/>
    </row>
    <row r="923">
      <c r="A923" s="139"/>
      <c r="B923" s="234"/>
      <c r="C923" s="139"/>
      <c r="D923" s="139"/>
      <c r="E923" s="139"/>
      <c r="F923" s="139"/>
      <c r="G923" s="139"/>
      <c r="H923" s="139"/>
      <c r="I923" s="139"/>
      <c r="J923" s="139"/>
      <c r="K923" s="139"/>
      <c r="L923" s="139"/>
      <c r="M923" s="139"/>
      <c r="N923" s="145"/>
      <c r="O923" s="139"/>
      <c r="P923" s="139"/>
      <c r="Q923" s="231"/>
      <c r="R923" s="139"/>
      <c r="S923" s="235"/>
      <c r="T923" s="235"/>
      <c r="U923" s="145"/>
      <c r="V923" s="145"/>
      <c r="W923" s="111"/>
      <c r="X923" s="233"/>
      <c r="Y923" s="226"/>
      <c r="Z923" s="139"/>
      <c r="AA923" s="139"/>
      <c r="AB923" s="139"/>
      <c r="AC923" s="139"/>
      <c r="AD923" s="139"/>
      <c r="AE923" s="139"/>
      <c r="AF923" s="139"/>
      <c r="AG923" s="139"/>
      <c r="AH923" s="139"/>
      <c r="AI923" s="139"/>
      <c r="AJ923" s="139"/>
      <c r="AK923" s="139"/>
      <c r="AL923" s="139"/>
      <c r="AM923" s="139"/>
      <c r="AN923" s="139"/>
      <c r="AO923" s="139"/>
      <c r="AP923" s="139"/>
      <c r="AQ923" s="139"/>
      <c r="AR923" s="139"/>
      <c r="AS923" s="139"/>
      <c r="AT923" s="139"/>
      <c r="AU923" s="139"/>
      <c r="AV923" s="139"/>
    </row>
    <row r="924">
      <c r="A924" s="139"/>
      <c r="B924" s="234"/>
      <c r="C924" s="139"/>
      <c r="D924" s="139"/>
      <c r="E924" s="139"/>
      <c r="F924" s="139"/>
      <c r="G924" s="139"/>
      <c r="H924" s="139"/>
      <c r="I924" s="139"/>
      <c r="J924" s="139"/>
      <c r="K924" s="139"/>
      <c r="L924" s="139"/>
      <c r="M924" s="139"/>
      <c r="N924" s="145"/>
      <c r="O924" s="139"/>
      <c r="P924" s="139"/>
      <c r="Q924" s="231"/>
      <c r="R924" s="139"/>
      <c r="S924" s="235"/>
      <c r="T924" s="235"/>
      <c r="U924" s="145"/>
      <c r="V924" s="145"/>
      <c r="W924" s="111"/>
      <c r="X924" s="233"/>
      <c r="Y924" s="226"/>
      <c r="Z924" s="139"/>
      <c r="AA924" s="139"/>
      <c r="AB924" s="139"/>
      <c r="AC924" s="139"/>
      <c r="AD924" s="139"/>
      <c r="AE924" s="139"/>
      <c r="AF924" s="139"/>
      <c r="AG924" s="139"/>
      <c r="AH924" s="139"/>
      <c r="AI924" s="139"/>
      <c r="AJ924" s="139"/>
      <c r="AK924" s="139"/>
      <c r="AL924" s="139"/>
      <c r="AM924" s="139"/>
      <c r="AN924" s="139"/>
      <c r="AO924" s="139"/>
      <c r="AP924" s="139"/>
      <c r="AQ924" s="139"/>
      <c r="AR924" s="139"/>
      <c r="AS924" s="139"/>
      <c r="AT924" s="139"/>
      <c r="AU924" s="139"/>
      <c r="AV924" s="139"/>
    </row>
    <row r="925">
      <c r="A925" s="139"/>
      <c r="B925" s="234"/>
      <c r="C925" s="139"/>
      <c r="D925" s="139"/>
      <c r="E925" s="139"/>
      <c r="F925" s="139"/>
      <c r="G925" s="139"/>
      <c r="H925" s="139"/>
      <c r="I925" s="139"/>
      <c r="J925" s="139"/>
      <c r="K925" s="139"/>
      <c r="L925" s="139"/>
      <c r="M925" s="139"/>
      <c r="N925" s="145"/>
      <c r="O925" s="139"/>
      <c r="P925" s="139"/>
      <c r="Q925" s="231"/>
      <c r="R925" s="139"/>
      <c r="S925" s="235"/>
      <c r="T925" s="235"/>
      <c r="U925" s="145"/>
      <c r="V925" s="145"/>
      <c r="W925" s="111"/>
      <c r="X925" s="233"/>
      <c r="Y925" s="226"/>
      <c r="Z925" s="139"/>
      <c r="AA925" s="139"/>
      <c r="AB925" s="139"/>
      <c r="AC925" s="139"/>
      <c r="AD925" s="139"/>
      <c r="AE925" s="139"/>
      <c r="AF925" s="139"/>
      <c r="AG925" s="139"/>
      <c r="AH925" s="139"/>
      <c r="AI925" s="139"/>
      <c r="AJ925" s="139"/>
      <c r="AK925" s="139"/>
      <c r="AL925" s="139"/>
      <c r="AM925" s="139"/>
      <c r="AN925" s="139"/>
      <c r="AO925" s="139"/>
      <c r="AP925" s="139"/>
      <c r="AQ925" s="139"/>
      <c r="AR925" s="139"/>
      <c r="AS925" s="139"/>
      <c r="AT925" s="139"/>
      <c r="AU925" s="139"/>
      <c r="AV925" s="139"/>
    </row>
    <row r="926">
      <c r="A926" s="139"/>
      <c r="B926" s="234"/>
      <c r="C926" s="139"/>
      <c r="D926" s="139"/>
      <c r="E926" s="139"/>
      <c r="F926" s="139"/>
      <c r="G926" s="139"/>
      <c r="H926" s="139"/>
      <c r="I926" s="139"/>
      <c r="J926" s="139"/>
      <c r="K926" s="139"/>
      <c r="L926" s="139"/>
      <c r="M926" s="139"/>
      <c r="N926" s="145"/>
      <c r="O926" s="139"/>
      <c r="P926" s="139"/>
      <c r="Q926" s="231"/>
      <c r="R926" s="139"/>
      <c r="S926" s="235"/>
      <c r="T926" s="235"/>
      <c r="U926" s="145"/>
      <c r="V926" s="145"/>
      <c r="W926" s="111"/>
      <c r="X926" s="233"/>
      <c r="Y926" s="226"/>
      <c r="Z926" s="139"/>
      <c r="AA926" s="139"/>
      <c r="AB926" s="139"/>
      <c r="AC926" s="139"/>
      <c r="AD926" s="139"/>
      <c r="AE926" s="139"/>
      <c r="AF926" s="139"/>
      <c r="AG926" s="139"/>
      <c r="AH926" s="139"/>
      <c r="AI926" s="139"/>
      <c r="AJ926" s="139"/>
      <c r="AK926" s="139"/>
      <c r="AL926" s="139"/>
      <c r="AM926" s="139"/>
      <c r="AN926" s="139"/>
      <c r="AO926" s="139"/>
      <c r="AP926" s="139"/>
      <c r="AQ926" s="139"/>
      <c r="AR926" s="139"/>
      <c r="AS926" s="139"/>
      <c r="AT926" s="139"/>
      <c r="AU926" s="139"/>
      <c r="AV926" s="139"/>
    </row>
    <row r="927">
      <c r="A927" s="139"/>
      <c r="B927" s="234"/>
      <c r="C927" s="139"/>
      <c r="D927" s="139"/>
      <c r="E927" s="139"/>
      <c r="F927" s="139"/>
      <c r="G927" s="139"/>
      <c r="H927" s="139"/>
      <c r="I927" s="139"/>
      <c r="J927" s="139"/>
      <c r="K927" s="139"/>
      <c r="L927" s="139"/>
      <c r="M927" s="139"/>
      <c r="N927" s="145"/>
      <c r="O927" s="139"/>
      <c r="P927" s="139"/>
      <c r="Q927" s="231"/>
      <c r="R927" s="139"/>
      <c r="S927" s="235"/>
      <c r="T927" s="235"/>
      <c r="U927" s="145"/>
      <c r="V927" s="145"/>
      <c r="W927" s="111"/>
      <c r="X927" s="233"/>
      <c r="Y927" s="226"/>
      <c r="Z927" s="139"/>
      <c r="AA927" s="139"/>
      <c r="AB927" s="139"/>
      <c r="AC927" s="139"/>
      <c r="AD927" s="139"/>
      <c r="AE927" s="139"/>
      <c r="AF927" s="139"/>
      <c r="AG927" s="139"/>
      <c r="AH927" s="139"/>
      <c r="AI927" s="139"/>
      <c r="AJ927" s="139"/>
      <c r="AK927" s="139"/>
      <c r="AL927" s="139"/>
      <c r="AM927" s="139"/>
      <c r="AN927" s="139"/>
      <c r="AO927" s="139"/>
      <c r="AP927" s="139"/>
      <c r="AQ927" s="139"/>
      <c r="AR927" s="139"/>
      <c r="AS927" s="139"/>
      <c r="AT927" s="139"/>
      <c r="AU927" s="139"/>
      <c r="AV927" s="139"/>
    </row>
    <row r="928">
      <c r="A928" s="139"/>
      <c r="B928" s="234"/>
      <c r="C928" s="139"/>
      <c r="D928" s="139"/>
      <c r="E928" s="139"/>
      <c r="F928" s="139"/>
      <c r="G928" s="139"/>
      <c r="H928" s="139"/>
      <c r="I928" s="139"/>
      <c r="J928" s="139"/>
      <c r="K928" s="139"/>
      <c r="L928" s="139"/>
      <c r="M928" s="139"/>
      <c r="N928" s="145"/>
      <c r="O928" s="139"/>
      <c r="P928" s="139"/>
      <c r="Q928" s="231"/>
      <c r="R928" s="139"/>
      <c r="S928" s="235"/>
      <c r="T928" s="235"/>
      <c r="U928" s="145"/>
      <c r="V928" s="145"/>
      <c r="W928" s="111"/>
      <c r="X928" s="233"/>
      <c r="Y928" s="226"/>
      <c r="Z928" s="139"/>
      <c r="AA928" s="139"/>
      <c r="AB928" s="139"/>
      <c r="AC928" s="139"/>
      <c r="AD928" s="139"/>
      <c r="AE928" s="139"/>
      <c r="AF928" s="139"/>
      <c r="AG928" s="139"/>
      <c r="AH928" s="139"/>
      <c r="AI928" s="139"/>
      <c r="AJ928" s="139"/>
      <c r="AK928" s="139"/>
      <c r="AL928" s="139"/>
      <c r="AM928" s="139"/>
      <c r="AN928" s="139"/>
      <c r="AO928" s="139"/>
      <c r="AP928" s="139"/>
      <c r="AQ928" s="139"/>
      <c r="AR928" s="139"/>
      <c r="AS928" s="139"/>
      <c r="AT928" s="139"/>
      <c r="AU928" s="139"/>
      <c r="AV928" s="139"/>
    </row>
    <row r="929">
      <c r="A929" s="139"/>
      <c r="B929" s="234"/>
      <c r="C929" s="139"/>
      <c r="D929" s="139"/>
      <c r="E929" s="139"/>
      <c r="F929" s="139"/>
      <c r="G929" s="139"/>
      <c r="H929" s="139"/>
      <c r="I929" s="139"/>
      <c r="J929" s="139"/>
      <c r="K929" s="139"/>
      <c r="L929" s="139"/>
      <c r="M929" s="139"/>
      <c r="N929" s="145"/>
      <c r="O929" s="139"/>
      <c r="P929" s="139"/>
      <c r="Q929" s="231"/>
      <c r="R929" s="139"/>
      <c r="S929" s="235"/>
      <c r="T929" s="235"/>
      <c r="U929" s="145"/>
      <c r="V929" s="145"/>
      <c r="W929" s="111"/>
      <c r="X929" s="233"/>
      <c r="Y929" s="226"/>
      <c r="Z929" s="139"/>
      <c r="AA929" s="139"/>
      <c r="AB929" s="139"/>
      <c r="AC929" s="139"/>
      <c r="AD929" s="139"/>
      <c r="AE929" s="139"/>
      <c r="AF929" s="139"/>
      <c r="AG929" s="139"/>
      <c r="AH929" s="139"/>
      <c r="AI929" s="139"/>
      <c r="AJ929" s="139"/>
      <c r="AK929" s="139"/>
      <c r="AL929" s="139"/>
      <c r="AM929" s="139"/>
      <c r="AN929" s="139"/>
      <c r="AO929" s="139"/>
      <c r="AP929" s="139"/>
      <c r="AQ929" s="139"/>
      <c r="AR929" s="139"/>
      <c r="AS929" s="139"/>
      <c r="AT929" s="139"/>
      <c r="AU929" s="139"/>
      <c r="AV929" s="139"/>
    </row>
    <row r="930">
      <c r="A930" s="139"/>
      <c r="B930" s="234"/>
      <c r="C930" s="139"/>
      <c r="D930" s="139"/>
      <c r="E930" s="139"/>
      <c r="F930" s="139"/>
      <c r="G930" s="139"/>
      <c r="H930" s="139"/>
      <c r="I930" s="139"/>
      <c r="J930" s="139"/>
      <c r="K930" s="139"/>
      <c r="L930" s="139"/>
      <c r="M930" s="139"/>
      <c r="N930" s="145"/>
      <c r="O930" s="139"/>
      <c r="P930" s="139"/>
      <c r="Q930" s="231"/>
      <c r="R930" s="139"/>
      <c r="S930" s="235"/>
      <c r="T930" s="235"/>
      <c r="U930" s="145"/>
      <c r="V930" s="145"/>
      <c r="W930" s="111"/>
      <c r="X930" s="233"/>
      <c r="Y930" s="226"/>
      <c r="Z930" s="139"/>
      <c r="AA930" s="139"/>
      <c r="AB930" s="139"/>
      <c r="AC930" s="139"/>
      <c r="AD930" s="139"/>
      <c r="AE930" s="139"/>
      <c r="AF930" s="139"/>
      <c r="AG930" s="139"/>
      <c r="AH930" s="139"/>
      <c r="AI930" s="139"/>
      <c r="AJ930" s="139"/>
      <c r="AK930" s="139"/>
      <c r="AL930" s="139"/>
      <c r="AM930" s="139"/>
      <c r="AN930" s="139"/>
      <c r="AO930" s="139"/>
      <c r="AP930" s="139"/>
      <c r="AQ930" s="139"/>
      <c r="AR930" s="139"/>
      <c r="AS930" s="139"/>
      <c r="AT930" s="139"/>
      <c r="AU930" s="139"/>
      <c r="AV930" s="139"/>
    </row>
    <row r="931">
      <c r="A931" s="139"/>
      <c r="B931" s="234"/>
      <c r="C931" s="139"/>
      <c r="D931" s="139"/>
      <c r="E931" s="139"/>
      <c r="F931" s="139"/>
      <c r="G931" s="139"/>
      <c r="H931" s="139"/>
      <c r="I931" s="139"/>
      <c r="J931" s="139"/>
      <c r="K931" s="139"/>
      <c r="L931" s="139"/>
      <c r="M931" s="139"/>
      <c r="N931" s="145"/>
      <c r="O931" s="139"/>
      <c r="P931" s="139"/>
      <c r="Q931" s="231"/>
      <c r="R931" s="139"/>
      <c r="S931" s="235"/>
      <c r="T931" s="235"/>
      <c r="U931" s="145"/>
      <c r="V931" s="145"/>
      <c r="W931" s="111"/>
      <c r="X931" s="233"/>
      <c r="Y931" s="226"/>
      <c r="Z931" s="139"/>
      <c r="AA931" s="139"/>
      <c r="AB931" s="139"/>
      <c r="AC931" s="139"/>
      <c r="AD931" s="139"/>
      <c r="AE931" s="139"/>
      <c r="AF931" s="139"/>
      <c r="AG931" s="139"/>
      <c r="AH931" s="139"/>
      <c r="AI931" s="139"/>
      <c r="AJ931" s="139"/>
      <c r="AK931" s="139"/>
      <c r="AL931" s="139"/>
      <c r="AM931" s="139"/>
      <c r="AN931" s="139"/>
      <c r="AO931" s="139"/>
      <c r="AP931" s="139"/>
      <c r="AQ931" s="139"/>
      <c r="AR931" s="139"/>
      <c r="AS931" s="139"/>
      <c r="AT931" s="139"/>
      <c r="AU931" s="139"/>
      <c r="AV931" s="139"/>
    </row>
    <row r="932">
      <c r="A932" s="139"/>
      <c r="B932" s="234"/>
      <c r="C932" s="139"/>
      <c r="D932" s="139"/>
      <c r="E932" s="139"/>
      <c r="F932" s="139"/>
      <c r="G932" s="139"/>
      <c r="H932" s="139"/>
      <c r="I932" s="139"/>
      <c r="J932" s="139"/>
      <c r="K932" s="139"/>
      <c r="L932" s="139"/>
      <c r="M932" s="139"/>
      <c r="N932" s="145"/>
      <c r="O932" s="139"/>
      <c r="P932" s="139"/>
      <c r="Q932" s="231"/>
      <c r="R932" s="139"/>
      <c r="S932" s="235"/>
      <c r="T932" s="235"/>
      <c r="U932" s="145"/>
      <c r="V932" s="145"/>
      <c r="W932" s="111"/>
      <c r="X932" s="233"/>
      <c r="Y932" s="226"/>
      <c r="Z932" s="139"/>
      <c r="AA932" s="139"/>
      <c r="AB932" s="139"/>
      <c r="AC932" s="139"/>
      <c r="AD932" s="139"/>
      <c r="AE932" s="139"/>
      <c r="AF932" s="139"/>
      <c r="AG932" s="139"/>
      <c r="AH932" s="139"/>
      <c r="AI932" s="139"/>
      <c r="AJ932" s="139"/>
      <c r="AK932" s="139"/>
      <c r="AL932" s="139"/>
      <c r="AM932" s="139"/>
      <c r="AN932" s="139"/>
      <c r="AO932" s="139"/>
      <c r="AP932" s="139"/>
      <c r="AQ932" s="139"/>
      <c r="AR932" s="139"/>
      <c r="AS932" s="139"/>
      <c r="AT932" s="139"/>
      <c r="AU932" s="139"/>
      <c r="AV932" s="139"/>
    </row>
    <row r="933">
      <c r="A933" s="139"/>
      <c r="B933" s="234"/>
      <c r="C933" s="139"/>
      <c r="D933" s="139"/>
      <c r="E933" s="139"/>
      <c r="F933" s="139"/>
      <c r="G933" s="139"/>
      <c r="H933" s="139"/>
      <c r="I933" s="139"/>
      <c r="J933" s="139"/>
      <c r="K933" s="139"/>
      <c r="L933" s="139"/>
      <c r="M933" s="139"/>
      <c r="N933" s="145"/>
      <c r="O933" s="139"/>
      <c r="P933" s="139"/>
      <c r="Q933" s="231"/>
      <c r="R933" s="139"/>
      <c r="S933" s="235"/>
      <c r="T933" s="235"/>
      <c r="U933" s="145"/>
      <c r="V933" s="145"/>
      <c r="W933" s="111"/>
      <c r="X933" s="233"/>
      <c r="Y933" s="226"/>
      <c r="Z933" s="139"/>
      <c r="AA933" s="139"/>
      <c r="AB933" s="139"/>
      <c r="AC933" s="139"/>
      <c r="AD933" s="139"/>
      <c r="AE933" s="139"/>
      <c r="AF933" s="139"/>
      <c r="AG933" s="139"/>
      <c r="AH933" s="139"/>
      <c r="AI933" s="139"/>
      <c r="AJ933" s="139"/>
      <c r="AK933" s="139"/>
      <c r="AL933" s="139"/>
      <c r="AM933" s="139"/>
      <c r="AN933" s="139"/>
      <c r="AO933" s="139"/>
      <c r="AP933" s="139"/>
      <c r="AQ933" s="139"/>
      <c r="AR933" s="139"/>
      <c r="AS933" s="139"/>
      <c r="AT933" s="139"/>
      <c r="AU933" s="139"/>
      <c r="AV933" s="139"/>
    </row>
    <row r="934">
      <c r="A934" s="139"/>
      <c r="B934" s="234"/>
      <c r="C934" s="139"/>
      <c r="D934" s="139"/>
      <c r="E934" s="139"/>
      <c r="F934" s="139"/>
      <c r="G934" s="139"/>
      <c r="H934" s="139"/>
      <c r="I934" s="139"/>
      <c r="J934" s="139"/>
      <c r="K934" s="139"/>
      <c r="L934" s="139"/>
      <c r="M934" s="139"/>
      <c r="N934" s="145"/>
      <c r="O934" s="139"/>
      <c r="P934" s="139"/>
      <c r="Q934" s="231"/>
      <c r="R934" s="139"/>
      <c r="S934" s="235"/>
      <c r="T934" s="235"/>
      <c r="U934" s="145"/>
      <c r="V934" s="145"/>
      <c r="W934" s="111"/>
      <c r="X934" s="233"/>
      <c r="Y934" s="226"/>
      <c r="Z934" s="139"/>
      <c r="AA934" s="139"/>
      <c r="AB934" s="139"/>
      <c r="AC934" s="139"/>
      <c r="AD934" s="139"/>
      <c r="AE934" s="139"/>
      <c r="AF934" s="139"/>
      <c r="AG934" s="139"/>
      <c r="AH934" s="139"/>
      <c r="AI934" s="139"/>
      <c r="AJ934" s="139"/>
      <c r="AK934" s="139"/>
      <c r="AL934" s="139"/>
      <c r="AM934" s="139"/>
      <c r="AN934" s="139"/>
      <c r="AO934" s="139"/>
      <c r="AP934" s="139"/>
      <c r="AQ934" s="139"/>
      <c r="AR934" s="139"/>
      <c r="AS934" s="139"/>
      <c r="AT934" s="139"/>
      <c r="AU934" s="139"/>
      <c r="AV934" s="139"/>
    </row>
    <row r="935">
      <c r="A935" s="139"/>
      <c r="B935" s="234"/>
      <c r="C935" s="139"/>
      <c r="D935" s="139"/>
      <c r="E935" s="139"/>
      <c r="F935" s="139"/>
      <c r="G935" s="139"/>
      <c r="H935" s="139"/>
      <c r="I935" s="139"/>
      <c r="J935" s="139"/>
      <c r="K935" s="139"/>
      <c r="L935" s="139"/>
      <c r="M935" s="139"/>
      <c r="N935" s="145"/>
      <c r="O935" s="139"/>
      <c r="P935" s="139"/>
      <c r="Q935" s="231"/>
      <c r="R935" s="139"/>
      <c r="S935" s="235"/>
      <c r="T935" s="235"/>
      <c r="U935" s="145"/>
      <c r="V935" s="145"/>
      <c r="W935" s="111"/>
      <c r="X935" s="233"/>
      <c r="Y935" s="226"/>
      <c r="Z935" s="139"/>
      <c r="AA935" s="139"/>
      <c r="AB935" s="139"/>
      <c r="AC935" s="139"/>
      <c r="AD935" s="139"/>
      <c r="AE935" s="139"/>
      <c r="AF935" s="139"/>
      <c r="AG935" s="139"/>
      <c r="AH935" s="139"/>
      <c r="AI935" s="139"/>
      <c r="AJ935" s="139"/>
      <c r="AK935" s="139"/>
      <c r="AL935" s="139"/>
      <c r="AM935" s="139"/>
      <c r="AN935" s="139"/>
      <c r="AO935" s="139"/>
      <c r="AP935" s="139"/>
      <c r="AQ935" s="139"/>
      <c r="AR935" s="139"/>
      <c r="AS935" s="139"/>
      <c r="AT935" s="139"/>
      <c r="AU935" s="139"/>
      <c r="AV935" s="139"/>
    </row>
    <row r="936">
      <c r="A936" s="139"/>
      <c r="B936" s="234"/>
      <c r="C936" s="139"/>
      <c r="D936" s="139"/>
      <c r="E936" s="139"/>
      <c r="F936" s="139"/>
      <c r="G936" s="139"/>
      <c r="H936" s="139"/>
      <c r="I936" s="139"/>
      <c r="J936" s="139"/>
      <c r="K936" s="139"/>
      <c r="L936" s="139"/>
      <c r="M936" s="139"/>
      <c r="N936" s="145"/>
      <c r="O936" s="139"/>
      <c r="P936" s="139"/>
      <c r="Q936" s="231"/>
      <c r="R936" s="139"/>
      <c r="S936" s="235"/>
      <c r="T936" s="235"/>
      <c r="U936" s="145"/>
      <c r="V936" s="145"/>
      <c r="W936" s="111"/>
      <c r="X936" s="233"/>
      <c r="Y936" s="226"/>
      <c r="Z936" s="139"/>
      <c r="AA936" s="139"/>
      <c r="AB936" s="139"/>
      <c r="AC936" s="139"/>
      <c r="AD936" s="139"/>
      <c r="AE936" s="139"/>
      <c r="AF936" s="139"/>
      <c r="AG936" s="139"/>
      <c r="AH936" s="139"/>
      <c r="AI936" s="139"/>
      <c r="AJ936" s="139"/>
      <c r="AK936" s="139"/>
      <c r="AL936" s="139"/>
      <c r="AM936" s="139"/>
      <c r="AN936" s="139"/>
      <c r="AO936" s="139"/>
      <c r="AP936" s="139"/>
      <c r="AQ936" s="139"/>
      <c r="AR936" s="139"/>
      <c r="AS936" s="139"/>
      <c r="AT936" s="139"/>
      <c r="AU936" s="139"/>
      <c r="AV936" s="139"/>
    </row>
    <row r="937">
      <c r="A937" s="139"/>
      <c r="B937" s="234"/>
      <c r="C937" s="139"/>
      <c r="D937" s="139"/>
      <c r="E937" s="139"/>
      <c r="F937" s="139"/>
      <c r="G937" s="139"/>
      <c r="H937" s="139"/>
      <c r="I937" s="139"/>
      <c r="J937" s="139"/>
      <c r="K937" s="139"/>
      <c r="L937" s="139"/>
      <c r="M937" s="139"/>
      <c r="N937" s="145"/>
      <c r="O937" s="139"/>
      <c r="P937" s="139"/>
      <c r="Q937" s="231"/>
      <c r="R937" s="139"/>
      <c r="S937" s="235"/>
      <c r="T937" s="235"/>
      <c r="U937" s="145"/>
      <c r="V937" s="145"/>
      <c r="W937" s="111"/>
      <c r="X937" s="233"/>
      <c r="Y937" s="226"/>
      <c r="Z937" s="139"/>
      <c r="AA937" s="139"/>
      <c r="AB937" s="139"/>
      <c r="AC937" s="139"/>
      <c r="AD937" s="139"/>
      <c r="AE937" s="139"/>
      <c r="AF937" s="139"/>
      <c r="AG937" s="139"/>
      <c r="AH937" s="139"/>
      <c r="AI937" s="139"/>
      <c r="AJ937" s="139"/>
      <c r="AK937" s="139"/>
      <c r="AL937" s="139"/>
      <c r="AM937" s="139"/>
      <c r="AN937" s="139"/>
      <c r="AO937" s="139"/>
      <c r="AP937" s="139"/>
      <c r="AQ937" s="139"/>
      <c r="AR937" s="139"/>
      <c r="AS937" s="139"/>
      <c r="AT937" s="139"/>
      <c r="AU937" s="139"/>
      <c r="AV937" s="139"/>
    </row>
    <row r="938">
      <c r="A938" s="139"/>
      <c r="B938" s="234"/>
      <c r="C938" s="139"/>
      <c r="D938" s="139"/>
      <c r="E938" s="139"/>
      <c r="F938" s="139"/>
      <c r="G938" s="139"/>
      <c r="H938" s="139"/>
      <c r="I938" s="139"/>
      <c r="J938" s="139"/>
      <c r="K938" s="139"/>
      <c r="L938" s="139"/>
      <c r="M938" s="139"/>
      <c r="N938" s="145"/>
      <c r="O938" s="139"/>
      <c r="P938" s="139"/>
      <c r="Q938" s="231"/>
      <c r="R938" s="139"/>
      <c r="S938" s="235"/>
      <c r="T938" s="235"/>
      <c r="U938" s="145"/>
      <c r="V938" s="145"/>
      <c r="W938" s="111"/>
      <c r="X938" s="233"/>
      <c r="Y938" s="226"/>
      <c r="Z938" s="139"/>
      <c r="AA938" s="139"/>
      <c r="AB938" s="139"/>
      <c r="AC938" s="139"/>
      <c r="AD938" s="139"/>
      <c r="AE938" s="139"/>
      <c r="AF938" s="139"/>
      <c r="AG938" s="139"/>
      <c r="AH938" s="139"/>
      <c r="AI938" s="139"/>
      <c r="AJ938" s="139"/>
      <c r="AK938" s="139"/>
      <c r="AL938" s="139"/>
      <c r="AM938" s="139"/>
      <c r="AN938" s="139"/>
      <c r="AO938" s="139"/>
      <c r="AP938" s="139"/>
      <c r="AQ938" s="139"/>
      <c r="AR938" s="139"/>
      <c r="AS938" s="139"/>
      <c r="AT938" s="139"/>
      <c r="AU938" s="139"/>
      <c r="AV938" s="139"/>
    </row>
    <row r="939">
      <c r="A939" s="139"/>
      <c r="B939" s="234"/>
      <c r="C939" s="139"/>
      <c r="D939" s="139"/>
      <c r="E939" s="139"/>
      <c r="F939" s="139"/>
      <c r="G939" s="139"/>
      <c r="H939" s="139"/>
      <c r="I939" s="139"/>
      <c r="J939" s="139"/>
      <c r="K939" s="139"/>
      <c r="L939" s="139"/>
      <c r="M939" s="139"/>
      <c r="N939" s="145"/>
      <c r="O939" s="139"/>
      <c r="P939" s="139"/>
      <c r="Q939" s="231"/>
      <c r="R939" s="139"/>
      <c r="S939" s="235"/>
      <c r="T939" s="235"/>
      <c r="U939" s="145"/>
      <c r="V939" s="145"/>
      <c r="W939" s="111"/>
      <c r="X939" s="233"/>
      <c r="Y939" s="226"/>
      <c r="Z939" s="139"/>
      <c r="AA939" s="139"/>
      <c r="AB939" s="139"/>
      <c r="AC939" s="139"/>
      <c r="AD939" s="139"/>
      <c r="AE939" s="139"/>
      <c r="AF939" s="139"/>
      <c r="AG939" s="139"/>
      <c r="AH939" s="139"/>
      <c r="AI939" s="139"/>
      <c r="AJ939" s="139"/>
      <c r="AK939" s="139"/>
      <c r="AL939" s="139"/>
      <c r="AM939" s="139"/>
      <c r="AN939" s="139"/>
      <c r="AO939" s="139"/>
      <c r="AP939" s="139"/>
      <c r="AQ939" s="139"/>
      <c r="AR939" s="139"/>
      <c r="AS939" s="139"/>
      <c r="AT939" s="139"/>
      <c r="AU939" s="139"/>
      <c r="AV939" s="139"/>
    </row>
    <row r="940">
      <c r="A940" s="139"/>
      <c r="B940" s="234"/>
      <c r="C940" s="139"/>
      <c r="D940" s="139"/>
      <c r="E940" s="139"/>
      <c r="F940" s="139"/>
      <c r="G940" s="139"/>
      <c r="H940" s="139"/>
      <c r="I940" s="139"/>
      <c r="J940" s="139"/>
      <c r="K940" s="139"/>
      <c r="L940" s="139"/>
      <c r="M940" s="139"/>
      <c r="N940" s="145"/>
      <c r="O940" s="139"/>
      <c r="P940" s="139"/>
      <c r="Q940" s="231"/>
      <c r="R940" s="139"/>
      <c r="S940" s="235"/>
      <c r="T940" s="235"/>
      <c r="U940" s="145"/>
      <c r="V940" s="145"/>
      <c r="W940" s="111"/>
      <c r="X940" s="233"/>
      <c r="Y940" s="226"/>
      <c r="Z940" s="139"/>
      <c r="AA940" s="139"/>
      <c r="AB940" s="139"/>
      <c r="AC940" s="139"/>
      <c r="AD940" s="139"/>
      <c r="AE940" s="139"/>
      <c r="AF940" s="139"/>
      <c r="AG940" s="139"/>
      <c r="AH940" s="139"/>
      <c r="AI940" s="139"/>
      <c r="AJ940" s="139"/>
      <c r="AK940" s="139"/>
      <c r="AL940" s="139"/>
      <c r="AM940" s="139"/>
      <c r="AN940" s="139"/>
      <c r="AO940" s="139"/>
      <c r="AP940" s="139"/>
      <c r="AQ940" s="139"/>
      <c r="AR940" s="139"/>
      <c r="AS940" s="139"/>
      <c r="AT940" s="139"/>
      <c r="AU940" s="139"/>
      <c r="AV940" s="139"/>
    </row>
    <row r="941">
      <c r="A941" s="139"/>
      <c r="B941" s="234"/>
      <c r="C941" s="139"/>
      <c r="D941" s="139"/>
      <c r="E941" s="139"/>
      <c r="F941" s="139"/>
      <c r="G941" s="139"/>
      <c r="H941" s="139"/>
      <c r="I941" s="139"/>
      <c r="J941" s="139"/>
      <c r="K941" s="139"/>
      <c r="L941" s="139"/>
      <c r="M941" s="139"/>
      <c r="N941" s="145"/>
      <c r="O941" s="139"/>
      <c r="P941" s="139"/>
      <c r="Q941" s="231"/>
      <c r="R941" s="139"/>
      <c r="S941" s="235"/>
      <c r="T941" s="235"/>
      <c r="U941" s="145"/>
      <c r="V941" s="145"/>
      <c r="W941" s="111"/>
      <c r="X941" s="233"/>
      <c r="Y941" s="226"/>
      <c r="Z941" s="139"/>
      <c r="AA941" s="139"/>
      <c r="AB941" s="139"/>
      <c r="AC941" s="139"/>
      <c r="AD941" s="139"/>
      <c r="AE941" s="139"/>
      <c r="AF941" s="139"/>
      <c r="AG941" s="139"/>
      <c r="AH941" s="139"/>
      <c r="AI941" s="139"/>
      <c r="AJ941" s="139"/>
      <c r="AK941" s="139"/>
      <c r="AL941" s="139"/>
      <c r="AM941" s="139"/>
      <c r="AN941" s="139"/>
      <c r="AO941" s="139"/>
      <c r="AP941" s="139"/>
      <c r="AQ941" s="139"/>
      <c r="AR941" s="139"/>
      <c r="AS941" s="139"/>
      <c r="AT941" s="139"/>
      <c r="AU941" s="139"/>
      <c r="AV941" s="139"/>
    </row>
    <row r="942">
      <c r="A942" s="139"/>
      <c r="B942" s="234"/>
      <c r="C942" s="139"/>
      <c r="D942" s="139"/>
      <c r="E942" s="139"/>
      <c r="F942" s="139"/>
      <c r="G942" s="139"/>
      <c r="H942" s="139"/>
      <c r="I942" s="139"/>
      <c r="J942" s="139"/>
      <c r="K942" s="139"/>
      <c r="L942" s="139"/>
      <c r="M942" s="139"/>
      <c r="N942" s="145"/>
      <c r="O942" s="139"/>
      <c r="P942" s="139"/>
      <c r="Q942" s="231"/>
      <c r="R942" s="139"/>
      <c r="S942" s="235"/>
      <c r="T942" s="235"/>
      <c r="U942" s="145"/>
      <c r="V942" s="145"/>
      <c r="W942" s="111"/>
      <c r="X942" s="233"/>
      <c r="Y942" s="226"/>
      <c r="Z942" s="139"/>
      <c r="AA942" s="139"/>
      <c r="AB942" s="139"/>
      <c r="AC942" s="139"/>
      <c r="AD942" s="139"/>
      <c r="AE942" s="139"/>
      <c r="AF942" s="139"/>
      <c r="AG942" s="139"/>
      <c r="AH942" s="139"/>
      <c r="AI942" s="139"/>
      <c r="AJ942" s="139"/>
      <c r="AK942" s="139"/>
      <c r="AL942" s="139"/>
      <c r="AM942" s="139"/>
      <c r="AN942" s="139"/>
      <c r="AO942" s="139"/>
      <c r="AP942" s="139"/>
      <c r="AQ942" s="139"/>
      <c r="AR942" s="139"/>
      <c r="AS942" s="139"/>
      <c r="AT942" s="139"/>
      <c r="AU942" s="139"/>
      <c r="AV942" s="139"/>
    </row>
    <row r="943">
      <c r="A943" s="139"/>
      <c r="B943" s="234"/>
      <c r="C943" s="139"/>
      <c r="D943" s="139"/>
      <c r="E943" s="139"/>
      <c r="F943" s="139"/>
      <c r="G943" s="139"/>
      <c r="H943" s="139"/>
      <c r="I943" s="139"/>
      <c r="J943" s="139"/>
      <c r="K943" s="139"/>
      <c r="L943" s="139"/>
      <c r="M943" s="139"/>
      <c r="N943" s="145"/>
      <c r="O943" s="139"/>
      <c r="P943" s="139"/>
      <c r="Q943" s="231"/>
      <c r="R943" s="139"/>
      <c r="S943" s="235"/>
      <c r="T943" s="235"/>
      <c r="U943" s="145"/>
      <c r="V943" s="145"/>
      <c r="W943" s="111"/>
      <c r="X943" s="233"/>
      <c r="Y943" s="226"/>
      <c r="Z943" s="139"/>
      <c r="AA943" s="139"/>
      <c r="AB943" s="139"/>
      <c r="AC943" s="139"/>
      <c r="AD943" s="139"/>
      <c r="AE943" s="139"/>
      <c r="AF943" s="139"/>
      <c r="AG943" s="139"/>
      <c r="AH943" s="139"/>
      <c r="AI943" s="139"/>
      <c r="AJ943" s="139"/>
      <c r="AK943" s="139"/>
      <c r="AL943" s="139"/>
      <c r="AM943" s="139"/>
      <c r="AN943" s="139"/>
      <c r="AO943" s="139"/>
      <c r="AP943" s="139"/>
      <c r="AQ943" s="139"/>
      <c r="AR943" s="139"/>
      <c r="AS943" s="139"/>
      <c r="AT943" s="139"/>
      <c r="AU943" s="139"/>
      <c r="AV943" s="139"/>
    </row>
    <row r="944">
      <c r="A944" s="139"/>
      <c r="B944" s="234"/>
      <c r="C944" s="139"/>
      <c r="D944" s="139"/>
      <c r="E944" s="139"/>
      <c r="F944" s="139"/>
      <c r="G944" s="139"/>
      <c r="H944" s="139"/>
      <c r="I944" s="139"/>
      <c r="J944" s="139"/>
      <c r="K944" s="139"/>
      <c r="L944" s="139"/>
      <c r="M944" s="139"/>
      <c r="N944" s="145"/>
      <c r="O944" s="139"/>
      <c r="P944" s="139"/>
      <c r="Q944" s="231"/>
      <c r="R944" s="139"/>
      <c r="S944" s="235"/>
      <c r="T944" s="235"/>
      <c r="U944" s="145"/>
      <c r="V944" s="145"/>
      <c r="W944" s="111"/>
      <c r="X944" s="233"/>
      <c r="Y944" s="226"/>
      <c r="Z944" s="139"/>
      <c r="AA944" s="139"/>
      <c r="AB944" s="139"/>
      <c r="AC944" s="139"/>
      <c r="AD944" s="139"/>
      <c r="AE944" s="139"/>
      <c r="AF944" s="139"/>
      <c r="AG944" s="139"/>
      <c r="AH944" s="139"/>
      <c r="AI944" s="139"/>
      <c r="AJ944" s="139"/>
      <c r="AK944" s="139"/>
      <c r="AL944" s="139"/>
      <c r="AM944" s="139"/>
      <c r="AN944" s="139"/>
      <c r="AO944" s="139"/>
      <c r="AP944" s="139"/>
      <c r="AQ944" s="139"/>
      <c r="AR944" s="139"/>
      <c r="AS944" s="139"/>
      <c r="AT944" s="139"/>
      <c r="AU944" s="139"/>
      <c r="AV944" s="139"/>
    </row>
    <row r="945">
      <c r="A945" s="139"/>
      <c r="B945" s="234"/>
      <c r="C945" s="139"/>
      <c r="D945" s="139"/>
      <c r="E945" s="139"/>
      <c r="F945" s="139"/>
      <c r="G945" s="139"/>
      <c r="H945" s="139"/>
      <c r="I945" s="139"/>
      <c r="J945" s="139"/>
      <c r="K945" s="139"/>
      <c r="L945" s="139"/>
      <c r="M945" s="139"/>
      <c r="N945" s="145"/>
      <c r="O945" s="139"/>
      <c r="P945" s="139"/>
      <c r="Q945" s="231"/>
      <c r="R945" s="139"/>
      <c r="S945" s="235"/>
      <c r="T945" s="235"/>
      <c r="U945" s="145"/>
      <c r="V945" s="145"/>
      <c r="W945" s="111"/>
      <c r="X945" s="233"/>
      <c r="Y945" s="226"/>
      <c r="Z945" s="139"/>
      <c r="AA945" s="139"/>
      <c r="AB945" s="139"/>
      <c r="AC945" s="139"/>
      <c r="AD945" s="139"/>
      <c r="AE945" s="139"/>
      <c r="AF945" s="139"/>
      <c r="AG945" s="139"/>
      <c r="AH945" s="139"/>
      <c r="AI945" s="139"/>
      <c r="AJ945" s="139"/>
      <c r="AK945" s="139"/>
      <c r="AL945" s="139"/>
      <c r="AM945" s="139"/>
      <c r="AN945" s="139"/>
      <c r="AO945" s="139"/>
      <c r="AP945" s="139"/>
      <c r="AQ945" s="139"/>
      <c r="AR945" s="139"/>
      <c r="AS945" s="139"/>
      <c r="AT945" s="139"/>
      <c r="AU945" s="139"/>
      <c r="AV945" s="139"/>
    </row>
    <row r="946">
      <c r="A946" s="139"/>
      <c r="B946" s="234"/>
      <c r="C946" s="139"/>
      <c r="D946" s="139"/>
      <c r="E946" s="139"/>
      <c r="F946" s="139"/>
      <c r="G946" s="139"/>
      <c r="H946" s="139"/>
      <c r="I946" s="139"/>
      <c r="J946" s="139"/>
      <c r="K946" s="139"/>
      <c r="L946" s="139"/>
      <c r="M946" s="139"/>
      <c r="N946" s="145"/>
      <c r="O946" s="139"/>
      <c r="P946" s="139"/>
      <c r="Q946" s="231"/>
      <c r="R946" s="139"/>
      <c r="S946" s="235"/>
      <c r="T946" s="235"/>
      <c r="U946" s="145"/>
      <c r="V946" s="145"/>
      <c r="W946" s="111"/>
      <c r="X946" s="233"/>
      <c r="Y946" s="226"/>
      <c r="Z946" s="139"/>
      <c r="AA946" s="139"/>
      <c r="AB946" s="139"/>
      <c r="AC946" s="139"/>
      <c r="AD946" s="139"/>
      <c r="AE946" s="139"/>
      <c r="AF946" s="139"/>
      <c r="AG946" s="139"/>
      <c r="AH946" s="139"/>
      <c r="AI946" s="139"/>
      <c r="AJ946" s="139"/>
      <c r="AK946" s="139"/>
      <c r="AL946" s="139"/>
      <c r="AM946" s="139"/>
      <c r="AN946" s="139"/>
      <c r="AO946" s="139"/>
      <c r="AP946" s="139"/>
      <c r="AQ946" s="139"/>
      <c r="AR946" s="139"/>
      <c r="AS946" s="139"/>
      <c r="AT946" s="139"/>
      <c r="AU946" s="139"/>
      <c r="AV946" s="139"/>
    </row>
    <row r="947">
      <c r="A947" s="139"/>
      <c r="B947" s="234"/>
      <c r="C947" s="139"/>
      <c r="D947" s="139"/>
      <c r="E947" s="139"/>
      <c r="F947" s="139"/>
      <c r="G947" s="139"/>
      <c r="H947" s="139"/>
      <c r="I947" s="139"/>
      <c r="J947" s="139"/>
      <c r="K947" s="139"/>
      <c r="L947" s="139"/>
      <c r="M947" s="139"/>
      <c r="N947" s="145"/>
      <c r="O947" s="139"/>
      <c r="P947" s="139"/>
      <c r="Q947" s="231"/>
      <c r="R947" s="139"/>
      <c r="S947" s="235"/>
      <c r="T947" s="235"/>
      <c r="U947" s="145"/>
      <c r="V947" s="145"/>
      <c r="W947" s="111"/>
      <c r="X947" s="233"/>
      <c r="Y947" s="226"/>
      <c r="Z947" s="139"/>
      <c r="AA947" s="139"/>
      <c r="AB947" s="139"/>
      <c r="AC947" s="139"/>
      <c r="AD947" s="139"/>
      <c r="AE947" s="139"/>
      <c r="AF947" s="139"/>
      <c r="AG947" s="139"/>
      <c r="AH947" s="139"/>
      <c r="AI947" s="139"/>
      <c r="AJ947" s="139"/>
      <c r="AK947" s="139"/>
      <c r="AL947" s="139"/>
      <c r="AM947" s="139"/>
      <c r="AN947" s="139"/>
      <c r="AO947" s="139"/>
      <c r="AP947" s="139"/>
      <c r="AQ947" s="139"/>
      <c r="AR947" s="139"/>
      <c r="AS947" s="139"/>
      <c r="AT947" s="139"/>
      <c r="AU947" s="139"/>
      <c r="AV947" s="139"/>
    </row>
    <row r="948">
      <c r="A948" s="139"/>
      <c r="B948" s="234"/>
      <c r="C948" s="139"/>
      <c r="D948" s="139"/>
      <c r="E948" s="139"/>
      <c r="F948" s="139"/>
      <c r="G948" s="139"/>
      <c r="H948" s="139"/>
      <c r="I948" s="139"/>
      <c r="J948" s="139"/>
      <c r="K948" s="139"/>
      <c r="L948" s="139"/>
      <c r="M948" s="139"/>
      <c r="N948" s="145"/>
      <c r="O948" s="139"/>
      <c r="P948" s="139"/>
      <c r="Q948" s="231"/>
      <c r="R948" s="139"/>
      <c r="S948" s="235"/>
      <c r="T948" s="235"/>
      <c r="U948" s="145"/>
      <c r="V948" s="145"/>
      <c r="W948" s="111"/>
      <c r="X948" s="233"/>
      <c r="Y948" s="226"/>
      <c r="Z948" s="139"/>
      <c r="AA948" s="139"/>
      <c r="AB948" s="139"/>
      <c r="AC948" s="139"/>
      <c r="AD948" s="139"/>
      <c r="AE948" s="139"/>
      <c r="AF948" s="139"/>
      <c r="AG948" s="139"/>
      <c r="AH948" s="139"/>
      <c r="AI948" s="139"/>
      <c r="AJ948" s="139"/>
      <c r="AK948" s="139"/>
      <c r="AL948" s="139"/>
      <c r="AM948" s="139"/>
      <c r="AN948" s="139"/>
      <c r="AO948" s="139"/>
      <c r="AP948" s="139"/>
      <c r="AQ948" s="139"/>
      <c r="AR948" s="139"/>
      <c r="AS948" s="139"/>
      <c r="AT948" s="139"/>
      <c r="AU948" s="139"/>
      <c r="AV948" s="139"/>
    </row>
    <row r="949">
      <c r="A949" s="139"/>
      <c r="B949" s="234"/>
      <c r="C949" s="139"/>
      <c r="D949" s="139"/>
      <c r="E949" s="139"/>
      <c r="F949" s="139"/>
      <c r="G949" s="139"/>
      <c r="H949" s="139"/>
      <c r="I949" s="139"/>
      <c r="J949" s="139"/>
      <c r="K949" s="139"/>
      <c r="L949" s="139"/>
      <c r="M949" s="139"/>
      <c r="N949" s="145"/>
      <c r="O949" s="139"/>
      <c r="P949" s="139"/>
      <c r="Q949" s="231"/>
      <c r="R949" s="139"/>
      <c r="S949" s="235"/>
      <c r="T949" s="235"/>
      <c r="U949" s="145"/>
      <c r="V949" s="145"/>
      <c r="W949" s="111"/>
      <c r="X949" s="233"/>
      <c r="Y949" s="226"/>
      <c r="Z949" s="139"/>
      <c r="AA949" s="139"/>
      <c r="AB949" s="139"/>
      <c r="AC949" s="139"/>
      <c r="AD949" s="139"/>
      <c r="AE949" s="139"/>
      <c r="AF949" s="139"/>
      <c r="AG949" s="139"/>
      <c r="AH949" s="139"/>
      <c r="AI949" s="139"/>
      <c r="AJ949" s="139"/>
      <c r="AK949" s="139"/>
      <c r="AL949" s="139"/>
      <c r="AM949" s="139"/>
      <c r="AN949" s="139"/>
      <c r="AO949" s="139"/>
      <c r="AP949" s="139"/>
      <c r="AQ949" s="139"/>
      <c r="AR949" s="139"/>
      <c r="AS949" s="139"/>
      <c r="AT949" s="139"/>
      <c r="AU949" s="139"/>
      <c r="AV949" s="139"/>
    </row>
    <row r="950">
      <c r="A950" s="139"/>
      <c r="B950" s="234"/>
      <c r="C950" s="139"/>
      <c r="D950" s="139"/>
      <c r="E950" s="139"/>
      <c r="F950" s="139"/>
      <c r="G950" s="139"/>
      <c r="H950" s="139"/>
      <c r="I950" s="139"/>
      <c r="J950" s="139"/>
      <c r="K950" s="139"/>
      <c r="L950" s="139"/>
      <c r="M950" s="139"/>
      <c r="N950" s="145"/>
      <c r="O950" s="139"/>
      <c r="P950" s="139"/>
      <c r="Q950" s="231"/>
      <c r="R950" s="139"/>
      <c r="S950" s="235"/>
      <c r="T950" s="235"/>
      <c r="U950" s="145"/>
      <c r="V950" s="145"/>
      <c r="W950" s="111"/>
      <c r="X950" s="233"/>
      <c r="Y950" s="226"/>
      <c r="Z950" s="139"/>
      <c r="AA950" s="139"/>
      <c r="AB950" s="139"/>
      <c r="AC950" s="139"/>
      <c r="AD950" s="139"/>
      <c r="AE950" s="139"/>
      <c r="AF950" s="139"/>
      <c r="AG950" s="139"/>
      <c r="AH950" s="139"/>
      <c r="AI950" s="139"/>
      <c r="AJ950" s="139"/>
      <c r="AK950" s="139"/>
      <c r="AL950" s="139"/>
      <c r="AM950" s="139"/>
      <c r="AN950" s="139"/>
      <c r="AO950" s="139"/>
      <c r="AP950" s="139"/>
      <c r="AQ950" s="139"/>
      <c r="AR950" s="139"/>
      <c r="AS950" s="139"/>
      <c r="AT950" s="139"/>
      <c r="AU950" s="139"/>
      <c r="AV950" s="139"/>
    </row>
    <row r="951">
      <c r="A951" s="139"/>
      <c r="B951" s="234"/>
      <c r="C951" s="139"/>
      <c r="D951" s="139"/>
      <c r="E951" s="139"/>
      <c r="F951" s="139"/>
      <c r="G951" s="139"/>
      <c r="H951" s="139"/>
      <c r="I951" s="139"/>
      <c r="J951" s="139"/>
      <c r="K951" s="139"/>
      <c r="L951" s="139"/>
      <c r="M951" s="139"/>
      <c r="N951" s="145"/>
      <c r="O951" s="139"/>
      <c r="P951" s="139"/>
      <c r="Q951" s="231"/>
      <c r="R951" s="139"/>
      <c r="S951" s="235"/>
      <c r="T951" s="235"/>
      <c r="U951" s="145"/>
      <c r="V951" s="145"/>
      <c r="W951" s="111"/>
      <c r="X951" s="233"/>
      <c r="Y951" s="226"/>
      <c r="Z951" s="139"/>
      <c r="AA951" s="139"/>
      <c r="AB951" s="139"/>
      <c r="AC951" s="139"/>
      <c r="AD951" s="139"/>
      <c r="AE951" s="139"/>
      <c r="AF951" s="139"/>
      <c r="AG951" s="139"/>
      <c r="AH951" s="139"/>
      <c r="AI951" s="139"/>
      <c r="AJ951" s="139"/>
      <c r="AK951" s="139"/>
      <c r="AL951" s="139"/>
      <c r="AM951" s="139"/>
      <c r="AN951" s="139"/>
      <c r="AO951" s="139"/>
      <c r="AP951" s="139"/>
      <c r="AQ951" s="139"/>
      <c r="AR951" s="139"/>
      <c r="AS951" s="139"/>
      <c r="AT951" s="139"/>
      <c r="AU951" s="139"/>
      <c r="AV951" s="139"/>
    </row>
    <row r="952">
      <c r="A952" s="139"/>
      <c r="B952" s="234"/>
      <c r="C952" s="139"/>
      <c r="D952" s="139"/>
      <c r="E952" s="139"/>
      <c r="F952" s="139"/>
      <c r="G952" s="139"/>
      <c r="H952" s="139"/>
      <c r="I952" s="139"/>
      <c r="J952" s="139"/>
      <c r="K952" s="139"/>
      <c r="L952" s="139"/>
      <c r="M952" s="139"/>
      <c r="N952" s="145"/>
      <c r="O952" s="139"/>
      <c r="P952" s="139"/>
      <c r="Q952" s="231"/>
      <c r="R952" s="139"/>
      <c r="S952" s="235"/>
      <c r="T952" s="235"/>
      <c r="U952" s="145"/>
      <c r="V952" s="145"/>
      <c r="W952" s="111"/>
      <c r="X952" s="233"/>
      <c r="Y952" s="226"/>
      <c r="Z952" s="139"/>
      <c r="AA952" s="139"/>
      <c r="AB952" s="139"/>
      <c r="AC952" s="139"/>
      <c r="AD952" s="139"/>
      <c r="AE952" s="139"/>
      <c r="AF952" s="139"/>
      <c r="AG952" s="139"/>
      <c r="AH952" s="139"/>
      <c r="AI952" s="139"/>
      <c r="AJ952" s="139"/>
      <c r="AK952" s="139"/>
      <c r="AL952" s="139"/>
      <c r="AM952" s="139"/>
      <c r="AN952" s="139"/>
      <c r="AO952" s="139"/>
      <c r="AP952" s="139"/>
      <c r="AQ952" s="139"/>
      <c r="AR952" s="139"/>
      <c r="AS952" s="139"/>
      <c r="AT952" s="139"/>
      <c r="AU952" s="139"/>
      <c r="AV952" s="139"/>
    </row>
    <row r="953">
      <c r="A953" s="139"/>
      <c r="B953" s="234"/>
      <c r="C953" s="139"/>
      <c r="D953" s="139"/>
      <c r="E953" s="139"/>
      <c r="F953" s="139"/>
      <c r="G953" s="139"/>
      <c r="H953" s="139"/>
      <c r="I953" s="139"/>
      <c r="J953" s="139"/>
      <c r="K953" s="139"/>
      <c r="L953" s="139"/>
      <c r="M953" s="139"/>
      <c r="N953" s="145"/>
      <c r="O953" s="139"/>
      <c r="P953" s="139"/>
      <c r="Q953" s="231"/>
      <c r="R953" s="139"/>
      <c r="S953" s="235"/>
      <c r="T953" s="235"/>
      <c r="U953" s="145"/>
      <c r="V953" s="145"/>
      <c r="W953" s="111"/>
      <c r="X953" s="233"/>
      <c r="Y953" s="226"/>
      <c r="Z953" s="139"/>
      <c r="AA953" s="139"/>
      <c r="AB953" s="139"/>
      <c r="AC953" s="139"/>
      <c r="AD953" s="139"/>
      <c r="AE953" s="139"/>
      <c r="AF953" s="139"/>
      <c r="AG953" s="139"/>
      <c r="AH953" s="139"/>
      <c r="AI953" s="139"/>
      <c r="AJ953" s="139"/>
      <c r="AK953" s="139"/>
      <c r="AL953" s="139"/>
      <c r="AM953" s="139"/>
      <c r="AN953" s="139"/>
      <c r="AO953" s="139"/>
      <c r="AP953" s="139"/>
      <c r="AQ953" s="139"/>
      <c r="AR953" s="139"/>
      <c r="AS953" s="139"/>
      <c r="AT953" s="139"/>
      <c r="AU953" s="139"/>
      <c r="AV953" s="139"/>
    </row>
    <row r="954">
      <c r="A954" s="139"/>
      <c r="B954" s="234"/>
      <c r="C954" s="139"/>
      <c r="D954" s="139"/>
      <c r="E954" s="139"/>
      <c r="F954" s="139"/>
      <c r="G954" s="139"/>
      <c r="H954" s="139"/>
      <c r="I954" s="139"/>
      <c r="J954" s="139"/>
      <c r="K954" s="139"/>
      <c r="L954" s="139"/>
      <c r="M954" s="139"/>
      <c r="N954" s="145"/>
      <c r="O954" s="139"/>
      <c r="P954" s="139"/>
      <c r="Q954" s="231"/>
      <c r="R954" s="139"/>
      <c r="S954" s="235"/>
      <c r="T954" s="235"/>
      <c r="U954" s="145"/>
      <c r="V954" s="145"/>
      <c r="W954" s="111"/>
      <c r="X954" s="233"/>
      <c r="Y954" s="226"/>
      <c r="Z954" s="139"/>
      <c r="AA954" s="139"/>
      <c r="AB954" s="139"/>
      <c r="AC954" s="139"/>
      <c r="AD954" s="139"/>
      <c r="AE954" s="139"/>
      <c r="AF954" s="139"/>
      <c r="AG954" s="139"/>
      <c r="AH954" s="139"/>
      <c r="AI954" s="139"/>
      <c r="AJ954" s="139"/>
      <c r="AK954" s="139"/>
      <c r="AL954" s="139"/>
      <c r="AM954" s="139"/>
      <c r="AN954" s="139"/>
      <c r="AO954" s="139"/>
      <c r="AP954" s="139"/>
      <c r="AQ954" s="139"/>
      <c r="AR954" s="139"/>
      <c r="AS954" s="139"/>
      <c r="AT954" s="139"/>
      <c r="AU954" s="139"/>
      <c r="AV954" s="139"/>
    </row>
    <row r="955">
      <c r="A955" s="139"/>
      <c r="B955" s="234"/>
      <c r="C955" s="139"/>
      <c r="D955" s="139"/>
      <c r="E955" s="139"/>
      <c r="F955" s="139"/>
      <c r="G955" s="139"/>
      <c r="H955" s="139"/>
      <c r="I955" s="139"/>
      <c r="J955" s="139"/>
      <c r="K955" s="139"/>
      <c r="L955" s="139"/>
      <c r="M955" s="139"/>
      <c r="N955" s="145"/>
      <c r="O955" s="139"/>
      <c r="P955" s="139"/>
      <c r="Q955" s="231"/>
      <c r="R955" s="139"/>
      <c r="S955" s="235"/>
      <c r="T955" s="235"/>
      <c r="U955" s="145"/>
      <c r="V955" s="145"/>
      <c r="W955" s="111"/>
      <c r="X955" s="233"/>
      <c r="Y955" s="226"/>
      <c r="Z955" s="139"/>
      <c r="AA955" s="139"/>
      <c r="AB955" s="139"/>
      <c r="AC955" s="139"/>
      <c r="AD955" s="139"/>
      <c r="AE955" s="139"/>
      <c r="AF955" s="139"/>
      <c r="AG955" s="139"/>
      <c r="AH955" s="139"/>
      <c r="AI955" s="139"/>
      <c r="AJ955" s="139"/>
      <c r="AK955" s="139"/>
      <c r="AL955" s="139"/>
      <c r="AM955" s="139"/>
      <c r="AN955" s="139"/>
      <c r="AO955" s="139"/>
      <c r="AP955" s="139"/>
      <c r="AQ955" s="139"/>
      <c r="AR955" s="139"/>
      <c r="AS955" s="139"/>
      <c r="AT955" s="139"/>
      <c r="AU955" s="139"/>
      <c r="AV955" s="139"/>
    </row>
    <row r="956">
      <c r="A956" s="139"/>
      <c r="B956" s="234"/>
      <c r="C956" s="139"/>
      <c r="D956" s="139"/>
      <c r="E956" s="139"/>
      <c r="F956" s="139"/>
      <c r="G956" s="139"/>
      <c r="H956" s="139"/>
      <c r="I956" s="139"/>
      <c r="J956" s="139"/>
      <c r="K956" s="139"/>
      <c r="L956" s="139"/>
      <c r="M956" s="139"/>
      <c r="N956" s="145"/>
      <c r="O956" s="139"/>
      <c r="P956" s="139"/>
      <c r="Q956" s="231"/>
      <c r="R956" s="139"/>
      <c r="S956" s="235"/>
      <c r="T956" s="235"/>
      <c r="U956" s="145"/>
      <c r="V956" s="145"/>
      <c r="W956" s="111"/>
      <c r="X956" s="233"/>
      <c r="Y956" s="226"/>
      <c r="Z956" s="139"/>
      <c r="AA956" s="139"/>
      <c r="AB956" s="139"/>
      <c r="AC956" s="139"/>
      <c r="AD956" s="139"/>
      <c r="AE956" s="139"/>
      <c r="AF956" s="139"/>
      <c r="AG956" s="139"/>
      <c r="AH956" s="139"/>
      <c r="AI956" s="139"/>
      <c r="AJ956" s="139"/>
      <c r="AK956" s="139"/>
      <c r="AL956" s="139"/>
      <c r="AM956" s="139"/>
      <c r="AN956" s="139"/>
      <c r="AO956" s="139"/>
      <c r="AP956" s="139"/>
      <c r="AQ956" s="139"/>
      <c r="AR956" s="139"/>
      <c r="AS956" s="139"/>
      <c r="AT956" s="139"/>
      <c r="AU956" s="139"/>
      <c r="AV956" s="139"/>
    </row>
    <row r="957">
      <c r="A957" s="139"/>
      <c r="B957" s="234"/>
      <c r="C957" s="139"/>
      <c r="D957" s="139"/>
      <c r="E957" s="139"/>
      <c r="F957" s="139"/>
      <c r="G957" s="139"/>
      <c r="H957" s="139"/>
      <c r="I957" s="139"/>
      <c r="J957" s="139"/>
      <c r="K957" s="139"/>
      <c r="L957" s="139"/>
      <c r="M957" s="139"/>
      <c r="N957" s="145"/>
      <c r="O957" s="139"/>
      <c r="P957" s="139"/>
      <c r="Q957" s="231"/>
      <c r="R957" s="139"/>
      <c r="S957" s="235"/>
      <c r="T957" s="235"/>
      <c r="U957" s="145"/>
      <c r="V957" s="145"/>
      <c r="W957" s="111"/>
      <c r="X957" s="233"/>
      <c r="Y957" s="226"/>
      <c r="Z957" s="139"/>
      <c r="AA957" s="139"/>
      <c r="AB957" s="139"/>
      <c r="AC957" s="139"/>
      <c r="AD957" s="139"/>
      <c r="AE957" s="139"/>
      <c r="AF957" s="139"/>
      <c r="AG957" s="139"/>
      <c r="AH957" s="139"/>
      <c r="AI957" s="139"/>
      <c r="AJ957" s="139"/>
      <c r="AK957" s="139"/>
      <c r="AL957" s="139"/>
      <c r="AM957" s="139"/>
      <c r="AN957" s="139"/>
      <c r="AO957" s="139"/>
      <c r="AP957" s="139"/>
      <c r="AQ957" s="139"/>
      <c r="AR957" s="139"/>
      <c r="AS957" s="139"/>
      <c r="AT957" s="139"/>
      <c r="AU957" s="139"/>
      <c r="AV957" s="139"/>
    </row>
    <row r="958">
      <c r="A958" s="139"/>
      <c r="B958" s="234"/>
      <c r="C958" s="139"/>
      <c r="D958" s="139"/>
      <c r="E958" s="139"/>
      <c r="F958" s="139"/>
      <c r="G958" s="139"/>
      <c r="H958" s="139"/>
      <c r="I958" s="139"/>
      <c r="J958" s="139"/>
      <c r="K958" s="139"/>
      <c r="L958" s="139"/>
      <c r="M958" s="139"/>
      <c r="N958" s="145"/>
      <c r="O958" s="139"/>
      <c r="P958" s="139"/>
      <c r="Q958" s="231"/>
      <c r="R958" s="139"/>
      <c r="S958" s="235"/>
      <c r="T958" s="235"/>
      <c r="U958" s="145"/>
      <c r="V958" s="145"/>
      <c r="W958" s="111"/>
      <c r="X958" s="233"/>
      <c r="Y958" s="226"/>
      <c r="Z958" s="139"/>
      <c r="AA958" s="139"/>
      <c r="AB958" s="139"/>
      <c r="AC958" s="139"/>
      <c r="AD958" s="139"/>
      <c r="AE958" s="139"/>
      <c r="AF958" s="139"/>
      <c r="AG958" s="139"/>
      <c r="AH958" s="139"/>
      <c r="AI958" s="139"/>
      <c r="AJ958" s="139"/>
      <c r="AK958" s="139"/>
      <c r="AL958" s="139"/>
      <c r="AM958" s="139"/>
      <c r="AN958" s="139"/>
      <c r="AO958" s="139"/>
      <c r="AP958" s="139"/>
      <c r="AQ958" s="139"/>
      <c r="AR958" s="139"/>
      <c r="AS958" s="139"/>
      <c r="AT958" s="139"/>
      <c r="AU958" s="139"/>
      <c r="AV958" s="139"/>
    </row>
    <row r="959">
      <c r="A959" s="139"/>
      <c r="B959" s="234"/>
      <c r="C959" s="139"/>
      <c r="D959" s="139"/>
      <c r="E959" s="139"/>
      <c r="F959" s="139"/>
      <c r="G959" s="139"/>
      <c r="H959" s="139"/>
      <c r="I959" s="139"/>
      <c r="J959" s="139"/>
      <c r="K959" s="139"/>
      <c r="L959" s="139"/>
      <c r="M959" s="139"/>
      <c r="N959" s="145"/>
      <c r="O959" s="139"/>
      <c r="P959" s="139"/>
      <c r="Q959" s="231"/>
      <c r="R959" s="139"/>
      <c r="S959" s="235"/>
      <c r="T959" s="235"/>
      <c r="U959" s="145"/>
      <c r="V959" s="145"/>
      <c r="W959" s="111"/>
      <c r="X959" s="233"/>
      <c r="Y959" s="226"/>
      <c r="Z959" s="139"/>
      <c r="AA959" s="139"/>
      <c r="AB959" s="139"/>
      <c r="AC959" s="139"/>
      <c r="AD959" s="139"/>
      <c r="AE959" s="139"/>
      <c r="AF959" s="139"/>
      <c r="AG959" s="139"/>
      <c r="AH959" s="139"/>
      <c r="AI959" s="139"/>
      <c r="AJ959" s="139"/>
      <c r="AK959" s="139"/>
      <c r="AL959" s="139"/>
      <c r="AM959" s="139"/>
      <c r="AN959" s="139"/>
      <c r="AO959" s="139"/>
      <c r="AP959" s="139"/>
      <c r="AQ959" s="139"/>
      <c r="AR959" s="139"/>
      <c r="AS959" s="139"/>
      <c r="AT959" s="139"/>
      <c r="AU959" s="139"/>
      <c r="AV959" s="139"/>
    </row>
    <row r="960">
      <c r="A960" s="139"/>
      <c r="B960" s="234"/>
      <c r="C960" s="139"/>
      <c r="D960" s="139"/>
      <c r="E960" s="139"/>
      <c r="F960" s="139"/>
      <c r="G960" s="139"/>
      <c r="H960" s="139"/>
      <c r="I960" s="139"/>
      <c r="J960" s="139"/>
      <c r="K960" s="139"/>
      <c r="L960" s="139"/>
      <c r="M960" s="139"/>
      <c r="N960" s="145"/>
      <c r="O960" s="139"/>
      <c r="P960" s="139"/>
      <c r="Q960" s="231"/>
      <c r="R960" s="139"/>
      <c r="S960" s="235"/>
      <c r="T960" s="235"/>
      <c r="U960" s="145"/>
      <c r="V960" s="145"/>
      <c r="W960" s="111"/>
      <c r="X960" s="233"/>
      <c r="Y960" s="226"/>
      <c r="Z960" s="139"/>
      <c r="AA960" s="139"/>
      <c r="AB960" s="139"/>
      <c r="AC960" s="139"/>
      <c r="AD960" s="139"/>
      <c r="AE960" s="139"/>
      <c r="AF960" s="139"/>
      <c r="AG960" s="139"/>
      <c r="AH960" s="139"/>
      <c r="AI960" s="139"/>
      <c r="AJ960" s="139"/>
      <c r="AK960" s="139"/>
      <c r="AL960" s="139"/>
      <c r="AM960" s="139"/>
      <c r="AN960" s="139"/>
      <c r="AO960" s="139"/>
      <c r="AP960" s="139"/>
      <c r="AQ960" s="139"/>
      <c r="AR960" s="139"/>
      <c r="AS960" s="139"/>
      <c r="AT960" s="139"/>
      <c r="AU960" s="139"/>
      <c r="AV960" s="139"/>
    </row>
    <row r="961">
      <c r="A961" s="139"/>
      <c r="B961" s="234"/>
      <c r="C961" s="139"/>
      <c r="D961" s="139"/>
      <c r="E961" s="139"/>
      <c r="F961" s="139"/>
      <c r="G961" s="139"/>
      <c r="H961" s="139"/>
      <c r="I961" s="139"/>
      <c r="J961" s="139"/>
      <c r="K961" s="139"/>
      <c r="L961" s="139"/>
      <c r="M961" s="139"/>
      <c r="N961" s="145"/>
      <c r="O961" s="139"/>
      <c r="P961" s="139"/>
      <c r="Q961" s="231"/>
      <c r="R961" s="139"/>
      <c r="S961" s="235"/>
      <c r="T961" s="235"/>
      <c r="U961" s="145"/>
      <c r="V961" s="145"/>
      <c r="W961" s="111"/>
      <c r="X961" s="233"/>
      <c r="Y961" s="226"/>
      <c r="Z961" s="139"/>
      <c r="AA961" s="139"/>
      <c r="AB961" s="139"/>
      <c r="AC961" s="139"/>
      <c r="AD961" s="139"/>
      <c r="AE961" s="139"/>
      <c r="AF961" s="139"/>
      <c r="AG961" s="139"/>
      <c r="AH961" s="139"/>
      <c r="AI961" s="139"/>
      <c r="AJ961" s="139"/>
      <c r="AK961" s="139"/>
      <c r="AL961" s="139"/>
      <c r="AM961" s="139"/>
      <c r="AN961" s="139"/>
      <c r="AO961" s="139"/>
      <c r="AP961" s="139"/>
      <c r="AQ961" s="139"/>
      <c r="AR961" s="139"/>
      <c r="AS961" s="139"/>
      <c r="AT961" s="139"/>
      <c r="AU961" s="139"/>
      <c r="AV961" s="139"/>
    </row>
    <row r="962">
      <c r="A962" s="139"/>
      <c r="B962" s="234"/>
      <c r="C962" s="139"/>
      <c r="D962" s="139"/>
      <c r="E962" s="139"/>
      <c r="F962" s="139"/>
      <c r="G962" s="139"/>
      <c r="H962" s="139"/>
      <c r="I962" s="139"/>
      <c r="J962" s="139"/>
      <c r="K962" s="139"/>
      <c r="L962" s="139"/>
      <c r="M962" s="139"/>
      <c r="N962" s="145"/>
      <c r="O962" s="139"/>
      <c r="P962" s="139"/>
      <c r="Q962" s="231"/>
      <c r="R962" s="139"/>
      <c r="S962" s="235"/>
      <c r="T962" s="235"/>
      <c r="U962" s="145"/>
      <c r="V962" s="145"/>
      <c r="W962" s="111"/>
      <c r="X962" s="233"/>
      <c r="Y962" s="226"/>
      <c r="Z962" s="139"/>
      <c r="AA962" s="139"/>
      <c r="AB962" s="139"/>
      <c r="AC962" s="139"/>
      <c r="AD962" s="139"/>
      <c r="AE962" s="139"/>
      <c r="AF962" s="139"/>
      <c r="AG962" s="139"/>
      <c r="AH962" s="139"/>
      <c r="AI962" s="139"/>
      <c r="AJ962" s="139"/>
      <c r="AK962" s="139"/>
      <c r="AL962" s="139"/>
      <c r="AM962" s="139"/>
      <c r="AN962" s="139"/>
      <c r="AO962" s="139"/>
      <c r="AP962" s="139"/>
      <c r="AQ962" s="139"/>
      <c r="AR962" s="139"/>
      <c r="AS962" s="139"/>
      <c r="AT962" s="139"/>
      <c r="AU962" s="139"/>
      <c r="AV962" s="139"/>
    </row>
    <row r="963">
      <c r="A963" s="139"/>
      <c r="B963" s="234"/>
      <c r="C963" s="139"/>
      <c r="D963" s="139"/>
      <c r="E963" s="139"/>
      <c r="F963" s="139"/>
      <c r="G963" s="139"/>
      <c r="H963" s="139"/>
      <c r="I963" s="139"/>
      <c r="J963" s="139"/>
      <c r="K963" s="139"/>
      <c r="L963" s="139"/>
      <c r="M963" s="139"/>
      <c r="N963" s="145"/>
      <c r="O963" s="139"/>
      <c r="P963" s="139"/>
      <c r="Q963" s="231"/>
      <c r="R963" s="139"/>
      <c r="S963" s="235"/>
      <c r="T963" s="235"/>
      <c r="U963" s="145"/>
      <c r="V963" s="145"/>
      <c r="W963" s="111"/>
      <c r="X963" s="233"/>
      <c r="Y963" s="226"/>
      <c r="Z963" s="139"/>
      <c r="AA963" s="139"/>
      <c r="AB963" s="139"/>
      <c r="AC963" s="139"/>
      <c r="AD963" s="139"/>
      <c r="AE963" s="139"/>
      <c r="AF963" s="139"/>
      <c r="AG963" s="139"/>
      <c r="AH963" s="139"/>
      <c r="AI963" s="139"/>
      <c r="AJ963" s="139"/>
      <c r="AK963" s="139"/>
      <c r="AL963" s="139"/>
      <c r="AM963" s="139"/>
      <c r="AN963" s="139"/>
      <c r="AO963" s="139"/>
      <c r="AP963" s="139"/>
      <c r="AQ963" s="139"/>
      <c r="AR963" s="139"/>
      <c r="AS963" s="139"/>
      <c r="AT963" s="139"/>
      <c r="AU963" s="139"/>
      <c r="AV963" s="139"/>
    </row>
    <row r="964">
      <c r="A964" s="139"/>
      <c r="B964" s="234"/>
      <c r="C964" s="139"/>
      <c r="D964" s="139"/>
      <c r="E964" s="139"/>
      <c r="F964" s="139"/>
      <c r="G964" s="139"/>
      <c r="H964" s="139"/>
      <c r="I964" s="139"/>
      <c r="J964" s="139"/>
      <c r="K964" s="139"/>
      <c r="L964" s="139"/>
      <c r="M964" s="139"/>
      <c r="N964" s="145"/>
      <c r="O964" s="139"/>
      <c r="P964" s="139"/>
      <c r="Q964" s="231"/>
      <c r="R964" s="139"/>
      <c r="S964" s="235"/>
      <c r="T964" s="235"/>
      <c r="U964" s="145"/>
      <c r="V964" s="145"/>
      <c r="W964" s="111"/>
      <c r="X964" s="233"/>
      <c r="Y964" s="226"/>
      <c r="Z964" s="139"/>
      <c r="AA964" s="139"/>
      <c r="AB964" s="139"/>
      <c r="AC964" s="139"/>
      <c r="AD964" s="139"/>
      <c r="AE964" s="139"/>
      <c r="AF964" s="139"/>
      <c r="AG964" s="139"/>
      <c r="AH964" s="139"/>
      <c r="AI964" s="139"/>
      <c r="AJ964" s="139"/>
      <c r="AK964" s="139"/>
      <c r="AL964" s="139"/>
      <c r="AM964" s="139"/>
      <c r="AN964" s="139"/>
      <c r="AO964" s="139"/>
      <c r="AP964" s="139"/>
      <c r="AQ964" s="139"/>
      <c r="AR964" s="139"/>
      <c r="AS964" s="139"/>
      <c r="AT964" s="139"/>
      <c r="AU964" s="139"/>
      <c r="AV964" s="139"/>
    </row>
    <row r="965">
      <c r="A965" s="139"/>
      <c r="B965" s="234"/>
      <c r="C965" s="139"/>
      <c r="D965" s="139"/>
      <c r="E965" s="139"/>
      <c r="F965" s="139"/>
      <c r="G965" s="139"/>
      <c r="H965" s="139"/>
      <c r="I965" s="139"/>
      <c r="J965" s="139"/>
      <c r="K965" s="139"/>
      <c r="L965" s="139"/>
      <c r="M965" s="139"/>
      <c r="N965" s="145"/>
      <c r="O965" s="139"/>
      <c r="P965" s="139"/>
      <c r="Q965" s="231"/>
      <c r="R965" s="139"/>
      <c r="S965" s="235"/>
      <c r="T965" s="235"/>
      <c r="U965" s="145"/>
      <c r="V965" s="145"/>
      <c r="W965" s="111"/>
      <c r="X965" s="233"/>
      <c r="Y965" s="226"/>
      <c r="Z965" s="139"/>
      <c r="AA965" s="139"/>
      <c r="AB965" s="139"/>
      <c r="AC965" s="139"/>
      <c r="AD965" s="139"/>
      <c r="AE965" s="139"/>
      <c r="AF965" s="139"/>
      <c r="AG965" s="139"/>
      <c r="AH965" s="139"/>
      <c r="AI965" s="139"/>
      <c r="AJ965" s="139"/>
      <c r="AK965" s="139"/>
      <c r="AL965" s="139"/>
      <c r="AM965" s="139"/>
      <c r="AN965" s="139"/>
      <c r="AO965" s="139"/>
      <c r="AP965" s="139"/>
      <c r="AQ965" s="139"/>
      <c r="AR965" s="139"/>
      <c r="AS965" s="139"/>
      <c r="AT965" s="139"/>
      <c r="AU965" s="139"/>
      <c r="AV965" s="139"/>
    </row>
    <row r="966">
      <c r="A966" s="139"/>
      <c r="B966" s="234"/>
      <c r="C966" s="139"/>
      <c r="D966" s="139"/>
      <c r="E966" s="139"/>
      <c r="F966" s="139"/>
      <c r="G966" s="139"/>
      <c r="H966" s="139"/>
      <c r="I966" s="139"/>
      <c r="J966" s="139"/>
      <c r="K966" s="139"/>
      <c r="L966" s="139"/>
      <c r="M966" s="139"/>
      <c r="N966" s="145"/>
      <c r="O966" s="139"/>
      <c r="P966" s="139"/>
      <c r="Q966" s="231"/>
      <c r="R966" s="139"/>
      <c r="S966" s="235"/>
      <c r="T966" s="235"/>
      <c r="U966" s="145"/>
      <c r="V966" s="145"/>
      <c r="W966" s="111"/>
      <c r="X966" s="233"/>
      <c r="Y966" s="226"/>
      <c r="Z966" s="139"/>
      <c r="AA966" s="139"/>
      <c r="AB966" s="139"/>
      <c r="AC966" s="139"/>
      <c r="AD966" s="139"/>
      <c r="AE966" s="139"/>
      <c r="AF966" s="139"/>
      <c r="AG966" s="139"/>
      <c r="AH966" s="139"/>
      <c r="AI966" s="139"/>
      <c r="AJ966" s="139"/>
      <c r="AK966" s="139"/>
      <c r="AL966" s="139"/>
      <c r="AM966" s="139"/>
      <c r="AN966" s="139"/>
      <c r="AO966" s="139"/>
      <c r="AP966" s="139"/>
      <c r="AQ966" s="139"/>
      <c r="AR966" s="139"/>
      <c r="AS966" s="139"/>
      <c r="AT966" s="139"/>
      <c r="AU966" s="139"/>
      <c r="AV966" s="139"/>
    </row>
    <row r="967">
      <c r="A967" s="139"/>
      <c r="B967" s="234"/>
      <c r="C967" s="139"/>
      <c r="D967" s="139"/>
      <c r="E967" s="139"/>
      <c r="F967" s="139"/>
      <c r="G967" s="139"/>
      <c r="H967" s="139"/>
      <c r="I967" s="139"/>
      <c r="J967" s="139"/>
      <c r="K967" s="139"/>
      <c r="L967" s="139"/>
      <c r="M967" s="139"/>
      <c r="N967" s="145"/>
      <c r="O967" s="139"/>
      <c r="P967" s="139"/>
      <c r="Q967" s="231"/>
      <c r="R967" s="139"/>
      <c r="S967" s="235"/>
      <c r="T967" s="235"/>
      <c r="U967" s="145"/>
      <c r="V967" s="145"/>
      <c r="W967" s="111"/>
      <c r="X967" s="233"/>
      <c r="Y967" s="226"/>
      <c r="Z967" s="139"/>
      <c r="AA967" s="139"/>
      <c r="AB967" s="139"/>
      <c r="AC967" s="139"/>
      <c r="AD967" s="139"/>
      <c r="AE967" s="139"/>
      <c r="AF967" s="139"/>
      <c r="AG967" s="139"/>
      <c r="AH967" s="139"/>
      <c r="AI967" s="139"/>
      <c r="AJ967" s="139"/>
      <c r="AK967" s="139"/>
      <c r="AL967" s="139"/>
      <c r="AM967" s="139"/>
      <c r="AN967" s="139"/>
      <c r="AO967" s="139"/>
      <c r="AP967" s="139"/>
      <c r="AQ967" s="139"/>
      <c r="AR967" s="139"/>
      <c r="AS967" s="139"/>
      <c r="AT967" s="139"/>
      <c r="AU967" s="139"/>
      <c r="AV967" s="139"/>
    </row>
    <row r="968">
      <c r="A968" s="139"/>
      <c r="B968" s="234"/>
      <c r="C968" s="139"/>
      <c r="D968" s="139"/>
      <c r="E968" s="139"/>
      <c r="F968" s="139"/>
      <c r="G968" s="139"/>
      <c r="H968" s="139"/>
      <c r="I968" s="139"/>
      <c r="J968" s="139"/>
      <c r="K968" s="139"/>
      <c r="L968" s="139"/>
      <c r="M968" s="139"/>
      <c r="N968" s="145"/>
      <c r="O968" s="139"/>
      <c r="P968" s="139"/>
      <c r="Q968" s="231"/>
      <c r="R968" s="139"/>
      <c r="S968" s="235"/>
      <c r="T968" s="235"/>
      <c r="U968" s="145"/>
      <c r="V968" s="145"/>
      <c r="W968" s="111"/>
      <c r="X968" s="233"/>
      <c r="Y968" s="226"/>
      <c r="Z968" s="139"/>
      <c r="AA968" s="139"/>
      <c r="AB968" s="139"/>
      <c r="AC968" s="139"/>
      <c r="AD968" s="139"/>
      <c r="AE968" s="139"/>
      <c r="AF968" s="139"/>
      <c r="AG968" s="139"/>
      <c r="AH968" s="139"/>
      <c r="AI968" s="139"/>
      <c r="AJ968" s="139"/>
      <c r="AK968" s="139"/>
      <c r="AL968" s="139"/>
      <c r="AM968" s="139"/>
      <c r="AN968" s="139"/>
      <c r="AO968" s="139"/>
      <c r="AP968" s="139"/>
      <c r="AQ968" s="139"/>
      <c r="AR968" s="139"/>
      <c r="AS968" s="139"/>
      <c r="AT968" s="139"/>
      <c r="AU968" s="139"/>
      <c r="AV968" s="139"/>
    </row>
    <row r="969">
      <c r="A969" s="139"/>
      <c r="B969" s="234"/>
      <c r="C969" s="139"/>
      <c r="D969" s="139"/>
      <c r="E969" s="139"/>
      <c r="F969" s="139"/>
      <c r="G969" s="139"/>
      <c r="H969" s="139"/>
      <c r="I969" s="139"/>
      <c r="J969" s="139"/>
      <c r="K969" s="139"/>
      <c r="L969" s="139"/>
      <c r="M969" s="139"/>
      <c r="N969" s="145"/>
      <c r="O969" s="139"/>
      <c r="P969" s="139"/>
      <c r="Q969" s="231"/>
      <c r="R969" s="139"/>
      <c r="S969" s="235"/>
      <c r="T969" s="235"/>
      <c r="U969" s="145"/>
      <c r="V969" s="145"/>
      <c r="W969" s="111"/>
      <c r="X969" s="233"/>
      <c r="Y969" s="226"/>
      <c r="Z969" s="139"/>
      <c r="AA969" s="139"/>
      <c r="AB969" s="139"/>
      <c r="AC969" s="139"/>
      <c r="AD969" s="139"/>
      <c r="AE969" s="139"/>
      <c r="AF969" s="139"/>
      <c r="AG969" s="139"/>
      <c r="AH969" s="139"/>
      <c r="AI969" s="139"/>
      <c r="AJ969" s="139"/>
      <c r="AK969" s="139"/>
      <c r="AL969" s="139"/>
      <c r="AM969" s="139"/>
      <c r="AN969" s="139"/>
      <c r="AO969" s="139"/>
      <c r="AP969" s="139"/>
      <c r="AQ969" s="139"/>
      <c r="AR969" s="139"/>
      <c r="AS969" s="139"/>
      <c r="AT969" s="139"/>
      <c r="AU969" s="139"/>
      <c r="AV969" s="139"/>
    </row>
    <row r="970">
      <c r="A970" s="139"/>
      <c r="B970" s="234"/>
      <c r="C970" s="139"/>
      <c r="D970" s="139"/>
      <c r="E970" s="139"/>
      <c r="F970" s="139"/>
      <c r="G970" s="139"/>
      <c r="H970" s="139"/>
      <c r="I970" s="139"/>
      <c r="J970" s="139"/>
      <c r="K970" s="139"/>
      <c r="L970" s="139"/>
      <c r="M970" s="139"/>
      <c r="N970" s="145"/>
      <c r="O970" s="139"/>
      <c r="P970" s="139"/>
      <c r="Q970" s="231"/>
      <c r="R970" s="139"/>
      <c r="S970" s="235"/>
      <c r="T970" s="235"/>
      <c r="U970" s="145"/>
      <c r="V970" s="145"/>
      <c r="W970" s="111"/>
      <c r="X970" s="233"/>
      <c r="Y970" s="226"/>
      <c r="Z970" s="139"/>
      <c r="AA970" s="139"/>
      <c r="AB970" s="139"/>
      <c r="AC970" s="139"/>
      <c r="AD970" s="139"/>
      <c r="AE970" s="139"/>
      <c r="AF970" s="139"/>
      <c r="AG970" s="139"/>
      <c r="AH970" s="139"/>
      <c r="AI970" s="139"/>
      <c r="AJ970" s="139"/>
      <c r="AK970" s="139"/>
      <c r="AL970" s="139"/>
      <c r="AM970" s="139"/>
      <c r="AN970" s="139"/>
      <c r="AO970" s="139"/>
      <c r="AP970" s="139"/>
      <c r="AQ970" s="139"/>
      <c r="AR970" s="139"/>
      <c r="AS970" s="139"/>
      <c r="AT970" s="139"/>
      <c r="AU970" s="139"/>
      <c r="AV970" s="139"/>
    </row>
    <row r="971">
      <c r="A971" s="139"/>
      <c r="B971" s="234"/>
      <c r="C971" s="139"/>
      <c r="D971" s="139"/>
      <c r="E971" s="139"/>
      <c r="F971" s="139"/>
      <c r="G971" s="139"/>
      <c r="H971" s="139"/>
      <c r="I971" s="139"/>
      <c r="J971" s="139"/>
      <c r="K971" s="139"/>
      <c r="L971" s="139"/>
      <c r="M971" s="139"/>
      <c r="N971" s="145"/>
      <c r="O971" s="139"/>
      <c r="P971" s="139"/>
      <c r="Q971" s="231"/>
      <c r="R971" s="139"/>
      <c r="S971" s="235"/>
      <c r="T971" s="235"/>
      <c r="U971" s="145"/>
      <c r="V971" s="145"/>
      <c r="W971" s="111"/>
      <c r="X971" s="233"/>
      <c r="Y971" s="226"/>
      <c r="Z971" s="139"/>
      <c r="AA971" s="139"/>
      <c r="AB971" s="139"/>
      <c r="AC971" s="139"/>
      <c r="AD971" s="139"/>
      <c r="AE971" s="139"/>
      <c r="AF971" s="139"/>
      <c r="AG971" s="139"/>
      <c r="AH971" s="139"/>
      <c r="AI971" s="139"/>
      <c r="AJ971" s="139"/>
      <c r="AK971" s="139"/>
      <c r="AL971" s="139"/>
      <c r="AM971" s="139"/>
      <c r="AN971" s="139"/>
      <c r="AO971" s="139"/>
      <c r="AP971" s="139"/>
      <c r="AQ971" s="139"/>
      <c r="AR971" s="139"/>
      <c r="AS971" s="139"/>
      <c r="AT971" s="139"/>
      <c r="AU971" s="139"/>
      <c r="AV971" s="139"/>
    </row>
    <row r="972">
      <c r="A972" s="139"/>
      <c r="B972" s="234"/>
      <c r="C972" s="139"/>
      <c r="D972" s="139"/>
      <c r="E972" s="139"/>
      <c r="F972" s="139"/>
      <c r="G972" s="139"/>
      <c r="H972" s="139"/>
      <c r="I972" s="139"/>
      <c r="J972" s="139"/>
      <c r="K972" s="139"/>
      <c r="L972" s="139"/>
      <c r="M972" s="139"/>
      <c r="N972" s="145"/>
      <c r="O972" s="139"/>
      <c r="P972" s="139"/>
      <c r="Q972" s="231"/>
      <c r="R972" s="139"/>
      <c r="S972" s="235"/>
      <c r="T972" s="235"/>
      <c r="U972" s="145"/>
      <c r="V972" s="145"/>
      <c r="W972" s="111"/>
      <c r="X972" s="233"/>
      <c r="Y972" s="226"/>
      <c r="Z972" s="139"/>
      <c r="AA972" s="139"/>
      <c r="AB972" s="139"/>
      <c r="AC972" s="139"/>
      <c r="AD972" s="139"/>
      <c r="AE972" s="139"/>
      <c r="AF972" s="139"/>
      <c r="AG972" s="139"/>
      <c r="AH972" s="139"/>
      <c r="AI972" s="139"/>
      <c r="AJ972" s="139"/>
      <c r="AK972" s="139"/>
      <c r="AL972" s="139"/>
      <c r="AM972" s="139"/>
      <c r="AN972" s="139"/>
      <c r="AO972" s="139"/>
      <c r="AP972" s="139"/>
      <c r="AQ972" s="139"/>
      <c r="AR972" s="139"/>
      <c r="AS972" s="139"/>
      <c r="AT972" s="139"/>
      <c r="AU972" s="139"/>
      <c r="AV972" s="139"/>
    </row>
    <row r="973">
      <c r="A973" s="139"/>
      <c r="B973" s="234"/>
      <c r="C973" s="139"/>
      <c r="D973" s="139"/>
      <c r="E973" s="139"/>
      <c r="F973" s="139"/>
      <c r="G973" s="139"/>
      <c r="H973" s="139"/>
      <c r="I973" s="139"/>
      <c r="J973" s="139"/>
      <c r="K973" s="139"/>
      <c r="L973" s="139"/>
      <c r="M973" s="139"/>
      <c r="N973" s="145"/>
      <c r="O973" s="139"/>
      <c r="P973" s="139"/>
      <c r="Q973" s="231"/>
      <c r="R973" s="139"/>
      <c r="S973" s="235"/>
      <c r="T973" s="235"/>
      <c r="U973" s="145"/>
      <c r="V973" s="145"/>
      <c r="W973" s="111"/>
      <c r="X973" s="233"/>
      <c r="Y973" s="226"/>
      <c r="Z973" s="139"/>
      <c r="AA973" s="139"/>
      <c r="AB973" s="139"/>
      <c r="AC973" s="139"/>
      <c r="AD973" s="139"/>
      <c r="AE973" s="139"/>
      <c r="AF973" s="139"/>
      <c r="AG973" s="139"/>
      <c r="AH973" s="139"/>
      <c r="AI973" s="139"/>
      <c r="AJ973" s="139"/>
      <c r="AK973" s="139"/>
      <c r="AL973" s="139"/>
      <c r="AM973" s="139"/>
      <c r="AN973" s="139"/>
      <c r="AO973" s="139"/>
      <c r="AP973" s="139"/>
      <c r="AQ973" s="139"/>
      <c r="AR973" s="139"/>
      <c r="AS973" s="139"/>
      <c r="AT973" s="139"/>
      <c r="AU973" s="139"/>
      <c r="AV973" s="139"/>
    </row>
    <row r="974">
      <c r="A974" s="139"/>
      <c r="B974" s="234"/>
      <c r="C974" s="139"/>
      <c r="D974" s="139"/>
      <c r="E974" s="139"/>
      <c r="F974" s="139"/>
      <c r="G974" s="139"/>
      <c r="H974" s="139"/>
      <c r="I974" s="139"/>
      <c r="J974" s="139"/>
      <c r="K974" s="139"/>
      <c r="L974" s="139"/>
      <c r="M974" s="139"/>
      <c r="N974" s="145"/>
      <c r="O974" s="139"/>
      <c r="P974" s="139"/>
      <c r="Q974" s="231"/>
      <c r="R974" s="139"/>
      <c r="S974" s="235"/>
      <c r="T974" s="235"/>
      <c r="U974" s="145"/>
      <c r="V974" s="145"/>
      <c r="W974" s="111"/>
      <c r="X974" s="233"/>
      <c r="Y974" s="226"/>
      <c r="Z974" s="139"/>
      <c r="AA974" s="139"/>
      <c r="AB974" s="139"/>
      <c r="AC974" s="139"/>
      <c r="AD974" s="139"/>
      <c r="AE974" s="139"/>
      <c r="AF974" s="139"/>
      <c r="AG974" s="139"/>
      <c r="AH974" s="139"/>
      <c r="AI974" s="139"/>
      <c r="AJ974" s="139"/>
      <c r="AK974" s="139"/>
      <c r="AL974" s="139"/>
      <c r="AM974" s="139"/>
      <c r="AN974" s="139"/>
      <c r="AO974" s="139"/>
      <c r="AP974" s="139"/>
      <c r="AQ974" s="139"/>
      <c r="AR974" s="139"/>
      <c r="AS974" s="139"/>
      <c r="AT974" s="139"/>
      <c r="AU974" s="139"/>
      <c r="AV974" s="139"/>
    </row>
    <row r="975">
      <c r="A975" s="139"/>
      <c r="B975" s="234"/>
      <c r="C975" s="139"/>
      <c r="D975" s="139"/>
      <c r="E975" s="139"/>
      <c r="F975" s="139"/>
      <c r="G975" s="139"/>
      <c r="H975" s="139"/>
      <c r="I975" s="139"/>
      <c r="J975" s="139"/>
      <c r="K975" s="139"/>
      <c r="L975" s="139"/>
      <c r="M975" s="139"/>
      <c r="N975" s="145"/>
      <c r="O975" s="139"/>
      <c r="P975" s="139"/>
      <c r="Q975" s="231"/>
      <c r="R975" s="139"/>
      <c r="S975" s="235"/>
      <c r="T975" s="235"/>
      <c r="U975" s="145"/>
      <c r="V975" s="145"/>
      <c r="W975" s="111"/>
      <c r="X975" s="233"/>
      <c r="Y975" s="226"/>
      <c r="Z975" s="139"/>
      <c r="AA975" s="139"/>
      <c r="AB975" s="139"/>
      <c r="AC975" s="139"/>
      <c r="AD975" s="139"/>
      <c r="AE975" s="139"/>
      <c r="AF975" s="139"/>
      <c r="AG975" s="139"/>
      <c r="AH975" s="139"/>
      <c r="AI975" s="139"/>
      <c r="AJ975" s="139"/>
      <c r="AK975" s="139"/>
      <c r="AL975" s="139"/>
      <c r="AM975" s="139"/>
      <c r="AN975" s="139"/>
      <c r="AO975" s="139"/>
      <c r="AP975" s="139"/>
      <c r="AQ975" s="139"/>
      <c r="AR975" s="139"/>
      <c r="AS975" s="139"/>
      <c r="AT975" s="139"/>
      <c r="AU975" s="139"/>
      <c r="AV975" s="139"/>
    </row>
    <row r="976">
      <c r="A976" s="139"/>
      <c r="B976" s="234"/>
      <c r="C976" s="139"/>
      <c r="D976" s="139"/>
      <c r="E976" s="139"/>
      <c r="F976" s="139"/>
      <c r="G976" s="139"/>
      <c r="H976" s="139"/>
      <c r="I976" s="139"/>
      <c r="J976" s="139"/>
      <c r="K976" s="139"/>
      <c r="L976" s="139"/>
      <c r="M976" s="139"/>
      <c r="N976" s="145"/>
      <c r="O976" s="139"/>
      <c r="P976" s="139"/>
      <c r="Q976" s="231"/>
      <c r="R976" s="139"/>
      <c r="S976" s="235"/>
      <c r="T976" s="235"/>
      <c r="U976" s="145"/>
      <c r="V976" s="145"/>
      <c r="W976" s="111"/>
      <c r="X976" s="233"/>
      <c r="Y976" s="226"/>
      <c r="Z976" s="139"/>
      <c r="AA976" s="139"/>
      <c r="AB976" s="139"/>
      <c r="AC976" s="139"/>
      <c r="AD976" s="139"/>
      <c r="AE976" s="139"/>
      <c r="AF976" s="139"/>
      <c r="AG976" s="139"/>
      <c r="AH976" s="139"/>
      <c r="AI976" s="139"/>
      <c r="AJ976" s="139"/>
      <c r="AK976" s="139"/>
      <c r="AL976" s="139"/>
      <c r="AM976" s="139"/>
      <c r="AN976" s="139"/>
      <c r="AO976" s="139"/>
      <c r="AP976" s="139"/>
      <c r="AQ976" s="139"/>
      <c r="AR976" s="139"/>
      <c r="AS976" s="139"/>
      <c r="AT976" s="139"/>
      <c r="AU976" s="139"/>
      <c r="AV976" s="139"/>
    </row>
    <row r="977">
      <c r="A977" s="139"/>
      <c r="B977" s="234"/>
      <c r="C977" s="139"/>
      <c r="D977" s="139"/>
      <c r="E977" s="139"/>
      <c r="F977" s="139"/>
      <c r="G977" s="139"/>
      <c r="H977" s="139"/>
      <c r="I977" s="139"/>
      <c r="J977" s="139"/>
      <c r="K977" s="139"/>
      <c r="L977" s="139"/>
      <c r="M977" s="139"/>
      <c r="N977" s="145"/>
      <c r="O977" s="139"/>
      <c r="P977" s="139"/>
      <c r="Q977" s="231"/>
      <c r="R977" s="139"/>
      <c r="S977" s="235"/>
      <c r="T977" s="235"/>
      <c r="U977" s="145"/>
      <c r="V977" s="145"/>
      <c r="W977" s="111"/>
      <c r="X977" s="233"/>
      <c r="Y977" s="226"/>
      <c r="Z977" s="139"/>
      <c r="AA977" s="139"/>
      <c r="AB977" s="139"/>
      <c r="AC977" s="139"/>
      <c r="AD977" s="139"/>
      <c r="AE977" s="139"/>
      <c r="AF977" s="139"/>
      <c r="AG977" s="139"/>
      <c r="AH977" s="139"/>
      <c r="AI977" s="139"/>
      <c r="AJ977" s="139"/>
      <c r="AK977" s="139"/>
      <c r="AL977" s="139"/>
      <c r="AM977" s="139"/>
      <c r="AN977" s="139"/>
      <c r="AO977" s="139"/>
      <c r="AP977" s="139"/>
      <c r="AQ977" s="139"/>
      <c r="AR977" s="139"/>
      <c r="AS977" s="139"/>
      <c r="AT977" s="139"/>
      <c r="AU977" s="139"/>
      <c r="AV977" s="139"/>
    </row>
    <row r="978">
      <c r="A978" s="139"/>
      <c r="B978" s="234"/>
      <c r="C978" s="139"/>
      <c r="D978" s="139"/>
      <c r="E978" s="139"/>
      <c r="F978" s="139"/>
      <c r="G978" s="139"/>
      <c r="H978" s="139"/>
      <c r="I978" s="139"/>
      <c r="J978" s="139"/>
      <c r="K978" s="139"/>
      <c r="L978" s="139"/>
      <c r="M978" s="139"/>
      <c r="N978" s="145"/>
      <c r="O978" s="139"/>
      <c r="P978" s="139"/>
      <c r="Q978" s="231"/>
      <c r="R978" s="139"/>
      <c r="S978" s="235"/>
      <c r="T978" s="235"/>
      <c r="U978" s="145"/>
      <c r="V978" s="145"/>
      <c r="W978" s="111"/>
      <c r="X978" s="233"/>
      <c r="Y978" s="226"/>
      <c r="Z978" s="139"/>
      <c r="AA978" s="139"/>
      <c r="AB978" s="139"/>
      <c r="AC978" s="139"/>
      <c r="AD978" s="139"/>
      <c r="AE978" s="139"/>
      <c r="AF978" s="139"/>
      <c r="AG978" s="139"/>
      <c r="AH978" s="139"/>
      <c r="AI978" s="139"/>
      <c r="AJ978" s="139"/>
      <c r="AK978" s="139"/>
      <c r="AL978" s="139"/>
      <c r="AM978" s="139"/>
      <c r="AN978" s="139"/>
      <c r="AO978" s="139"/>
      <c r="AP978" s="139"/>
      <c r="AQ978" s="139"/>
      <c r="AR978" s="139"/>
      <c r="AS978" s="139"/>
      <c r="AT978" s="139"/>
      <c r="AU978" s="139"/>
      <c r="AV978" s="139"/>
    </row>
    <row r="979">
      <c r="A979" s="139"/>
      <c r="B979" s="234"/>
      <c r="C979" s="139"/>
      <c r="D979" s="139"/>
      <c r="E979" s="139"/>
      <c r="F979" s="139"/>
      <c r="G979" s="139"/>
      <c r="H979" s="139"/>
      <c r="I979" s="139"/>
      <c r="J979" s="139"/>
      <c r="K979" s="139"/>
      <c r="L979" s="139"/>
      <c r="M979" s="139"/>
      <c r="N979" s="145"/>
      <c r="O979" s="139"/>
      <c r="P979" s="139"/>
      <c r="Q979" s="231"/>
      <c r="R979" s="139"/>
      <c r="S979" s="235"/>
      <c r="T979" s="235"/>
      <c r="U979" s="145"/>
      <c r="V979" s="145"/>
      <c r="W979" s="111"/>
      <c r="X979" s="233"/>
      <c r="Y979" s="226"/>
      <c r="Z979" s="139"/>
      <c r="AA979" s="139"/>
      <c r="AB979" s="139"/>
      <c r="AC979" s="139"/>
      <c r="AD979" s="139"/>
      <c r="AE979" s="139"/>
      <c r="AF979" s="139"/>
      <c r="AG979" s="139"/>
      <c r="AH979" s="139"/>
      <c r="AI979" s="139"/>
      <c r="AJ979" s="139"/>
      <c r="AK979" s="139"/>
      <c r="AL979" s="139"/>
      <c r="AM979" s="139"/>
      <c r="AN979" s="139"/>
      <c r="AO979" s="139"/>
      <c r="AP979" s="139"/>
      <c r="AQ979" s="139"/>
      <c r="AR979" s="139"/>
      <c r="AS979" s="139"/>
      <c r="AT979" s="139"/>
      <c r="AU979" s="139"/>
      <c r="AV979" s="139"/>
    </row>
    <row r="980">
      <c r="A980" s="139"/>
      <c r="B980" s="234"/>
      <c r="C980" s="139"/>
      <c r="D980" s="139"/>
      <c r="E980" s="139"/>
      <c r="F980" s="139"/>
      <c r="G980" s="139"/>
      <c r="H980" s="139"/>
      <c r="I980" s="139"/>
      <c r="J980" s="139"/>
      <c r="K980" s="139"/>
      <c r="L980" s="139"/>
      <c r="M980" s="139"/>
      <c r="N980" s="145"/>
      <c r="O980" s="139"/>
      <c r="P980" s="139"/>
      <c r="Q980" s="231"/>
      <c r="R980" s="139"/>
      <c r="S980" s="235"/>
      <c r="T980" s="235"/>
      <c r="U980" s="145"/>
      <c r="V980" s="145"/>
      <c r="W980" s="111"/>
      <c r="X980" s="233"/>
      <c r="Y980" s="226"/>
      <c r="Z980" s="139"/>
      <c r="AA980" s="139"/>
      <c r="AB980" s="139"/>
      <c r="AC980" s="139"/>
      <c r="AD980" s="139"/>
      <c r="AE980" s="139"/>
      <c r="AF980" s="139"/>
      <c r="AG980" s="139"/>
      <c r="AH980" s="139"/>
      <c r="AI980" s="139"/>
      <c r="AJ980" s="139"/>
      <c r="AK980" s="139"/>
      <c r="AL980" s="139"/>
      <c r="AM980" s="139"/>
      <c r="AN980" s="139"/>
      <c r="AO980" s="139"/>
      <c r="AP980" s="139"/>
      <c r="AQ980" s="139"/>
      <c r="AR980" s="139"/>
      <c r="AS980" s="139"/>
      <c r="AT980" s="139"/>
      <c r="AU980" s="139"/>
      <c r="AV980" s="139"/>
    </row>
    <row r="981">
      <c r="A981" s="139"/>
      <c r="B981" s="234"/>
      <c r="C981" s="139"/>
      <c r="D981" s="139"/>
      <c r="E981" s="139"/>
      <c r="F981" s="139"/>
      <c r="G981" s="139"/>
      <c r="H981" s="139"/>
      <c r="I981" s="139"/>
      <c r="J981" s="139"/>
      <c r="K981" s="139"/>
      <c r="L981" s="139"/>
      <c r="M981" s="139"/>
      <c r="N981" s="145"/>
      <c r="O981" s="139"/>
      <c r="P981" s="139"/>
      <c r="Q981" s="231"/>
      <c r="R981" s="139"/>
      <c r="S981" s="235"/>
      <c r="T981" s="235"/>
      <c r="U981" s="145"/>
      <c r="V981" s="145"/>
      <c r="W981" s="111"/>
      <c r="X981" s="233"/>
      <c r="Y981" s="226"/>
      <c r="Z981" s="139"/>
      <c r="AA981" s="139"/>
      <c r="AB981" s="139"/>
      <c r="AC981" s="139"/>
      <c r="AD981" s="139"/>
      <c r="AE981" s="139"/>
      <c r="AF981" s="139"/>
      <c r="AG981" s="139"/>
      <c r="AH981" s="139"/>
      <c r="AI981" s="139"/>
      <c r="AJ981" s="139"/>
      <c r="AK981" s="139"/>
      <c r="AL981" s="139"/>
      <c r="AM981" s="139"/>
      <c r="AN981" s="139"/>
      <c r="AO981" s="139"/>
      <c r="AP981" s="139"/>
      <c r="AQ981" s="139"/>
      <c r="AR981" s="139"/>
      <c r="AS981" s="139"/>
      <c r="AT981" s="139"/>
      <c r="AU981" s="139"/>
      <c r="AV981" s="139"/>
    </row>
    <row r="982">
      <c r="A982" s="139"/>
      <c r="B982" s="234"/>
      <c r="C982" s="139"/>
      <c r="D982" s="139"/>
      <c r="E982" s="139"/>
      <c r="F982" s="139"/>
      <c r="G982" s="139"/>
      <c r="H982" s="139"/>
      <c r="I982" s="139"/>
      <c r="J982" s="139"/>
      <c r="K982" s="139"/>
      <c r="L982" s="139"/>
      <c r="M982" s="139"/>
      <c r="N982" s="145"/>
      <c r="O982" s="139"/>
      <c r="P982" s="139"/>
      <c r="Q982" s="231"/>
      <c r="R982" s="139"/>
      <c r="S982" s="235"/>
      <c r="T982" s="235"/>
      <c r="U982" s="145"/>
      <c r="V982" s="145"/>
      <c r="W982" s="111"/>
      <c r="X982" s="233"/>
      <c r="Y982" s="226"/>
      <c r="Z982" s="139"/>
      <c r="AA982" s="139"/>
      <c r="AB982" s="139"/>
      <c r="AC982" s="139"/>
      <c r="AD982" s="139"/>
      <c r="AE982" s="139"/>
      <c r="AF982" s="139"/>
      <c r="AG982" s="139"/>
      <c r="AH982" s="139"/>
      <c r="AI982" s="139"/>
      <c r="AJ982" s="139"/>
      <c r="AK982" s="139"/>
      <c r="AL982" s="139"/>
      <c r="AM982" s="139"/>
      <c r="AN982" s="139"/>
      <c r="AO982" s="139"/>
      <c r="AP982" s="139"/>
      <c r="AQ982" s="139"/>
      <c r="AR982" s="139"/>
      <c r="AS982" s="139"/>
      <c r="AT982" s="139"/>
      <c r="AU982" s="139"/>
      <c r="AV982" s="139"/>
    </row>
    <row r="983">
      <c r="A983" s="139"/>
      <c r="B983" s="234"/>
      <c r="C983" s="139"/>
      <c r="D983" s="139"/>
      <c r="E983" s="139"/>
      <c r="F983" s="139"/>
      <c r="G983" s="139"/>
      <c r="H983" s="139"/>
      <c r="I983" s="139"/>
      <c r="J983" s="139"/>
      <c r="K983" s="139"/>
      <c r="L983" s="139"/>
      <c r="M983" s="139"/>
      <c r="N983" s="145"/>
      <c r="O983" s="139"/>
      <c r="P983" s="139"/>
      <c r="Q983" s="231"/>
      <c r="R983" s="139"/>
      <c r="S983" s="235"/>
      <c r="T983" s="235"/>
      <c r="U983" s="145"/>
      <c r="V983" s="145"/>
      <c r="W983" s="111"/>
      <c r="X983" s="233"/>
      <c r="Y983" s="226"/>
      <c r="Z983" s="139"/>
      <c r="AA983" s="139"/>
      <c r="AB983" s="139"/>
      <c r="AC983" s="139"/>
      <c r="AD983" s="139"/>
      <c r="AE983" s="139"/>
      <c r="AF983" s="139"/>
      <c r="AG983" s="139"/>
      <c r="AH983" s="139"/>
      <c r="AI983" s="139"/>
      <c r="AJ983" s="139"/>
      <c r="AK983" s="139"/>
      <c r="AL983" s="139"/>
      <c r="AM983" s="139"/>
      <c r="AN983" s="139"/>
      <c r="AO983" s="139"/>
      <c r="AP983" s="139"/>
      <c r="AQ983" s="139"/>
      <c r="AR983" s="139"/>
      <c r="AS983" s="139"/>
      <c r="AT983" s="139"/>
      <c r="AU983" s="139"/>
      <c r="AV983" s="139"/>
    </row>
    <row r="984">
      <c r="A984" s="139"/>
      <c r="B984" s="234"/>
      <c r="C984" s="139"/>
      <c r="D984" s="139"/>
      <c r="E984" s="139"/>
      <c r="F984" s="139"/>
      <c r="G984" s="139"/>
      <c r="H984" s="139"/>
      <c r="I984" s="139"/>
      <c r="J984" s="139"/>
      <c r="K984" s="139"/>
      <c r="L984" s="139"/>
      <c r="M984" s="139"/>
      <c r="N984" s="145"/>
      <c r="O984" s="139"/>
      <c r="P984" s="139"/>
      <c r="Q984" s="231"/>
      <c r="R984" s="139"/>
      <c r="S984" s="235"/>
      <c r="T984" s="235"/>
      <c r="U984" s="145"/>
      <c r="V984" s="145"/>
      <c r="W984" s="111"/>
      <c r="X984" s="233"/>
      <c r="Y984" s="226"/>
      <c r="Z984" s="139"/>
      <c r="AA984" s="139"/>
      <c r="AB984" s="139"/>
      <c r="AC984" s="139"/>
      <c r="AD984" s="139"/>
      <c r="AE984" s="139"/>
      <c r="AF984" s="139"/>
      <c r="AG984" s="139"/>
      <c r="AH984" s="139"/>
      <c r="AI984" s="139"/>
      <c r="AJ984" s="139"/>
      <c r="AK984" s="139"/>
      <c r="AL984" s="139"/>
      <c r="AM984" s="139"/>
      <c r="AN984" s="139"/>
      <c r="AO984" s="139"/>
      <c r="AP984" s="139"/>
      <c r="AQ984" s="139"/>
      <c r="AR984" s="139"/>
      <c r="AS984" s="139"/>
      <c r="AT984" s="139"/>
      <c r="AU984" s="139"/>
      <c r="AV984" s="139"/>
    </row>
    <row r="985">
      <c r="A985" s="139"/>
      <c r="B985" s="234"/>
      <c r="C985" s="139"/>
      <c r="D985" s="139"/>
      <c r="E985" s="139"/>
      <c r="F985" s="139"/>
      <c r="G985" s="139"/>
      <c r="H985" s="139"/>
      <c r="I985" s="139"/>
      <c r="J985" s="139"/>
      <c r="K985" s="139"/>
      <c r="L985" s="139"/>
      <c r="M985" s="139"/>
      <c r="N985" s="145"/>
      <c r="O985" s="139"/>
      <c r="P985" s="139"/>
      <c r="Q985" s="231"/>
      <c r="R985" s="139"/>
      <c r="S985" s="235"/>
      <c r="T985" s="235"/>
      <c r="U985" s="145"/>
      <c r="V985" s="145"/>
      <c r="W985" s="111"/>
      <c r="X985" s="233"/>
      <c r="Y985" s="226"/>
      <c r="Z985" s="139"/>
      <c r="AA985" s="139"/>
      <c r="AB985" s="139"/>
      <c r="AC985" s="139"/>
      <c r="AD985" s="139"/>
      <c r="AE985" s="139"/>
      <c r="AF985" s="139"/>
      <c r="AG985" s="139"/>
      <c r="AH985" s="139"/>
      <c r="AI985" s="139"/>
      <c r="AJ985" s="139"/>
      <c r="AK985" s="139"/>
      <c r="AL985" s="139"/>
      <c r="AM985" s="139"/>
      <c r="AN985" s="139"/>
      <c r="AO985" s="139"/>
      <c r="AP985" s="139"/>
      <c r="AQ985" s="139"/>
      <c r="AR985" s="139"/>
      <c r="AS985" s="139"/>
      <c r="AT985" s="139"/>
      <c r="AU985" s="139"/>
      <c r="AV985" s="139"/>
    </row>
    <row r="986">
      <c r="A986" s="139"/>
      <c r="B986" s="234"/>
      <c r="C986" s="139"/>
      <c r="D986" s="139"/>
      <c r="E986" s="139"/>
      <c r="F986" s="139"/>
      <c r="G986" s="139"/>
      <c r="H986" s="139"/>
      <c r="I986" s="139"/>
      <c r="J986" s="139"/>
      <c r="K986" s="139"/>
      <c r="L986" s="139"/>
      <c r="M986" s="139"/>
      <c r="N986" s="145"/>
      <c r="O986" s="139"/>
      <c r="P986" s="139"/>
      <c r="Q986" s="231"/>
      <c r="R986" s="139"/>
      <c r="S986" s="235"/>
      <c r="T986" s="235"/>
      <c r="U986" s="145"/>
      <c r="V986" s="145"/>
      <c r="W986" s="111"/>
      <c r="X986" s="233"/>
      <c r="Y986" s="226"/>
      <c r="Z986" s="139"/>
      <c r="AA986" s="139"/>
      <c r="AB986" s="139"/>
      <c r="AC986" s="139"/>
      <c r="AD986" s="139"/>
      <c r="AE986" s="139"/>
      <c r="AF986" s="139"/>
      <c r="AG986" s="139"/>
      <c r="AH986" s="139"/>
      <c r="AI986" s="139"/>
      <c r="AJ986" s="139"/>
      <c r="AK986" s="139"/>
      <c r="AL986" s="139"/>
      <c r="AM986" s="139"/>
      <c r="AN986" s="139"/>
      <c r="AO986" s="139"/>
      <c r="AP986" s="139"/>
      <c r="AQ986" s="139"/>
      <c r="AR986" s="139"/>
      <c r="AS986" s="139"/>
      <c r="AT986" s="139"/>
      <c r="AU986" s="139"/>
      <c r="AV986" s="139"/>
    </row>
    <row r="987">
      <c r="A987" s="139"/>
      <c r="B987" s="234"/>
      <c r="C987" s="139"/>
      <c r="D987" s="139"/>
      <c r="E987" s="139"/>
      <c r="F987" s="139"/>
      <c r="G987" s="139"/>
      <c r="H987" s="139"/>
      <c r="I987" s="139"/>
      <c r="J987" s="139"/>
      <c r="K987" s="139"/>
      <c r="L987" s="139"/>
      <c r="M987" s="139"/>
      <c r="N987" s="145"/>
      <c r="O987" s="139"/>
      <c r="P987" s="139"/>
      <c r="Q987" s="231"/>
      <c r="R987" s="139"/>
      <c r="S987" s="235"/>
      <c r="T987" s="235"/>
      <c r="U987" s="145"/>
      <c r="V987" s="145"/>
      <c r="W987" s="111"/>
      <c r="X987" s="233"/>
      <c r="Y987" s="226"/>
      <c r="Z987" s="139"/>
      <c r="AA987" s="139"/>
      <c r="AB987" s="139"/>
      <c r="AC987" s="139"/>
      <c r="AD987" s="139"/>
      <c r="AE987" s="139"/>
      <c r="AF987" s="139"/>
      <c r="AG987" s="139"/>
      <c r="AH987" s="139"/>
      <c r="AI987" s="139"/>
      <c r="AJ987" s="139"/>
      <c r="AK987" s="139"/>
      <c r="AL987" s="139"/>
      <c r="AM987" s="139"/>
      <c r="AN987" s="139"/>
      <c r="AO987" s="139"/>
      <c r="AP987" s="139"/>
      <c r="AQ987" s="139"/>
      <c r="AR987" s="139"/>
      <c r="AS987" s="139"/>
      <c r="AT987" s="139"/>
      <c r="AU987" s="139"/>
      <c r="AV987" s="139"/>
    </row>
    <row r="988">
      <c r="A988" s="139"/>
      <c r="B988" s="234"/>
      <c r="C988" s="139"/>
      <c r="D988" s="139"/>
      <c r="E988" s="139"/>
      <c r="F988" s="139"/>
      <c r="G988" s="139"/>
      <c r="H988" s="139"/>
      <c r="I988" s="139"/>
      <c r="J988" s="139"/>
      <c r="K988" s="139"/>
      <c r="L988" s="139"/>
      <c r="M988" s="139"/>
      <c r="N988" s="145"/>
      <c r="O988" s="139"/>
      <c r="P988" s="139"/>
      <c r="Q988" s="231"/>
      <c r="R988" s="139"/>
      <c r="S988" s="235"/>
      <c r="T988" s="235"/>
      <c r="U988" s="145"/>
      <c r="V988" s="145"/>
      <c r="W988" s="111"/>
      <c r="X988" s="233"/>
      <c r="Y988" s="226"/>
      <c r="Z988" s="139"/>
      <c r="AA988" s="139"/>
      <c r="AB988" s="139"/>
      <c r="AC988" s="139"/>
      <c r="AD988" s="139"/>
      <c r="AE988" s="139"/>
      <c r="AF988" s="139"/>
      <c r="AG988" s="139"/>
      <c r="AH988" s="139"/>
      <c r="AI988" s="139"/>
      <c r="AJ988" s="139"/>
      <c r="AK988" s="139"/>
      <c r="AL988" s="139"/>
      <c r="AM988" s="139"/>
      <c r="AN988" s="139"/>
      <c r="AO988" s="139"/>
      <c r="AP988" s="139"/>
      <c r="AQ988" s="139"/>
      <c r="AR988" s="139"/>
      <c r="AS988" s="139"/>
      <c r="AT988" s="139"/>
      <c r="AU988" s="139"/>
      <c r="AV988" s="139"/>
    </row>
    <row r="989">
      <c r="A989" s="139"/>
      <c r="B989" s="234"/>
      <c r="C989" s="139"/>
      <c r="D989" s="139"/>
      <c r="E989" s="139"/>
      <c r="F989" s="139"/>
      <c r="G989" s="139"/>
      <c r="H989" s="139"/>
      <c r="I989" s="139"/>
      <c r="J989" s="139"/>
      <c r="K989" s="139"/>
      <c r="L989" s="139"/>
      <c r="M989" s="139"/>
      <c r="N989" s="145"/>
      <c r="O989" s="139"/>
      <c r="P989" s="139"/>
      <c r="Q989" s="231"/>
      <c r="R989" s="139"/>
      <c r="S989" s="235"/>
      <c r="T989" s="235"/>
      <c r="U989" s="145"/>
      <c r="V989" s="145"/>
      <c r="W989" s="111"/>
      <c r="X989" s="233"/>
      <c r="Y989" s="226"/>
      <c r="Z989" s="139"/>
      <c r="AA989" s="139"/>
      <c r="AB989" s="139"/>
      <c r="AC989" s="139"/>
      <c r="AD989" s="139"/>
      <c r="AE989" s="139"/>
      <c r="AF989" s="139"/>
      <c r="AG989" s="139"/>
      <c r="AH989" s="139"/>
      <c r="AI989" s="139"/>
      <c r="AJ989" s="139"/>
      <c r="AK989" s="139"/>
      <c r="AL989" s="139"/>
      <c r="AM989" s="139"/>
      <c r="AN989" s="139"/>
      <c r="AO989" s="139"/>
      <c r="AP989" s="139"/>
      <c r="AQ989" s="139"/>
      <c r="AR989" s="139"/>
      <c r="AS989" s="139"/>
      <c r="AT989" s="139"/>
      <c r="AU989" s="139"/>
      <c r="AV989" s="139"/>
    </row>
    <row r="990">
      <c r="A990" s="139"/>
      <c r="B990" s="234"/>
      <c r="C990" s="139"/>
      <c r="D990" s="139"/>
      <c r="E990" s="139"/>
      <c r="F990" s="139"/>
      <c r="G990" s="139"/>
      <c r="H990" s="139"/>
      <c r="I990" s="139"/>
      <c r="J990" s="139"/>
      <c r="K990" s="139"/>
      <c r="L990" s="139"/>
      <c r="M990" s="139"/>
      <c r="N990" s="145"/>
      <c r="O990" s="139"/>
      <c r="P990" s="139"/>
      <c r="Q990" s="231"/>
      <c r="R990" s="139"/>
      <c r="S990" s="235"/>
      <c r="T990" s="235"/>
      <c r="U990" s="145"/>
      <c r="V990" s="145"/>
      <c r="W990" s="111"/>
      <c r="X990" s="233"/>
      <c r="Y990" s="226"/>
      <c r="Z990" s="139"/>
      <c r="AA990" s="139"/>
      <c r="AB990" s="139"/>
      <c r="AC990" s="139"/>
      <c r="AD990" s="139"/>
      <c r="AE990" s="139"/>
      <c r="AF990" s="139"/>
      <c r="AG990" s="139"/>
      <c r="AH990" s="139"/>
      <c r="AI990" s="139"/>
      <c r="AJ990" s="139"/>
      <c r="AK990" s="139"/>
      <c r="AL990" s="139"/>
      <c r="AM990" s="139"/>
      <c r="AN990" s="139"/>
      <c r="AO990" s="139"/>
      <c r="AP990" s="139"/>
      <c r="AQ990" s="139"/>
      <c r="AR990" s="139"/>
      <c r="AS990" s="139"/>
      <c r="AT990" s="139"/>
      <c r="AU990" s="139"/>
      <c r="AV990" s="139"/>
    </row>
    <row r="991">
      <c r="A991" s="139"/>
      <c r="B991" s="234"/>
      <c r="C991" s="139"/>
      <c r="D991" s="139"/>
      <c r="E991" s="139"/>
      <c r="F991" s="139"/>
      <c r="G991" s="139"/>
      <c r="H991" s="139"/>
      <c r="I991" s="139"/>
      <c r="J991" s="139"/>
      <c r="K991" s="139"/>
      <c r="L991" s="139"/>
      <c r="M991" s="139"/>
      <c r="N991" s="145"/>
      <c r="O991" s="139"/>
      <c r="P991" s="139"/>
      <c r="Q991" s="231"/>
      <c r="R991" s="139"/>
      <c r="S991" s="235"/>
      <c r="T991" s="235"/>
      <c r="U991" s="145"/>
      <c r="V991" s="145"/>
      <c r="W991" s="111"/>
      <c r="X991" s="233"/>
      <c r="Y991" s="226"/>
      <c r="Z991" s="139"/>
      <c r="AA991" s="139"/>
      <c r="AB991" s="139"/>
      <c r="AC991" s="139"/>
      <c r="AD991" s="139"/>
      <c r="AE991" s="139"/>
      <c r="AF991" s="139"/>
      <c r="AG991" s="139"/>
      <c r="AH991" s="139"/>
      <c r="AI991" s="139"/>
      <c r="AJ991" s="139"/>
      <c r="AK991" s="139"/>
      <c r="AL991" s="139"/>
      <c r="AM991" s="139"/>
      <c r="AN991" s="139"/>
      <c r="AO991" s="139"/>
      <c r="AP991" s="139"/>
      <c r="AQ991" s="139"/>
      <c r="AR991" s="139"/>
      <c r="AS991" s="139"/>
      <c r="AT991" s="139"/>
      <c r="AU991" s="139"/>
      <c r="AV991" s="139"/>
    </row>
    <row r="992">
      <c r="A992" s="139"/>
      <c r="B992" s="234"/>
      <c r="C992" s="139"/>
      <c r="D992" s="139"/>
      <c r="E992" s="139"/>
      <c r="F992" s="139"/>
      <c r="G992" s="139"/>
      <c r="H992" s="139"/>
      <c r="I992" s="139"/>
      <c r="J992" s="139"/>
      <c r="K992" s="139"/>
      <c r="L992" s="139"/>
      <c r="M992" s="139"/>
      <c r="N992" s="145"/>
      <c r="O992" s="139"/>
      <c r="P992" s="139"/>
      <c r="Q992" s="231"/>
      <c r="R992" s="139"/>
      <c r="S992" s="235"/>
      <c r="T992" s="235"/>
      <c r="U992" s="145"/>
      <c r="V992" s="145"/>
      <c r="W992" s="111"/>
      <c r="X992" s="233"/>
      <c r="Y992" s="226"/>
      <c r="Z992" s="139"/>
      <c r="AA992" s="139"/>
      <c r="AB992" s="139"/>
      <c r="AC992" s="139"/>
      <c r="AD992" s="139"/>
      <c r="AE992" s="139"/>
      <c r="AF992" s="139"/>
      <c r="AG992" s="139"/>
      <c r="AH992" s="139"/>
      <c r="AI992" s="139"/>
      <c r="AJ992" s="139"/>
      <c r="AK992" s="139"/>
      <c r="AL992" s="139"/>
      <c r="AM992" s="139"/>
      <c r="AN992" s="139"/>
      <c r="AO992" s="139"/>
      <c r="AP992" s="139"/>
      <c r="AQ992" s="139"/>
      <c r="AR992" s="139"/>
      <c r="AS992" s="139"/>
      <c r="AT992" s="139"/>
      <c r="AU992" s="139"/>
      <c r="AV992" s="139"/>
    </row>
    <row r="993">
      <c r="A993" s="139"/>
      <c r="B993" s="234"/>
      <c r="C993" s="139"/>
      <c r="D993" s="139"/>
      <c r="E993" s="139"/>
      <c r="F993" s="139"/>
      <c r="G993" s="139"/>
      <c r="H993" s="139"/>
      <c r="I993" s="139"/>
      <c r="J993" s="139"/>
      <c r="K993" s="139"/>
      <c r="L993" s="139"/>
      <c r="M993" s="139"/>
      <c r="N993" s="145"/>
      <c r="O993" s="139"/>
      <c r="P993" s="139"/>
      <c r="Q993" s="231"/>
      <c r="R993" s="139"/>
      <c r="S993" s="235"/>
      <c r="T993" s="235"/>
      <c r="U993" s="145"/>
      <c r="V993" s="145"/>
      <c r="W993" s="111"/>
      <c r="X993" s="233"/>
      <c r="Y993" s="226"/>
      <c r="Z993" s="139"/>
      <c r="AA993" s="139"/>
      <c r="AB993" s="139"/>
      <c r="AC993" s="139"/>
      <c r="AD993" s="139"/>
      <c r="AE993" s="139"/>
      <c r="AF993" s="139"/>
      <c r="AG993" s="139"/>
      <c r="AH993" s="139"/>
      <c r="AI993" s="139"/>
      <c r="AJ993" s="139"/>
      <c r="AK993" s="139"/>
      <c r="AL993" s="139"/>
      <c r="AM993" s="139"/>
      <c r="AN993" s="139"/>
      <c r="AO993" s="139"/>
      <c r="AP993" s="139"/>
      <c r="AQ993" s="139"/>
      <c r="AR993" s="139"/>
      <c r="AS993" s="139"/>
      <c r="AT993" s="139"/>
      <c r="AU993" s="139"/>
      <c r="AV993" s="139"/>
    </row>
    <row r="994">
      <c r="A994" s="139"/>
      <c r="B994" s="234"/>
      <c r="C994" s="139"/>
      <c r="D994" s="139"/>
      <c r="E994" s="139"/>
      <c r="F994" s="139"/>
      <c r="G994" s="139"/>
      <c r="H994" s="139"/>
      <c r="I994" s="139"/>
      <c r="J994" s="139"/>
      <c r="K994" s="139"/>
      <c r="L994" s="139"/>
      <c r="M994" s="139"/>
      <c r="N994" s="145"/>
      <c r="O994" s="139"/>
      <c r="P994" s="139"/>
      <c r="Q994" s="231"/>
      <c r="R994" s="139"/>
      <c r="S994" s="235"/>
      <c r="T994" s="235"/>
      <c r="U994" s="145"/>
      <c r="V994" s="145"/>
      <c r="W994" s="111"/>
      <c r="X994" s="233"/>
      <c r="Y994" s="226"/>
      <c r="Z994" s="139"/>
      <c r="AA994" s="139"/>
      <c r="AB994" s="139"/>
      <c r="AC994" s="139"/>
      <c r="AD994" s="139"/>
      <c r="AE994" s="139"/>
      <c r="AF994" s="139"/>
      <c r="AG994" s="139"/>
      <c r="AH994" s="139"/>
      <c r="AI994" s="139"/>
      <c r="AJ994" s="139"/>
      <c r="AK994" s="139"/>
      <c r="AL994" s="139"/>
      <c r="AM994" s="139"/>
      <c r="AN994" s="139"/>
      <c r="AO994" s="139"/>
      <c r="AP994" s="139"/>
      <c r="AQ994" s="139"/>
      <c r="AR994" s="139"/>
      <c r="AS994" s="139"/>
      <c r="AT994" s="139"/>
      <c r="AU994" s="139"/>
      <c r="AV994" s="139"/>
    </row>
    <row r="995">
      <c r="A995" s="139"/>
      <c r="B995" s="234"/>
      <c r="C995" s="139"/>
      <c r="D995" s="139"/>
      <c r="E995" s="139"/>
      <c r="F995" s="139"/>
      <c r="G995" s="139"/>
      <c r="H995" s="139"/>
      <c r="I995" s="139"/>
      <c r="J995" s="139"/>
      <c r="K995" s="139"/>
      <c r="L995" s="139"/>
      <c r="M995" s="139"/>
      <c r="N995" s="145"/>
      <c r="O995" s="139"/>
      <c r="P995" s="139"/>
      <c r="Q995" s="231"/>
      <c r="R995" s="139"/>
      <c r="S995" s="235"/>
      <c r="T995" s="235"/>
      <c r="U995" s="145"/>
      <c r="V995" s="145"/>
      <c r="W995" s="111"/>
      <c r="X995" s="233"/>
      <c r="Y995" s="226"/>
      <c r="Z995" s="139"/>
      <c r="AA995" s="139"/>
      <c r="AB995" s="139"/>
      <c r="AC995" s="139"/>
      <c r="AD995" s="139"/>
      <c r="AE995" s="139"/>
      <c r="AF995" s="139"/>
      <c r="AG995" s="139"/>
      <c r="AH995" s="139"/>
      <c r="AI995" s="139"/>
      <c r="AJ995" s="139"/>
      <c r="AK995" s="139"/>
      <c r="AL995" s="139"/>
      <c r="AM995" s="139"/>
      <c r="AN995" s="139"/>
      <c r="AO995" s="139"/>
      <c r="AP995" s="139"/>
      <c r="AQ995" s="139"/>
      <c r="AR995" s="139"/>
      <c r="AS995" s="139"/>
      <c r="AT995" s="139"/>
      <c r="AU995" s="139"/>
      <c r="AV995" s="139"/>
    </row>
    <row r="996">
      <c r="A996" s="139"/>
      <c r="B996" s="234"/>
      <c r="C996" s="139"/>
      <c r="D996" s="139"/>
      <c r="E996" s="139"/>
      <c r="F996" s="139"/>
      <c r="G996" s="139"/>
      <c r="H996" s="139"/>
      <c r="I996" s="139"/>
      <c r="J996" s="139"/>
      <c r="K996" s="139"/>
      <c r="L996" s="139"/>
      <c r="M996" s="139"/>
      <c r="N996" s="145"/>
      <c r="O996" s="139"/>
      <c r="P996" s="139"/>
      <c r="Q996" s="231"/>
      <c r="R996" s="139"/>
      <c r="S996" s="235"/>
      <c r="T996" s="235"/>
      <c r="U996" s="145"/>
      <c r="V996" s="145"/>
      <c r="W996" s="111"/>
      <c r="X996" s="233"/>
      <c r="Y996" s="226"/>
      <c r="Z996" s="139"/>
      <c r="AA996" s="139"/>
      <c r="AB996" s="139"/>
      <c r="AC996" s="139"/>
      <c r="AD996" s="139"/>
      <c r="AE996" s="139"/>
      <c r="AF996" s="139"/>
      <c r="AG996" s="139"/>
      <c r="AH996" s="139"/>
      <c r="AI996" s="139"/>
      <c r="AJ996" s="139"/>
      <c r="AK996" s="139"/>
      <c r="AL996" s="139"/>
      <c r="AM996" s="139"/>
      <c r="AN996" s="139"/>
      <c r="AO996" s="139"/>
      <c r="AP996" s="139"/>
      <c r="AQ996" s="139"/>
      <c r="AR996" s="139"/>
      <c r="AS996" s="139"/>
      <c r="AT996" s="139"/>
      <c r="AU996" s="139"/>
      <c r="AV996" s="139"/>
    </row>
    <row r="997">
      <c r="A997" s="139"/>
      <c r="B997" s="234"/>
      <c r="C997" s="139"/>
      <c r="D997" s="139"/>
      <c r="E997" s="139"/>
      <c r="F997" s="139"/>
      <c r="G997" s="139"/>
      <c r="H997" s="139"/>
      <c r="I997" s="139"/>
      <c r="J997" s="139"/>
      <c r="K997" s="139"/>
      <c r="L997" s="139"/>
      <c r="M997" s="139"/>
      <c r="N997" s="145"/>
      <c r="O997" s="139"/>
      <c r="P997" s="139"/>
      <c r="Q997" s="231"/>
      <c r="R997" s="139"/>
      <c r="S997" s="235"/>
      <c r="T997" s="235"/>
      <c r="U997" s="145"/>
      <c r="V997" s="145"/>
      <c r="W997" s="111"/>
      <c r="X997" s="233"/>
      <c r="Y997" s="226"/>
      <c r="Z997" s="139"/>
      <c r="AA997" s="139"/>
      <c r="AB997" s="139"/>
      <c r="AC997" s="139"/>
      <c r="AD997" s="139"/>
      <c r="AE997" s="139"/>
      <c r="AF997" s="139"/>
      <c r="AG997" s="139"/>
      <c r="AH997" s="139"/>
      <c r="AI997" s="139"/>
      <c r="AJ997" s="139"/>
      <c r="AK997" s="139"/>
      <c r="AL997" s="139"/>
      <c r="AM997" s="139"/>
      <c r="AN997" s="139"/>
      <c r="AO997" s="139"/>
      <c r="AP997" s="139"/>
      <c r="AQ997" s="139"/>
      <c r="AR997" s="139"/>
      <c r="AS997" s="139"/>
      <c r="AT997" s="139"/>
      <c r="AU997" s="139"/>
      <c r="AV997" s="139"/>
    </row>
    <row r="998">
      <c r="A998" s="139"/>
      <c r="B998" s="234"/>
      <c r="C998" s="139"/>
      <c r="D998" s="139"/>
      <c r="E998" s="139"/>
      <c r="F998" s="139"/>
      <c r="G998" s="139"/>
      <c r="H998" s="139"/>
      <c r="I998" s="139"/>
      <c r="J998" s="139"/>
      <c r="K998" s="139"/>
      <c r="L998" s="139"/>
      <c r="M998" s="139"/>
      <c r="N998" s="145"/>
      <c r="O998" s="139"/>
      <c r="P998" s="139"/>
      <c r="Q998" s="231"/>
      <c r="R998" s="139"/>
      <c r="S998" s="235"/>
      <c r="T998" s="235"/>
      <c r="U998" s="145"/>
      <c r="V998" s="145"/>
      <c r="W998" s="111"/>
      <c r="X998" s="233"/>
      <c r="Y998" s="226"/>
      <c r="Z998" s="139"/>
      <c r="AA998" s="139"/>
      <c r="AB998" s="139"/>
      <c r="AC998" s="139"/>
      <c r="AD998" s="139"/>
      <c r="AE998" s="139"/>
      <c r="AF998" s="139"/>
      <c r="AG998" s="139"/>
      <c r="AH998" s="139"/>
      <c r="AI998" s="139"/>
      <c r="AJ998" s="139"/>
      <c r="AK998" s="139"/>
      <c r="AL998" s="139"/>
      <c r="AM998" s="139"/>
      <c r="AN998" s="139"/>
      <c r="AO998" s="139"/>
      <c r="AP998" s="139"/>
      <c r="AQ998" s="139"/>
      <c r="AR998" s="139"/>
      <c r="AS998" s="139"/>
      <c r="AT998" s="139"/>
      <c r="AU998" s="139"/>
      <c r="AV998" s="139"/>
    </row>
    <row r="999">
      <c r="A999" s="139"/>
      <c r="B999" s="234"/>
      <c r="C999" s="139"/>
      <c r="D999" s="139"/>
      <c r="E999" s="139"/>
      <c r="F999" s="139"/>
      <c r="G999" s="139"/>
      <c r="H999" s="139"/>
      <c r="I999" s="139"/>
      <c r="J999" s="139"/>
      <c r="K999" s="139"/>
      <c r="L999" s="139"/>
      <c r="M999" s="139"/>
      <c r="N999" s="145"/>
      <c r="O999" s="139"/>
      <c r="P999" s="139"/>
      <c r="Q999" s="231"/>
      <c r="R999" s="139"/>
      <c r="S999" s="235"/>
      <c r="T999" s="235"/>
      <c r="U999" s="145"/>
      <c r="V999" s="145"/>
      <c r="W999" s="111"/>
      <c r="X999" s="233"/>
      <c r="Y999" s="226"/>
      <c r="Z999" s="139"/>
      <c r="AA999" s="139"/>
      <c r="AB999" s="139"/>
      <c r="AC999" s="139"/>
      <c r="AD999" s="139"/>
      <c r="AE999" s="139"/>
      <c r="AF999" s="139"/>
      <c r="AG999" s="139"/>
      <c r="AH999" s="139"/>
      <c r="AI999" s="139"/>
      <c r="AJ999" s="139"/>
      <c r="AK999" s="139"/>
      <c r="AL999" s="139"/>
      <c r="AM999" s="139"/>
      <c r="AN999" s="139"/>
      <c r="AO999" s="139"/>
      <c r="AP999" s="139"/>
      <c r="AQ999" s="139"/>
      <c r="AR999" s="139"/>
      <c r="AS999" s="139"/>
      <c r="AT999" s="139"/>
      <c r="AU999" s="139"/>
      <c r="AV999" s="139"/>
    </row>
    <row r="1000">
      <c r="A1000" s="139"/>
      <c r="B1000" s="234"/>
      <c r="C1000" s="139"/>
      <c r="D1000" s="139"/>
      <c r="E1000" s="139"/>
      <c r="F1000" s="139"/>
      <c r="G1000" s="139"/>
      <c r="H1000" s="139"/>
      <c r="I1000" s="139"/>
      <c r="J1000" s="139"/>
      <c r="K1000" s="139"/>
      <c r="L1000" s="139"/>
      <c r="M1000" s="139"/>
      <c r="N1000" s="145"/>
      <c r="O1000" s="139"/>
      <c r="P1000" s="139"/>
      <c r="Q1000" s="231"/>
      <c r="R1000" s="139"/>
      <c r="S1000" s="235"/>
      <c r="T1000" s="235"/>
      <c r="U1000" s="145"/>
      <c r="V1000" s="145"/>
      <c r="W1000" s="111"/>
      <c r="X1000" s="233"/>
      <c r="Y1000" s="226"/>
      <c r="Z1000" s="139"/>
      <c r="AA1000" s="139"/>
      <c r="AB1000" s="139"/>
      <c r="AC1000" s="139"/>
      <c r="AD1000" s="139"/>
      <c r="AE1000" s="139"/>
      <c r="AF1000" s="139"/>
      <c r="AG1000" s="139"/>
      <c r="AH1000" s="139"/>
      <c r="AI1000" s="139"/>
      <c r="AJ1000" s="139"/>
      <c r="AK1000" s="139"/>
      <c r="AL1000" s="139"/>
      <c r="AM1000" s="139"/>
      <c r="AN1000" s="139"/>
      <c r="AO1000" s="139"/>
      <c r="AP1000" s="139"/>
      <c r="AQ1000" s="139"/>
      <c r="AR1000" s="139"/>
      <c r="AS1000" s="139"/>
      <c r="AT1000" s="139"/>
      <c r="AU1000" s="139"/>
      <c r="AV1000" s="139"/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7.5"/>
    <col customWidth="1" min="3" max="3" width="10.75"/>
    <col customWidth="1" min="4" max="4" width="4.25"/>
    <col customWidth="1" min="26" max="26" width="27.25"/>
    <col customWidth="1" min="27" max="27" width="15.63"/>
  </cols>
  <sheetData>
    <row r="1">
      <c r="A1" s="168" t="str">
        <f>Datos!A1</f>
        <v>   Fecha </v>
      </c>
      <c r="B1" s="172" t="str">
        <f>Datos!B1</f>
        <v>NIS</v>
      </c>
      <c r="C1" s="168" t="str">
        <f>Datos!C1</f>
        <v>Cliente</v>
      </c>
      <c r="D1" s="168" t="str">
        <f>Datos!D1</f>
        <v>IVA</v>
      </c>
      <c r="E1" s="168" t="str">
        <f>Datos!E1</f>
        <v>Consumo [kWh]</v>
      </c>
      <c r="F1" s="168" t="str">
        <f>Datos!F1</f>
        <v>Consumo hs punta [kWh]</v>
      </c>
      <c r="G1" s="168" t="str">
        <f>Datos!G1</f>
        <v>Consumo hs valle [kWh]</v>
      </c>
      <c r="H1" s="168" t="str">
        <f>Datos!H1</f>
        <v>Consumo hs resto[kWh]</v>
      </c>
      <c r="I1" s="168" t="str">
        <f>Datos!I1</f>
        <v>Catergoria</v>
      </c>
      <c r="J1" s="168" t="str">
        <f>Datos!J1</f>
        <v>Tarifa punta</v>
      </c>
      <c r="K1" s="168" t="str">
        <f>Datos!K1</f>
        <v>Tarifa valle</v>
      </c>
      <c r="L1" s="168" t="str">
        <f>Datos!L1</f>
        <v>Tarifa resto</v>
      </c>
      <c r="M1" s="168" t="str">
        <f>Datos!M1</f>
        <v>Generacion FV [kWh]</v>
      </c>
      <c r="N1" s="173" t="str">
        <f>Datos!N1</f>
        <v>CONSUMO TOTAL</v>
      </c>
      <c r="O1" s="168" t="str">
        <f>Datos!O1</f>
        <v>Total a pagar S / IVA</v>
      </c>
      <c r="P1" s="168" t="str">
        <f>Datos!P1</f>
        <v>Valor USD</v>
      </c>
      <c r="Q1" s="182" t="str">
        <f>Datos!Q1</f>
        <v>Ahorro (USD)</v>
      </c>
      <c r="R1" s="168" t="str">
        <f>Datos!R1</f>
        <v>Ahorro ($)</v>
      </c>
      <c r="S1" s="183" t="str">
        <f>Datos!S1</f>
        <v>Valor dolar Actual ($)</v>
      </c>
      <c r="T1" s="183" t="str">
        <f>Datos!T1</f>
        <v>Ahorro ($)-A precio actual</v>
      </c>
      <c r="U1" s="173" t="str">
        <f>Datos!U1</f>
        <v>kg CO2e evitados</v>
      </c>
      <c r="V1" s="173" t="str">
        <f>Datos!V1</f>
        <v>Equivalente en árboles</v>
      </c>
      <c r="W1" s="184" t="str">
        <f>Datos!W1</f>
        <v>% de ahorro sobre los consumos</v>
      </c>
      <c r="X1" s="185" t="str">
        <f>Datos!X1</f>
        <v>SIN PANELES S/IVA</v>
      </c>
      <c r="Y1" s="147" t="s">
        <v>74</v>
      </c>
      <c r="Z1" s="175" t="s">
        <v>75</v>
      </c>
      <c r="AA1" s="218" t="s">
        <v>76</v>
      </c>
      <c r="AB1" s="219">
        <v>0.85</v>
      </c>
      <c r="AC1" s="175" t="s">
        <v>77</v>
      </c>
      <c r="AD1" s="236"/>
      <c r="AE1" s="236"/>
      <c r="AF1" s="236"/>
      <c r="AG1" s="236"/>
      <c r="AH1" s="236"/>
      <c r="AI1" s="236"/>
      <c r="AJ1" s="236"/>
    </row>
    <row r="2">
      <c r="A2" s="220">
        <f>'SANZ AGUSTIN'!A2</f>
        <v>45992</v>
      </c>
      <c r="B2" s="107">
        <f>'SANZ AGUSTIN'!B2</f>
        <v>3025373</v>
      </c>
      <c r="C2" s="107" t="str">
        <f>'SANZ AGUSTIN'!C2</f>
        <v>Agustín Sanz Navamuel</v>
      </c>
      <c r="D2" s="108">
        <f>'SANZ AGUSTIN'!D2</f>
        <v>0.27</v>
      </c>
      <c r="E2" s="142">
        <f>'SANZ AGUSTIN'!E2</f>
        <v>37973</v>
      </c>
      <c r="F2" s="142">
        <f>'SANZ AGUSTIN'!F2</f>
        <v>9357</v>
      </c>
      <c r="G2" s="142">
        <f>'SANZ AGUSTIN'!G2</f>
        <v>11035</v>
      </c>
      <c r="H2" s="142">
        <f>'SANZ AGUSTIN'!H2</f>
        <v>17581</v>
      </c>
      <c r="I2" s="142" t="str">
        <f>'SANZ AGUSTIN'!I2</f>
        <v>T8</v>
      </c>
      <c r="J2" s="109">
        <f>'SANZ AGUSTIN'!J2</f>
        <v>255.886</v>
      </c>
      <c r="K2" s="109">
        <f>'SANZ AGUSTIN'!K2</f>
        <v>253.0963</v>
      </c>
      <c r="L2" s="109">
        <f>'SANZ AGUSTIN'!L2</f>
        <v>253.899</v>
      </c>
      <c r="M2" s="108">
        <f>'SANZ AGUSTIN'!M2</f>
        <v>6304.4</v>
      </c>
      <c r="N2" s="140">
        <f>'SANZ AGUSTIN'!N2</f>
        <v>44277.4</v>
      </c>
      <c r="O2" s="105">
        <f>'SANZ AGUSTIN'!O2</f>
        <v>9651041.292</v>
      </c>
      <c r="P2" s="109">
        <f>'SANZ AGUSTIN'!P2</f>
        <v>1470</v>
      </c>
      <c r="Q2" s="221">
        <f>'SANZ AGUSTIN'!Q2</f>
        <v>1088.898541</v>
      </c>
      <c r="R2" s="109">
        <f>'SANZ AGUSTIN'!R2</f>
        <v>1600680.856</v>
      </c>
      <c r="S2" s="109">
        <f>'SANZ AGUSTIN'!S2</f>
        <v>1465</v>
      </c>
      <c r="T2" s="105">
        <f>'SANZ AGUSTIN'!T2</f>
        <v>2025950.181</v>
      </c>
      <c r="U2" s="110">
        <f>'SANZ AGUSTIN'!U2</f>
        <v>1260.88</v>
      </c>
      <c r="V2" s="110">
        <f>'SANZ AGUSTIN'!V2</f>
        <v>57.31272727</v>
      </c>
      <c r="W2" s="222">
        <f>'SANZ AGUSTIN'!W2</f>
        <v>0.1422609654</v>
      </c>
      <c r="X2" s="105">
        <f>'SANZ AGUSTIN'!X2</f>
        <v>11251722.15</v>
      </c>
      <c r="Y2" s="108" t="str">
        <f>'SANZ AGUSTIN'!Y2</f>
        <v/>
      </c>
      <c r="Z2" s="124" t="str">
        <f>'SANZ AGUSTIN'!Z2</f>
        <v/>
      </c>
      <c r="AA2" s="110" t="str">
        <f>'SANZ AGUSTIN'!AA2</f>
        <v/>
      </c>
      <c r="AB2" s="110" t="str">
        <f>'SANZ AGUSTIN'!AB2</f>
        <v/>
      </c>
      <c r="AC2" s="140" t="str">
        <f>'SANZ AGUSTIN'!AC2</f>
        <v/>
      </c>
      <c r="AD2" s="237"/>
      <c r="AE2" s="237"/>
      <c r="AF2" s="237"/>
      <c r="AG2" s="237"/>
      <c r="AH2" s="237"/>
      <c r="AI2" s="237"/>
      <c r="AJ2" s="237"/>
      <c r="AK2" s="139"/>
      <c r="AL2" s="139"/>
      <c r="AM2" s="139"/>
      <c r="AN2" s="139"/>
      <c r="AO2" s="139"/>
      <c r="AP2" s="139"/>
      <c r="AQ2" s="139"/>
      <c r="AR2" s="139"/>
      <c r="AS2" s="139"/>
      <c r="AT2" s="139"/>
      <c r="AU2" s="139"/>
      <c r="AV2" s="139"/>
    </row>
    <row r="3">
      <c r="A3" s="220">
        <f>'SANZ AGUSTIN'!A3</f>
        <v>45985</v>
      </c>
      <c r="B3" s="107">
        <f>'SANZ AGUSTIN'!B3</f>
        <v>3025373</v>
      </c>
      <c r="C3" s="107" t="str">
        <f>'SANZ AGUSTIN'!C3</f>
        <v>Agustín Sanz Navamuel</v>
      </c>
      <c r="D3" s="108">
        <f>'SANZ AGUSTIN'!D3</f>
        <v>0.27</v>
      </c>
      <c r="E3" s="142">
        <f>'SANZ AGUSTIN'!E3</f>
        <v>8097</v>
      </c>
      <c r="F3" s="142">
        <f>'SANZ AGUSTIN'!F3</f>
        <v>2444</v>
      </c>
      <c r="G3" s="142">
        <f>'SANZ AGUSTIN'!G3</f>
        <v>2347</v>
      </c>
      <c r="H3" s="142">
        <f>'SANZ AGUSTIN'!H3</f>
        <v>3306</v>
      </c>
      <c r="I3" s="142" t="str">
        <f>'SANZ AGUSTIN'!I3</f>
        <v>T8</v>
      </c>
      <c r="J3" s="109">
        <f>'SANZ AGUSTIN'!J3</f>
        <v>253.749</v>
      </c>
      <c r="K3" s="109">
        <f>'SANZ AGUSTIN'!K3</f>
        <v>251.0043</v>
      </c>
      <c r="L3" s="109">
        <f>'SANZ AGUSTIN'!L3</f>
        <v>251.807</v>
      </c>
      <c r="M3" s="108">
        <f>'SANZ AGUSTIN'!M3</f>
        <v>4008.1</v>
      </c>
      <c r="N3" s="140">
        <f>'SANZ AGUSTIN'!N3</f>
        <v>12105.1</v>
      </c>
      <c r="O3" s="105">
        <f>'SANZ AGUSTIN'!O3</f>
        <v>2041743.59</v>
      </c>
      <c r="P3" s="109">
        <f>'SANZ AGUSTIN'!P3</f>
        <v>1470</v>
      </c>
      <c r="Q3" s="221">
        <f>'SANZ AGUSTIN'!Q3</f>
        <v>686.5766236</v>
      </c>
      <c r="R3" s="109">
        <f>'SANZ AGUSTIN'!R3</f>
        <v>1009267.637</v>
      </c>
      <c r="S3" s="109">
        <f>'SANZ AGUSTIN'!S3</f>
        <v>1465</v>
      </c>
      <c r="T3" s="105">
        <f>'SANZ AGUSTIN'!T3</f>
        <v>1277410.137</v>
      </c>
      <c r="U3" s="110">
        <f>'SANZ AGUSTIN'!U3</f>
        <v>801.62</v>
      </c>
      <c r="V3" s="110">
        <f>'SANZ AGUSTIN'!V3</f>
        <v>36.43727273</v>
      </c>
      <c r="W3" s="222">
        <f>'SANZ AGUSTIN'!W3</f>
        <v>0.330797746</v>
      </c>
      <c r="X3" s="105">
        <f>'SANZ AGUSTIN'!X3</f>
        <v>3051011.227</v>
      </c>
      <c r="Y3" s="108" t="str">
        <f>'SANZ AGUSTIN'!Y3</f>
        <v/>
      </c>
      <c r="Z3" s="124" t="str">
        <f>'SANZ AGUSTIN'!Z3</f>
        <v/>
      </c>
      <c r="AA3" s="110" t="str">
        <f>'SANZ AGUSTIN'!AA3</f>
        <v/>
      </c>
      <c r="AB3" s="110" t="str">
        <f>'SANZ AGUSTIN'!AB3</f>
        <v/>
      </c>
      <c r="AC3" s="140" t="str">
        <f>'SANZ AGUSTIN'!AC3</f>
        <v/>
      </c>
      <c r="AD3" s="237"/>
      <c r="AE3" s="237"/>
      <c r="AF3" s="237"/>
      <c r="AG3" s="237"/>
      <c r="AH3" s="237"/>
      <c r="AI3" s="237"/>
      <c r="AJ3" s="237"/>
      <c r="AK3" s="139"/>
      <c r="AL3" s="139"/>
      <c r="AM3" s="139"/>
      <c r="AN3" s="139"/>
      <c r="AO3" s="139"/>
      <c r="AP3" s="139"/>
      <c r="AQ3" s="139"/>
      <c r="AR3" s="139"/>
      <c r="AS3" s="139"/>
      <c r="AT3" s="139"/>
      <c r="AU3" s="139"/>
      <c r="AV3" s="139"/>
    </row>
    <row r="4">
      <c r="A4" s="220">
        <f>'SANZ AGUSTIN'!A4</f>
        <v>45931</v>
      </c>
      <c r="B4" s="107">
        <f>'SANZ AGUSTIN'!B4</f>
        <v>3025373</v>
      </c>
      <c r="C4" s="107" t="str">
        <f>'SANZ AGUSTIN'!C4</f>
        <v>Agustín Sanz Navamuel</v>
      </c>
      <c r="D4" s="108">
        <f>'SANZ AGUSTIN'!D4</f>
        <v>0.27</v>
      </c>
      <c r="E4" s="142">
        <f>'SANZ AGUSTIN'!E4</f>
        <v>15832</v>
      </c>
      <c r="F4" s="142">
        <f>'SANZ AGUSTIN'!F4</f>
        <v>4161</v>
      </c>
      <c r="G4" s="142">
        <f>'SANZ AGUSTIN'!G4</f>
        <v>4704</v>
      </c>
      <c r="H4" s="142">
        <f>'SANZ AGUSTIN'!H4</f>
        <v>6967</v>
      </c>
      <c r="I4" s="107" t="str">
        <f>'SANZ AGUSTIN'!I4</f>
        <v>T8</v>
      </c>
      <c r="J4" s="109">
        <f>'SANZ AGUSTIN'!J4</f>
        <v>250.4823</v>
      </c>
      <c r="K4" s="109">
        <f>'SANZ AGUSTIN'!K4</f>
        <v>247.6481</v>
      </c>
      <c r="L4" s="109">
        <f>'SANZ AGUSTIN'!L4</f>
        <v>248.8987</v>
      </c>
      <c r="M4" s="108">
        <f>'SANZ AGUSTIN'!M4</f>
        <v>6657.9</v>
      </c>
      <c r="N4" s="140">
        <f>'SANZ AGUSTIN'!N4</f>
        <v>22489.9</v>
      </c>
      <c r="O4" s="105">
        <f>'SANZ AGUSTIN'!O4</f>
        <v>3941270.756</v>
      </c>
      <c r="P4" s="109">
        <f>'SANZ AGUSTIN'!P4</f>
        <v>1450</v>
      </c>
      <c r="Q4" s="221">
        <f>'SANZ AGUSTIN'!Q4</f>
        <v>1142.857003</v>
      </c>
      <c r="R4" s="109">
        <f>'SANZ AGUSTIN'!R4</f>
        <v>1657142.655</v>
      </c>
      <c r="S4" s="109">
        <f>'SANZ AGUSTIN'!S4</f>
        <v>1465</v>
      </c>
      <c r="T4" s="105">
        <f>'SANZ AGUSTIN'!T4</f>
        <v>2126342.597</v>
      </c>
      <c r="U4" s="110">
        <f>'SANZ AGUSTIN'!U4</f>
        <v>1331.58</v>
      </c>
      <c r="V4" s="110">
        <f>'SANZ AGUSTIN'!V4</f>
        <v>60.52636364</v>
      </c>
      <c r="W4" s="222">
        <f>'SANZ AGUSTIN'!W4</f>
        <v>0.2960021944</v>
      </c>
      <c r="X4" s="105">
        <f>'SANZ AGUSTIN'!X4</f>
        <v>5598413.41</v>
      </c>
      <c r="Y4" s="108" t="str">
        <f>'SANZ AGUSTIN'!Y4</f>
        <v/>
      </c>
      <c r="Z4" s="124" t="str">
        <f>'SANZ AGUSTIN'!Z4</f>
        <v/>
      </c>
      <c r="AA4" s="110" t="str">
        <f>'SANZ AGUSTIN'!AA4</f>
        <v/>
      </c>
      <c r="AB4" s="110" t="str">
        <f>'SANZ AGUSTIN'!AB4</f>
        <v/>
      </c>
      <c r="AC4" s="140" t="str">
        <f>'SANZ AGUSTIN'!AC4</f>
        <v/>
      </c>
      <c r="AD4" s="237"/>
      <c r="AE4" s="237"/>
      <c r="AF4" s="237"/>
      <c r="AG4" s="237"/>
      <c r="AH4" s="237"/>
      <c r="AI4" s="237"/>
      <c r="AJ4" s="237"/>
      <c r="AK4" s="139"/>
      <c r="AL4" s="139"/>
      <c r="AM4" s="139"/>
      <c r="AN4" s="139"/>
      <c r="AO4" s="139"/>
      <c r="AP4" s="139"/>
      <c r="AQ4" s="139"/>
      <c r="AR4" s="139"/>
      <c r="AS4" s="139"/>
      <c r="AT4" s="139"/>
      <c r="AU4" s="139"/>
      <c r="AV4" s="139"/>
    </row>
    <row r="5">
      <c r="A5" s="192"/>
      <c r="B5" s="193"/>
      <c r="C5" s="194"/>
      <c r="D5" s="152"/>
      <c r="E5" s="153"/>
      <c r="F5" s="153"/>
      <c r="G5" s="153"/>
      <c r="H5" s="153"/>
      <c r="J5" s="154"/>
      <c r="K5" s="154"/>
      <c r="L5" s="154"/>
      <c r="M5" s="152"/>
      <c r="N5" s="152"/>
      <c r="O5" s="154"/>
      <c r="P5" s="154"/>
      <c r="Q5" s="195"/>
      <c r="R5" s="154"/>
      <c r="S5" s="196"/>
      <c r="T5" s="196"/>
      <c r="U5" s="152"/>
      <c r="V5" s="152"/>
      <c r="W5" s="157"/>
      <c r="X5" s="197"/>
    </row>
    <row r="6">
      <c r="A6" s="192"/>
      <c r="B6" s="193"/>
      <c r="C6" s="194"/>
      <c r="D6" s="152"/>
      <c r="E6" s="153"/>
      <c r="F6" s="153"/>
      <c r="G6" s="153"/>
      <c r="H6" s="153"/>
      <c r="J6" s="154"/>
      <c r="K6" s="154"/>
      <c r="L6" s="154"/>
      <c r="M6" s="152"/>
      <c r="N6" s="152"/>
      <c r="O6" s="154"/>
      <c r="P6" s="154"/>
      <c r="Q6" s="195"/>
      <c r="R6" s="154"/>
      <c r="S6" s="196"/>
      <c r="T6" s="196"/>
      <c r="U6" s="152"/>
      <c r="V6" s="152"/>
      <c r="W6" s="157"/>
      <c r="X6" s="197"/>
    </row>
    <row r="7">
      <c r="A7" s="192"/>
      <c r="B7" s="193"/>
      <c r="C7" s="194"/>
      <c r="D7" s="152"/>
      <c r="E7" s="153"/>
      <c r="F7" s="153"/>
      <c r="G7" s="153"/>
      <c r="H7" s="153"/>
      <c r="J7" s="154"/>
      <c r="K7" s="154"/>
      <c r="L7" s="154"/>
      <c r="M7" s="152"/>
      <c r="N7" s="152"/>
      <c r="O7" s="154"/>
      <c r="P7" s="154"/>
      <c r="Q7" s="195"/>
      <c r="R7" s="154"/>
      <c r="S7" s="196"/>
      <c r="T7" s="196"/>
      <c r="U7" s="152"/>
      <c r="V7" s="152"/>
      <c r="W7" s="157"/>
      <c r="X7" s="197"/>
    </row>
    <row r="8">
      <c r="A8" s="192"/>
      <c r="B8" s="193"/>
      <c r="C8" s="194"/>
      <c r="D8" s="152"/>
      <c r="E8" s="153"/>
      <c r="F8" s="153"/>
      <c r="G8" s="153"/>
      <c r="H8" s="153"/>
      <c r="J8" s="154"/>
      <c r="K8" s="154"/>
      <c r="L8" s="154"/>
      <c r="M8" s="152"/>
      <c r="N8" s="152"/>
      <c r="O8" s="154"/>
      <c r="P8" s="154"/>
      <c r="Q8" s="195"/>
      <c r="R8" s="154"/>
      <c r="S8" s="196"/>
      <c r="T8" s="196"/>
      <c r="U8" s="152"/>
      <c r="V8" s="152"/>
      <c r="W8" s="157"/>
      <c r="X8" s="197"/>
    </row>
    <row r="9">
      <c r="A9" s="192"/>
      <c r="B9" s="193"/>
      <c r="C9" s="194"/>
      <c r="D9" s="152"/>
      <c r="E9" s="153"/>
      <c r="F9" s="153"/>
      <c r="G9" s="153"/>
      <c r="H9" s="153"/>
      <c r="J9" s="154"/>
      <c r="K9" s="154"/>
      <c r="L9" s="154"/>
      <c r="M9" s="152"/>
      <c r="N9" s="152"/>
      <c r="O9" s="154"/>
      <c r="P9" s="154"/>
      <c r="Q9" s="195"/>
      <c r="R9" s="154"/>
      <c r="S9" s="196"/>
      <c r="T9" s="196"/>
      <c r="U9" s="152"/>
      <c r="V9" s="152"/>
      <c r="W9" s="157"/>
      <c r="X9" s="197"/>
    </row>
    <row r="10">
      <c r="A10" s="192"/>
      <c r="B10" s="193"/>
      <c r="C10" s="194"/>
      <c r="D10" s="152"/>
      <c r="E10" s="153"/>
      <c r="F10" s="153"/>
      <c r="G10" s="153"/>
      <c r="H10" s="153"/>
      <c r="J10" s="154"/>
      <c r="K10" s="154"/>
      <c r="L10" s="154"/>
      <c r="M10" s="152"/>
      <c r="N10" s="152"/>
      <c r="O10" s="154"/>
      <c r="P10" s="154"/>
      <c r="Q10" s="195"/>
      <c r="R10" s="154"/>
      <c r="S10" s="196"/>
      <c r="T10" s="196"/>
      <c r="U10" s="152"/>
      <c r="V10" s="152"/>
      <c r="W10" s="157"/>
      <c r="X10" s="197"/>
    </row>
    <row r="11">
      <c r="A11" s="192"/>
      <c r="B11" s="193"/>
      <c r="C11" s="194"/>
      <c r="D11" s="152"/>
      <c r="E11" s="153"/>
      <c r="F11" s="153"/>
      <c r="G11" s="153"/>
      <c r="H11" s="153"/>
      <c r="J11" s="154"/>
      <c r="K11" s="154"/>
      <c r="L11" s="154"/>
      <c r="M11" s="152"/>
      <c r="N11" s="152"/>
      <c r="O11" s="154"/>
      <c r="P11" s="154"/>
      <c r="Q11" s="195"/>
      <c r="R11" s="154"/>
      <c r="S11" s="196"/>
      <c r="T11" s="196"/>
      <c r="U11" s="152"/>
      <c r="V11" s="152"/>
      <c r="W11" s="157"/>
      <c r="X11" s="197"/>
    </row>
    <row r="12">
      <c r="A12" s="192"/>
      <c r="B12" s="193"/>
      <c r="C12" s="194"/>
      <c r="D12" s="152"/>
      <c r="E12" s="153"/>
      <c r="F12" s="153"/>
      <c r="G12" s="153"/>
      <c r="H12" s="153"/>
      <c r="J12" s="154"/>
      <c r="K12" s="154"/>
      <c r="L12" s="154"/>
      <c r="M12" s="152"/>
      <c r="N12" s="152"/>
      <c r="O12" s="154"/>
      <c r="P12" s="154"/>
      <c r="Q12" s="195"/>
      <c r="R12" s="154"/>
      <c r="S12" s="196"/>
      <c r="T12" s="196"/>
      <c r="U12" s="152"/>
      <c r="V12" s="152"/>
      <c r="W12" s="157"/>
      <c r="X12" s="197"/>
    </row>
    <row r="13">
      <c r="A13" s="192"/>
      <c r="B13" s="193"/>
      <c r="C13" s="194"/>
      <c r="D13" s="152"/>
      <c r="E13" s="153"/>
      <c r="F13" s="153"/>
      <c r="G13" s="153"/>
      <c r="H13" s="153"/>
      <c r="J13" s="154"/>
      <c r="K13" s="154"/>
      <c r="L13" s="154"/>
      <c r="M13" s="152"/>
      <c r="N13" s="152"/>
      <c r="O13" s="154"/>
      <c r="P13" s="154"/>
      <c r="Q13" s="195"/>
      <c r="R13" s="154"/>
      <c r="S13" s="196"/>
      <c r="T13" s="196"/>
      <c r="U13" s="152"/>
      <c r="V13" s="152"/>
      <c r="W13" s="157"/>
      <c r="X13" s="197"/>
    </row>
    <row r="14">
      <c r="A14" s="192"/>
      <c r="B14" s="193"/>
      <c r="C14" s="194"/>
      <c r="D14" s="152"/>
      <c r="E14" s="153"/>
      <c r="F14" s="153"/>
      <c r="G14" s="153"/>
      <c r="H14" s="153"/>
      <c r="J14" s="154"/>
      <c r="K14" s="154"/>
      <c r="L14" s="154"/>
      <c r="M14" s="152"/>
      <c r="N14" s="152"/>
      <c r="O14" s="154"/>
      <c r="P14" s="154"/>
      <c r="Q14" s="195"/>
      <c r="R14" s="154"/>
      <c r="S14" s="196"/>
      <c r="T14" s="196"/>
      <c r="U14" s="152"/>
      <c r="V14" s="152"/>
      <c r="W14" s="157"/>
      <c r="X14" s="197"/>
    </row>
    <row r="15">
      <c r="A15" s="192"/>
      <c r="B15" s="193"/>
      <c r="C15" s="194"/>
      <c r="D15" s="152"/>
      <c r="E15" s="153"/>
      <c r="F15" s="153"/>
      <c r="G15" s="153"/>
      <c r="H15" s="153"/>
      <c r="J15" s="154"/>
      <c r="K15" s="154"/>
      <c r="L15" s="154"/>
      <c r="M15" s="152"/>
      <c r="N15" s="152"/>
      <c r="O15" s="154"/>
      <c r="P15" s="154"/>
      <c r="Q15" s="195"/>
      <c r="R15" s="154"/>
      <c r="S15" s="196"/>
      <c r="T15" s="196"/>
      <c r="U15" s="152"/>
      <c r="V15" s="152"/>
      <c r="W15" s="157"/>
      <c r="X15" s="197"/>
    </row>
    <row r="16">
      <c r="A16" s="192"/>
      <c r="B16" s="193"/>
      <c r="C16" s="194"/>
      <c r="D16" s="152"/>
      <c r="E16" s="153"/>
      <c r="F16" s="153"/>
      <c r="G16" s="153"/>
      <c r="H16" s="153"/>
      <c r="J16" s="154"/>
      <c r="K16" s="154"/>
      <c r="L16" s="154"/>
      <c r="M16" s="152"/>
      <c r="N16" s="152"/>
      <c r="O16" s="154"/>
      <c r="P16" s="154"/>
      <c r="Q16" s="195"/>
      <c r="R16" s="154"/>
      <c r="S16" s="196"/>
      <c r="T16" s="196"/>
      <c r="U16" s="152"/>
      <c r="V16" s="152"/>
      <c r="W16" s="157"/>
      <c r="X16" s="197"/>
    </row>
    <row r="17">
      <c r="A17" s="192"/>
      <c r="B17" s="193"/>
      <c r="C17" s="194"/>
      <c r="D17" s="152"/>
      <c r="E17" s="153"/>
      <c r="F17" s="153"/>
      <c r="G17" s="153"/>
      <c r="H17" s="153"/>
      <c r="J17" s="154"/>
      <c r="K17" s="154"/>
      <c r="L17" s="154"/>
      <c r="M17" s="152"/>
      <c r="N17" s="152"/>
      <c r="O17" s="154"/>
      <c r="P17" s="154"/>
      <c r="Q17" s="195"/>
      <c r="R17" s="154"/>
      <c r="S17" s="196"/>
      <c r="T17" s="196"/>
      <c r="U17" s="152"/>
      <c r="V17" s="152"/>
      <c r="W17" s="157"/>
      <c r="X17" s="197"/>
    </row>
    <row r="18">
      <c r="A18" s="192"/>
      <c r="B18" s="193"/>
      <c r="C18" s="194"/>
      <c r="D18" s="152"/>
      <c r="E18" s="153"/>
      <c r="F18" s="153"/>
      <c r="G18" s="153"/>
      <c r="H18" s="153"/>
      <c r="J18" s="154"/>
      <c r="K18" s="154"/>
      <c r="L18" s="154"/>
      <c r="M18" s="152"/>
      <c r="N18" s="152"/>
      <c r="O18" s="154"/>
      <c r="P18" s="154"/>
      <c r="Q18" s="195"/>
      <c r="R18" s="154"/>
      <c r="S18" s="196"/>
      <c r="T18" s="196"/>
      <c r="U18" s="152"/>
      <c r="V18" s="152"/>
      <c r="W18" s="157"/>
      <c r="X18" s="197"/>
    </row>
    <row r="19">
      <c r="A19" s="189"/>
      <c r="B19" s="193"/>
      <c r="C19" s="194"/>
      <c r="N19" s="152"/>
      <c r="Q19" s="195"/>
      <c r="S19" s="196"/>
      <c r="T19" s="196"/>
      <c r="U19" s="152"/>
      <c r="V19" s="152"/>
      <c r="W19" s="157"/>
      <c r="X19" s="197"/>
    </row>
    <row r="20">
      <c r="A20" s="189"/>
      <c r="B20" s="193"/>
      <c r="C20" s="194"/>
      <c r="N20" s="152"/>
      <c r="Q20" s="195"/>
      <c r="S20" s="196"/>
      <c r="T20" s="196"/>
      <c r="U20" s="152"/>
      <c r="V20" s="152"/>
      <c r="W20" s="157"/>
      <c r="X20" s="197"/>
    </row>
    <row r="21">
      <c r="A21" s="189"/>
      <c r="B21" s="193"/>
      <c r="C21" s="194"/>
      <c r="N21" s="152"/>
      <c r="Q21" s="195"/>
      <c r="S21" s="196"/>
      <c r="T21" s="196"/>
      <c r="U21" s="152"/>
      <c r="V21" s="152"/>
      <c r="W21" s="157"/>
      <c r="X21" s="197"/>
    </row>
    <row r="22">
      <c r="A22" s="189"/>
      <c r="B22" s="193"/>
      <c r="C22" s="194"/>
      <c r="N22" s="152"/>
      <c r="Q22" s="195"/>
      <c r="S22" s="196"/>
      <c r="T22" s="196"/>
      <c r="U22" s="152"/>
      <c r="V22" s="152"/>
      <c r="W22" s="157"/>
      <c r="X22" s="197"/>
    </row>
    <row r="23">
      <c r="A23" s="189"/>
      <c r="B23" s="193"/>
      <c r="C23" s="194"/>
      <c r="N23" s="152"/>
      <c r="Q23" s="195"/>
      <c r="S23" s="196"/>
      <c r="T23" s="196"/>
      <c r="U23" s="152"/>
      <c r="V23" s="152"/>
      <c r="W23" s="157"/>
      <c r="X23" s="197"/>
    </row>
    <row r="24">
      <c r="A24" s="189"/>
      <c r="B24" s="193"/>
      <c r="C24" s="194"/>
      <c r="N24" s="152"/>
      <c r="Q24" s="195"/>
      <c r="S24" s="196"/>
      <c r="T24" s="196"/>
      <c r="U24" s="152"/>
      <c r="V24" s="152"/>
      <c r="W24" s="157"/>
      <c r="X24" s="197"/>
    </row>
    <row r="25">
      <c r="A25" s="189"/>
      <c r="B25" s="193"/>
      <c r="C25" s="194"/>
      <c r="N25" s="152"/>
      <c r="Q25" s="195"/>
      <c r="S25" s="196"/>
      <c r="T25" s="196"/>
      <c r="U25" s="152"/>
      <c r="V25" s="152"/>
      <c r="W25" s="157"/>
      <c r="X25" s="197"/>
    </row>
    <row r="26">
      <c r="A26" s="189"/>
      <c r="B26" s="193"/>
      <c r="C26" s="194"/>
      <c r="N26" s="152"/>
      <c r="Q26" s="195"/>
      <c r="S26" s="196"/>
      <c r="T26" s="196"/>
      <c r="U26" s="152"/>
      <c r="V26" s="152"/>
      <c r="W26" s="157"/>
      <c r="X26" s="197"/>
    </row>
    <row r="27">
      <c r="A27" s="189"/>
      <c r="B27" s="193"/>
      <c r="C27" s="194"/>
      <c r="N27" s="152"/>
      <c r="Q27" s="195"/>
      <c r="S27" s="196"/>
      <c r="T27" s="196"/>
      <c r="U27" s="152"/>
      <c r="V27" s="152"/>
      <c r="W27" s="157"/>
      <c r="X27" s="197"/>
    </row>
    <row r="28">
      <c r="A28" s="189"/>
      <c r="B28" s="193"/>
      <c r="C28" s="194"/>
      <c r="N28" s="152"/>
      <c r="Q28" s="195"/>
      <c r="S28" s="196"/>
      <c r="T28" s="196"/>
      <c r="U28" s="152"/>
      <c r="V28" s="152"/>
      <c r="W28" s="157"/>
      <c r="X28" s="197"/>
    </row>
    <row r="29">
      <c r="A29" s="189"/>
      <c r="B29" s="193"/>
      <c r="C29" s="194"/>
      <c r="N29" s="152"/>
      <c r="Q29" s="195"/>
      <c r="S29" s="196"/>
      <c r="T29" s="196"/>
      <c r="U29" s="152"/>
      <c r="V29" s="152"/>
      <c r="W29" s="157"/>
      <c r="X29" s="197"/>
    </row>
    <row r="30">
      <c r="A30" s="189"/>
      <c r="B30" s="193"/>
      <c r="C30" s="194"/>
      <c r="N30" s="152"/>
      <c r="Q30" s="195"/>
      <c r="S30" s="196"/>
      <c r="T30" s="196"/>
      <c r="U30" s="152"/>
      <c r="V30" s="152"/>
      <c r="W30" s="157"/>
      <c r="X30" s="197"/>
    </row>
    <row r="31">
      <c r="A31" s="189"/>
      <c r="B31" s="193"/>
      <c r="C31" s="194"/>
      <c r="N31" s="152"/>
      <c r="Q31" s="195"/>
      <c r="S31" s="196"/>
      <c r="T31" s="196"/>
      <c r="U31" s="152"/>
      <c r="V31" s="152"/>
      <c r="W31" s="157"/>
      <c r="X31" s="197"/>
    </row>
    <row r="32">
      <c r="A32" s="189"/>
      <c r="B32" s="193"/>
      <c r="C32" s="194"/>
      <c r="N32" s="152"/>
      <c r="Q32" s="195"/>
      <c r="S32" s="196"/>
      <c r="T32" s="196"/>
      <c r="U32" s="152"/>
      <c r="V32" s="152"/>
      <c r="W32" s="157"/>
      <c r="X32" s="197"/>
    </row>
    <row r="33">
      <c r="A33" s="189"/>
      <c r="B33" s="193"/>
      <c r="C33" s="194"/>
      <c r="N33" s="152"/>
      <c r="Q33" s="195"/>
      <c r="S33" s="196"/>
      <c r="T33" s="196"/>
      <c r="U33" s="152"/>
      <c r="V33" s="152"/>
      <c r="W33" s="157"/>
      <c r="X33" s="197"/>
    </row>
    <row r="34">
      <c r="A34" s="189"/>
      <c r="B34" s="193"/>
      <c r="C34" s="194"/>
      <c r="N34" s="152"/>
      <c r="Q34" s="195"/>
      <c r="S34" s="196"/>
      <c r="T34" s="196"/>
      <c r="U34" s="152"/>
      <c r="V34" s="152"/>
      <c r="W34" s="157"/>
      <c r="X34" s="197"/>
    </row>
    <row r="35">
      <c r="A35" s="189"/>
      <c r="B35" s="193"/>
      <c r="C35" s="194"/>
      <c r="N35" s="152"/>
      <c r="Q35" s="195"/>
      <c r="S35" s="196"/>
      <c r="T35" s="196"/>
      <c r="U35" s="152"/>
      <c r="V35" s="152"/>
      <c r="W35" s="157"/>
      <c r="X35" s="197"/>
    </row>
    <row r="36">
      <c r="A36" s="189"/>
      <c r="B36" s="193"/>
      <c r="C36" s="194"/>
      <c r="N36" s="152"/>
      <c r="Q36" s="195"/>
      <c r="S36" s="196"/>
      <c r="T36" s="196"/>
      <c r="U36" s="152"/>
      <c r="V36" s="152"/>
      <c r="W36" s="157"/>
      <c r="X36" s="197"/>
    </row>
    <row r="37">
      <c r="A37" s="189"/>
      <c r="B37" s="193"/>
      <c r="C37" s="194"/>
      <c r="N37" s="152"/>
      <c r="Q37" s="195"/>
      <c r="S37" s="196"/>
      <c r="T37" s="196"/>
      <c r="U37" s="152"/>
      <c r="V37" s="152"/>
      <c r="W37" s="157"/>
      <c r="X37" s="197"/>
    </row>
    <row r="38">
      <c r="A38" s="189"/>
      <c r="B38" s="193"/>
      <c r="C38" s="194"/>
      <c r="N38" s="152"/>
      <c r="Q38" s="195"/>
      <c r="S38" s="196"/>
      <c r="T38" s="196"/>
      <c r="U38" s="152"/>
      <c r="V38" s="152"/>
      <c r="W38" s="157"/>
      <c r="X38" s="197"/>
    </row>
    <row r="39">
      <c r="A39" s="189"/>
      <c r="B39" s="193"/>
      <c r="C39" s="194"/>
      <c r="N39" s="152"/>
      <c r="Q39" s="195"/>
      <c r="S39" s="196"/>
      <c r="T39" s="196"/>
      <c r="U39" s="152"/>
      <c r="V39" s="152"/>
      <c r="W39" s="157"/>
      <c r="X39" s="197"/>
    </row>
    <row r="40">
      <c r="A40" s="189"/>
      <c r="B40" s="193"/>
      <c r="C40" s="194"/>
      <c r="N40" s="152"/>
      <c r="Q40" s="195"/>
      <c r="S40" s="196"/>
      <c r="T40" s="196"/>
      <c r="U40" s="152"/>
      <c r="V40" s="152"/>
      <c r="W40" s="157"/>
      <c r="X40" s="197"/>
    </row>
    <row r="41">
      <c r="A41" s="189"/>
      <c r="B41" s="193"/>
      <c r="C41" s="194"/>
      <c r="N41" s="152"/>
      <c r="Q41" s="195"/>
      <c r="S41" s="196"/>
      <c r="T41" s="196"/>
      <c r="U41" s="152"/>
      <c r="V41" s="152"/>
      <c r="W41" s="157"/>
      <c r="X41" s="197"/>
    </row>
    <row r="42">
      <c r="A42" s="189"/>
      <c r="B42" s="193"/>
      <c r="C42" s="194"/>
      <c r="N42" s="152"/>
      <c r="Q42" s="195"/>
      <c r="S42" s="196"/>
      <c r="T42" s="196"/>
      <c r="U42" s="152"/>
      <c r="V42" s="152"/>
      <c r="W42" s="157"/>
      <c r="X42" s="197"/>
    </row>
    <row r="43">
      <c r="A43" s="189"/>
      <c r="B43" s="193"/>
      <c r="C43" s="194"/>
      <c r="N43" s="152"/>
      <c r="Q43" s="195"/>
      <c r="S43" s="196"/>
      <c r="T43" s="196"/>
      <c r="U43" s="152"/>
      <c r="V43" s="152"/>
      <c r="W43" s="157"/>
      <c r="X43" s="197"/>
    </row>
    <row r="44">
      <c r="A44" s="189"/>
      <c r="B44" s="193"/>
      <c r="C44" s="194"/>
      <c r="N44" s="152"/>
      <c r="Q44" s="195"/>
      <c r="S44" s="196"/>
      <c r="T44" s="196"/>
      <c r="U44" s="152"/>
      <c r="V44" s="152"/>
      <c r="W44" s="157"/>
      <c r="X44" s="197"/>
    </row>
    <row r="45">
      <c r="A45" s="189"/>
      <c r="B45" s="193"/>
      <c r="C45" s="194"/>
      <c r="N45" s="152"/>
      <c r="Q45" s="195"/>
      <c r="S45" s="196"/>
      <c r="T45" s="196"/>
      <c r="U45" s="152"/>
      <c r="V45" s="152"/>
      <c r="W45" s="157"/>
      <c r="X45" s="197"/>
    </row>
    <row r="46">
      <c r="A46" s="189"/>
      <c r="B46" s="193"/>
      <c r="C46" s="194"/>
      <c r="N46" s="152"/>
      <c r="Q46" s="195"/>
      <c r="S46" s="196"/>
      <c r="T46" s="196"/>
      <c r="U46" s="152"/>
      <c r="V46" s="152"/>
      <c r="W46" s="157"/>
      <c r="X46" s="197"/>
    </row>
    <row r="47">
      <c r="A47" s="189"/>
      <c r="B47" s="193"/>
      <c r="C47" s="194"/>
      <c r="N47" s="152"/>
      <c r="Q47" s="195"/>
      <c r="S47" s="196"/>
      <c r="T47" s="196"/>
      <c r="U47" s="152"/>
      <c r="V47" s="152"/>
      <c r="W47" s="157"/>
      <c r="X47" s="197"/>
    </row>
    <row r="48">
      <c r="A48" s="189"/>
      <c r="B48" s="193"/>
      <c r="C48" s="194"/>
      <c r="N48" s="152"/>
      <c r="Q48" s="195"/>
      <c r="S48" s="196"/>
      <c r="T48" s="196"/>
      <c r="U48" s="152"/>
      <c r="V48" s="152"/>
      <c r="W48" s="157"/>
      <c r="X48" s="197"/>
    </row>
    <row r="49">
      <c r="A49" s="189"/>
      <c r="B49" s="193"/>
      <c r="C49" s="194"/>
      <c r="N49" s="152"/>
      <c r="Q49" s="195"/>
      <c r="S49" s="196"/>
      <c r="T49" s="196"/>
      <c r="U49" s="152"/>
      <c r="V49" s="152"/>
      <c r="W49" s="157"/>
      <c r="X49" s="197"/>
    </row>
    <row r="50">
      <c r="A50" s="189"/>
      <c r="B50" s="193"/>
      <c r="C50" s="194"/>
      <c r="N50" s="152"/>
      <c r="Q50" s="195"/>
      <c r="S50" s="196"/>
      <c r="T50" s="196"/>
      <c r="U50" s="152"/>
      <c r="V50" s="152"/>
      <c r="W50" s="157"/>
      <c r="X50" s="197"/>
    </row>
    <row r="51">
      <c r="A51" s="189"/>
      <c r="B51" s="193"/>
      <c r="C51" s="194"/>
      <c r="N51" s="152"/>
      <c r="Q51" s="195"/>
      <c r="S51" s="196"/>
      <c r="T51" s="196"/>
      <c r="U51" s="152"/>
      <c r="V51" s="152"/>
      <c r="W51" s="157"/>
      <c r="X51" s="197"/>
    </row>
    <row r="52">
      <c r="A52" s="189"/>
      <c r="B52" s="193"/>
      <c r="C52" s="194"/>
      <c r="N52" s="152"/>
      <c r="Q52" s="195"/>
      <c r="S52" s="196"/>
      <c r="T52" s="196"/>
      <c r="U52" s="152"/>
      <c r="V52" s="152"/>
      <c r="W52" s="157"/>
      <c r="X52" s="197"/>
    </row>
    <row r="53">
      <c r="A53" s="189"/>
      <c r="B53" s="193"/>
      <c r="C53" s="194"/>
      <c r="N53" s="152"/>
      <c r="Q53" s="195"/>
      <c r="S53" s="196"/>
      <c r="T53" s="196"/>
      <c r="U53" s="152"/>
      <c r="V53" s="152"/>
      <c r="W53" s="157"/>
      <c r="X53" s="197"/>
    </row>
    <row r="54">
      <c r="A54" s="189"/>
      <c r="B54" s="193"/>
      <c r="C54" s="194"/>
      <c r="N54" s="152"/>
      <c r="Q54" s="195"/>
      <c r="S54" s="196"/>
      <c r="T54" s="196"/>
      <c r="U54" s="152"/>
      <c r="V54" s="152"/>
      <c r="W54" s="157"/>
      <c r="X54" s="197"/>
    </row>
    <row r="55">
      <c r="A55" s="189"/>
      <c r="B55" s="193"/>
      <c r="C55" s="194"/>
      <c r="N55" s="152"/>
      <c r="Q55" s="195"/>
      <c r="S55" s="196"/>
      <c r="T55" s="196"/>
      <c r="U55" s="152"/>
      <c r="V55" s="152"/>
      <c r="W55" s="157"/>
      <c r="X55" s="197"/>
    </row>
    <row r="56">
      <c r="A56" s="189"/>
      <c r="B56" s="193"/>
      <c r="C56" s="194"/>
      <c r="N56" s="152"/>
      <c r="Q56" s="195"/>
      <c r="S56" s="196"/>
      <c r="T56" s="196"/>
      <c r="U56" s="152"/>
      <c r="V56" s="152"/>
      <c r="W56" s="157"/>
      <c r="X56" s="197"/>
    </row>
    <row r="57">
      <c r="A57" s="189"/>
      <c r="B57" s="193"/>
      <c r="C57" s="194"/>
      <c r="N57" s="152"/>
      <c r="Q57" s="195"/>
      <c r="S57" s="196"/>
      <c r="T57" s="196"/>
      <c r="U57" s="152"/>
      <c r="V57" s="152"/>
      <c r="W57" s="157"/>
      <c r="X57" s="197"/>
    </row>
    <row r="58">
      <c r="A58" s="189"/>
      <c r="B58" s="193"/>
      <c r="C58" s="194"/>
      <c r="N58" s="152"/>
      <c r="Q58" s="195"/>
      <c r="S58" s="196"/>
      <c r="T58" s="196"/>
      <c r="U58" s="152"/>
      <c r="V58" s="152"/>
      <c r="W58" s="157"/>
      <c r="X58" s="197"/>
    </row>
    <row r="59">
      <c r="A59" s="189"/>
      <c r="B59" s="193"/>
      <c r="C59" s="194"/>
      <c r="N59" s="152"/>
      <c r="Q59" s="195"/>
      <c r="S59" s="196"/>
      <c r="T59" s="196"/>
      <c r="U59" s="152"/>
      <c r="V59" s="152"/>
      <c r="W59" s="157"/>
      <c r="X59" s="197"/>
    </row>
    <row r="60">
      <c r="A60" s="189"/>
      <c r="B60" s="193"/>
      <c r="C60" s="194"/>
      <c r="N60" s="152"/>
      <c r="Q60" s="195"/>
      <c r="S60" s="196"/>
      <c r="T60" s="196"/>
      <c r="U60" s="152"/>
      <c r="V60" s="152"/>
      <c r="W60" s="157"/>
      <c r="X60" s="197"/>
    </row>
    <row r="61">
      <c r="A61" s="189"/>
      <c r="B61" s="193"/>
      <c r="C61" s="194"/>
      <c r="N61" s="152"/>
      <c r="Q61" s="195"/>
      <c r="S61" s="196"/>
      <c r="T61" s="196"/>
      <c r="U61" s="152"/>
      <c r="V61" s="152"/>
      <c r="W61" s="157"/>
      <c r="X61" s="197"/>
    </row>
    <row r="62">
      <c r="A62" s="189"/>
      <c r="B62" s="193"/>
      <c r="C62" s="194"/>
      <c r="N62" s="152"/>
      <c r="Q62" s="195"/>
      <c r="S62" s="196"/>
      <c r="T62" s="196"/>
      <c r="U62" s="152"/>
      <c r="V62" s="152"/>
      <c r="W62" s="157"/>
      <c r="X62" s="197"/>
    </row>
    <row r="63">
      <c r="A63" s="189"/>
      <c r="B63" s="193"/>
      <c r="C63" s="194"/>
      <c r="N63" s="152"/>
      <c r="Q63" s="195"/>
      <c r="S63" s="196"/>
      <c r="T63" s="196"/>
      <c r="U63" s="152"/>
      <c r="V63" s="152"/>
      <c r="W63" s="157"/>
      <c r="X63" s="197"/>
    </row>
    <row r="64">
      <c r="A64" s="189"/>
      <c r="B64" s="193"/>
      <c r="C64" s="194"/>
      <c r="N64" s="152"/>
      <c r="Q64" s="195"/>
      <c r="S64" s="196"/>
      <c r="T64" s="196"/>
      <c r="U64" s="152"/>
      <c r="V64" s="152"/>
      <c r="W64" s="157"/>
      <c r="X64" s="197"/>
    </row>
    <row r="65">
      <c r="A65" s="189"/>
      <c r="B65" s="193"/>
      <c r="C65" s="194"/>
      <c r="N65" s="152"/>
      <c r="Q65" s="195"/>
      <c r="S65" s="196"/>
      <c r="T65" s="196"/>
      <c r="U65" s="152"/>
      <c r="V65" s="152"/>
      <c r="W65" s="157"/>
      <c r="X65" s="197"/>
    </row>
    <row r="66">
      <c r="A66" s="189"/>
      <c r="B66" s="193"/>
      <c r="C66" s="194"/>
      <c r="N66" s="152"/>
      <c r="Q66" s="195"/>
      <c r="S66" s="196"/>
      <c r="T66" s="196"/>
      <c r="U66" s="152"/>
      <c r="V66" s="152"/>
      <c r="W66" s="157"/>
      <c r="X66" s="197"/>
    </row>
    <row r="67">
      <c r="A67" s="189"/>
      <c r="B67" s="193"/>
      <c r="C67" s="194"/>
      <c r="N67" s="152"/>
      <c r="Q67" s="195"/>
      <c r="S67" s="196"/>
      <c r="T67" s="196"/>
      <c r="U67" s="152"/>
      <c r="V67" s="152"/>
      <c r="W67" s="157"/>
      <c r="X67" s="197"/>
    </row>
    <row r="68">
      <c r="A68" s="189"/>
      <c r="B68" s="193"/>
      <c r="C68" s="194"/>
      <c r="N68" s="152"/>
      <c r="Q68" s="195"/>
      <c r="S68" s="196"/>
      <c r="T68" s="196"/>
      <c r="U68" s="152"/>
      <c r="V68" s="152"/>
      <c r="W68" s="157"/>
      <c r="X68" s="197"/>
    </row>
    <row r="69">
      <c r="A69" s="189"/>
      <c r="B69" s="193"/>
      <c r="C69" s="194"/>
      <c r="N69" s="152"/>
      <c r="Q69" s="195"/>
      <c r="S69" s="196"/>
      <c r="T69" s="196"/>
      <c r="U69" s="152"/>
      <c r="V69" s="152"/>
      <c r="W69" s="157"/>
      <c r="X69" s="197"/>
    </row>
    <row r="70">
      <c r="A70" s="189"/>
      <c r="B70" s="193"/>
      <c r="C70" s="194"/>
      <c r="N70" s="152"/>
      <c r="Q70" s="195"/>
      <c r="S70" s="196"/>
      <c r="T70" s="196"/>
      <c r="U70" s="152"/>
      <c r="V70" s="152"/>
      <c r="W70" s="157"/>
      <c r="X70" s="197"/>
    </row>
    <row r="71">
      <c r="A71" s="189"/>
      <c r="B71" s="193"/>
      <c r="C71" s="194"/>
      <c r="N71" s="152"/>
      <c r="Q71" s="195"/>
      <c r="S71" s="196"/>
      <c r="T71" s="196"/>
      <c r="U71" s="152"/>
      <c r="V71" s="152"/>
      <c r="W71" s="157"/>
      <c r="X71" s="197"/>
    </row>
    <row r="72">
      <c r="A72" s="189"/>
      <c r="B72" s="193"/>
      <c r="C72" s="194"/>
      <c r="N72" s="152"/>
      <c r="Q72" s="195"/>
      <c r="S72" s="196"/>
      <c r="T72" s="196"/>
      <c r="U72" s="152"/>
      <c r="V72" s="152"/>
      <c r="W72" s="157"/>
      <c r="X72" s="197"/>
    </row>
    <row r="73">
      <c r="A73" s="189"/>
      <c r="B73" s="193"/>
      <c r="C73" s="194"/>
      <c r="N73" s="152"/>
      <c r="Q73" s="195"/>
      <c r="S73" s="196"/>
      <c r="T73" s="196"/>
      <c r="U73" s="152"/>
      <c r="V73" s="152"/>
      <c r="W73" s="157"/>
      <c r="X73" s="197"/>
    </row>
    <row r="74">
      <c r="A74" s="189"/>
      <c r="B74" s="193"/>
      <c r="C74" s="194"/>
      <c r="N74" s="152"/>
      <c r="Q74" s="195"/>
      <c r="S74" s="196"/>
      <c r="T74" s="196"/>
      <c r="U74" s="152"/>
      <c r="V74" s="152"/>
      <c r="W74" s="157"/>
      <c r="X74" s="197"/>
    </row>
    <row r="75">
      <c r="A75" s="189"/>
      <c r="B75" s="193"/>
      <c r="C75" s="194"/>
      <c r="N75" s="152"/>
      <c r="Q75" s="195"/>
      <c r="S75" s="196"/>
      <c r="T75" s="196"/>
      <c r="U75" s="152"/>
      <c r="V75" s="152"/>
      <c r="W75" s="157"/>
      <c r="X75" s="197"/>
    </row>
    <row r="76">
      <c r="A76" s="189"/>
      <c r="B76" s="193"/>
      <c r="C76" s="194"/>
      <c r="N76" s="152"/>
      <c r="Q76" s="195"/>
      <c r="S76" s="196"/>
      <c r="T76" s="196"/>
      <c r="U76" s="152"/>
      <c r="V76" s="152"/>
      <c r="W76" s="157"/>
      <c r="X76" s="197"/>
    </row>
    <row r="77">
      <c r="A77" s="189"/>
      <c r="B77" s="193"/>
      <c r="C77" s="194"/>
      <c r="N77" s="152"/>
      <c r="Q77" s="195"/>
      <c r="S77" s="196"/>
      <c r="T77" s="196"/>
      <c r="U77" s="152"/>
      <c r="V77" s="152"/>
      <c r="W77" s="157"/>
      <c r="X77" s="197"/>
    </row>
    <row r="78">
      <c r="A78" s="189"/>
      <c r="B78" s="193"/>
      <c r="C78" s="194"/>
      <c r="N78" s="152"/>
      <c r="Q78" s="195"/>
      <c r="S78" s="196"/>
      <c r="T78" s="196"/>
      <c r="U78" s="152"/>
      <c r="V78" s="152"/>
      <c r="W78" s="157"/>
      <c r="X78" s="197"/>
    </row>
    <row r="79">
      <c r="A79" s="189"/>
      <c r="B79" s="193"/>
      <c r="C79" s="194"/>
      <c r="N79" s="152"/>
      <c r="Q79" s="195"/>
      <c r="S79" s="196"/>
      <c r="T79" s="196"/>
      <c r="U79" s="152"/>
      <c r="V79" s="152"/>
      <c r="W79" s="157"/>
      <c r="X79" s="197"/>
    </row>
    <row r="80">
      <c r="A80" s="189"/>
      <c r="B80" s="193"/>
      <c r="C80" s="194"/>
      <c r="N80" s="152"/>
      <c r="Q80" s="195"/>
      <c r="S80" s="196"/>
      <c r="T80" s="196"/>
      <c r="U80" s="152"/>
      <c r="V80" s="152"/>
      <c r="W80" s="157"/>
      <c r="X80" s="197"/>
    </row>
    <row r="81">
      <c r="A81" s="189"/>
      <c r="B81" s="193"/>
      <c r="C81" s="194"/>
      <c r="N81" s="152"/>
      <c r="Q81" s="195"/>
      <c r="S81" s="196"/>
      <c r="T81" s="196"/>
      <c r="U81" s="152"/>
      <c r="V81" s="152"/>
      <c r="W81" s="157"/>
      <c r="X81" s="197"/>
    </row>
    <row r="82">
      <c r="A82" s="189"/>
      <c r="B82" s="193"/>
      <c r="C82" s="194"/>
      <c r="N82" s="152"/>
      <c r="Q82" s="195"/>
      <c r="S82" s="196"/>
      <c r="T82" s="196"/>
      <c r="U82" s="152"/>
      <c r="V82" s="152"/>
      <c r="W82" s="157"/>
      <c r="X82" s="197"/>
    </row>
    <row r="83">
      <c r="A83" s="189"/>
      <c r="B83" s="193"/>
      <c r="C83" s="194"/>
      <c r="N83" s="152"/>
      <c r="Q83" s="195"/>
      <c r="S83" s="196"/>
      <c r="T83" s="196"/>
      <c r="U83" s="152"/>
      <c r="V83" s="152"/>
      <c r="W83" s="157"/>
      <c r="X83" s="197"/>
    </row>
    <row r="84">
      <c r="A84" s="189"/>
      <c r="B84" s="193"/>
      <c r="C84" s="194"/>
      <c r="N84" s="152"/>
      <c r="Q84" s="195"/>
      <c r="S84" s="196"/>
      <c r="T84" s="196"/>
      <c r="U84" s="152"/>
      <c r="V84" s="152"/>
      <c r="W84" s="157"/>
      <c r="X84" s="197"/>
    </row>
    <row r="85">
      <c r="A85" s="189"/>
      <c r="B85" s="193"/>
      <c r="C85" s="194"/>
      <c r="N85" s="152"/>
      <c r="Q85" s="195"/>
      <c r="S85" s="196"/>
      <c r="T85" s="196"/>
      <c r="U85" s="152"/>
      <c r="V85" s="152"/>
      <c r="W85" s="157"/>
      <c r="X85" s="197"/>
    </row>
    <row r="86">
      <c r="A86" s="189"/>
      <c r="B86" s="193"/>
      <c r="C86" s="194"/>
      <c r="N86" s="152"/>
      <c r="Q86" s="195"/>
      <c r="S86" s="196"/>
      <c r="T86" s="196"/>
      <c r="U86" s="152"/>
      <c r="V86" s="152"/>
      <c r="W86" s="157"/>
      <c r="X86" s="197"/>
    </row>
    <row r="87">
      <c r="A87" s="189"/>
      <c r="B87" s="193"/>
      <c r="C87" s="194"/>
      <c r="N87" s="152"/>
      <c r="Q87" s="195"/>
      <c r="S87" s="196"/>
      <c r="T87" s="196"/>
      <c r="U87" s="152"/>
      <c r="V87" s="152"/>
      <c r="W87" s="157"/>
      <c r="X87" s="197"/>
    </row>
    <row r="88">
      <c r="A88" s="189"/>
      <c r="B88" s="193"/>
      <c r="C88" s="194"/>
      <c r="N88" s="152"/>
      <c r="Q88" s="195"/>
      <c r="S88" s="196"/>
      <c r="T88" s="196"/>
      <c r="U88" s="152"/>
      <c r="V88" s="152"/>
      <c r="W88" s="157"/>
      <c r="X88" s="197"/>
    </row>
    <row r="89">
      <c r="A89" s="189"/>
      <c r="B89" s="193"/>
      <c r="C89" s="194"/>
      <c r="N89" s="152"/>
      <c r="Q89" s="195"/>
      <c r="S89" s="196"/>
      <c r="T89" s="196"/>
      <c r="U89" s="152"/>
      <c r="V89" s="152"/>
      <c r="W89" s="157"/>
      <c r="X89" s="197"/>
    </row>
    <row r="90">
      <c r="A90" s="189"/>
      <c r="B90" s="193"/>
      <c r="C90" s="194"/>
      <c r="N90" s="152"/>
      <c r="Q90" s="195"/>
      <c r="S90" s="196"/>
      <c r="T90" s="196"/>
      <c r="U90" s="152"/>
      <c r="V90" s="152"/>
      <c r="W90" s="157"/>
      <c r="X90" s="197"/>
    </row>
    <row r="91">
      <c r="A91" s="189"/>
      <c r="B91" s="193"/>
      <c r="C91" s="194"/>
      <c r="N91" s="152"/>
      <c r="Q91" s="195"/>
      <c r="S91" s="196"/>
      <c r="T91" s="196"/>
      <c r="U91" s="152"/>
      <c r="V91" s="152"/>
      <c r="W91" s="157"/>
      <c r="X91" s="197"/>
    </row>
    <row r="92">
      <c r="A92" s="189"/>
      <c r="B92" s="193"/>
      <c r="C92" s="194"/>
      <c r="N92" s="152"/>
      <c r="Q92" s="195"/>
      <c r="S92" s="196"/>
      <c r="T92" s="196"/>
      <c r="U92" s="152"/>
      <c r="V92" s="152"/>
      <c r="W92" s="157"/>
      <c r="X92" s="197"/>
    </row>
    <row r="93">
      <c r="A93" s="189"/>
      <c r="B93" s="193"/>
      <c r="C93" s="194"/>
      <c r="N93" s="152"/>
      <c r="Q93" s="195"/>
      <c r="S93" s="196"/>
      <c r="T93" s="196"/>
      <c r="U93" s="152"/>
      <c r="V93" s="152"/>
      <c r="W93" s="157"/>
      <c r="X93" s="197"/>
    </row>
    <row r="94">
      <c r="A94" s="189"/>
      <c r="B94" s="193"/>
      <c r="C94" s="194"/>
      <c r="N94" s="152"/>
      <c r="Q94" s="195"/>
      <c r="S94" s="196"/>
      <c r="T94" s="196"/>
      <c r="U94" s="152"/>
      <c r="V94" s="152"/>
      <c r="W94" s="157"/>
      <c r="X94" s="197"/>
    </row>
    <row r="95">
      <c r="A95" s="189"/>
      <c r="B95" s="193"/>
      <c r="C95" s="194"/>
      <c r="N95" s="152"/>
      <c r="Q95" s="195"/>
      <c r="S95" s="196"/>
      <c r="T95" s="196"/>
      <c r="U95" s="152"/>
      <c r="V95" s="152"/>
      <c r="W95" s="157"/>
      <c r="X95" s="197"/>
    </row>
    <row r="96">
      <c r="A96" s="189"/>
      <c r="B96" s="193"/>
      <c r="C96" s="194"/>
      <c r="N96" s="152"/>
      <c r="Q96" s="195"/>
      <c r="S96" s="196"/>
      <c r="T96" s="196"/>
      <c r="U96" s="152"/>
      <c r="V96" s="152"/>
      <c r="W96" s="157"/>
      <c r="X96" s="197"/>
    </row>
    <row r="97">
      <c r="A97" s="189"/>
      <c r="B97" s="193"/>
      <c r="C97" s="194"/>
      <c r="N97" s="152"/>
      <c r="Q97" s="195"/>
      <c r="S97" s="196"/>
      <c r="T97" s="196"/>
      <c r="U97" s="152"/>
      <c r="V97" s="152"/>
      <c r="W97" s="157"/>
      <c r="X97" s="197"/>
    </row>
    <row r="98">
      <c r="A98" s="189"/>
      <c r="B98" s="193"/>
      <c r="C98" s="194"/>
      <c r="N98" s="152"/>
      <c r="Q98" s="195"/>
      <c r="S98" s="196"/>
      <c r="T98" s="196"/>
      <c r="U98" s="152"/>
      <c r="V98" s="152"/>
      <c r="W98" s="157"/>
      <c r="X98" s="197"/>
    </row>
    <row r="99">
      <c r="A99" s="189"/>
      <c r="B99" s="193"/>
      <c r="C99" s="194"/>
      <c r="N99" s="152"/>
      <c r="Q99" s="195"/>
      <c r="S99" s="196"/>
      <c r="T99" s="196"/>
      <c r="U99" s="152"/>
      <c r="V99" s="152"/>
      <c r="W99" s="157"/>
      <c r="X99" s="197"/>
    </row>
    <row r="100">
      <c r="A100" s="189"/>
      <c r="B100" s="193"/>
      <c r="C100" s="194"/>
      <c r="N100" s="152"/>
      <c r="Q100" s="195"/>
      <c r="S100" s="196"/>
      <c r="T100" s="196"/>
      <c r="U100" s="152"/>
      <c r="V100" s="152"/>
      <c r="W100" s="157"/>
      <c r="X100" s="197"/>
    </row>
    <row r="101">
      <c r="A101" s="189"/>
      <c r="B101" s="193"/>
      <c r="C101" s="194"/>
      <c r="N101" s="152"/>
      <c r="Q101" s="195"/>
      <c r="S101" s="196"/>
      <c r="T101" s="196"/>
      <c r="U101" s="152"/>
      <c r="V101" s="152"/>
      <c r="W101" s="157"/>
      <c r="X101" s="197"/>
    </row>
    <row r="102">
      <c r="A102" s="189"/>
      <c r="B102" s="193"/>
      <c r="C102" s="194"/>
      <c r="N102" s="152"/>
      <c r="Q102" s="195"/>
      <c r="S102" s="196"/>
      <c r="T102" s="196"/>
      <c r="U102" s="152"/>
      <c r="V102" s="152"/>
      <c r="W102" s="157"/>
      <c r="X102" s="197"/>
    </row>
    <row r="103">
      <c r="A103" s="189"/>
      <c r="B103" s="193"/>
      <c r="C103" s="194"/>
      <c r="N103" s="152"/>
      <c r="Q103" s="195"/>
      <c r="S103" s="196"/>
      <c r="T103" s="196"/>
      <c r="U103" s="152"/>
      <c r="V103" s="152"/>
      <c r="W103" s="157"/>
      <c r="X103" s="197"/>
    </row>
    <row r="104">
      <c r="A104" s="189"/>
      <c r="B104" s="193"/>
      <c r="C104" s="194"/>
      <c r="N104" s="152"/>
      <c r="Q104" s="195"/>
      <c r="S104" s="196"/>
      <c r="T104" s="196"/>
      <c r="U104" s="152"/>
      <c r="V104" s="152"/>
      <c r="W104" s="157"/>
      <c r="X104" s="197"/>
    </row>
    <row r="105">
      <c r="A105" s="189"/>
      <c r="B105" s="193"/>
      <c r="C105" s="194"/>
      <c r="N105" s="152"/>
      <c r="Q105" s="195"/>
      <c r="S105" s="196"/>
      <c r="T105" s="196"/>
      <c r="U105" s="152"/>
      <c r="V105" s="152"/>
      <c r="W105" s="157"/>
      <c r="X105" s="197"/>
    </row>
    <row r="106">
      <c r="A106" s="189"/>
      <c r="B106" s="193"/>
      <c r="C106" s="194"/>
      <c r="N106" s="152"/>
      <c r="Q106" s="195"/>
      <c r="S106" s="196"/>
      <c r="T106" s="196"/>
      <c r="U106" s="152"/>
      <c r="V106" s="152"/>
      <c r="W106" s="157"/>
      <c r="X106" s="197"/>
    </row>
    <row r="107">
      <c r="A107" s="189"/>
      <c r="B107" s="193"/>
      <c r="C107" s="194"/>
      <c r="N107" s="152"/>
      <c r="Q107" s="195"/>
      <c r="S107" s="196"/>
      <c r="T107" s="196"/>
      <c r="U107" s="152"/>
      <c r="V107" s="152"/>
      <c r="W107" s="157"/>
      <c r="X107" s="197"/>
    </row>
    <row r="108">
      <c r="A108" s="189"/>
      <c r="B108" s="193"/>
      <c r="C108" s="194"/>
      <c r="N108" s="152"/>
      <c r="Q108" s="195"/>
      <c r="S108" s="196"/>
      <c r="T108" s="196"/>
      <c r="U108" s="152"/>
      <c r="V108" s="152"/>
      <c r="W108" s="157"/>
      <c r="X108" s="197"/>
    </row>
    <row r="109">
      <c r="A109" s="189"/>
      <c r="B109" s="193"/>
      <c r="C109" s="194"/>
      <c r="N109" s="152"/>
      <c r="Q109" s="195"/>
      <c r="S109" s="196"/>
      <c r="T109" s="196"/>
      <c r="U109" s="152"/>
      <c r="V109" s="152"/>
      <c r="W109" s="157"/>
      <c r="X109" s="197"/>
    </row>
    <row r="110">
      <c r="A110" s="189"/>
      <c r="B110" s="193"/>
      <c r="C110" s="194"/>
      <c r="N110" s="152"/>
      <c r="Q110" s="195"/>
      <c r="S110" s="196"/>
      <c r="T110" s="196"/>
      <c r="U110" s="152"/>
      <c r="V110" s="152"/>
      <c r="W110" s="157"/>
      <c r="X110" s="197"/>
    </row>
    <row r="111">
      <c r="A111" s="189"/>
      <c r="B111" s="193"/>
      <c r="C111" s="194"/>
      <c r="N111" s="152"/>
      <c r="Q111" s="195"/>
      <c r="S111" s="196"/>
      <c r="T111" s="196"/>
      <c r="U111" s="152"/>
      <c r="V111" s="152"/>
      <c r="W111" s="157"/>
      <c r="X111" s="197"/>
    </row>
    <row r="112">
      <c r="A112" s="189"/>
      <c r="B112" s="193"/>
      <c r="C112" s="194"/>
      <c r="N112" s="152"/>
      <c r="Q112" s="195"/>
      <c r="S112" s="196"/>
      <c r="T112" s="196"/>
      <c r="U112" s="152"/>
      <c r="V112" s="152"/>
      <c r="W112" s="157"/>
      <c r="X112" s="197"/>
    </row>
    <row r="113">
      <c r="A113" s="189"/>
      <c r="B113" s="193"/>
      <c r="C113" s="194"/>
      <c r="N113" s="152"/>
      <c r="Q113" s="195"/>
      <c r="S113" s="196"/>
      <c r="T113" s="196"/>
      <c r="U113" s="152"/>
      <c r="V113" s="152"/>
      <c r="W113" s="157"/>
      <c r="X113" s="197"/>
    </row>
    <row r="114">
      <c r="A114" s="189"/>
      <c r="B114" s="193"/>
      <c r="C114" s="194"/>
      <c r="N114" s="152"/>
      <c r="Q114" s="195"/>
      <c r="S114" s="196"/>
      <c r="T114" s="196"/>
      <c r="U114" s="152"/>
      <c r="V114" s="152"/>
      <c r="W114" s="157"/>
      <c r="X114" s="197"/>
    </row>
    <row r="115">
      <c r="A115" s="189"/>
      <c r="B115" s="193"/>
      <c r="C115" s="194"/>
      <c r="N115" s="152"/>
      <c r="Q115" s="195"/>
      <c r="S115" s="196"/>
      <c r="T115" s="196"/>
      <c r="U115" s="152"/>
      <c r="V115" s="152"/>
      <c r="W115" s="157"/>
      <c r="X115" s="197"/>
    </row>
    <row r="116">
      <c r="A116" s="189"/>
      <c r="B116" s="193"/>
      <c r="C116" s="194"/>
      <c r="N116" s="152"/>
      <c r="Q116" s="195"/>
      <c r="S116" s="196"/>
      <c r="T116" s="196"/>
      <c r="U116" s="152"/>
      <c r="V116" s="152"/>
      <c r="W116" s="157"/>
      <c r="X116" s="197"/>
    </row>
    <row r="117">
      <c r="A117" s="189"/>
      <c r="B117" s="193"/>
      <c r="C117" s="194"/>
      <c r="N117" s="152"/>
      <c r="Q117" s="195"/>
      <c r="S117" s="196"/>
      <c r="T117" s="196"/>
      <c r="U117" s="152"/>
      <c r="V117" s="152"/>
      <c r="W117" s="157"/>
      <c r="X117" s="197"/>
    </row>
    <row r="118">
      <c r="A118" s="189"/>
      <c r="B118" s="193"/>
      <c r="C118" s="194"/>
      <c r="N118" s="152"/>
      <c r="Q118" s="195"/>
      <c r="S118" s="196"/>
      <c r="T118" s="196"/>
      <c r="U118" s="152"/>
      <c r="V118" s="152"/>
      <c r="W118" s="157"/>
      <c r="X118" s="197"/>
    </row>
    <row r="119">
      <c r="A119" s="189"/>
      <c r="B119" s="193"/>
      <c r="C119" s="194"/>
      <c r="N119" s="152"/>
      <c r="Q119" s="195"/>
      <c r="S119" s="196"/>
      <c r="T119" s="196"/>
      <c r="U119" s="152"/>
      <c r="V119" s="152"/>
      <c r="W119" s="157"/>
      <c r="X119" s="197"/>
    </row>
    <row r="120">
      <c r="A120" s="189"/>
      <c r="B120" s="193"/>
      <c r="C120" s="194"/>
      <c r="N120" s="152"/>
      <c r="Q120" s="195"/>
      <c r="S120" s="196"/>
      <c r="T120" s="196"/>
      <c r="U120" s="152"/>
      <c r="V120" s="152"/>
      <c r="W120" s="157"/>
      <c r="X120" s="197"/>
    </row>
    <row r="121">
      <c r="A121" s="189"/>
      <c r="B121" s="193"/>
      <c r="C121" s="194"/>
      <c r="N121" s="152"/>
      <c r="Q121" s="195"/>
      <c r="S121" s="196"/>
      <c r="T121" s="196"/>
      <c r="U121" s="152"/>
      <c r="V121" s="152"/>
      <c r="W121" s="157"/>
      <c r="X121" s="197"/>
    </row>
    <row r="122">
      <c r="A122" s="189"/>
      <c r="B122" s="193"/>
      <c r="C122" s="194"/>
      <c r="N122" s="152"/>
      <c r="Q122" s="195"/>
      <c r="S122" s="196"/>
      <c r="T122" s="196"/>
      <c r="U122" s="152"/>
      <c r="V122" s="152"/>
      <c r="W122" s="157"/>
      <c r="X122" s="197"/>
    </row>
    <row r="123">
      <c r="A123" s="189"/>
      <c r="B123" s="193"/>
      <c r="C123" s="194"/>
      <c r="N123" s="152"/>
      <c r="Q123" s="195"/>
      <c r="S123" s="196"/>
      <c r="T123" s="196"/>
      <c r="U123" s="152"/>
      <c r="V123" s="152"/>
      <c r="W123" s="157"/>
      <c r="X123" s="197"/>
    </row>
    <row r="124">
      <c r="A124" s="189"/>
      <c r="B124" s="193"/>
      <c r="C124" s="194"/>
      <c r="N124" s="152"/>
      <c r="Q124" s="195"/>
      <c r="S124" s="196"/>
      <c r="T124" s="196"/>
      <c r="U124" s="152"/>
      <c r="V124" s="152"/>
      <c r="W124" s="157"/>
      <c r="X124" s="197"/>
    </row>
    <row r="125">
      <c r="A125" s="189"/>
      <c r="B125" s="193"/>
      <c r="C125" s="194"/>
      <c r="N125" s="152"/>
      <c r="Q125" s="195"/>
      <c r="S125" s="196"/>
      <c r="T125" s="196"/>
      <c r="U125" s="152"/>
      <c r="V125" s="152"/>
      <c r="W125" s="157"/>
      <c r="X125" s="197"/>
    </row>
    <row r="126">
      <c r="A126" s="189"/>
      <c r="B126" s="193"/>
      <c r="C126" s="194"/>
      <c r="N126" s="152"/>
      <c r="Q126" s="195"/>
      <c r="S126" s="196"/>
      <c r="T126" s="196"/>
      <c r="U126" s="152"/>
      <c r="V126" s="152"/>
      <c r="W126" s="157"/>
      <c r="X126" s="197"/>
    </row>
    <row r="127">
      <c r="A127" s="189"/>
      <c r="B127" s="193"/>
      <c r="C127" s="194"/>
      <c r="N127" s="152"/>
      <c r="Q127" s="195"/>
      <c r="S127" s="196"/>
      <c r="T127" s="196"/>
      <c r="U127" s="152"/>
      <c r="V127" s="152"/>
      <c r="W127" s="157"/>
      <c r="X127" s="197"/>
    </row>
    <row r="128">
      <c r="A128" s="189"/>
      <c r="B128" s="193"/>
      <c r="C128" s="194"/>
      <c r="N128" s="152"/>
      <c r="Q128" s="195"/>
      <c r="S128" s="196"/>
      <c r="T128" s="196"/>
      <c r="U128" s="152"/>
      <c r="V128" s="152"/>
      <c r="W128" s="157"/>
      <c r="X128" s="197"/>
    </row>
    <row r="129">
      <c r="A129" s="189"/>
      <c r="B129" s="193"/>
      <c r="C129" s="194"/>
      <c r="N129" s="152"/>
      <c r="Q129" s="195"/>
      <c r="S129" s="196"/>
      <c r="T129" s="196"/>
      <c r="U129" s="152"/>
      <c r="V129" s="152"/>
      <c r="W129" s="157"/>
      <c r="X129" s="197"/>
    </row>
    <row r="130">
      <c r="A130" s="189"/>
      <c r="B130" s="193"/>
      <c r="C130" s="194"/>
      <c r="N130" s="152"/>
      <c r="Q130" s="195"/>
      <c r="S130" s="196"/>
      <c r="T130" s="196"/>
      <c r="U130" s="152"/>
      <c r="V130" s="152"/>
      <c r="W130" s="157"/>
      <c r="X130" s="197"/>
    </row>
    <row r="131">
      <c r="A131" s="189"/>
      <c r="B131" s="193"/>
      <c r="C131" s="194"/>
      <c r="N131" s="152"/>
      <c r="Q131" s="195"/>
      <c r="S131" s="196"/>
      <c r="T131" s="196"/>
      <c r="U131" s="152"/>
      <c r="V131" s="152"/>
      <c r="W131" s="157"/>
      <c r="X131" s="197"/>
    </row>
    <row r="132">
      <c r="A132" s="189"/>
      <c r="B132" s="193"/>
      <c r="C132" s="194"/>
      <c r="N132" s="152"/>
      <c r="Q132" s="195"/>
      <c r="S132" s="196"/>
      <c r="T132" s="196"/>
      <c r="U132" s="152"/>
      <c r="V132" s="152"/>
      <c r="W132" s="157"/>
      <c r="X132" s="197"/>
    </row>
    <row r="133">
      <c r="A133" s="189"/>
      <c r="B133" s="193"/>
      <c r="C133" s="194"/>
      <c r="N133" s="152"/>
      <c r="Q133" s="195"/>
      <c r="S133" s="196"/>
      <c r="T133" s="196"/>
      <c r="U133" s="152"/>
      <c r="V133" s="152"/>
      <c r="W133" s="157"/>
      <c r="X133" s="197"/>
    </row>
    <row r="134">
      <c r="A134" s="189"/>
      <c r="B134" s="193"/>
      <c r="C134" s="194"/>
      <c r="N134" s="152"/>
      <c r="Q134" s="195"/>
      <c r="S134" s="196"/>
      <c r="T134" s="196"/>
      <c r="U134" s="152"/>
      <c r="V134" s="152"/>
      <c r="W134" s="157"/>
      <c r="X134" s="197"/>
    </row>
    <row r="135">
      <c r="A135" s="189"/>
      <c r="B135" s="193"/>
      <c r="C135" s="194"/>
      <c r="N135" s="152"/>
      <c r="Q135" s="195"/>
      <c r="S135" s="196"/>
      <c r="T135" s="196"/>
      <c r="U135" s="152"/>
      <c r="V135" s="152"/>
      <c r="W135" s="157"/>
      <c r="X135" s="197"/>
    </row>
    <row r="136">
      <c r="A136" s="189"/>
      <c r="B136" s="193"/>
      <c r="C136" s="194"/>
      <c r="N136" s="152"/>
      <c r="Q136" s="195"/>
      <c r="S136" s="196"/>
      <c r="T136" s="196"/>
      <c r="U136" s="152"/>
      <c r="V136" s="152"/>
      <c r="W136" s="157"/>
      <c r="X136" s="197"/>
    </row>
    <row r="137">
      <c r="A137" s="189"/>
      <c r="B137" s="193"/>
      <c r="C137" s="194"/>
      <c r="N137" s="152"/>
      <c r="Q137" s="195"/>
      <c r="S137" s="196"/>
      <c r="T137" s="196"/>
      <c r="U137" s="152"/>
      <c r="V137" s="152"/>
      <c r="W137" s="157"/>
      <c r="X137" s="197"/>
    </row>
    <row r="138">
      <c r="A138" s="189"/>
      <c r="B138" s="193"/>
      <c r="C138" s="194"/>
      <c r="N138" s="152"/>
      <c r="Q138" s="195"/>
      <c r="S138" s="196"/>
      <c r="T138" s="196"/>
      <c r="U138" s="152"/>
      <c r="V138" s="152"/>
      <c r="W138" s="157"/>
      <c r="X138" s="197"/>
    </row>
    <row r="139">
      <c r="A139" s="189"/>
      <c r="B139" s="193"/>
      <c r="C139" s="194"/>
      <c r="N139" s="152"/>
      <c r="Q139" s="195"/>
      <c r="S139" s="196"/>
      <c r="T139" s="196"/>
      <c r="U139" s="152"/>
      <c r="V139" s="152"/>
      <c r="W139" s="157"/>
      <c r="X139" s="197"/>
    </row>
    <row r="140">
      <c r="A140" s="189"/>
      <c r="B140" s="193"/>
      <c r="C140" s="194"/>
      <c r="N140" s="152"/>
      <c r="Q140" s="195"/>
      <c r="S140" s="196"/>
      <c r="T140" s="196"/>
      <c r="U140" s="152"/>
      <c r="V140" s="152"/>
      <c r="W140" s="157"/>
      <c r="X140" s="197"/>
    </row>
    <row r="141">
      <c r="A141" s="189"/>
      <c r="B141" s="193"/>
      <c r="C141" s="194"/>
      <c r="N141" s="152"/>
      <c r="Q141" s="195"/>
      <c r="S141" s="196"/>
      <c r="T141" s="196"/>
      <c r="U141" s="152"/>
      <c r="V141" s="152"/>
      <c r="W141" s="157"/>
      <c r="X141" s="197"/>
    </row>
    <row r="142">
      <c r="A142" s="189"/>
      <c r="B142" s="193"/>
      <c r="C142" s="194"/>
      <c r="N142" s="152"/>
      <c r="Q142" s="195"/>
      <c r="S142" s="196"/>
      <c r="T142" s="196"/>
      <c r="U142" s="152"/>
      <c r="V142" s="152"/>
      <c r="W142" s="157"/>
      <c r="X142" s="197"/>
    </row>
    <row r="143">
      <c r="A143" s="189"/>
      <c r="B143" s="193"/>
      <c r="C143" s="194"/>
      <c r="N143" s="152"/>
      <c r="Q143" s="195"/>
      <c r="S143" s="196"/>
      <c r="T143" s="196"/>
      <c r="U143" s="152"/>
      <c r="V143" s="152"/>
      <c r="W143" s="157"/>
      <c r="X143" s="197"/>
    </row>
    <row r="144">
      <c r="A144" s="189"/>
      <c r="B144" s="193"/>
      <c r="C144" s="194"/>
      <c r="N144" s="152"/>
      <c r="Q144" s="195"/>
      <c r="S144" s="196"/>
      <c r="T144" s="196"/>
      <c r="U144" s="152"/>
      <c r="V144" s="152"/>
      <c r="W144" s="157"/>
      <c r="X144" s="197"/>
    </row>
    <row r="145">
      <c r="A145" s="189"/>
      <c r="B145" s="193"/>
      <c r="C145" s="194"/>
      <c r="N145" s="152"/>
      <c r="Q145" s="195"/>
      <c r="S145" s="196"/>
      <c r="T145" s="196"/>
      <c r="U145" s="152"/>
      <c r="V145" s="152"/>
      <c r="W145" s="157"/>
      <c r="X145" s="197"/>
    </row>
    <row r="146">
      <c r="A146" s="189"/>
      <c r="B146" s="193"/>
      <c r="C146" s="194"/>
      <c r="N146" s="152"/>
      <c r="Q146" s="195"/>
      <c r="S146" s="196"/>
      <c r="T146" s="196"/>
      <c r="U146" s="152"/>
      <c r="V146" s="152"/>
      <c r="W146" s="157"/>
      <c r="X146" s="197"/>
    </row>
    <row r="147">
      <c r="A147" s="189"/>
      <c r="B147" s="193"/>
      <c r="C147" s="194"/>
      <c r="N147" s="152"/>
      <c r="Q147" s="195"/>
      <c r="S147" s="196"/>
      <c r="T147" s="196"/>
      <c r="U147" s="152"/>
      <c r="V147" s="152"/>
      <c r="W147" s="157"/>
      <c r="X147" s="197"/>
    </row>
    <row r="148">
      <c r="A148" s="189"/>
      <c r="B148" s="193"/>
      <c r="C148" s="194"/>
      <c r="N148" s="152"/>
      <c r="Q148" s="195"/>
      <c r="S148" s="196"/>
      <c r="T148" s="196"/>
      <c r="U148" s="152"/>
      <c r="V148" s="152"/>
      <c r="W148" s="157"/>
      <c r="X148" s="197"/>
    </row>
    <row r="149">
      <c r="A149" s="189"/>
      <c r="B149" s="193"/>
      <c r="C149" s="194"/>
      <c r="N149" s="152"/>
      <c r="Q149" s="195"/>
      <c r="S149" s="196"/>
      <c r="T149" s="196"/>
      <c r="U149" s="152"/>
      <c r="V149" s="152"/>
      <c r="W149" s="157"/>
      <c r="X149" s="197"/>
    </row>
    <row r="150">
      <c r="A150" s="189"/>
      <c r="B150" s="193"/>
      <c r="C150" s="194"/>
      <c r="N150" s="152"/>
      <c r="Q150" s="195"/>
      <c r="S150" s="196"/>
      <c r="T150" s="196"/>
      <c r="U150" s="152"/>
      <c r="V150" s="152"/>
      <c r="W150" s="157"/>
      <c r="X150" s="197"/>
    </row>
    <row r="151">
      <c r="A151" s="189"/>
      <c r="B151" s="193"/>
      <c r="C151" s="194"/>
      <c r="N151" s="152"/>
      <c r="Q151" s="195"/>
      <c r="S151" s="196"/>
      <c r="T151" s="196"/>
      <c r="U151" s="152"/>
      <c r="V151" s="152"/>
      <c r="W151" s="157"/>
      <c r="X151" s="197"/>
    </row>
    <row r="152">
      <c r="A152" s="189"/>
      <c r="B152" s="193"/>
      <c r="C152" s="194"/>
      <c r="N152" s="152"/>
      <c r="Q152" s="195"/>
      <c r="S152" s="196"/>
      <c r="T152" s="196"/>
      <c r="U152" s="152"/>
      <c r="V152" s="152"/>
      <c r="W152" s="157"/>
      <c r="X152" s="197"/>
    </row>
    <row r="153">
      <c r="A153" s="189"/>
      <c r="B153" s="193"/>
      <c r="C153" s="194"/>
      <c r="N153" s="152"/>
      <c r="Q153" s="195"/>
      <c r="S153" s="196"/>
      <c r="T153" s="196"/>
      <c r="U153" s="152"/>
      <c r="V153" s="152"/>
      <c r="W153" s="157"/>
      <c r="X153" s="197"/>
    </row>
    <row r="154">
      <c r="A154" s="189"/>
      <c r="B154" s="193"/>
      <c r="C154" s="194"/>
      <c r="N154" s="152"/>
      <c r="Q154" s="195"/>
      <c r="S154" s="196"/>
      <c r="T154" s="196"/>
      <c r="U154" s="152"/>
      <c r="V154" s="152"/>
      <c r="W154" s="157"/>
      <c r="X154" s="197"/>
    </row>
    <row r="155">
      <c r="A155" s="189"/>
      <c r="B155" s="193"/>
      <c r="C155" s="194"/>
      <c r="N155" s="152"/>
      <c r="Q155" s="195"/>
      <c r="S155" s="196"/>
      <c r="T155" s="196"/>
      <c r="U155" s="152"/>
      <c r="V155" s="152"/>
      <c r="W155" s="157"/>
      <c r="X155" s="197"/>
    </row>
    <row r="156">
      <c r="A156" s="189"/>
      <c r="B156" s="193"/>
      <c r="C156" s="194"/>
      <c r="N156" s="152"/>
      <c r="Q156" s="195"/>
      <c r="S156" s="196"/>
      <c r="T156" s="196"/>
      <c r="U156" s="152"/>
      <c r="V156" s="152"/>
      <c r="W156" s="157"/>
      <c r="X156" s="197"/>
    </row>
    <row r="157">
      <c r="A157" s="189"/>
      <c r="B157" s="193"/>
      <c r="C157" s="194"/>
      <c r="N157" s="152"/>
      <c r="Q157" s="195"/>
      <c r="S157" s="196"/>
      <c r="T157" s="196"/>
      <c r="U157" s="152"/>
      <c r="V157" s="152"/>
      <c r="W157" s="157"/>
      <c r="X157" s="197"/>
    </row>
    <row r="158">
      <c r="A158" s="189"/>
      <c r="B158" s="193"/>
      <c r="C158" s="194"/>
      <c r="N158" s="152"/>
      <c r="Q158" s="195"/>
      <c r="S158" s="196"/>
      <c r="T158" s="196"/>
      <c r="U158" s="152"/>
      <c r="V158" s="152"/>
      <c r="W158" s="157"/>
      <c r="X158" s="197"/>
    </row>
    <row r="159">
      <c r="A159" s="189"/>
      <c r="B159" s="193"/>
      <c r="C159" s="194"/>
      <c r="N159" s="152"/>
      <c r="Q159" s="195"/>
      <c r="S159" s="196"/>
      <c r="T159" s="196"/>
      <c r="U159" s="152"/>
      <c r="V159" s="152"/>
      <c r="W159" s="157"/>
      <c r="X159" s="197"/>
    </row>
    <row r="160">
      <c r="A160" s="189"/>
      <c r="B160" s="193"/>
      <c r="C160" s="194"/>
      <c r="N160" s="152"/>
      <c r="Q160" s="195"/>
      <c r="S160" s="196"/>
      <c r="T160" s="196"/>
      <c r="U160" s="152"/>
      <c r="V160" s="152"/>
      <c r="W160" s="157"/>
      <c r="X160" s="197"/>
    </row>
    <row r="161">
      <c r="A161" s="189"/>
      <c r="B161" s="193"/>
      <c r="C161" s="194"/>
      <c r="N161" s="152"/>
      <c r="Q161" s="195"/>
      <c r="S161" s="196"/>
      <c r="T161" s="196"/>
      <c r="U161" s="152"/>
      <c r="V161" s="152"/>
      <c r="W161" s="157"/>
      <c r="X161" s="197"/>
    </row>
    <row r="162">
      <c r="A162" s="189"/>
      <c r="B162" s="193"/>
      <c r="C162" s="194"/>
      <c r="N162" s="152"/>
      <c r="Q162" s="195"/>
      <c r="S162" s="196"/>
      <c r="T162" s="196"/>
      <c r="U162" s="152"/>
      <c r="V162" s="152"/>
      <c r="W162" s="157"/>
      <c r="X162" s="197"/>
    </row>
    <row r="163">
      <c r="A163" s="189"/>
      <c r="B163" s="193"/>
      <c r="C163" s="194"/>
      <c r="N163" s="152"/>
      <c r="Q163" s="195"/>
      <c r="S163" s="196"/>
      <c r="T163" s="196"/>
      <c r="U163" s="152"/>
      <c r="V163" s="152"/>
      <c r="W163" s="157"/>
      <c r="X163" s="197"/>
    </row>
    <row r="164">
      <c r="A164" s="189"/>
      <c r="B164" s="193"/>
      <c r="C164" s="194"/>
      <c r="N164" s="152"/>
      <c r="Q164" s="195"/>
      <c r="S164" s="196"/>
      <c r="T164" s="196"/>
      <c r="U164" s="152"/>
      <c r="V164" s="152"/>
      <c r="W164" s="157"/>
      <c r="X164" s="197"/>
    </row>
    <row r="165">
      <c r="A165" s="189"/>
      <c r="B165" s="193"/>
      <c r="C165" s="194"/>
      <c r="N165" s="152"/>
      <c r="Q165" s="195"/>
      <c r="S165" s="196"/>
      <c r="T165" s="196"/>
      <c r="U165" s="152"/>
      <c r="V165" s="152"/>
      <c r="W165" s="157"/>
      <c r="X165" s="197"/>
    </row>
    <row r="166">
      <c r="A166" s="189"/>
      <c r="B166" s="193"/>
      <c r="C166" s="194"/>
      <c r="N166" s="152"/>
      <c r="Q166" s="195"/>
      <c r="S166" s="196"/>
      <c r="T166" s="196"/>
      <c r="U166" s="152"/>
      <c r="V166" s="152"/>
      <c r="W166" s="157"/>
      <c r="X166" s="197"/>
    </row>
    <row r="167">
      <c r="A167" s="189"/>
      <c r="B167" s="193"/>
      <c r="C167" s="194"/>
      <c r="N167" s="152"/>
      <c r="Q167" s="195"/>
      <c r="S167" s="196"/>
      <c r="T167" s="196"/>
      <c r="U167" s="152"/>
      <c r="V167" s="152"/>
      <c r="W167" s="157"/>
      <c r="X167" s="197"/>
    </row>
    <row r="168">
      <c r="A168" s="189"/>
      <c r="B168" s="193"/>
      <c r="C168" s="194"/>
      <c r="N168" s="152"/>
      <c r="Q168" s="195"/>
      <c r="S168" s="196"/>
      <c r="T168" s="196"/>
      <c r="U168" s="152"/>
      <c r="V168" s="152"/>
      <c r="W168" s="157"/>
      <c r="X168" s="197"/>
    </row>
    <row r="169">
      <c r="A169" s="189"/>
      <c r="B169" s="193"/>
      <c r="C169" s="194"/>
      <c r="N169" s="152"/>
      <c r="Q169" s="195"/>
      <c r="S169" s="196"/>
      <c r="T169" s="196"/>
      <c r="U169" s="152"/>
      <c r="V169" s="152"/>
      <c r="W169" s="157"/>
      <c r="X169" s="197"/>
    </row>
    <row r="170">
      <c r="A170" s="189"/>
      <c r="B170" s="193"/>
      <c r="C170" s="194"/>
      <c r="N170" s="152"/>
      <c r="Q170" s="195"/>
      <c r="S170" s="196"/>
      <c r="T170" s="196"/>
      <c r="U170" s="152"/>
      <c r="V170" s="152"/>
      <c r="W170" s="157"/>
      <c r="X170" s="197"/>
    </row>
    <row r="171">
      <c r="A171" s="189"/>
      <c r="B171" s="193"/>
      <c r="C171" s="194"/>
      <c r="N171" s="152"/>
      <c r="Q171" s="195"/>
      <c r="S171" s="196"/>
      <c r="T171" s="196"/>
      <c r="U171" s="152"/>
      <c r="V171" s="152"/>
      <c r="W171" s="157"/>
      <c r="X171" s="197"/>
    </row>
    <row r="172">
      <c r="A172" s="189"/>
      <c r="B172" s="193"/>
      <c r="C172" s="194"/>
      <c r="N172" s="152"/>
      <c r="Q172" s="195"/>
      <c r="S172" s="196"/>
      <c r="T172" s="196"/>
      <c r="U172" s="152"/>
      <c r="V172" s="152"/>
      <c r="W172" s="157"/>
      <c r="X172" s="197"/>
    </row>
    <row r="173">
      <c r="A173" s="189"/>
      <c r="B173" s="193"/>
      <c r="C173" s="194"/>
      <c r="N173" s="152"/>
      <c r="Q173" s="195"/>
      <c r="S173" s="196"/>
      <c r="T173" s="196"/>
      <c r="U173" s="152"/>
      <c r="V173" s="152"/>
      <c r="W173" s="157"/>
      <c r="X173" s="197"/>
    </row>
    <row r="174">
      <c r="A174" s="189"/>
      <c r="B174" s="193"/>
      <c r="C174" s="194"/>
      <c r="N174" s="152"/>
      <c r="Q174" s="195"/>
      <c r="S174" s="196"/>
      <c r="T174" s="196"/>
      <c r="U174" s="152"/>
      <c r="V174" s="152"/>
      <c r="W174" s="157"/>
      <c r="X174" s="197"/>
    </row>
    <row r="175">
      <c r="A175" s="189"/>
      <c r="B175" s="193"/>
      <c r="C175" s="194"/>
      <c r="N175" s="152"/>
      <c r="Q175" s="195"/>
      <c r="S175" s="196"/>
      <c r="T175" s="196"/>
      <c r="U175" s="152"/>
      <c r="V175" s="152"/>
      <c r="W175" s="157"/>
      <c r="X175" s="197"/>
    </row>
    <row r="176">
      <c r="A176" s="189"/>
      <c r="B176" s="193"/>
      <c r="C176" s="194"/>
      <c r="N176" s="152"/>
      <c r="Q176" s="195"/>
      <c r="S176" s="196"/>
      <c r="T176" s="196"/>
      <c r="U176" s="152"/>
      <c r="V176" s="152"/>
      <c r="W176" s="157"/>
      <c r="X176" s="197"/>
    </row>
    <row r="177">
      <c r="A177" s="189"/>
      <c r="B177" s="193"/>
      <c r="C177" s="194"/>
      <c r="N177" s="152"/>
      <c r="Q177" s="195"/>
      <c r="S177" s="196"/>
      <c r="T177" s="196"/>
      <c r="U177" s="152"/>
      <c r="V177" s="152"/>
      <c r="W177" s="157"/>
      <c r="X177" s="197"/>
    </row>
    <row r="178">
      <c r="A178" s="189"/>
      <c r="B178" s="193"/>
      <c r="C178" s="194"/>
      <c r="N178" s="152"/>
      <c r="Q178" s="195"/>
      <c r="S178" s="196"/>
      <c r="T178" s="196"/>
      <c r="U178" s="152"/>
      <c r="V178" s="152"/>
      <c r="W178" s="157"/>
      <c r="X178" s="197"/>
    </row>
    <row r="179">
      <c r="A179" s="189"/>
      <c r="B179" s="193"/>
      <c r="C179" s="194"/>
      <c r="N179" s="152"/>
      <c r="Q179" s="195"/>
      <c r="S179" s="196"/>
      <c r="T179" s="196"/>
      <c r="U179" s="152"/>
      <c r="V179" s="152"/>
      <c r="W179" s="157"/>
      <c r="X179" s="197"/>
    </row>
    <row r="180">
      <c r="A180" s="189"/>
      <c r="B180" s="193"/>
      <c r="C180" s="194"/>
      <c r="N180" s="152"/>
      <c r="Q180" s="195"/>
      <c r="S180" s="196"/>
      <c r="T180" s="196"/>
      <c r="U180" s="152"/>
      <c r="V180" s="152"/>
      <c r="W180" s="157"/>
      <c r="X180" s="197"/>
    </row>
    <row r="181">
      <c r="A181" s="189"/>
      <c r="B181" s="193"/>
      <c r="C181" s="194"/>
      <c r="N181" s="152"/>
      <c r="Q181" s="195"/>
      <c r="S181" s="196"/>
      <c r="T181" s="196"/>
      <c r="U181" s="152"/>
      <c r="V181" s="152"/>
      <c r="W181" s="157"/>
      <c r="X181" s="197"/>
    </row>
    <row r="182">
      <c r="A182" s="189"/>
      <c r="B182" s="193"/>
      <c r="C182" s="194"/>
      <c r="N182" s="152"/>
      <c r="Q182" s="195"/>
      <c r="S182" s="196"/>
      <c r="T182" s="196"/>
      <c r="U182" s="152"/>
      <c r="V182" s="152"/>
      <c r="W182" s="157"/>
      <c r="X182" s="197"/>
    </row>
    <row r="183">
      <c r="A183" s="189"/>
      <c r="B183" s="193"/>
      <c r="C183" s="194"/>
      <c r="N183" s="152"/>
      <c r="Q183" s="195"/>
      <c r="S183" s="196"/>
      <c r="T183" s="196"/>
      <c r="U183" s="152"/>
      <c r="V183" s="152"/>
      <c r="W183" s="157"/>
      <c r="X183" s="197"/>
    </row>
    <row r="184">
      <c r="A184" s="189"/>
      <c r="B184" s="193"/>
      <c r="C184" s="194"/>
      <c r="N184" s="152"/>
      <c r="Q184" s="195"/>
      <c r="S184" s="196"/>
      <c r="T184" s="196"/>
      <c r="U184" s="152"/>
      <c r="V184" s="152"/>
      <c r="W184" s="157"/>
      <c r="X184" s="197"/>
    </row>
    <row r="185">
      <c r="A185" s="189"/>
      <c r="B185" s="193"/>
      <c r="C185" s="194"/>
      <c r="N185" s="152"/>
      <c r="Q185" s="195"/>
      <c r="S185" s="196"/>
      <c r="T185" s="196"/>
      <c r="U185" s="152"/>
      <c r="V185" s="152"/>
      <c r="W185" s="157"/>
      <c r="X185" s="197"/>
    </row>
    <row r="186">
      <c r="A186" s="189"/>
      <c r="B186" s="193"/>
      <c r="C186" s="194"/>
      <c r="N186" s="152"/>
      <c r="Q186" s="195"/>
      <c r="S186" s="196"/>
      <c r="T186" s="196"/>
      <c r="U186" s="152"/>
      <c r="V186" s="152"/>
      <c r="W186" s="157"/>
      <c r="X186" s="197"/>
    </row>
    <row r="187">
      <c r="A187" s="189"/>
      <c r="B187" s="193"/>
      <c r="C187" s="194"/>
      <c r="N187" s="152"/>
      <c r="Q187" s="195"/>
      <c r="S187" s="196"/>
      <c r="T187" s="196"/>
      <c r="U187" s="152"/>
      <c r="V187" s="152"/>
      <c r="W187" s="157"/>
      <c r="X187" s="197"/>
    </row>
    <row r="188">
      <c r="A188" s="189"/>
      <c r="B188" s="193"/>
      <c r="C188" s="194"/>
      <c r="N188" s="152"/>
      <c r="Q188" s="195"/>
      <c r="S188" s="196"/>
      <c r="T188" s="196"/>
      <c r="U188" s="152"/>
      <c r="V188" s="152"/>
      <c r="W188" s="157"/>
      <c r="X188" s="197"/>
    </row>
    <row r="189">
      <c r="A189" s="189"/>
      <c r="B189" s="193"/>
      <c r="C189" s="194"/>
      <c r="N189" s="152"/>
      <c r="Q189" s="195"/>
      <c r="S189" s="196"/>
      <c r="T189" s="196"/>
      <c r="U189" s="152"/>
      <c r="V189" s="152"/>
      <c r="W189" s="157"/>
      <c r="X189" s="197"/>
    </row>
    <row r="190">
      <c r="A190" s="189"/>
      <c r="B190" s="193"/>
      <c r="C190" s="194"/>
      <c r="N190" s="152"/>
      <c r="Q190" s="195"/>
      <c r="S190" s="196"/>
      <c r="T190" s="196"/>
      <c r="U190" s="152"/>
      <c r="V190" s="152"/>
      <c r="W190" s="157"/>
      <c r="X190" s="197"/>
    </row>
    <row r="191">
      <c r="A191" s="189"/>
      <c r="B191" s="193"/>
      <c r="C191" s="194"/>
      <c r="N191" s="152"/>
      <c r="Q191" s="195"/>
      <c r="S191" s="196"/>
      <c r="T191" s="196"/>
      <c r="U191" s="152"/>
      <c r="V191" s="152"/>
      <c r="W191" s="157"/>
      <c r="X191" s="197"/>
    </row>
    <row r="192">
      <c r="A192" s="189"/>
      <c r="B192" s="193"/>
      <c r="C192" s="194"/>
      <c r="N192" s="152"/>
      <c r="Q192" s="195"/>
      <c r="S192" s="196"/>
      <c r="T192" s="196"/>
      <c r="U192" s="152"/>
      <c r="V192" s="152"/>
      <c r="W192" s="157"/>
      <c r="X192" s="197"/>
    </row>
    <row r="193">
      <c r="A193" s="189"/>
      <c r="B193" s="193"/>
      <c r="C193" s="194"/>
      <c r="N193" s="152"/>
      <c r="Q193" s="195"/>
      <c r="S193" s="196"/>
      <c r="T193" s="196"/>
      <c r="U193" s="152"/>
      <c r="V193" s="152"/>
      <c r="W193" s="157"/>
      <c r="X193" s="197"/>
    </row>
    <row r="194">
      <c r="A194" s="189"/>
      <c r="B194" s="193"/>
      <c r="C194" s="194"/>
      <c r="N194" s="152"/>
      <c r="Q194" s="195"/>
      <c r="S194" s="196"/>
      <c r="T194" s="196"/>
      <c r="U194" s="152"/>
      <c r="V194" s="152"/>
      <c r="W194" s="157"/>
      <c r="X194" s="197"/>
    </row>
    <row r="195">
      <c r="A195" s="189"/>
      <c r="B195" s="193"/>
      <c r="C195" s="194"/>
      <c r="N195" s="152"/>
      <c r="Q195" s="195"/>
      <c r="S195" s="196"/>
      <c r="T195" s="196"/>
      <c r="U195" s="152"/>
      <c r="V195" s="152"/>
      <c r="W195" s="157"/>
      <c r="X195" s="197"/>
    </row>
    <row r="196">
      <c r="A196" s="189"/>
      <c r="B196" s="193"/>
      <c r="C196" s="194"/>
      <c r="N196" s="152"/>
      <c r="Q196" s="195"/>
      <c r="S196" s="196"/>
      <c r="T196" s="196"/>
      <c r="U196" s="152"/>
      <c r="V196" s="152"/>
      <c r="W196" s="157"/>
      <c r="X196" s="197"/>
    </row>
    <row r="197">
      <c r="A197" s="189"/>
      <c r="B197" s="193"/>
      <c r="C197" s="194"/>
      <c r="N197" s="152"/>
      <c r="Q197" s="195"/>
      <c r="S197" s="196"/>
      <c r="T197" s="196"/>
      <c r="U197" s="152"/>
      <c r="V197" s="152"/>
      <c r="W197" s="157"/>
      <c r="X197" s="197"/>
    </row>
    <row r="198">
      <c r="A198" s="189"/>
      <c r="B198" s="193"/>
      <c r="C198" s="194"/>
      <c r="N198" s="152"/>
      <c r="Q198" s="195"/>
      <c r="S198" s="196"/>
      <c r="T198" s="196"/>
      <c r="U198" s="152"/>
      <c r="V198" s="152"/>
      <c r="W198" s="157"/>
      <c r="X198" s="197"/>
    </row>
    <row r="199">
      <c r="A199" s="189"/>
      <c r="B199" s="193"/>
      <c r="C199" s="194"/>
      <c r="N199" s="152"/>
      <c r="Q199" s="195"/>
      <c r="S199" s="196"/>
      <c r="T199" s="196"/>
      <c r="U199" s="152"/>
      <c r="V199" s="152"/>
      <c r="W199" s="157"/>
      <c r="X199" s="197"/>
    </row>
    <row r="200">
      <c r="A200" s="189"/>
      <c r="B200" s="193"/>
      <c r="C200" s="194"/>
      <c r="N200" s="152"/>
      <c r="Q200" s="195"/>
      <c r="S200" s="196"/>
      <c r="T200" s="196"/>
      <c r="U200" s="152"/>
      <c r="V200" s="152"/>
      <c r="W200" s="157"/>
      <c r="X200" s="197"/>
    </row>
    <row r="201">
      <c r="A201" s="189"/>
      <c r="B201" s="193"/>
      <c r="C201" s="194"/>
      <c r="N201" s="152"/>
      <c r="Q201" s="195"/>
      <c r="S201" s="196"/>
      <c r="T201" s="196"/>
      <c r="U201" s="152"/>
      <c r="V201" s="152"/>
      <c r="W201" s="157"/>
      <c r="X201" s="197"/>
    </row>
    <row r="202">
      <c r="A202" s="189"/>
      <c r="B202" s="193"/>
      <c r="C202" s="194"/>
      <c r="N202" s="152"/>
      <c r="Q202" s="195"/>
      <c r="S202" s="196"/>
      <c r="T202" s="196"/>
      <c r="U202" s="152"/>
      <c r="V202" s="152"/>
      <c r="W202" s="157"/>
      <c r="X202" s="197"/>
    </row>
    <row r="203">
      <c r="A203" s="189"/>
      <c r="B203" s="193"/>
      <c r="C203" s="194"/>
      <c r="N203" s="152"/>
      <c r="Q203" s="195"/>
      <c r="S203" s="196"/>
      <c r="T203" s="196"/>
      <c r="U203" s="152"/>
      <c r="V203" s="152"/>
      <c r="W203" s="157"/>
      <c r="X203" s="197"/>
    </row>
    <row r="204">
      <c r="A204" s="189"/>
      <c r="B204" s="193"/>
      <c r="C204" s="194"/>
      <c r="N204" s="152"/>
      <c r="Q204" s="195"/>
      <c r="S204" s="196"/>
      <c r="T204" s="196"/>
      <c r="U204" s="152"/>
      <c r="V204" s="152"/>
      <c r="W204" s="157"/>
      <c r="X204" s="197"/>
    </row>
    <row r="205">
      <c r="A205" s="189"/>
      <c r="B205" s="193"/>
      <c r="C205" s="194"/>
      <c r="N205" s="152"/>
      <c r="Q205" s="195"/>
      <c r="S205" s="196"/>
      <c r="T205" s="196"/>
      <c r="U205" s="152"/>
      <c r="V205" s="152"/>
      <c r="W205" s="157"/>
      <c r="X205" s="197"/>
    </row>
    <row r="206">
      <c r="A206" s="189"/>
      <c r="B206" s="193"/>
      <c r="C206" s="194"/>
      <c r="N206" s="152"/>
      <c r="Q206" s="195"/>
      <c r="S206" s="196"/>
      <c r="T206" s="196"/>
      <c r="U206" s="152"/>
      <c r="V206" s="152"/>
      <c r="W206" s="157"/>
      <c r="X206" s="197"/>
    </row>
    <row r="207">
      <c r="A207" s="189"/>
      <c r="B207" s="193"/>
      <c r="C207" s="194"/>
      <c r="N207" s="152"/>
      <c r="Q207" s="195"/>
      <c r="S207" s="196"/>
      <c r="T207" s="196"/>
      <c r="U207" s="152"/>
      <c r="V207" s="152"/>
      <c r="W207" s="157"/>
      <c r="X207" s="197"/>
    </row>
    <row r="208">
      <c r="A208" s="189"/>
      <c r="B208" s="193"/>
      <c r="C208" s="194"/>
      <c r="N208" s="152"/>
      <c r="Q208" s="195"/>
      <c r="S208" s="196"/>
      <c r="T208" s="196"/>
      <c r="U208" s="152"/>
      <c r="V208" s="152"/>
      <c r="W208" s="157"/>
      <c r="X208" s="197"/>
    </row>
    <row r="209">
      <c r="A209" s="189"/>
      <c r="B209" s="193"/>
      <c r="C209" s="194"/>
      <c r="N209" s="152"/>
      <c r="Q209" s="195"/>
      <c r="S209" s="196"/>
      <c r="T209" s="196"/>
      <c r="U209" s="152"/>
      <c r="V209" s="152"/>
      <c r="W209" s="157"/>
      <c r="X209" s="197"/>
    </row>
    <row r="210">
      <c r="A210" s="189"/>
      <c r="B210" s="193"/>
      <c r="C210" s="194"/>
      <c r="N210" s="152"/>
      <c r="Q210" s="195"/>
      <c r="S210" s="196"/>
      <c r="T210" s="196"/>
      <c r="U210" s="152"/>
      <c r="V210" s="152"/>
      <c r="W210" s="157"/>
      <c r="X210" s="197"/>
    </row>
    <row r="211">
      <c r="A211" s="189"/>
      <c r="B211" s="193"/>
      <c r="C211" s="194"/>
      <c r="N211" s="152"/>
      <c r="Q211" s="195"/>
      <c r="S211" s="196"/>
      <c r="T211" s="196"/>
      <c r="U211" s="152"/>
      <c r="V211" s="152"/>
      <c r="W211" s="157"/>
      <c r="X211" s="197"/>
    </row>
    <row r="212">
      <c r="A212" s="189"/>
      <c r="B212" s="193"/>
      <c r="C212" s="194"/>
      <c r="N212" s="152"/>
      <c r="Q212" s="195"/>
      <c r="S212" s="196"/>
      <c r="T212" s="196"/>
      <c r="U212" s="152"/>
      <c r="V212" s="152"/>
      <c r="W212" s="157"/>
      <c r="X212" s="197"/>
    </row>
    <row r="213">
      <c r="A213" s="189"/>
      <c r="B213" s="193"/>
      <c r="C213" s="194"/>
      <c r="N213" s="152"/>
      <c r="Q213" s="195"/>
      <c r="S213" s="196"/>
      <c r="T213" s="196"/>
      <c r="U213" s="152"/>
      <c r="V213" s="152"/>
      <c r="W213" s="157"/>
      <c r="X213" s="197"/>
    </row>
    <row r="214">
      <c r="A214" s="189"/>
      <c r="B214" s="193"/>
      <c r="C214" s="194"/>
      <c r="N214" s="152"/>
      <c r="Q214" s="195"/>
      <c r="S214" s="196"/>
      <c r="T214" s="196"/>
      <c r="U214" s="152"/>
      <c r="V214" s="152"/>
      <c r="W214" s="157"/>
      <c r="X214" s="197"/>
    </row>
    <row r="215">
      <c r="A215" s="189"/>
      <c r="B215" s="193"/>
      <c r="C215" s="194"/>
      <c r="N215" s="152"/>
      <c r="Q215" s="195"/>
      <c r="S215" s="196"/>
      <c r="T215" s="196"/>
      <c r="U215" s="152"/>
      <c r="V215" s="152"/>
      <c r="W215" s="157"/>
      <c r="X215" s="197"/>
    </row>
    <row r="216">
      <c r="A216" s="189"/>
      <c r="B216" s="193"/>
      <c r="C216" s="194"/>
      <c r="N216" s="152"/>
      <c r="Q216" s="195"/>
      <c r="S216" s="196"/>
      <c r="T216" s="196"/>
      <c r="U216" s="152"/>
      <c r="V216" s="152"/>
      <c r="W216" s="157"/>
      <c r="X216" s="197"/>
    </row>
    <row r="217">
      <c r="A217" s="189"/>
      <c r="B217" s="193"/>
      <c r="C217" s="194"/>
      <c r="N217" s="152"/>
      <c r="Q217" s="195"/>
      <c r="S217" s="196"/>
      <c r="T217" s="196"/>
      <c r="U217" s="152"/>
      <c r="V217" s="152"/>
      <c r="W217" s="157"/>
      <c r="X217" s="197"/>
    </row>
    <row r="218">
      <c r="A218" s="189"/>
      <c r="B218" s="193"/>
      <c r="C218" s="194"/>
      <c r="N218" s="152"/>
      <c r="Q218" s="195"/>
      <c r="S218" s="196"/>
      <c r="T218" s="196"/>
      <c r="U218" s="152"/>
      <c r="V218" s="152"/>
      <c r="W218" s="157"/>
      <c r="X218" s="197"/>
    </row>
    <row r="219">
      <c r="A219" s="189"/>
      <c r="B219" s="193"/>
      <c r="C219" s="194"/>
      <c r="N219" s="152"/>
      <c r="Q219" s="195"/>
      <c r="S219" s="196"/>
      <c r="T219" s="196"/>
      <c r="U219" s="152"/>
      <c r="V219" s="152"/>
      <c r="W219" s="157"/>
      <c r="X219" s="197"/>
    </row>
    <row r="220">
      <c r="A220" s="189"/>
      <c r="B220" s="193"/>
      <c r="C220" s="194"/>
      <c r="N220" s="152"/>
      <c r="Q220" s="195"/>
      <c r="S220" s="196"/>
      <c r="T220" s="196"/>
      <c r="U220" s="152"/>
      <c r="V220" s="152"/>
      <c r="W220" s="157"/>
      <c r="X220" s="197"/>
    </row>
    <row r="221">
      <c r="B221" s="199"/>
      <c r="N221" s="152"/>
      <c r="Q221" s="195"/>
      <c r="S221" s="200"/>
      <c r="T221" s="200"/>
      <c r="U221" s="152"/>
      <c r="V221" s="152"/>
      <c r="W221" s="157"/>
      <c r="X221" s="197"/>
    </row>
    <row r="222">
      <c r="B222" s="199"/>
      <c r="N222" s="152"/>
      <c r="Q222" s="195"/>
      <c r="S222" s="200"/>
      <c r="T222" s="200"/>
      <c r="U222" s="152"/>
      <c r="V222" s="152"/>
      <c r="W222" s="157"/>
      <c r="X222" s="197"/>
    </row>
    <row r="223">
      <c r="B223" s="199"/>
      <c r="N223" s="152"/>
      <c r="Q223" s="195"/>
      <c r="S223" s="200"/>
      <c r="T223" s="200"/>
      <c r="U223" s="152"/>
      <c r="V223" s="152"/>
      <c r="W223" s="157"/>
      <c r="X223" s="197"/>
    </row>
    <row r="224">
      <c r="B224" s="199"/>
      <c r="N224" s="152"/>
      <c r="Q224" s="195"/>
      <c r="S224" s="200"/>
      <c r="T224" s="200"/>
      <c r="U224" s="152"/>
      <c r="V224" s="152"/>
      <c r="W224" s="157"/>
      <c r="X224" s="197"/>
    </row>
    <row r="225">
      <c r="B225" s="199"/>
      <c r="N225" s="152"/>
      <c r="Q225" s="195"/>
      <c r="S225" s="200"/>
      <c r="T225" s="200"/>
      <c r="U225" s="152"/>
      <c r="V225" s="152"/>
      <c r="W225" s="157"/>
      <c r="X225" s="197"/>
    </row>
    <row r="226">
      <c r="B226" s="199"/>
      <c r="N226" s="152"/>
      <c r="Q226" s="195"/>
      <c r="S226" s="200"/>
      <c r="T226" s="200"/>
      <c r="U226" s="152"/>
      <c r="V226" s="152"/>
      <c r="W226" s="157"/>
      <c r="X226" s="197"/>
    </row>
    <row r="227">
      <c r="B227" s="199"/>
      <c r="N227" s="152"/>
      <c r="Q227" s="195"/>
      <c r="S227" s="200"/>
      <c r="T227" s="200"/>
      <c r="U227" s="152"/>
      <c r="V227" s="152"/>
      <c r="W227" s="157"/>
      <c r="X227" s="197"/>
    </row>
    <row r="228">
      <c r="B228" s="199"/>
      <c r="N228" s="152"/>
      <c r="Q228" s="195"/>
      <c r="S228" s="200"/>
      <c r="T228" s="200"/>
      <c r="U228" s="152"/>
      <c r="V228" s="152"/>
      <c r="W228" s="157"/>
      <c r="X228" s="197"/>
    </row>
    <row r="229">
      <c r="B229" s="199"/>
      <c r="N229" s="152"/>
      <c r="Q229" s="195"/>
      <c r="S229" s="200"/>
      <c r="T229" s="200"/>
      <c r="U229" s="152"/>
      <c r="V229" s="152"/>
      <c r="W229" s="157"/>
      <c r="X229" s="197"/>
    </row>
    <row r="230">
      <c r="B230" s="199"/>
      <c r="N230" s="152"/>
      <c r="Q230" s="195"/>
      <c r="S230" s="200"/>
      <c r="T230" s="200"/>
      <c r="U230" s="152"/>
      <c r="V230" s="152"/>
      <c r="W230" s="157"/>
      <c r="X230" s="197"/>
    </row>
    <row r="231">
      <c r="B231" s="199"/>
      <c r="N231" s="152"/>
      <c r="Q231" s="195"/>
      <c r="S231" s="200"/>
      <c r="T231" s="200"/>
      <c r="U231" s="152"/>
      <c r="V231" s="152"/>
      <c r="W231" s="157"/>
      <c r="X231" s="197"/>
    </row>
    <row r="232">
      <c r="B232" s="199"/>
      <c r="N232" s="152"/>
      <c r="Q232" s="195"/>
      <c r="S232" s="200"/>
      <c r="T232" s="200"/>
      <c r="U232" s="152"/>
      <c r="V232" s="152"/>
      <c r="W232" s="157"/>
      <c r="X232" s="197"/>
    </row>
    <row r="233">
      <c r="B233" s="199"/>
      <c r="N233" s="152"/>
      <c r="Q233" s="195"/>
      <c r="S233" s="200"/>
      <c r="T233" s="200"/>
      <c r="U233" s="152"/>
      <c r="V233" s="152"/>
      <c r="W233" s="157"/>
      <c r="X233" s="197"/>
    </row>
    <row r="234">
      <c r="B234" s="199"/>
      <c r="N234" s="152"/>
      <c r="Q234" s="195"/>
      <c r="S234" s="200"/>
      <c r="T234" s="200"/>
      <c r="U234" s="152"/>
      <c r="V234" s="152"/>
      <c r="W234" s="157"/>
      <c r="X234" s="197"/>
    </row>
    <row r="235">
      <c r="B235" s="199"/>
      <c r="N235" s="152"/>
      <c r="Q235" s="195"/>
      <c r="S235" s="200"/>
      <c r="T235" s="200"/>
      <c r="U235" s="152"/>
      <c r="V235" s="152"/>
      <c r="W235" s="157"/>
      <c r="X235" s="197"/>
    </row>
    <row r="236">
      <c r="B236" s="199"/>
      <c r="N236" s="152"/>
      <c r="Q236" s="195"/>
      <c r="S236" s="200"/>
      <c r="T236" s="200"/>
      <c r="U236" s="152"/>
      <c r="V236" s="152"/>
      <c r="W236" s="157"/>
      <c r="X236" s="197"/>
    </row>
    <row r="237">
      <c r="B237" s="199"/>
      <c r="N237" s="152"/>
      <c r="Q237" s="195"/>
      <c r="S237" s="200"/>
      <c r="T237" s="200"/>
      <c r="U237" s="152"/>
      <c r="V237" s="152"/>
      <c r="W237" s="157"/>
      <c r="X237" s="197"/>
    </row>
    <row r="238">
      <c r="B238" s="199"/>
      <c r="N238" s="152"/>
      <c r="Q238" s="195"/>
      <c r="S238" s="200"/>
      <c r="T238" s="200"/>
      <c r="U238" s="152"/>
      <c r="V238" s="152"/>
      <c r="W238" s="157"/>
      <c r="X238" s="197"/>
    </row>
    <row r="239">
      <c r="B239" s="199"/>
      <c r="N239" s="152"/>
      <c r="Q239" s="195"/>
      <c r="S239" s="200"/>
      <c r="T239" s="200"/>
      <c r="U239" s="152"/>
      <c r="V239" s="152"/>
      <c r="W239" s="157"/>
      <c r="X239" s="197"/>
    </row>
    <row r="240">
      <c r="B240" s="199"/>
      <c r="N240" s="152"/>
      <c r="Q240" s="195"/>
      <c r="S240" s="200"/>
      <c r="T240" s="200"/>
      <c r="U240" s="152"/>
      <c r="V240" s="152"/>
      <c r="W240" s="157"/>
      <c r="X240" s="197"/>
    </row>
    <row r="241">
      <c r="B241" s="199"/>
      <c r="N241" s="152"/>
      <c r="Q241" s="195"/>
      <c r="S241" s="200"/>
      <c r="T241" s="200"/>
      <c r="U241" s="152"/>
      <c r="V241" s="152"/>
      <c r="W241" s="157"/>
      <c r="X241" s="197"/>
    </row>
    <row r="242">
      <c r="B242" s="199"/>
      <c r="N242" s="152"/>
      <c r="Q242" s="195"/>
      <c r="S242" s="200"/>
      <c r="T242" s="200"/>
      <c r="U242" s="152"/>
      <c r="V242" s="152"/>
      <c r="W242" s="157"/>
      <c r="X242" s="197"/>
    </row>
    <row r="243">
      <c r="B243" s="199"/>
      <c r="N243" s="152"/>
      <c r="Q243" s="195"/>
      <c r="S243" s="200"/>
      <c r="T243" s="200"/>
      <c r="U243" s="152"/>
      <c r="V243" s="152"/>
      <c r="W243" s="157"/>
      <c r="X243" s="197"/>
    </row>
    <row r="244">
      <c r="B244" s="199"/>
      <c r="N244" s="152"/>
      <c r="Q244" s="195"/>
      <c r="S244" s="200"/>
      <c r="T244" s="200"/>
      <c r="U244" s="152"/>
      <c r="V244" s="152"/>
      <c r="W244" s="157"/>
      <c r="X244" s="197"/>
    </row>
    <row r="245">
      <c r="B245" s="199"/>
      <c r="N245" s="152"/>
      <c r="Q245" s="195"/>
      <c r="S245" s="200"/>
      <c r="T245" s="200"/>
      <c r="U245" s="152"/>
      <c r="V245" s="152"/>
      <c r="W245" s="157"/>
      <c r="X245" s="197"/>
    </row>
    <row r="246">
      <c r="B246" s="199"/>
      <c r="N246" s="152"/>
      <c r="Q246" s="195"/>
      <c r="S246" s="200"/>
      <c r="T246" s="200"/>
      <c r="U246" s="152"/>
      <c r="V246" s="152"/>
      <c r="W246" s="157"/>
      <c r="X246" s="197"/>
    </row>
    <row r="247">
      <c r="B247" s="199"/>
      <c r="N247" s="152"/>
      <c r="Q247" s="195"/>
      <c r="S247" s="200"/>
      <c r="T247" s="200"/>
      <c r="U247" s="152"/>
      <c r="V247" s="152"/>
      <c r="W247" s="157"/>
      <c r="X247" s="197"/>
    </row>
    <row r="248">
      <c r="B248" s="199"/>
      <c r="N248" s="152"/>
      <c r="Q248" s="195"/>
      <c r="S248" s="200"/>
      <c r="T248" s="200"/>
      <c r="U248" s="152"/>
      <c r="V248" s="152"/>
      <c r="W248" s="157"/>
      <c r="X248" s="197"/>
    </row>
    <row r="249">
      <c r="B249" s="199"/>
      <c r="N249" s="152"/>
      <c r="Q249" s="195"/>
      <c r="S249" s="200"/>
      <c r="T249" s="200"/>
      <c r="U249" s="152"/>
      <c r="V249" s="152"/>
      <c r="W249" s="157"/>
      <c r="X249" s="197"/>
    </row>
    <row r="250">
      <c r="B250" s="199"/>
      <c r="N250" s="152"/>
      <c r="Q250" s="195"/>
      <c r="S250" s="200"/>
      <c r="T250" s="200"/>
      <c r="U250" s="152"/>
      <c r="V250" s="152"/>
      <c r="W250" s="157"/>
      <c r="X250" s="197"/>
    </row>
    <row r="251">
      <c r="B251" s="199"/>
      <c r="N251" s="152"/>
      <c r="Q251" s="195"/>
      <c r="S251" s="200"/>
      <c r="T251" s="200"/>
      <c r="U251" s="152"/>
      <c r="V251" s="152"/>
      <c r="W251" s="157"/>
      <c r="X251" s="197"/>
    </row>
    <row r="252">
      <c r="B252" s="199"/>
      <c r="N252" s="152"/>
      <c r="Q252" s="195"/>
      <c r="S252" s="200"/>
      <c r="T252" s="200"/>
      <c r="U252" s="152"/>
      <c r="V252" s="152"/>
      <c r="W252" s="157"/>
      <c r="X252" s="197"/>
    </row>
    <row r="253">
      <c r="B253" s="199"/>
      <c r="N253" s="152"/>
      <c r="Q253" s="195"/>
      <c r="S253" s="200"/>
      <c r="T253" s="200"/>
      <c r="U253" s="152"/>
      <c r="V253" s="152"/>
      <c r="W253" s="157"/>
      <c r="X253" s="197"/>
    </row>
    <row r="254">
      <c r="B254" s="199"/>
      <c r="N254" s="152"/>
      <c r="Q254" s="195"/>
      <c r="S254" s="200"/>
      <c r="T254" s="200"/>
      <c r="U254" s="152"/>
      <c r="V254" s="152"/>
      <c r="W254" s="157"/>
      <c r="X254" s="197"/>
    </row>
    <row r="255">
      <c r="B255" s="199"/>
      <c r="N255" s="152"/>
      <c r="Q255" s="195"/>
      <c r="S255" s="200"/>
      <c r="T255" s="200"/>
      <c r="U255" s="152"/>
      <c r="V255" s="152"/>
      <c r="W255" s="157"/>
      <c r="X255" s="197"/>
    </row>
    <row r="256">
      <c r="B256" s="199"/>
      <c r="N256" s="152"/>
      <c r="Q256" s="195"/>
      <c r="S256" s="200"/>
      <c r="T256" s="200"/>
      <c r="U256" s="152"/>
      <c r="V256" s="152"/>
      <c r="W256" s="157"/>
      <c r="X256" s="197"/>
    </row>
    <row r="257">
      <c r="B257" s="199"/>
      <c r="N257" s="152"/>
      <c r="Q257" s="195"/>
      <c r="S257" s="200"/>
      <c r="T257" s="200"/>
      <c r="U257" s="152"/>
      <c r="V257" s="152"/>
      <c r="W257" s="157"/>
      <c r="X257" s="197"/>
    </row>
    <row r="258">
      <c r="B258" s="199"/>
      <c r="N258" s="152"/>
      <c r="Q258" s="195"/>
      <c r="S258" s="200"/>
      <c r="T258" s="200"/>
      <c r="U258" s="152"/>
      <c r="V258" s="152"/>
      <c r="W258" s="157"/>
      <c r="X258" s="197"/>
    </row>
    <row r="259">
      <c r="B259" s="199"/>
      <c r="N259" s="152"/>
      <c r="Q259" s="195"/>
      <c r="S259" s="200"/>
      <c r="T259" s="200"/>
      <c r="U259" s="152"/>
      <c r="V259" s="152"/>
      <c r="W259" s="157"/>
      <c r="X259" s="197"/>
    </row>
    <row r="260">
      <c r="B260" s="199"/>
      <c r="N260" s="152"/>
      <c r="Q260" s="195"/>
      <c r="S260" s="200"/>
      <c r="T260" s="200"/>
      <c r="U260" s="152"/>
      <c r="V260" s="152"/>
      <c r="W260" s="157"/>
      <c r="X260" s="197"/>
    </row>
    <row r="261">
      <c r="B261" s="199"/>
      <c r="N261" s="152"/>
      <c r="Q261" s="195"/>
      <c r="S261" s="200"/>
      <c r="T261" s="200"/>
      <c r="U261" s="152"/>
      <c r="V261" s="152"/>
      <c r="W261" s="157"/>
      <c r="X261" s="197"/>
    </row>
    <row r="262">
      <c r="B262" s="199"/>
      <c r="N262" s="152"/>
      <c r="Q262" s="195"/>
      <c r="S262" s="200"/>
      <c r="T262" s="200"/>
      <c r="U262" s="152"/>
      <c r="V262" s="152"/>
      <c r="W262" s="157"/>
      <c r="X262" s="197"/>
    </row>
    <row r="263">
      <c r="B263" s="199"/>
      <c r="N263" s="152"/>
      <c r="Q263" s="195"/>
      <c r="S263" s="200"/>
      <c r="T263" s="200"/>
      <c r="U263" s="152"/>
      <c r="V263" s="152"/>
      <c r="W263" s="157"/>
      <c r="X263" s="197"/>
    </row>
    <row r="264">
      <c r="B264" s="199"/>
      <c r="N264" s="152"/>
      <c r="Q264" s="195"/>
      <c r="S264" s="200"/>
      <c r="T264" s="200"/>
      <c r="U264" s="152"/>
      <c r="V264" s="152"/>
      <c r="W264" s="157"/>
      <c r="X264" s="197"/>
    </row>
    <row r="265">
      <c r="B265" s="199"/>
      <c r="N265" s="152"/>
      <c r="Q265" s="195"/>
      <c r="S265" s="200"/>
      <c r="T265" s="200"/>
      <c r="U265" s="152"/>
      <c r="V265" s="152"/>
      <c r="W265" s="157"/>
      <c r="X265" s="197"/>
    </row>
    <row r="266">
      <c r="B266" s="199"/>
      <c r="N266" s="152"/>
      <c r="Q266" s="195"/>
      <c r="S266" s="200"/>
      <c r="T266" s="200"/>
      <c r="U266" s="152"/>
      <c r="V266" s="152"/>
      <c r="W266" s="157"/>
      <c r="X266" s="197"/>
    </row>
    <row r="267">
      <c r="B267" s="199"/>
      <c r="N267" s="152"/>
      <c r="Q267" s="195"/>
      <c r="S267" s="200"/>
      <c r="T267" s="200"/>
      <c r="U267" s="152"/>
      <c r="V267" s="152"/>
      <c r="W267" s="157"/>
      <c r="X267" s="197"/>
    </row>
    <row r="268">
      <c r="B268" s="199"/>
      <c r="N268" s="152"/>
      <c r="Q268" s="195"/>
      <c r="S268" s="200"/>
      <c r="T268" s="200"/>
      <c r="U268" s="152"/>
      <c r="V268" s="152"/>
      <c r="W268" s="157"/>
      <c r="X268" s="197"/>
    </row>
    <row r="269">
      <c r="B269" s="199"/>
      <c r="N269" s="152"/>
      <c r="Q269" s="195"/>
      <c r="S269" s="200"/>
      <c r="T269" s="200"/>
      <c r="U269" s="152"/>
      <c r="V269" s="152"/>
      <c r="W269" s="157"/>
      <c r="X269" s="197"/>
    </row>
    <row r="270">
      <c r="B270" s="199"/>
      <c r="N270" s="152"/>
      <c r="Q270" s="195"/>
      <c r="S270" s="200"/>
      <c r="T270" s="200"/>
      <c r="U270" s="152"/>
      <c r="V270" s="152"/>
      <c r="W270" s="157"/>
      <c r="X270" s="197"/>
    </row>
    <row r="271">
      <c r="B271" s="199"/>
      <c r="N271" s="152"/>
      <c r="Q271" s="195"/>
      <c r="S271" s="200"/>
      <c r="T271" s="200"/>
      <c r="U271" s="152"/>
      <c r="V271" s="152"/>
      <c r="W271" s="157"/>
      <c r="X271" s="197"/>
    </row>
    <row r="272">
      <c r="B272" s="199"/>
      <c r="N272" s="152"/>
      <c r="Q272" s="195"/>
      <c r="S272" s="200"/>
      <c r="T272" s="200"/>
      <c r="U272" s="152"/>
      <c r="V272" s="152"/>
      <c r="W272" s="157"/>
      <c r="X272" s="197"/>
    </row>
    <row r="273">
      <c r="B273" s="199"/>
      <c r="N273" s="152"/>
      <c r="Q273" s="195"/>
      <c r="S273" s="200"/>
      <c r="T273" s="200"/>
      <c r="U273" s="152"/>
      <c r="V273" s="152"/>
      <c r="W273" s="157"/>
      <c r="X273" s="197"/>
    </row>
    <row r="274">
      <c r="B274" s="199"/>
      <c r="N274" s="152"/>
      <c r="Q274" s="195"/>
      <c r="S274" s="200"/>
      <c r="T274" s="200"/>
      <c r="U274" s="152"/>
      <c r="V274" s="152"/>
      <c r="W274" s="157"/>
      <c r="X274" s="197"/>
    </row>
    <row r="275">
      <c r="B275" s="199"/>
      <c r="N275" s="152"/>
      <c r="Q275" s="195"/>
      <c r="S275" s="200"/>
      <c r="T275" s="200"/>
      <c r="U275" s="152"/>
      <c r="V275" s="152"/>
      <c r="W275" s="157"/>
      <c r="X275" s="197"/>
    </row>
    <row r="276">
      <c r="B276" s="199"/>
      <c r="N276" s="152"/>
      <c r="Q276" s="195"/>
      <c r="S276" s="200"/>
      <c r="T276" s="200"/>
      <c r="U276" s="152"/>
      <c r="V276" s="152"/>
      <c r="W276" s="157"/>
      <c r="X276" s="197"/>
    </row>
    <row r="277">
      <c r="B277" s="199"/>
      <c r="N277" s="152"/>
      <c r="Q277" s="195"/>
      <c r="S277" s="200"/>
      <c r="T277" s="200"/>
      <c r="U277" s="152"/>
      <c r="V277" s="152"/>
      <c r="W277" s="157"/>
      <c r="X277" s="197"/>
    </row>
    <row r="278">
      <c r="B278" s="199"/>
      <c r="N278" s="152"/>
      <c r="Q278" s="195"/>
      <c r="S278" s="200"/>
      <c r="T278" s="200"/>
      <c r="U278" s="152"/>
      <c r="V278" s="152"/>
      <c r="W278" s="157"/>
      <c r="X278" s="197"/>
    </row>
    <row r="279">
      <c r="B279" s="199"/>
      <c r="N279" s="152"/>
      <c r="Q279" s="195"/>
      <c r="S279" s="200"/>
      <c r="T279" s="200"/>
      <c r="U279" s="152"/>
      <c r="V279" s="152"/>
      <c r="W279" s="157"/>
      <c r="X279" s="197"/>
    </row>
    <row r="280">
      <c r="B280" s="199"/>
      <c r="N280" s="152"/>
      <c r="Q280" s="195"/>
      <c r="S280" s="200"/>
      <c r="T280" s="200"/>
      <c r="U280" s="152"/>
      <c r="V280" s="152"/>
      <c r="W280" s="157"/>
      <c r="X280" s="197"/>
    </row>
    <row r="281">
      <c r="B281" s="199"/>
      <c r="N281" s="152"/>
      <c r="Q281" s="195"/>
      <c r="S281" s="200"/>
      <c r="T281" s="200"/>
      <c r="U281" s="152"/>
      <c r="V281" s="152"/>
      <c r="W281" s="157"/>
      <c r="X281" s="197"/>
    </row>
    <row r="282">
      <c r="B282" s="199"/>
      <c r="N282" s="152"/>
      <c r="Q282" s="195"/>
      <c r="S282" s="200"/>
      <c r="T282" s="200"/>
      <c r="U282" s="152"/>
      <c r="V282" s="152"/>
      <c r="W282" s="157"/>
      <c r="X282" s="197"/>
    </row>
    <row r="283">
      <c r="B283" s="199"/>
      <c r="N283" s="152"/>
      <c r="Q283" s="195"/>
      <c r="S283" s="200"/>
      <c r="T283" s="200"/>
      <c r="U283" s="152"/>
      <c r="V283" s="152"/>
      <c r="W283" s="157"/>
      <c r="X283" s="197"/>
    </row>
    <row r="284">
      <c r="B284" s="199"/>
      <c r="N284" s="152"/>
      <c r="Q284" s="195"/>
      <c r="S284" s="200"/>
      <c r="T284" s="200"/>
      <c r="U284" s="152"/>
      <c r="V284" s="152"/>
      <c r="W284" s="157"/>
      <c r="X284" s="197"/>
    </row>
    <row r="285">
      <c r="B285" s="199"/>
      <c r="N285" s="152"/>
      <c r="Q285" s="195"/>
      <c r="S285" s="200"/>
      <c r="T285" s="200"/>
      <c r="U285" s="152"/>
      <c r="V285" s="152"/>
      <c r="W285" s="157"/>
      <c r="X285" s="197"/>
    </row>
    <row r="286">
      <c r="B286" s="199"/>
      <c r="N286" s="152"/>
      <c r="Q286" s="195"/>
      <c r="S286" s="200"/>
      <c r="T286" s="200"/>
      <c r="U286" s="152"/>
      <c r="V286" s="152"/>
      <c r="W286" s="157"/>
      <c r="X286" s="197"/>
    </row>
    <row r="287">
      <c r="B287" s="199"/>
      <c r="N287" s="152"/>
      <c r="Q287" s="195"/>
      <c r="S287" s="200"/>
      <c r="T287" s="200"/>
      <c r="U287" s="152"/>
      <c r="V287" s="152"/>
      <c r="W287" s="157"/>
      <c r="X287" s="197"/>
    </row>
    <row r="288">
      <c r="B288" s="199"/>
      <c r="N288" s="152"/>
      <c r="Q288" s="195"/>
      <c r="S288" s="200"/>
      <c r="T288" s="200"/>
      <c r="U288" s="152"/>
      <c r="V288" s="152"/>
      <c r="W288" s="157"/>
      <c r="X288" s="197"/>
    </row>
    <row r="289">
      <c r="B289" s="199"/>
      <c r="N289" s="152"/>
      <c r="Q289" s="195"/>
      <c r="S289" s="200"/>
      <c r="T289" s="200"/>
      <c r="U289" s="152"/>
      <c r="V289" s="152"/>
      <c r="W289" s="157"/>
      <c r="X289" s="197"/>
    </row>
    <row r="290">
      <c r="B290" s="199"/>
      <c r="N290" s="152"/>
      <c r="Q290" s="195"/>
      <c r="S290" s="200"/>
      <c r="T290" s="200"/>
      <c r="U290" s="152"/>
      <c r="V290" s="152"/>
      <c r="W290" s="157"/>
      <c r="X290" s="197"/>
    </row>
    <row r="291">
      <c r="B291" s="199"/>
      <c r="N291" s="152"/>
      <c r="Q291" s="195"/>
      <c r="S291" s="200"/>
      <c r="T291" s="200"/>
      <c r="U291" s="152"/>
      <c r="V291" s="152"/>
      <c r="W291" s="157"/>
      <c r="X291" s="197"/>
    </row>
    <row r="292">
      <c r="B292" s="199"/>
      <c r="N292" s="152"/>
      <c r="Q292" s="195"/>
      <c r="S292" s="200"/>
      <c r="T292" s="200"/>
      <c r="U292" s="152"/>
      <c r="V292" s="152"/>
      <c r="W292" s="157"/>
      <c r="X292" s="197"/>
    </row>
    <row r="293">
      <c r="B293" s="199"/>
      <c r="N293" s="152"/>
      <c r="Q293" s="195"/>
      <c r="S293" s="200"/>
      <c r="T293" s="200"/>
      <c r="U293" s="152"/>
      <c r="V293" s="152"/>
      <c r="W293" s="157"/>
      <c r="X293" s="197"/>
    </row>
    <row r="294">
      <c r="B294" s="199"/>
      <c r="N294" s="152"/>
      <c r="Q294" s="195"/>
      <c r="S294" s="200"/>
      <c r="T294" s="200"/>
      <c r="U294" s="152"/>
      <c r="V294" s="152"/>
      <c r="W294" s="157"/>
      <c r="X294" s="197"/>
    </row>
    <row r="295">
      <c r="B295" s="199"/>
      <c r="N295" s="152"/>
      <c r="Q295" s="195"/>
      <c r="S295" s="200"/>
      <c r="T295" s="200"/>
      <c r="U295" s="152"/>
      <c r="V295" s="152"/>
      <c r="W295" s="157"/>
      <c r="X295" s="197"/>
    </row>
    <row r="296">
      <c r="B296" s="199"/>
      <c r="N296" s="152"/>
      <c r="Q296" s="195"/>
      <c r="S296" s="200"/>
      <c r="T296" s="200"/>
      <c r="U296" s="152"/>
      <c r="V296" s="152"/>
      <c r="W296" s="157"/>
      <c r="X296" s="197"/>
    </row>
    <row r="297">
      <c r="B297" s="199"/>
      <c r="N297" s="152"/>
      <c r="Q297" s="195"/>
      <c r="S297" s="200"/>
      <c r="T297" s="200"/>
      <c r="U297" s="152"/>
      <c r="V297" s="152"/>
      <c r="W297" s="157"/>
      <c r="X297" s="197"/>
    </row>
    <row r="298">
      <c r="B298" s="199"/>
      <c r="N298" s="152"/>
      <c r="Q298" s="195"/>
      <c r="S298" s="200"/>
      <c r="T298" s="200"/>
      <c r="U298" s="152"/>
      <c r="V298" s="152"/>
      <c r="W298" s="157"/>
      <c r="X298" s="197"/>
    </row>
    <row r="299">
      <c r="B299" s="199"/>
      <c r="N299" s="152"/>
      <c r="Q299" s="195"/>
      <c r="S299" s="200"/>
      <c r="T299" s="200"/>
      <c r="U299" s="152"/>
      <c r="V299" s="152"/>
      <c r="W299" s="157"/>
      <c r="X299" s="197"/>
    </row>
    <row r="300">
      <c r="B300" s="199"/>
      <c r="N300" s="152"/>
      <c r="Q300" s="195"/>
      <c r="S300" s="200"/>
      <c r="T300" s="200"/>
      <c r="U300" s="152"/>
      <c r="V300" s="152"/>
      <c r="W300" s="157"/>
      <c r="X300" s="197"/>
    </row>
    <row r="301">
      <c r="B301" s="199"/>
      <c r="N301" s="152"/>
      <c r="Q301" s="195"/>
      <c r="S301" s="200"/>
      <c r="T301" s="200"/>
      <c r="U301" s="152"/>
      <c r="V301" s="152"/>
      <c r="W301" s="157"/>
      <c r="X301" s="197"/>
    </row>
    <row r="302">
      <c r="B302" s="199"/>
      <c r="N302" s="152"/>
      <c r="Q302" s="195"/>
      <c r="S302" s="200"/>
      <c r="T302" s="200"/>
      <c r="U302" s="152"/>
      <c r="V302" s="152"/>
      <c r="W302" s="157"/>
      <c r="X302" s="197"/>
    </row>
    <row r="303">
      <c r="B303" s="199"/>
      <c r="N303" s="152"/>
      <c r="Q303" s="195"/>
      <c r="S303" s="200"/>
      <c r="T303" s="200"/>
      <c r="U303" s="152"/>
      <c r="V303" s="152"/>
      <c r="W303" s="157"/>
      <c r="X303" s="197"/>
    </row>
    <row r="304">
      <c r="B304" s="199"/>
      <c r="N304" s="152"/>
      <c r="Q304" s="195"/>
      <c r="S304" s="200"/>
      <c r="T304" s="200"/>
      <c r="U304" s="152"/>
      <c r="V304" s="152"/>
      <c r="W304" s="157"/>
      <c r="X304" s="197"/>
    </row>
    <row r="305">
      <c r="B305" s="199"/>
      <c r="N305" s="152"/>
      <c r="Q305" s="195"/>
      <c r="S305" s="200"/>
      <c r="T305" s="200"/>
      <c r="U305" s="152"/>
      <c r="V305" s="152"/>
      <c r="W305" s="157"/>
      <c r="X305" s="197"/>
    </row>
    <row r="306">
      <c r="B306" s="199"/>
      <c r="N306" s="152"/>
      <c r="Q306" s="195"/>
      <c r="S306" s="200"/>
      <c r="T306" s="200"/>
      <c r="U306" s="152"/>
      <c r="V306" s="152"/>
      <c r="W306" s="157"/>
      <c r="X306" s="197"/>
    </row>
    <row r="307">
      <c r="B307" s="199"/>
      <c r="N307" s="152"/>
      <c r="Q307" s="195"/>
      <c r="S307" s="200"/>
      <c r="T307" s="200"/>
      <c r="U307" s="152"/>
      <c r="V307" s="152"/>
      <c r="W307" s="157"/>
      <c r="X307" s="197"/>
    </row>
    <row r="308">
      <c r="B308" s="199"/>
      <c r="N308" s="152"/>
      <c r="Q308" s="195"/>
      <c r="S308" s="200"/>
      <c r="T308" s="200"/>
      <c r="U308" s="152"/>
      <c r="V308" s="152"/>
      <c r="W308" s="157"/>
      <c r="X308" s="197"/>
    </row>
    <row r="309">
      <c r="B309" s="199"/>
      <c r="N309" s="152"/>
      <c r="Q309" s="195"/>
      <c r="S309" s="200"/>
      <c r="T309" s="200"/>
      <c r="U309" s="152"/>
      <c r="V309" s="152"/>
      <c r="W309" s="157"/>
      <c r="X309" s="197"/>
    </row>
    <row r="310">
      <c r="B310" s="199"/>
      <c r="N310" s="152"/>
      <c r="Q310" s="195"/>
      <c r="S310" s="200"/>
      <c r="T310" s="200"/>
      <c r="U310" s="152"/>
      <c r="V310" s="152"/>
      <c r="W310" s="157"/>
      <c r="X310" s="197"/>
    </row>
    <row r="311">
      <c r="B311" s="199"/>
      <c r="N311" s="152"/>
      <c r="Q311" s="195"/>
      <c r="S311" s="200"/>
      <c r="T311" s="200"/>
      <c r="U311" s="152"/>
      <c r="V311" s="152"/>
      <c r="W311" s="157"/>
      <c r="X311" s="197"/>
    </row>
    <row r="312">
      <c r="B312" s="199"/>
      <c r="N312" s="152"/>
      <c r="Q312" s="195"/>
      <c r="S312" s="200"/>
      <c r="T312" s="200"/>
      <c r="U312" s="152"/>
      <c r="V312" s="152"/>
      <c r="W312" s="157"/>
      <c r="X312" s="197"/>
    </row>
    <row r="313">
      <c r="B313" s="199"/>
      <c r="N313" s="152"/>
      <c r="Q313" s="195"/>
      <c r="S313" s="200"/>
      <c r="T313" s="200"/>
      <c r="U313" s="152"/>
      <c r="V313" s="152"/>
      <c r="W313" s="157"/>
      <c r="X313" s="197"/>
    </row>
    <row r="314">
      <c r="B314" s="199"/>
      <c r="N314" s="152"/>
      <c r="Q314" s="195"/>
      <c r="S314" s="200"/>
      <c r="T314" s="200"/>
      <c r="U314" s="152"/>
      <c r="V314" s="152"/>
      <c r="W314" s="157"/>
      <c r="X314" s="197"/>
    </row>
    <row r="315">
      <c r="B315" s="199"/>
      <c r="N315" s="152"/>
      <c r="Q315" s="195"/>
      <c r="S315" s="200"/>
      <c r="T315" s="200"/>
      <c r="U315" s="152"/>
      <c r="V315" s="152"/>
      <c r="W315" s="157"/>
      <c r="X315" s="197"/>
    </row>
    <row r="316">
      <c r="B316" s="199"/>
      <c r="N316" s="152"/>
      <c r="Q316" s="195"/>
      <c r="S316" s="200"/>
      <c r="T316" s="200"/>
      <c r="U316" s="152"/>
      <c r="V316" s="152"/>
      <c r="W316" s="157"/>
      <c r="X316" s="197"/>
    </row>
    <row r="317">
      <c r="B317" s="199"/>
      <c r="N317" s="152"/>
      <c r="Q317" s="195"/>
      <c r="S317" s="200"/>
      <c r="T317" s="200"/>
      <c r="U317" s="152"/>
      <c r="V317" s="152"/>
      <c r="W317" s="157"/>
      <c r="X317" s="197"/>
    </row>
    <row r="318">
      <c r="B318" s="199"/>
      <c r="N318" s="152"/>
      <c r="Q318" s="195"/>
      <c r="S318" s="200"/>
      <c r="T318" s="200"/>
      <c r="U318" s="152"/>
      <c r="V318" s="152"/>
      <c r="W318" s="157"/>
      <c r="X318" s="197"/>
    </row>
    <row r="319">
      <c r="B319" s="199"/>
      <c r="N319" s="152"/>
      <c r="Q319" s="195"/>
      <c r="S319" s="200"/>
      <c r="T319" s="200"/>
      <c r="U319" s="152"/>
      <c r="V319" s="152"/>
      <c r="W319" s="157"/>
      <c r="X319" s="197"/>
    </row>
    <row r="320">
      <c r="B320" s="199"/>
      <c r="N320" s="152"/>
      <c r="Q320" s="195"/>
      <c r="S320" s="200"/>
      <c r="T320" s="200"/>
      <c r="U320" s="152"/>
      <c r="V320" s="152"/>
      <c r="W320" s="157"/>
      <c r="X320" s="197"/>
    </row>
    <row r="321">
      <c r="B321" s="199"/>
      <c r="N321" s="152"/>
      <c r="Q321" s="195"/>
      <c r="S321" s="200"/>
      <c r="T321" s="200"/>
      <c r="U321" s="152"/>
      <c r="V321" s="152"/>
      <c r="W321" s="157"/>
      <c r="X321" s="197"/>
    </row>
    <row r="322">
      <c r="B322" s="199"/>
      <c r="N322" s="152"/>
      <c r="Q322" s="195"/>
      <c r="S322" s="200"/>
      <c r="T322" s="200"/>
      <c r="U322" s="152"/>
      <c r="V322" s="152"/>
      <c r="W322" s="157"/>
      <c r="X322" s="197"/>
    </row>
    <row r="323">
      <c r="B323" s="199"/>
      <c r="N323" s="152"/>
      <c r="Q323" s="195"/>
      <c r="S323" s="200"/>
      <c r="T323" s="200"/>
      <c r="U323" s="152"/>
      <c r="V323" s="152"/>
      <c r="W323" s="157"/>
      <c r="X323" s="197"/>
    </row>
    <row r="324">
      <c r="B324" s="199"/>
      <c r="N324" s="152"/>
      <c r="Q324" s="195"/>
      <c r="S324" s="200"/>
      <c r="T324" s="200"/>
      <c r="U324" s="152"/>
      <c r="V324" s="152"/>
      <c r="W324" s="157"/>
      <c r="X324" s="197"/>
    </row>
    <row r="325">
      <c r="B325" s="199"/>
      <c r="N325" s="152"/>
      <c r="Q325" s="195"/>
      <c r="S325" s="200"/>
      <c r="T325" s="200"/>
      <c r="U325" s="152"/>
      <c r="V325" s="152"/>
      <c r="W325" s="157"/>
      <c r="X325" s="197"/>
    </row>
    <row r="326">
      <c r="B326" s="199"/>
      <c r="N326" s="152"/>
      <c r="Q326" s="195"/>
      <c r="S326" s="200"/>
      <c r="T326" s="200"/>
      <c r="U326" s="152"/>
      <c r="V326" s="152"/>
      <c r="W326" s="157"/>
      <c r="X326" s="197"/>
    </row>
    <row r="327">
      <c r="B327" s="199"/>
      <c r="N327" s="152"/>
      <c r="Q327" s="195"/>
      <c r="S327" s="200"/>
      <c r="T327" s="200"/>
      <c r="U327" s="152"/>
      <c r="V327" s="152"/>
      <c r="W327" s="157"/>
      <c r="X327" s="197"/>
    </row>
    <row r="328">
      <c r="B328" s="199"/>
      <c r="N328" s="152"/>
      <c r="Q328" s="195"/>
      <c r="S328" s="200"/>
      <c r="T328" s="200"/>
      <c r="U328" s="152"/>
      <c r="V328" s="152"/>
      <c r="W328" s="157"/>
      <c r="X328" s="197"/>
    </row>
    <row r="329">
      <c r="B329" s="199"/>
      <c r="N329" s="152"/>
      <c r="Q329" s="195"/>
      <c r="S329" s="200"/>
      <c r="T329" s="200"/>
      <c r="U329" s="152"/>
      <c r="V329" s="152"/>
      <c r="W329" s="157"/>
      <c r="X329" s="197"/>
    </row>
    <row r="330">
      <c r="B330" s="199"/>
      <c r="N330" s="152"/>
      <c r="Q330" s="195"/>
      <c r="S330" s="200"/>
      <c r="T330" s="200"/>
      <c r="U330" s="152"/>
      <c r="V330" s="152"/>
      <c r="W330" s="157"/>
      <c r="X330" s="197"/>
    </row>
    <row r="331">
      <c r="B331" s="199"/>
      <c r="N331" s="152"/>
      <c r="Q331" s="195"/>
      <c r="S331" s="200"/>
      <c r="T331" s="200"/>
      <c r="U331" s="152"/>
      <c r="V331" s="152"/>
      <c r="W331" s="157"/>
      <c r="X331" s="197"/>
    </row>
    <row r="332">
      <c r="B332" s="199"/>
      <c r="N332" s="152"/>
      <c r="Q332" s="195"/>
      <c r="S332" s="200"/>
      <c r="T332" s="200"/>
      <c r="U332" s="152"/>
      <c r="V332" s="152"/>
      <c r="W332" s="157"/>
      <c r="X332" s="197"/>
    </row>
    <row r="333">
      <c r="B333" s="199"/>
      <c r="N333" s="152"/>
      <c r="Q333" s="195"/>
      <c r="S333" s="200"/>
      <c r="T333" s="200"/>
      <c r="U333" s="152"/>
      <c r="V333" s="152"/>
      <c r="W333" s="157"/>
      <c r="X333" s="197"/>
    </row>
    <row r="334">
      <c r="B334" s="199"/>
      <c r="N334" s="152"/>
      <c r="Q334" s="195"/>
      <c r="S334" s="200"/>
      <c r="T334" s="200"/>
      <c r="U334" s="152"/>
      <c r="V334" s="152"/>
      <c r="W334" s="157"/>
      <c r="X334" s="197"/>
    </row>
    <row r="335">
      <c r="B335" s="199"/>
      <c r="N335" s="152"/>
      <c r="Q335" s="195"/>
      <c r="S335" s="200"/>
      <c r="T335" s="200"/>
      <c r="U335" s="152"/>
      <c r="V335" s="152"/>
      <c r="W335" s="157"/>
      <c r="X335" s="197"/>
    </row>
    <row r="336">
      <c r="B336" s="199"/>
      <c r="N336" s="152"/>
      <c r="Q336" s="195"/>
      <c r="S336" s="200"/>
      <c r="T336" s="200"/>
      <c r="U336" s="152"/>
      <c r="V336" s="152"/>
      <c r="W336" s="157"/>
      <c r="X336" s="197"/>
    </row>
    <row r="337">
      <c r="B337" s="199"/>
      <c r="N337" s="152"/>
      <c r="Q337" s="195"/>
      <c r="S337" s="200"/>
      <c r="T337" s="200"/>
      <c r="U337" s="152"/>
      <c r="V337" s="152"/>
      <c r="W337" s="157"/>
      <c r="X337" s="197"/>
    </row>
    <row r="338">
      <c r="B338" s="199"/>
      <c r="N338" s="152"/>
      <c r="Q338" s="195"/>
      <c r="S338" s="200"/>
      <c r="T338" s="200"/>
      <c r="U338" s="152"/>
      <c r="V338" s="152"/>
      <c r="W338" s="157"/>
      <c r="X338" s="197"/>
    </row>
    <row r="339">
      <c r="B339" s="199"/>
      <c r="N339" s="152"/>
      <c r="Q339" s="195"/>
      <c r="S339" s="200"/>
      <c r="T339" s="200"/>
      <c r="U339" s="152"/>
      <c r="V339" s="152"/>
      <c r="W339" s="157"/>
      <c r="X339" s="197"/>
    </row>
    <row r="340">
      <c r="B340" s="199"/>
      <c r="N340" s="152"/>
      <c r="Q340" s="195"/>
      <c r="S340" s="200"/>
      <c r="T340" s="200"/>
      <c r="U340" s="152"/>
      <c r="V340" s="152"/>
      <c r="W340" s="157"/>
      <c r="X340" s="197"/>
    </row>
    <row r="341">
      <c r="B341" s="199"/>
      <c r="N341" s="152"/>
      <c r="Q341" s="195"/>
      <c r="S341" s="200"/>
      <c r="T341" s="200"/>
      <c r="U341" s="152"/>
      <c r="V341" s="152"/>
      <c r="W341" s="157"/>
      <c r="X341" s="197"/>
    </row>
    <row r="342">
      <c r="B342" s="199"/>
      <c r="N342" s="152"/>
      <c r="Q342" s="195"/>
      <c r="S342" s="200"/>
      <c r="T342" s="200"/>
      <c r="U342" s="152"/>
      <c r="V342" s="152"/>
      <c r="W342" s="157"/>
      <c r="X342" s="197"/>
    </row>
    <row r="343">
      <c r="B343" s="199"/>
      <c r="N343" s="152"/>
      <c r="Q343" s="195"/>
      <c r="S343" s="200"/>
      <c r="T343" s="200"/>
      <c r="U343" s="152"/>
      <c r="V343" s="152"/>
      <c r="W343" s="157"/>
      <c r="X343" s="197"/>
    </row>
    <row r="344">
      <c r="B344" s="199"/>
      <c r="N344" s="152"/>
      <c r="Q344" s="195"/>
      <c r="S344" s="200"/>
      <c r="T344" s="200"/>
      <c r="U344" s="152"/>
      <c r="V344" s="152"/>
      <c r="W344" s="157"/>
      <c r="X344" s="197"/>
    </row>
    <row r="345">
      <c r="B345" s="199"/>
      <c r="N345" s="152"/>
      <c r="Q345" s="195"/>
      <c r="S345" s="200"/>
      <c r="T345" s="200"/>
      <c r="U345" s="152"/>
      <c r="V345" s="152"/>
      <c r="W345" s="157"/>
      <c r="X345" s="197"/>
    </row>
    <row r="346">
      <c r="B346" s="199"/>
      <c r="N346" s="152"/>
      <c r="Q346" s="195"/>
      <c r="S346" s="200"/>
      <c r="T346" s="200"/>
      <c r="U346" s="152"/>
      <c r="V346" s="152"/>
      <c r="W346" s="157"/>
      <c r="X346" s="197"/>
    </row>
    <row r="347">
      <c r="B347" s="199"/>
      <c r="N347" s="152"/>
      <c r="Q347" s="195"/>
      <c r="S347" s="200"/>
      <c r="T347" s="200"/>
      <c r="U347" s="152"/>
      <c r="V347" s="152"/>
      <c r="W347" s="157"/>
      <c r="X347" s="197"/>
    </row>
    <row r="348">
      <c r="B348" s="199"/>
      <c r="N348" s="152"/>
      <c r="Q348" s="195"/>
      <c r="S348" s="200"/>
      <c r="T348" s="200"/>
      <c r="U348" s="152"/>
      <c r="V348" s="152"/>
      <c r="W348" s="157"/>
      <c r="X348" s="197"/>
    </row>
    <row r="349">
      <c r="B349" s="199"/>
      <c r="N349" s="152"/>
      <c r="Q349" s="195"/>
      <c r="S349" s="200"/>
      <c r="T349" s="200"/>
      <c r="U349" s="152"/>
      <c r="V349" s="152"/>
      <c r="W349" s="157"/>
      <c r="X349" s="197"/>
    </row>
    <row r="350">
      <c r="B350" s="199"/>
      <c r="N350" s="152"/>
      <c r="Q350" s="195"/>
      <c r="S350" s="200"/>
      <c r="T350" s="200"/>
      <c r="U350" s="152"/>
      <c r="V350" s="152"/>
      <c r="W350" s="157"/>
      <c r="X350" s="197"/>
    </row>
    <row r="351">
      <c r="B351" s="199"/>
      <c r="N351" s="152"/>
      <c r="Q351" s="195"/>
      <c r="S351" s="200"/>
      <c r="T351" s="200"/>
      <c r="U351" s="152"/>
      <c r="V351" s="152"/>
      <c r="W351" s="157"/>
      <c r="X351" s="197"/>
    </row>
    <row r="352">
      <c r="B352" s="199"/>
      <c r="N352" s="152"/>
      <c r="Q352" s="195"/>
      <c r="S352" s="200"/>
      <c r="T352" s="200"/>
      <c r="U352" s="152"/>
      <c r="V352" s="152"/>
      <c r="W352" s="157"/>
      <c r="X352" s="197"/>
    </row>
    <row r="353">
      <c r="B353" s="199"/>
      <c r="N353" s="152"/>
      <c r="Q353" s="195"/>
      <c r="S353" s="200"/>
      <c r="T353" s="200"/>
      <c r="U353" s="152"/>
      <c r="V353" s="152"/>
      <c r="W353" s="157"/>
      <c r="X353" s="197"/>
    </row>
    <row r="354">
      <c r="B354" s="199"/>
      <c r="N354" s="152"/>
      <c r="Q354" s="195"/>
      <c r="S354" s="200"/>
      <c r="T354" s="200"/>
      <c r="U354" s="152"/>
      <c r="V354" s="152"/>
      <c r="W354" s="157"/>
      <c r="X354" s="197"/>
    </row>
    <row r="355">
      <c r="B355" s="199"/>
      <c r="N355" s="152"/>
      <c r="Q355" s="195"/>
      <c r="S355" s="200"/>
      <c r="T355" s="200"/>
      <c r="U355" s="152"/>
      <c r="V355" s="152"/>
      <c r="W355" s="157"/>
      <c r="X355" s="197"/>
    </row>
    <row r="356">
      <c r="B356" s="199"/>
      <c r="N356" s="152"/>
      <c r="Q356" s="195"/>
      <c r="S356" s="200"/>
      <c r="T356" s="200"/>
      <c r="U356" s="152"/>
      <c r="V356" s="152"/>
      <c r="W356" s="157"/>
      <c r="X356" s="197"/>
    </row>
    <row r="357">
      <c r="B357" s="199"/>
      <c r="N357" s="152"/>
      <c r="Q357" s="195"/>
      <c r="S357" s="200"/>
      <c r="T357" s="200"/>
      <c r="U357" s="152"/>
      <c r="V357" s="152"/>
      <c r="W357" s="157"/>
      <c r="X357" s="197"/>
    </row>
    <row r="358">
      <c r="B358" s="199"/>
      <c r="N358" s="152"/>
      <c r="Q358" s="195"/>
      <c r="S358" s="200"/>
      <c r="T358" s="200"/>
      <c r="U358" s="152"/>
      <c r="V358" s="152"/>
      <c r="W358" s="157"/>
      <c r="X358" s="197"/>
    </row>
    <row r="359">
      <c r="B359" s="199"/>
      <c r="N359" s="152"/>
      <c r="Q359" s="195"/>
      <c r="S359" s="200"/>
      <c r="T359" s="200"/>
      <c r="U359" s="152"/>
      <c r="V359" s="152"/>
      <c r="W359" s="157"/>
      <c r="X359" s="197"/>
    </row>
    <row r="360">
      <c r="B360" s="199"/>
      <c r="N360" s="152"/>
      <c r="Q360" s="195"/>
      <c r="S360" s="200"/>
      <c r="T360" s="200"/>
      <c r="U360" s="152"/>
      <c r="V360" s="152"/>
      <c r="W360" s="157"/>
      <c r="X360" s="197"/>
    </row>
    <row r="361">
      <c r="B361" s="199"/>
      <c r="N361" s="152"/>
      <c r="Q361" s="195"/>
      <c r="S361" s="200"/>
      <c r="T361" s="200"/>
      <c r="U361" s="152"/>
      <c r="V361" s="152"/>
      <c r="W361" s="157"/>
      <c r="X361" s="197"/>
    </row>
    <row r="362">
      <c r="B362" s="199"/>
      <c r="N362" s="152"/>
      <c r="Q362" s="195"/>
      <c r="S362" s="200"/>
      <c r="T362" s="200"/>
      <c r="U362" s="152"/>
      <c r="V362" s="152"/>
      <c r="W362" s="157"/>
      <c r="X362" s="197"/>
    </row>
    <row r="363">
      <c r="B363" s="199"/>
      <c r="N363" s="152"/>
      <c r="Q363" s="195"/>
      <c r="S363" s="200"/>
      <c r="T363" s="200"/>
      <c r="U363" s="152"/>
      <c r="V363" s="152"/>
      <c r="W363" s="157"/>
      <c r="X363" s="197"/>
    </row>
    <row r="364">
      <c r="B364" s="199"/>
      <c r="N364" s="152"/>
      <c r="Q364" s="195"/>
      <c r="S364" s="200"/>
      <c r="T364" s="200"/>
      <c r="U364" s="152"/>
      <c r="V364" s="152"/>
      <c r="W364" s="157"/>
      <c r="X364" s="197"/>
    </row>
    <row r="365">
      <c r="B365" s="199"/>
      <c r="N365" s="152"/>
      <c r="Q365" s="195"/>
      <c r="S365" s="200"/>
      <c r="T365" s="200"/>
      <c r="U365" s="152"/>
      <c r="V365" s="152"/>
      <c r="W365" s="157"/>
      <c r="X365" s="197"/>
    </row>
    <row r="366">
      <c r="B366" s="199"/>
      <c r="N366" s="152"/>
      <c r="Q366" s="195"/>
      <c r="S366" s="200"/>
      <c r="T366" s="200"/>
      <c r="U366" s="152"/>
      <c r="V366" s="152"/>
      <c r="W366" s="157"/>
      <c r="X366" s="197"/>
    </row>
    <row r="367">
      <c r="B367" s="199"/>
      <c r="N367" s="152"/>
      <c r="Q367" s="195"/>
      <c r="S367" s="200"/>
      <c r="T367" s="200"/>
      <c r="U367" s="152"/>
      <c r="V367" s="152"/>
      <c r="W367" s="157"/>
      <c r="X367" s="197"/>
    </row>
    <row r="368">
      <c r="B368" s="199"/>
      <c r="N368" s="152"/>
      <c r="Q368" s="195"/>
      <c r="S368" s="200"/>
      <c r="T368" s="200"/>
      <c r="U368" s="152"/>
      <c r="V368" s="152"/>
      <c r="W368" s="157"/>
      <c r="X368" s="197"/>
    </row>
    <row r="369">
      <c r="B369" s="199"/>
      <c r="N369" s="152"/>
      <c r="Q369" s="195"/>
      <c r="S369" s="200"/>
      <c r="T369" s="200"/>
      <c r="U369" s="152"/>
      <c r="V369" s="152"/>
      <c r="W369" s="157"/>
      <c r="X369" s="197"/>
    </row>
    <row r="370">
      <c r="B370" s="199"/>
      <c r="N370" s="152"/>
      <c r="Q370" s="195"/>
      <c r="S370" s="200"/>
      <c r="T370" s="200"/>
      <c r="U370" s="152"/>
      <c r="V370" s="152"/>
      <c r="W370" s="157"/>
      <c r="X370" s="197"/>
    </row>
    <row r="371">
      <c r="B371" s="199"/>
      <c r="N371" s="152"/>
      <c r="Q371" s="195"/>
      <c r="S371" s="200"/>
      <c r="T371" s="200"/>
      <c r="U371" s="152"/>
      <c r="V371" s="152"/>
      <c r="W371" s="157"/>
      <c r="X371" s="197"/>
    </row>
    <row r="372">
      <c r="B372" s="199"/>
      <c r="N372" s="152"/>
      <c r="Q372" s="195"/>
      <c r="S372" s="200"/>
      <c r="T372" s="200"/>
      <c r="U372" s="152"/>
      <c r="V372" s="152"/>
      <c r="W372" s="157"/>
      <c r="X372" s="197"/>
    </row>
    <row r="373">
      <c r="B373" s="199"/>
      <c r="N373" s="152"/>
      <c r="Q373" s="195"/>
      <c r="S373" s="200"/>
      <c r="T373" s="200"/>
      <c r="U373" s="152"/>
      <c r="V373" s="152"/>
      <c r="W373" s="157"/>
      <c r="X373" s="197"/>
    </row>
    <row r="374">
      <c r="B374" s="199"/>
      <c r="N374" s="152"/>
      <c r="Q374" s="195"/>
      <c r="S374" s="200"/>
      <c r="T374" s="200"/>
      <c r="U374" s="152"/>
      <c r="V374" s="152"/>
      <c r="W374" s="157"/>
      <c r="X374" s="197"/>
    </row>
    <row r="375">
      <c r="B375" s="199"/>
      <c r="N375" s="152"/>
      <c r="Q375" s="195"/>
      <c r="S375" s="200"/>
      <c r="T375" s="200"/>
      <c r="U375" s="152"/>
      <c r="V375" s="152"/>
      <c r="W375" s="157"/>
      <c r="X375" s="197"/>
    </row>
    <row r="376">
      <c r="B376" s="199"/>
      <c r="N376" s="152"/>
      <c r="Q376" s="195"/>
      <c r="S376" s="200"/>
      <c r="T376" s="200"/>
      <c r="U376" s="152"/>
      <c r="V376" s="152"/>
      <c r="W376" s="157"/>
      <c r="X376" s="197"/>
    </row>
    <row r="377">
      <c r="B377" s="199"/>
      <c r="N377" s="152"/>
      <c r="Q377" s="195"/>
      <c r="S377" s="200"/>
      <c r="T377" s="200"/>
      <c r="U377" s="152"/>
      <c r="V377" s="152"/>
      <c r="W377" s="157"/>
      <c r="X377" s="197"/>
    </row>
    <row r="378">
      <c r="B378" s="199"/>
      <c r="N378" s="152"/>
      <c r="Q378" s="195"/>
      <c r="S378" s="200"/>
      <c r="T378" s="200"/>
      <c r="U378" s="152"/>
      <c r="V378" s="152"/>
      <c r="W378" s="157"/>
      <c r="X378" s="197"/>
    </row>
    <row r="379">
      <c r="B379" s="199"/>
      <c r="N379" s="152"/>
      <c r="Q379" s="195"/>
      <c r="S379" s="200"/>
      <c r="T379" s="200"/>
      <c r="U379" s="152"/>
      <c r="V379" s="152"/>
      <c r="W379" s="157"/>
      <c r="X379" s="197"/>
    </row>
    <row r="380">
      <c r="B380" s="199"/>
      <c r="N380" s="152"/>
      <c r="Q380" s="195"/>
      <c r="S380" s="200"/>
      <c r="T380" s="200"/>
      <c r="U380" s="152"/>
      <c r="V380" s="152"/>
      <c r="W380" s="157"/>
      <c r="X380" s="197"/>
    </row>
    <row r="381">
      <c r="B381" s="199"/>
      <c r="N381" s="152"/>
      <c r="Q381" s="195"/>
      <c r="S381" s="200"/>
      <c r="T381" s="200"/>
      <c r="U381" s="152"/>
      <c r="V381" s="152"/>
      <c r="W381" s="157"/>
      <c r="X381" s="197"/>
    </row>
    <row r="382">
      <c r="B382" s="199"/>
      <c r="N382" s="152"/>
      <c r="Q382" s="195"/>
      <c r="S382" s="200"/>
      <c r="T382" s="200"/>
      <c r="U382" s="152"/>
      <c r="V382" s="152"/>
      <c r="W382" s="157"/>
      <c r="X382" s="197"/>
    </row>
    <row r="383">
      <c r="B383" s="199"/>
      <c r="N383" s="152"/>
      <c r="Q383" s="195"/>
      <c r="S383" s="200"/>
      <c r="T383" s="200"/>
      <c r="U383" s="152"/>
      <c r="V383" s="152"/>
      <c r="W383" s="157"/>
      <c r="X383" s="197"/>
    </row>
    <row r="384">
      <c r="B384" s="199"/>
      <c r="N384" s="152"/>
      <c r="Q384" s="195"/>
      <c r="S384" s="200"/>
      <c r="T384" s="200"/>
      <c r="U384" s="152"/>
      <c r="V384" s="152"/>
      <c r="W384" s="157"/>
      <c r="X384" s="197"/>
    </row>
    <row r="385">
      <c r="B385" s="199"/>
      <c r="N385" s="152"/>
      <c r="Q385" s="195"/>
      <c r="S385" s="200"/>
      <c r="T385" s="200"/>
      <c r="U385" s="152"/>
      <c r="V385" s="152"/>
      <c r="W385" s="157"/>
      <c r="X385" s="197"/>
    </row>
    <row r="386">
      <c r="B386" s="199"/>
      <c r="N386" s="152"/>
      <c r="Q386" s="195"/>
      <c r="S386" s="200"/>
      <c r="T386" s="200"/>
      <c r="U386" s="152"/>
      <c r="V386" s="152"/>
      <c r="W386" s="157"/>
      <c r="X386" s="197"/>
    </row>
    <row r="387">
      <c r="B387" s="199"/>
      <c r="N387" s="152"/>
      <c r="Q387" s="195"/>
      <c r="S387" s="200"/>
      <c r="T387" s="200"/>
      <c r="U387" s="152"/>
      <c r="V387" s="152"/>
      <c r="W387" s="157"/>
      <c r="X387" s="197"/>
    </row>
    <row r="388">
      <c r="B388" s="199"/>
      <c r="N388" s="152"/>
      <c r="Q388" s="195"/>
      <c r="S388" s="200"/>
      <c r="T388" s="200"/>
      <c r="U388" s="152"/>
      <c r="V388" s="152"/>
      <c r="W388" s="157"/>
      <c r="X388" s="197"/>
    </row>
    <row r="389">
      <c r="B389" s="199"/>
      <c r="N389" s="152"/>
      <c r="Q389" s="195"/>
      <c r="S389" s="200"/>
      <c r="T389" s="200"/>
      <c r="U389" s="152"/>
      <c r="V389" s="152"/>
      <c r="W389" s="157"/>
      <c r="X389" s="197"/>
    </row>
    <row r="390">
      <c r="B390" s="199"/>
      <c r="N390" s="152"/>
      <c r="Q390" s="195"/>
      <c r="S390" s="200"/>
      <c r="T390" s="200"/>
      <c r="U390" s="152"/>
      <c r="V390" s="152"/>
      <c r="W390" s="157"/>
      <c r="X390" s="197"/>
    </row>
    <row r="391">
      <c r="B391" s="199"/>
      <c r="N391" s="152"/>
      <c r="Q391" s="195"/>
      <c r="S391" s="200"/>
      <c r="T391" s="200"/>
      <c r="U391" s="152"/>
      <c r="V391" s="152"/>
      <c r="W391" s="157"/>
      <c r="X391" s="197"/>
    </row>
    <row r="392">
      <c r="B392" s="199"/>
      <c r="N392" s="152"/>
      <c r="Q392" s="195"/>
      <c r="S392" s="200"/>
      <c r="T392" s="200"/>
      <c r="U392" s="152"/>
      <c r="V392" s="152"/>
      <c r="W392" s="157"/>
      <c r="X392" s="197"/>
    </row>
    <row r="393">
      <c r="B393" s="199"/>
      <c r="N393" s="152"/>
      <c r="Q393" s="195"/>
      <c r="S393" s="200"/>
      <c r="T393" s="200"/>
      <c r="U393" s="152"/>
      <c r="V393" s="152"/>
      <c r="W393" s="157"/>
      <c r="X393" s="197"/>
    </row>
    <row r="394">
      <c r="B394" s="199"/>
      <c r="N394" s="152"/>
      <c r="Q394" s="195"/>
      <c r="S394" s="200"/>
      <c r="T394" s="200"/>
      <c r="U394" s="152"/>
      <c r="V394" s="152"/>
      <c r="W394" s="157"/>
      <c r="X394" s="197"/>
    </row>
    <row r="395">
      <c r="B395" s="199"/>
      <c r="N395" s="152"/>
      <c r="Q395" s="195"/>
      <c r="S395" s="200"/>
      <c r="T395" s="200"/>
      <c r="U395" s="152"/>
      <c r="V395" s="152"/>
      <c r="W395" s="157"/>
      <c r="X395" s="197"/>
    </row>
    <row r="396">
      <c r="B396" s="199"/>
      <c r="N396" s="152"/>
      <c r="Q396" s="195"/>
      <c r="S396" s="200"/>
      <c r="T396" s="200"/>
      <c r="U396" s="152"/>
      <c r="V396" s="152"/>
      <c r="W396" s="157"/>
      <c r="X396" s="197"/>
    </row>
    <row r="397">
      <c r="B397" s="199"/>
      <c r="N397" s="152"/>
      <c r="Q397" s="195"/>
      <c r="S397" s="200"/>
      <c r="T397" s="200"/>
      <c r="U397" s="152"/>
      <c r="V397" s="152"/>
      <c r="W397" s="157"/>
      <c r="X397" s="197"/>
    </row>
    <row r="398">
      <c r="B398" s="199"/>
      <c r="N398" s="152"/>
      <c r="Q398" s="195"/>
      <c r="S398" s="200"/>
      <c r="T398" s="200"/>
      <c r="U398" s="152"/>
      <c r="V398" s="152"/>
      <c r="W398" s="157"/>
      <c r="X398" s="197"/>
    </row>
    <row r="399">
      <c r="B399" s="199"/>
      <c r="N399" s="152"/>
      <c r="Q399" s="195"/>
      <c r="S399" s="200"/>
      <c r="T399" s="200"/>
      <c r="U399" s="152"/>
      <c r="V399" s="152"/>
      <c r="W399" s="157"/>
      <c r="X399" s="197"/>
    </row>
    <row r="400">
      <c r="B400" s="199"/>
      <c r="N400" s="152"/>
      <c r="Q400" s="195"/>
      <c r="S400" s="200"/>
      <c r="T400" s="200"/>
      <c r="U400" s="152"/>
      <c r="V400" s="152"/>
      <c r="W400" s="157"/>
      <c r="X400" s="197"/>
    </row>
    <row r="401">
      <c r="B401" s="199"/>
      <c r="N401" s="152"/>
      <c r="Q401" s="195"/>
      <c r="S401" s="200"/>
      <c r="T401" s="200"/>
      <c r="U401" s="152"/>
      <c r="V401" s="152"/>
      <c r="W401" s="157"/>
      <c r="X401" s="197"/>
    </row>
    <row r="402">
      <c r="B402" s="199"/>
      <c r="N402" s="152"/>
      <c r="Q402" s="195"/>
      <c r="S402" s="200"/>
      <c r="T402" s="200"/>
      <c r="U402" s="152"/>
      <c r="V402" s="152"/>
      <c r="W402" s="157"/>
      <c r="X402" s="197"/>
    </row>
    <row r="403">
      <c r="B403" s="199"/>
      <c r="N403" s="152"/>
      <c r="Q403" s="195"/>
      <c r="S403" s="200"/>
      <c r="T403" s="200"/>
      <c r="U403" s="152"/>
      <c r="V403" s="152"/>
      <c r="W403" s="157"/>
      <c r="X403" s="197"/>
    </row>
    <row r="404">
      <c r="B404" s="199"/>
      <c r="N404" s="152"/>
      <c r="Q404" s="195"/>
      <c r="S404" s="200"/>
      <c r="T404" s="200"/>
      <c r="U404" s="152"/>
      <c r="V404" s="152"/>
      <c r="W404" s="157"/>
      <c r="X404" s="197"/>
    </row>
    <row r="405">
      <c r="B405" s="199"/>
      <c r="N405" s="152"/>
      <c r="Q405" s="195"/>
      <c r="S405" s="200"/>
      <c r="T405" s="200"/>
      <c r="U405" s="152"/>
      <c r="V405" s="152"/>
      <c r="W405" s="157"/>
      <c r="X405" s="197"/>
    </row>
    <row r="406">
      <c r="B406" s="199"/>
      <c r="N406" s="152"/>
      <c r="Q406" s="195"/>
      <c r="S406" s="200"/>
      <c r="T406" s="200"/>
      <c r="U406" s="152"/>
      <c r="V406" s="152"/>
      <c r="W406" s="157"/>
      <c r="X406" s="197"/>
    </row>
    <row r="407">
      <c r="B407" s="199"/>
      <c r="N407" s="152"/>
      <c r="Q407" s="195"/>
      <c r="S407" s="200"/>
      <c r="T407" s="200"/>
      <c r="U407" s="152"/>
      <c r="V407" s="152"/>
      <c r="W407" s="157"/>
      <c r="X407" s="197"/>
    </row>
    <row r="408">
      <c r="B408" s="199"/>
      <c r="N408" s="152"/>
      <c r="Q408" s="195"/>
      <c r="S408" s="200"/>
      <c r="T408" s="200"/>
      <c r="U408" s="152"/>
      <c r="V408" s="152"/>
      <c r="W408" s="157"/>
      <c r="X408" s="197"/>
    </row>
    <row r="409">
      <c r="B409" s="199"/>
      <c r="N409" s="152"/>
      <c r="Q409" s="195"/>
      <c r="S409" s="200"/>
      <c r="T409" s="200"/>
      <c r="U409" s="152"/>
      <c r="V409" s="152"/>
      <c r="W409" s="157"/>
      <c r="X409" s="197"/>
    </row>
    <row r="410">
      <c r="B410" s="199"/>
      <c r="N410" s="152"/>
      <c r="Q410" s="195"/>
      <c r="S410" s="200"/>
      <c r="T410" s="200"/>
      <c r="U410" s="152"/>
      <c r="V410" s="152"/>
      <c r="W410" s="157"/>
      <c r="X410" s="197"/>
    </row>
    <row r="411">
      <c r="B411" s="199"/>
      <c r="N411" s="152"/>
      <c r="Q411" s="195"/>
      <c r="S411" s="200"/>
      <c r="T411" s="200"/>
      <c r="U411" s="152"/>
      <c r="V411" s="152"/>
      <c r="W411" s="157"/>
      <c r="X411" s="197"/>
    </row>
    <row r="412">
      <c r="B412" s="199"/>
      <c r="N412" s="152"/>
      <c r="Q412" s="195"/>
      <c r="S412" s="200"/>
      <c r="T412" s="200"/>
      <c r="U412" s="152"/>
      <c r="V412" s="152"/>
      <c r="W412" s="157"/>
      <c r="X412" s="197"/>
    </row>
    <row r="413">
      <c r="B413" s="199"/>
      <c r="N413" s="152"/>
      <c r="Q413" s="195"/>
      <c r="S413" s="200"/>
      <c r="T413" s="200"/>
      <c r="U413" s="152"/>
      <c r="V413" s="152"/>
      <c r="W413" s="157"/>
      <c r="X413" s="197"/>
    </row>
    <row r="414">
      <c r="B414" s="199"/>
      <c r="N414" s="152"/>
      <c r="Q414" s="195"/>
      <c r="S414" s="200"/>
      <c r="T414" s="200"/>
      <c r="U414" s="152"/>
      <c r="V414" s="152"/>
      <c r="W414" s="157"/>
      <c r="X414" s="197"/>
    </row>
    <row r="415">
      <c r="B415" s="199"/>
      <c r="N415" s="152"/>
      <c r="Q415" s="195"/>
      <c r="S415" s="200"/>
      <c r="T415" s="200"/>
      <c r="U415" s="152"/>
      <c r="V415" s="152"/>
      <c r="W415" s="157"/>
      <c r="X415" s="197"/>
    </row>
    <row r="416">
      <c r="B416" s="199"/>
      <c r="N416" s="152"/>
      <c r="Q416" s="195"/>
      <c r="S416" s="200"/>
      <c r="T416" s="200"/>
      <c r="U416" s="152"/>
      <c r="V416" s="152"/>
      <c r="W416" s="157"/>
      <c r="X416" s="197"/>
    </row>
    <row r="417">
      <c r="B417" s="199"/>
      <c r="N417" s="152"/>
      <c r="Q417" s="195"/>
      <c r="S417" s="200"/>
      <c r="T417" s="200"/>
      <c r="U417" s="152"/>
      <c r="V417" s="152"/>
      <c r="W417" s="157"/>
      <c r="X417" s="197"/>
    </row>
    <row r="418">
      <c r="B418" s="199"/>
      <c r="N418" s="152"/>
      <c r="Q418" s="195"/>
      <c r="S418" s="200"/>
      <c r="T418" s="200"/>
      <c r="U418" s="152"/>
      <c r="V418" s="152"/>
      <c r="W418" s="157"/>
      <c r="X418" s="197"/>
    </row>
    <row r="419">
      <c r="B419" s="199"/>
      <c r="N419" s="152"/>
      <c r="Q419" s="195"/>
      <c r="S419" s="200"/>
      <c r="T419" s="200"/>
      <c r="U419" s="152"/>
      <c r="V419" s="152"/>
      <c r="W419" s="157"/>
      <c r="X419" s="197"/>
    </row>
    <row r="420">
      <c r="B420" s="199"/>
      <c r="N420" s="152"/>
      <c r="Q420" s="195"/>
      <c r="S420" s="200"/>
      <c r="T420" s="200"/>
      <c r="U420" s="152"/>
      <c r="V420" s="152"/>
      <c r="W420" s="157"/>
      <c r="X420" s="197"/>
    </row>
    <row r="421">
      <c r="B421" s="199"/>
      <c r="N421" s="152"/>
      <c r="Q421" s="195"/>
      <c r="S421" s="200"/>
      <c r="T421" s="200"/>
      <c r="U421" s="152"/>
      <c r="V421" s="152"/>
      <c r="W421" s="157"/>
      <c r="X421" s="197"/>
    </row>
    <row r="422">
      <c r="B422" s="199"/>
      <c r="N422" s="152"/>
      <c r="Q422" s="195"/>
      <c r="S422" s="200"/>
      <c r="T422" s="200"/>
      <c r="U422" s="152"/>
      <c r="V422" s="152"/>
      <c r="W422" s="157"/>
      <c r="X422" s="197"/>
    </row>
    <row r="423">
      <c r="B423" s="199"/>
      <c r="N423" s="152"/>
      <c r="Q423" s="195"/>
      <c r="S423" s="200"/>
      <c r="T423" s="200"/>
      <c r="U423" s="152"/>
      <c r="V423" s="152"/>
      <c r="W423" s="157"/>
      <c r="X423" s="197"/>
    </row>
    <row r="424">
      <c r="B424" s="199"/>
      <c r="N424" s="152"/>
      <c r="Q424" s="195"/>
      <c r="S424" s="200"/>
      <c r="T424" s="200"/>
      <c r="U424" s="152"/>
      <c r="V424" s="152"/>
      <c r="W424" s="157"/>
      <c r="X424" s="197"/>
    </row>
    <row r="425">
      <c r="B425" s="199"/>
      <c r="N425" s="152"/>
      <c r="Q425" s="195"/>
      <c r="S425" s="200"/>
      <c r="T425" s="200"/>
      <c r="U425" s="152"/>
      <c r="V425" s="152"/>
      <c r="W425" s="157"/>
      <c r="X425" s="197"/>
    </row>
    <row r="426">
      <c r="B426" s="199"/>
      <c r="N426" s="152"/>
      <c r="Q426" s="195"/>
      <c r="S426" s="200"/>
      <c r="T426" s="200"/>
      <c r="U426" s="152"/>
      <c r="V426" s="152"/>
      <c r="W426" s="157"/>
      <c r="X426" s="197"/>
    </row>
    <row r="427">
      <c r="B427" s="199"/>
      <c r="N427" s="152"/>
      <c r="Q427" s="195"/>
      <c r="S427" s="200"/>
      <c r="T427" s="200"/>
      <c r="U427" s="152"/>
      <c r="V427" s="152"/>
      <c r="W427" s="157"/>
      <c r="X427" s="197"/>
    </row>
    <row r="428">
      <c r="B428" s="199"/>
      <c r="N428" s="152"/>
      <c r="Q428" s="195"/>
      <c r="S428" s="200"/>
      <c r="T428" s="200"/>
      <c r="U428" s="152"/>
      <c r="V428" s="152"/>
      <c r="W428" s="157"/>
      <c r="X428" s="197"/>
    </row>
    <row r="429">
      <c r="B429" s="199"/>
      <c r="N429" s="152"/>
      <c r="Q429" s="195"/>
      <c r="S429" s="200"/>
      <c r="T429" s="200"/>
      <c r="U429" s="152"/>
      <c r="V429" s="152"/>
      <c r="W429" s="157"/>
      <c r="X429" s="197"/>
    </row>
    <row r="430">
      <c r="B430" s="199"/>
      <c r="N430" s="152"/>
      <c r="Q430" s="195"/>
      <c r="S430" s="200"/>
      <c r="T430" s="200"/>
      <c r="U430" s="152"/>
      <c r="V430" s="152"/>
      <c r="W430" s="157"/>
      <c r="X430" s="197"/>
    </row>
    <row r="431">
      <c r="B431" s="199"/>
      <c r="N431" s="152"/>
      <c r="Q431" s="195"/>
      <c r="S431" s="200"/>
      <c r="T431" s="200"/>
      <c r="U431" s="152"/>
      <c r="V431" s="152"/>
      <c r="W431" s="157"/>
      <c r="X431" s="197"/>
    </row>
    <row r="432">
      <c r="B432" s="199"/>
      <c r="N432" s="152"/>
      <c r="Q432" s="195"/>
      <c r="S432" s="200"/>
      <c r="T432" s="200"/>
      <c r="U432" s="152"/>
      <c r="V432" s="152"/>
      <c r="W432" s="157"/>
      <c r="X432" s="197"/>
    </row>
    <row r="433">
      <c r="B433" s="199"/>
      <c r="N433" s="152"/>
      <c r="Q433" s="195"/>
      <c r="S433" s="200"/>
      <c r="T433" s="200"/>
      <c r="U433" s="152"/>
      <c r="V433" s="152"/>
      <c r="W433" s="157"/>
      <c r="X433" s="197"/>
    </row>
    <row r="434">
      <c r="B434" s="199"/>
      <c r="N434" s="152"/>
      <c r="Q434" s="195"/>
      <c r="S434" s="200"/>
      <c r="T434" s="200"/>
      <c r="U434" s="152"/>
      <c r="V434" s="152"/>
      <c r="W434" s="157"/>
      <c r="X434" s="197"/>
    </row>
    <row r="435">
      <c r="B435" s="199"/>
      <c r="N435" s="152"/>
      <c r="Q435" s="195"/>
      <c r="S435" s="200"/>
      <c r="T435" s="200"/>
      <c r="U435" s="152"/>
      <c r="V435" s="152"/>
      <c r="W435" s="157"/>
      <c r="X435" s="197"/>
    </row>
    <row r="436">
      <c r="B436" s="199"/>
      <c r="N436" s="152"/>
      <c r="Q436" s="195"/>
      <c r="S436" s="200"/>
      <c r="T436" s="200"/>
      <c r="U436" s="152"/>
      <c r="V436" s="152"/>
      <c r="W436" s="157"/>
      <c r="X436" s="197"/>
    </row>
    <row r="437">
      <c r="B437" s="199"/>
      <c r="N437" s="152"/>
      <c r="Q437" s="195"/>
      <c r="S437" s="200"/>
      <c r="T437" s="200"/>
      <c r="U437" s="152"/>
      <c r="V437" s="152"/>
      <c r="W437" s="157"/>
      <c r="X437" s="197"/>
    </row>
    <row r="438">
      <c r="B438" s="199"/>
      <c r="N438" s="152"/>
      <c r="Q438" s="195"/>
      <c r="S438" s="200"/>
      <c r="T438" s="200"/>
      <c r="U438" s="152"/>
      <c r="V438" s="152"/>
      <c r="W438" s="157"/>
      <c r="X438" s="197"/>
    </row>
    <row r="439">
      <c r="B439" s="199"/>
      <c r="N439" s="152"/>
      <c r="Q439" s="195"/>
      <c r="S439" s="200"/>
      <c r="T439" s="200"/>
      <c r="U439" s="152"/>
      <c r="V439" s="152"/>
      <c r="W439" s="157"/>
      <c r="X439" s="197"/>
    </row>
    <row r="440">
      <c r="B440" s="199"/>
      <c r="N440" s="152"/>
      <c r="Q440" s="195"/>
      <c r="S440" s="200"/>
      <c r="T440" s="200"/>
      <c r="U440" s="152"/>
      <c r="V440" s="152"/>
      <c r="W440" s="157"/>
      <c r="X440" s="197"/>
    </row>
    <row r="441">
      <c r="B441" s="199"/>
      <c r="N441" s="152"/>
      <c r="Q441" s="195"/>
      <c r="S441" s="200"/>
      <c r="T441" s="200"/>
      <c r="U441" s="152"/>
      <c r="V441" s="152"/>
      <c r="W441" s="157"/>
      <c r="X441" s="197"/>
    </row>
    <row r="442">
      <c r="B442" s="199"/>
      <c r="N442" s="152"/>
      <c r="Q442" s="195"/>
      <c r="S442" s="200"/>
      <c r="T442" s="200"/>
      <c r="U442" s="152"/>
      <c r="V442" s="152"/>
      <c r="W442" s="157"/>
      <c r="X442" s="197"/>
    </row>
    <row r="443">
      <c r="B443" s="199"/>
      <c r="N443" s="152"/>
      <c r="Q443" s="195"/>
      <c r="S443" s="200"/>
      <c r="T443" s="200"/>
      <c r="U443" s="152"/>
      <c r="V443" s="152"/>
      <c r="W443" s="157"/>
      <c r="X443" s="197"/>
    </row>
    <row r="444">
      <c r="B444" s="199"/>
      <c r="N444" s="152"/>
      <c r="Q444" s="195"/>
      <c r="S444" s="200"/>
      <c r="T444" s="200"/>
      <c r="U444" s="152"/>
      <c r="V444" s="152"/>
      <c r="W444" s="157"/>
      <c r="X444" s="197"/>
    </row>
    <row r="445">
      <c r="B445" s="199"/>
      <c r="N445" s="152"/>
      <c r="Q445" s="195"/>
      <c r="S445" s="200"/>
      <c r="T445" s="200"/>
      <c r="U445" s="152"/>
      <c r="V445" s="152"/>
      <c r="W445" s="157"/>
      <c r="X445" s="197"/>
    </row>
    <row r="446">
      <c r="B446" s="199"/>
      <c r="N446" s="152"/>
      <c r="Q446" s="195"/>
      <c r="S446" s="200"/>
      <c r="T446" s="200"/>
      <c r="U446" s="152"/>
      <c r="V446" s="152"/>
      <c r="W446" s="157"/>
      <c r="X446" s="197"/>
    </row>
    <row r="447">
      <c r="B447" s="199"/>
      <c r="N447" s="152"/>
      <c r="Q447" s="195"/>
      <c r="S447" s="200"/>
      <c r="T447" s="200"/>
      <c r="U447" s="152"/>
      <c r="V447" s="152"/>
      <c r="W447" s="157"/>
      <c r="X447" s="197"/>
    </row>
    <row r="448">
      <c r="B448" s="199"/>
      <c r="N448" s="152"/>
      <c r="Q448" s="195"/>
      <c r="S448" s="200"/>
      <c r="T448" s="200"/>
      <c r="U448" s="152"/>
      <c r="V448" s="152"/>
      <c r="W448" s="157"/>
      <c r="X448" s="197"/>
    </row>
    <row r="449">
      <c r="B449" s="199"/>
      <c r="N449" s="152"/>
      <c r="Q449" s="195"/>
      <c r="S449" s="200"/>
      <c r="T449" s="200"/>
      <c r="U449" s="152"/>
      <c r="V449" s="152"/>
      <c r="W449" s="157"/>
      <c r="X449" s="197"/>
    </row>
    <row r="450">
      <c r="B450" s="199"/>
      <c r="N450" s="152"/>
      <c r="Q450" s="195"/>
      <c r="S450" s="200"/>
      <c r="T450" s="200"/>
      <c r="U450" s="152"/>
      <c r="V450" s="152"/>
      <c r="W450" s="157"/>
      <c r="X450" s="197"/>
    </row>
    <row r="451">
      <c r="B451" s="199"/>
      <c r="N451" s="152"/>
      <c r="Q451" s="195"/>
      <c r="S451" s="200"/>
      <c r="T451" s="200"/>
      <c r="U451" s="152"/>
      <c r="V451" s="152"/>
      <c r="W451" s="157"/>
      <c r="X451" s="197"/>
    </row>
    <row r="452">
      <c r="B452" s="199"/>
      <c r="N452" s="152"/>
      <c r="Q452" s="195"/>
      <c r="S452" s="200"/>
      <c r="T452" s="200"/>
      <c r="U452" s="152"/>
      <c r="V452" s="152"/>
      <c r="W452" s="157"/>
      <c r="X452" s="197"/>
    </row>
    <row r="453">
      <c r="B453" s="199"/>
      <c r="N453" s="152"/>
      <c r="Q453" s="195"/>
      <c r="S453" s="200"/>
      <c r="T453" s="200"/>
      <c r="U453" s="152"/>
      <c r="V453" s="152"/>
      <c r="W453" s="157"/>
      <c r="X453" s="197"/>
    </row>
    <row r="454">
      <c r="B454" s="199"/>
      <c r="N454" s="152"/>
      <c r="Q454" s="195"/>
      <c r="S454" s="200"/>
      <c r="T454" s="200"/>
      <c r="U454" s="152"/>
      <c r="V454" s="152"/>
      <c r="W454" s="157"/>
      <c r="X454" s="197"/>
    </row>
    <row r="455">
      <c r="B455" s="199"/>
      <c r="N455" s="152"/>
      <c r="Q455" s="195"/>
      <c r="S455" s="200"/>
      <c r="T455" s="200"/>
      <c r="U455" s="152"/>
      <c r="V455" s="152"/>
      <c r="W455" s="157"/>
      <c r="X455" s="197"/>
    </row>
    <row r="456">
      <c r="B456" s="199"/>
      <c r="N456" s="152"/>
      <c r="Q456" s="195"/>
      <c r="S456" s="200"/>
      <c r="T456" s="200"/>
      <c r="U456" s="152"/>
      <c r="V456" s="152"/>
      <c r="W456" s="157"/>
      <c r="X456" s="197"/>
    </row>
    <row r="457">
      <c r="B457" s="199"/>
      <c r="N457" s="152"/>
      <c r="Q457" s="195"/>
      <c r="S457" s="200"/>
      <c r="T457" s="200"/>
      <c r="U457" s="152"/>
      <c r="V457" s="152"/>
      <c r="W457" s="157"/>
      <c r="X457" s="197"/>
    </row>
    <row r="458">
      <c r="B458" s="199"/>
      <c r="N458" s="152"/>
      <c r="Q458" s="195"/>
      <c r="S458" s="200"/>
      <c r="T458" s="200"/>
      <c r="U458" s="152"/>
      <c r="V458" s="152"/>
      <c r="W458" s="157"/>
      <c r="X458" s="197"/>
    </row>
    <row r="459">
      <c r="B459" s="199"/>
      <c r="N459" s="152"/>
      <c r="Q459" s="195"/>
      <c r="S459" s="200"/>
      <c r="T459" s="200"/>
      <c r="U459" s="152"/>
      <c r="V459" s="152"/>
      <c r="W459" s="157"/>
      <c r="X459" s="197"/>
    </row>
    <row r="460">
      <c r="B460" s="199"/>
      <c r="N460" s="152"/>
      <c r="Q460" s="195"/>
      <c r="S460" s="200"/>
      <c r="T460" s="200"/>
      <c r="U460" s="152"/>
      <c r="V460" s="152"/>
      <c r="W460" s="157"/>
      <c r="X460" s="197"/>
    </row>
    <row r="461">
      <c r="B461" s="199"/>
      <c r="N461" s="152"/>
      <c r="Q461" s="195"/>
      <c r="S461" s="200"/>
      <c r="T461" s="200"/>
      <c r="U461" s="152"/>
      <c r="V461" s="152"/>
      <c r="W461" s="157"/>
      <c r="X461" s="197"/>
    </row>
    <row r="462">
      <c r="B462" s="199"/>
      <c r="N462" s="152"/>
      <c r="Q462" s="195"/>
      <c r="S462" s="200"/>
      <c r="T462" s="200"/>
      <c r="U462" s="152"/>
      <c r="V462" s="152"/>
      <c r="W462" s="157"/>
      <c r="X462" s="197"/>
    </row>
    <row r="463">
      <c r="B463" s="199"/>
      <c r="N463" s="152"/>
      <c r="Q463" s="195"/>
      <c r="S463" s="200"/>
      <c r="T463" s="200"/>
      <c r="U463" s="152"/>
      <c r="V463" s="152"/>
      <c r="W463" s="157"/>
      <c r="X463" s="197"/>
    </row>
    <row r="464">
      <c r="B464" s="199"/>
      <c r="N464" s="152"/>
      <c r="Q464" s="195"/>
      <c r="S464" s="200"/>
      <c r="T464" s="200"/>
      <c r="U464" s="152"/>
      <c r="V464" s="152"/>
      <c r="W464" s="157"/>
      <c r="X464" s="197"/>
    </row>
    <row r="465">
      <c r="B465" s="199"/>
      <c r="N465" s="152"/>
      <c r="Q465" s="195"/>
      <c r="S465" s="200"/>
      <c r="T465" s="200"/>
      <c r="U465" s="152"/>
      <c r="V465" s="152"/>
      <c r="W465" s="157"/>
      <c r="X465" s="197"/>
    </row>
    <row r="466">
      <c r="B466" s="199"/>
      <c r="N466" s="152"/>
      <c r="Q466" s="195"/>
      <c r="S466" s="200"/>
      <c r="T466" s="200"/>
      <c r="U466" s="152"/>
      <c r="V466" s="152"/>
      <c r="W466" s="157"/>
      <c r="X466" s="197"/>
    </row>
    <row r="467">
      <c r="B467" s="199"/>
      <c r="N467" s="152"/>
      <c r="Q467" s="195"/>
      <c r="S467" s="200"/>
      <c r="T467" s="200"/>
      <c r="U467" s="152"/>
      <c r="V467" s="152"/>
      <c r="W467" s="157"/>
      <c r="X467" s="197"/>
    </row>
    <row r="468">
      <c r="B468" s="199"/>
      <c r="N468" s="152"/>
      <c r="Q468" s="195"/>
      <c r="S468" s="200"/>
      <c r="T468" s="200"/>
      <c r="U468" s="152"/>
      <c r="V468" s="152"/>
      <c r="W468" s="157"/>
      <c r="X468" s="197"/>
    </row>
    <row r="469">
      <c r="B469" s="199"/>
      <c r="N469" s="152"/>
      <c r="Q469" s="195"/>
      <c r="S469" s="200"/>
      <c r="T469" s="200"/>
      <c r="U469" s="152"/>
      <c r="V469" s="152"/>
      <c r="W469" s="157"/>
      <c r="X469" s="197"/>
    </row>
    <row r="470">
      <c r="B470" s="199"/>
      <c r="N470" s="152"/>
      <c r="Q470" s="195"/>
      <c r="S470" s="200"/>
      <c r="T470" s="200"/>
      <c r="U470" s="152"/>
      <c r="V470" s="152"/>
      <c r="W470" s="157"/>
      <c r="X470" s="197"/>
    </row>
    <row r="471">
      <c r="B471" s="199"/>
      <c r="N471" s="152"/>
      <c r="Q471" s="195"/>
      <c r="S471" s="200"/>
      <c r="T471" s="200"/>
      <c r="U471" s="152"/>
      <c r="V471" s="152"/>
      <c r="W471" s="157"/>
      <c r="X471" s="197"/>
    </row>
    <row r="472">
      <c r="B472" s="199"/>
      <c r="N472" s="152"/>
      <c r="Q472" s="195"/>
      <c r="S472" s="200"/>
      <c r="T472" s="200"/>
      <c r="U472" s="152"/>
      <c r="V472" s="152"/>
      <c r="W472" s="157"/>
      <c r="X472" s="197"/>
    </row>
    <row r="473">
      <c r="B473" s="199"/>
      <c r="N473" s="152"/>
      <c r="Q473" s="195"/>
      <c r="S473" s="200"/>
      <c r="T473" s="200"/>
      <c r="U473" s="152"/>
      <c r="V473" s="152"/>
      <c r="W473" s="157"/>
      <c r="X473" s="197"/>
    </row>
    <row r="474">
      <c r="B474" s="199"/>
      <c r="N474" s="152"/>
      <c r="Q474" s="195"/>
      <c r="S474" s="200"/>
      <c r="T474" s="200"/>
      <c r="U474" s="152"/>
      <c r="V474" s="152"/>
      <c r="W474" s="157"/>
      <c r="X474" s="197"/>
    </row>
    <row r="475">
      <c r="B475" s="199"/>
      <c r="N475" s="152"/>
      <c r="Q475" s="195"/>
      <c r="S475" s="200"/>
      <c r="T475" s="200"/>
      <c r="U475" s="152"/>
      <c r="V475" s="152"/>
      <c r="W475" s="157"/>
      <c r="X475" s="197"/>
    </row>
    <row r="476">
      <c r="B476" s="199"/>
      <c r="N476" s="152"/>
      <c r="Q476" s="195"/>
      <c r="S476" s="200"/>
      <c r="T476" s="200"/>
      <c r="U476" s="152"/>
      <c r="V476" s="152"/>
      <c r="W476" s="157"/>
      <c r="X476" s="197"/>
    </row>
    <row r="477">
      <c r="B477" s="199"/>
      <c r="N477" s="152"/>
      <c r="Q477" s="195"/>
      <c r="S477" s="200"/>
      <c r="T477" s="200"/>
      <c r="U477" s="152"/>
      <c r="V477" s="152"/>
      <c r="W477" s="157"/>
      <c r="X477" s="197"/>
    </row>
    <row r="478">
      <c r="B478" s="199"/>
      <c r="N478" s="152"/>
      <c r="Q478" s="195"/>
      <c r="S478" s="200"/>
      <c r="T478" s="200"/>
      <c r="U478" s="152"/>
      <c r="V478" s="152"/>
      <c r="W478" s="157"/>
      <c r="X478" s="197"/>
    </row>
    <row r="479">
      <c r="B479" s="199"/>
      <c r="N479" s="152"/>
      <c r="Q479" s="195"/>
      <c r="S479" s="200"/>
      <c r="T479" s="200"/>
      <c r="U479" s="152"/>
      <c r="V479" s="152"/>
      <c r="W479" s="157"/>
      <c r="X479" s="197"/>
    </row>
    <row r="480">
      <c r="B480" s="199"/>
      <c r="N480" s="152"/>
      <c r="Q480" s="195"/>
      <c r="S480" s="200"/>
      <c r="T480" s="200"/>
      <c r="U480" s="152"/>
      <c r="V480" s="152"/>
      <c r="W480" s="157"/>
      <c r="X480" s="197"/>
    </row>
    <row r="481">
      <c r="B481" s="199"/>
      <c r="N481" s="152"/>
      <c r="Q481" s="195"/>
      <c r="S481" s="200"/>
      <c r="T481" s="200"/>
      <c r="U481" s="152"/>
      <c r="V481" s="152"/>
      <c r="W481" s="157"/>
      <c r="X481" s="197"/>
    </row>
    <row r="482">
      <c r="B482" s="199"/>
      <c r="N482" s="152"/>
      <c r="Q482" s="195"/>
      <c r="S482" s="200"/>
      <c r="T482" s="200"/>
      <c r="U482" s="152"/>
      <c r="V482" s="152"/>
      <c r="W482" s="157"/>
      <c r="X482" s="197"/>
    </row>
    <row r="483">
      <c r="B483" s="199"/>
      <c r="N483" s="152"/>
      <c r="Q483" s="195"/>
      <c r="S483" s="200"/>
      <c r="T483" s="200"/>
      <c r="U483" s="152"/>
      <c r="V483" s="152"/>
      <c r="W483" s="157"/>
      <c r="X483" s="197"/>
    </row>
    <row r="484">
      <c r="B484" s="199"/>
      <c r="N484" s="152"/>
      <c r="Q484" s="195"/>
      <c r="S484" s="200"/>
      <c r="T484" s="200"/>
      <c r="U484" s="152"/>
      <c r="V484" s="152"/>
      <c r="W484" s="157"/>
      <c r="X484" s="197"/>
    </row>
    <row r="485">
      <c r="B485" s="199"/>
      <c r="N485" s="152"/>
      <c r="Q485" s="195"/>
      <c r="S485" s="200"/>
      <c r="T485" s="200"/>
      <c r="U485" s="152"/>
      <c r="V485" s="152"/>
      <c r="W485" s="157"/>
      <c r="X485" s="197"/>
    </row>
    <row r="486">
      <c r="B486" s="199"/>
      <c r="N486" s="152"/>
      <c r="Q486" s="195"/>
      <c r="S486" s="200"/>
      <c r="T486" s="200"/>
      <c r="U486" s="152"/>
      <c r="V486" s="152"/>
      <c r="W486" s="157"/>
      <c r="X486" s="197"/>
    </row>
    <row r="487">
      <c r="B487" s="199"/>
      <c r="N487" s="152"/>
      <c r="Q487" s="195"/>
      <c r="S487" s="200"/>
      <c r="T487" s="200"/>
      <c r="U487" s="152"/>
      <c r="V487" s="152"/>
      <c r="W487" s="157"/>
      <c r="X487" s="197"/>
    </row>
    <row r="488">
      <c r="B488" s="199"/>
      <c r="N488" s="152"/>
      <c r="Q488" s="195"/>
      <c r="S488" s="200"/>
      <c r="T488" s="200"/>
      <c r="U488" s="152"/>
      <c r="V488" s="152"/>
      <c r="W488" s="157"/>
      <c r="X488" s="197"/>
    </row>
    <row r="489">
      <c r="B489" s="199"/>
      <c r="N489" s="152"/>
      <c r="Q489" s="195"/>
      <c r="S489" s="200"/>
      <c r="T489" s="200"/>
      <c r="U489" s="152"/>
      <c r="V489" s="152"/>
      <c r="W489" s="157"/>
      <c r="X489" s="197"/>
    </row>
    <row r="490">
      <c r="B490" s="199"/>
      <c r="N490" s="152"/>
      <c r="Q490" s="195"/>
      <c r="S490" s="200"/>
      <c r="T490" s="200"/>
      <c r="U490" s="152"/>
      <c r="V490" s="152"/>
      <c r="W490" s="157"/>
      <c r="X490" s="197"/>
    </row>
    <row r="491">
      <c r="B491" s="199"/>
      <c r="N491" s="152"/>
      <c r="Q491" s="195"/>
      <c r="S491" s="200"/>
      <c r="T491" s="200"/>
      <c r="U491" s="152"/>
      <c r="V491" s="152"/>
      <c r="W491" s="157"/>
      <c r="X491" s="197"/>
    </row>
    <row r="492">
      <c r="B492" s="199"/>
      <c r="N492" s="152"/>
      <c r="Q492" s="195"/>
      <c r="S492" s="200"/>
      <c r="T492" s="200"/>
      <c r="U492" s="152"/>
      <c r="V492" s="152"/>
      <c r="W492" s="157"/>
      <c r="X492" s="197"/>
    </row>
    <row r="493">
      <c r="B493" s="199"/>
      <c r="N493" s="152"/>
      <c r="Q493" s="195"/>
      <c r="S493" s="200"/>
      <c r="T493" s="200"/>
      <c r="U493" s="152"/>
      <c r="V493" s="152"/>
      <c r="W493" s="157"/>
      <c r="X493" s="197"/>
    </row>
    <row r="494">
      <c r="B494" s="199"/>
      <c r="N494" s="152"/>
      <c r="Q494" s="195"/>
      <c r="S494" s="200"/>
      <c r="T494" s="200"/>
      <c r="U494" s="152"/>
      <c r="V494" s="152"/>
      <c r="W494" s="157"/>
      <c r="X494" s="197"/>
    </row>
    <row r="495">
      <c r="B495" s="199"/>
      <c r="N495" s="152"/>
      <c r="Q495" s="195"/>
      <c r="S495" s="200"/>
      <c r="T495" s="200"/>
      <c r="U495" s="152"/>
      <c r="V495" s="152"/>
      <c r="W495" s="157"/>
      <c r="X495" s="197"/>
    </row>
    <row r="496">
      <c r="B496" s="199"/>
      <c r="N496" s="152"/>
      <c r="Q496" s="195"/>
      <c r="S496" s="200"/>
      <c r="T496" s="200"/>
      <c r="U496" s="152"/>
      <c r="V496" s="152"/>
      <c r="W496" s="157"/>
      <c r="X496" s="197"/>
    </row>
    <row r="497">
      <c r="B497" s="199"/>
      <c r="N497" s="152"/>
      <c r="Q497" s="195"/>
      <c r="S497" s="200"/>
      <c r="T497" s="200"/>
      <c r="U497" s="152"/>
      <c r="V497" s="152"/>
      <c r="W497" s="157"/>
      <c r="X497" s="197"/>
    </row>
    <row r="498">
      <c r="B498" s="199"/>
      <c r="N498" s="152"/>
      <c r="Q498" s="195"/>
      <c r="S498" s="200"/>
      <c r="T498" s="200"/>
      <c r="U498" s="152"/>
      <c r="V498" s="152"/>
      <c r="W498" s="157"/>
      <c r="X498" s="197"/>
    </row>
    <row r="499">
      <c r="B499" s="199"/>
      <c r="N499" s="152"/>
      <c r="Q499" s="195"/>
      <c r="S499" s="200"/>
      <c r="T499" s="200"/>
      <c r="U499" s="152"/>
      <c r="V499" s="152"/>
      <c r="W499" s="157"/>
      <c r="X499" s="197"/>
    </row>
    <row r="500">
      <c r="B500" s="199"/>
      <c r="N500" s="152"/>
      <c r="Q500" s="195"/>
      <c r="S500" s="200"/>
      <c r="T500" s="200"/>
      <c r="U500" s="152"/>
      <c r="V500" s="152"/>
      <c r="W500" s="157"/>
      <c r="X500" s="197"/>
    </row>
    <row r="501">
      <c r="B501" s="199"/>
      <c r="N501" s="152"/>
      <c r="Q501" s="195"/>
      <c r="S501" s="200"/>
      <c r="T501" s="200"/>
      <c r="U501" s="152"/>
      <c r="V501" s="152"/>
      <c r="W501" s="157"/>
      <c r="X501" s="197"/>
    </row>
    <row r="502">
      <c r="B502" s="199"/>
      <c r="N502" s="152"/>
      <c r="Q502" s="195"/>
      <c r="S502" s="200"/>
      <c r="T502" s="200"/>
      <c r="U502" s="152"/>
      <c r="V502" s="152"/>
      <c r="W502" s="157"/>
      <c r="X502" s="197"/>
    </row>
    <row r="503">
      <c r="B503" s="199"/>
      <c r="N503" s="152"/>
      <c r="Q503" s="195"/>
      <c r="S503" s="200"/>
      <c r="T503" s="200"/>
      <c r="U503" s="152"/>
      <c r="V503" s="152"/>
      <c r="W503" s="157"/>
      <c r="X503" s="197"/>
    </row>
    <row r="504">
      <c r="B504" s="199"/>
      <c r="N504" s="152"/>
      <c r="Q504" s="195"/>
      <c r="S504" s="200"/>
      <c r="T504" s="200"/>
      <c r="U504" s="152"/>
      <c r="V504" s="152"/>
      <c r="W504" s="157"/>
      <c r="X504" s="197"/>
    </row>
    <row r="505">
      <c r="B505" s="199"/>
      <c r="N505" s="152"/>
      <c r="Q505" s="195"/>
      <c r="S505" s="200"/>
      <c r="T505" s="200"/>
      <c r="U505" s="152"/>
      <c r="V505" s="152"/>
      <c r="W505" s="157"/>
      <c r="X505" s="197"/>
    </row>
    <row r="506">
      <c r="B506" s="199"/>
      <c r="N506" s="152"/>
      <c r="Q506" s="195"/>
      <c r="S506" s="200"/>
      <c r="T506" s="200"/>
      <c r="U506" s="152"/>
      <c r="V506" s="152"/>
      <c r="W506" s="157"/>
      <c r="X506" s="197"/>
    </row>
    <row r="507">
      <c r="B507" s="199"/>
      <c r="N507" s="152"/>
      <c r="Q507" s="195"/>
      <c r="S507" s="200"/>
      <c r="T507" s="200"/>
      <c r="U507" s="152"/>
      <c r="V507" s="152"/>
      <c r="W507" s="157"/>
      <c r="X507" s="197"/>
    </row>
    <row r="508">
      <c r="B508" s="199"/>
      <c r="N508" s="152"/>
      <c r="Q508" s="195"/>
      <c r="S508" s="200"/>
      <c r="T508" s="200"/>
      <c r="U508" s="152"/>
      <c r="V508" s="152"/>
      <c r="W508" s="157"/>
      <c r="X508" s="197"/>
    </row>
    <row r="509">
      <c r="B509" s="199"/>
      <c r="N509" s="152"/>
      <c r="Q509" s="195"/>
      <c r="S509" s="200"/>
      <c r="T509" s="200"/>
      <c r="U509" s="152"/>
      <c r="V509" s="152"/>
      <c r="W509" s="157"/>
      <c r="X509" s="197"/>
    </row>
    <row r="510">
      <c r="B510" s="199"/>
      <c r="N510" s="152"/>
      <c r="Q510" s="195"/>
      <c r="S510" s="200"/>
      <c r="T510" s="200"/>
      <c r="U510" s="152"/>
      <c r="V510" s="152"/>
      <c r="W510" s="157"/>
      <c r="X510" s="197"/>
    </row>
    <row r="511">
      <c r="B511" s="199"/>
      <c r="N511" s="152"/>
      <c r="Q511" s="195"/>
      <c r="S511" s="200"/>
      <c r="T511" s="200"/>
      <c r="U511" s="152"/>
      <c r="V511" s="152"/>
      <c r="W511" s="157"/>
      <c r="X511" s="197"/>
    </row>
    <row r="512">
      <c r="B512" s="199"/>
      <c r="N512" s="152"/>
      <c r="Q512" s="195"/>
      <c r="S512" s="200"/>
      <c r="T512" s="200"/>
      <c r="U512" s="152"/>
      <c r="V512" s="152"/>
      <c r="W512" s="157"/>
      <c r="X512" s="197"/>
    </row>
    <row r="513">
      <c r="B513" s="199"/>
      <c r="N513" s="152"/>
      <c r="Q513" s="195"/>
      <c r="S513" s="200"/>
      <c r="T513" s="200"/>
      <c r="U513" s="152"/>
      <c r="V513" s="152"/>
      <c r="W513" s="157"/>
      <c r="X513" s="197"/>
    </row>
    <row r="514">
      <c r="B514" s="199"/>
      <c r="N514" s="152"/>
      <c r="Q514" s="195"/>
      <c r="S514" s="200"/>
      <c r="T514" s="200"/>
      <c r="U514" s="152"/>
      <c r="V514" s="152"/>
      <c r="W514" s="157"/>
      <c r="X514" s="197"/>
    </row>
    <row r="515">
      <c r="B515" s="199"/>
      <c r="N515" s="152"/>
      <c r="Q515" s="195"/>
      <c r="S515" s="200"/>
      <c r="T515" s="200"/>
      <c r="U515" s="152"/>
      <c r="V515" s="152"/>
      <c r="W515" s="157"/>
      <c r="X515" s="197"/>
    </row>
    <row r="516">
      <c r="B516" s="199"/>
      <c r="N516" s="152"/>
      <c r="Q516" s="195"/>
      <c r="S516" s="200"/>
      <c r="T516" s="200"/>
      <c r="U516" s="152"/>
      <c r="V516" s="152"/>
      <c r="W516" s="157"/>
      <c r="X516" s="197"/>
    </row>
    <row r="517">
      <c r="B517" s="199"/>
      <c r="N517" s="152"/>
      <c r="Q517" s="195"/>
      <c r="S517" s="200"/>
      <c r="T517" s="200"/>
      <c r="U517" s="152"/>
      <c r="V517" s="152"/>
      <c r="W517" s="157"/>
      <c r="X517" s="197"/>
    </row>
    <row r="518">
      <c r="B518" s="199"/>
      <c r="N518" s="152"/>
      <c r="Q518" s="195"/>
      <c r="S518" s="200"/>
      <c r="T518" s="200"/>
      <c r="U518" s="152"/>
      <c r="V518" s="152"/>
      <c r="W518" s="157"/>
      <c r="X518" s="197"/>
    </row>
    <row r="519">
      <c r="B519" s="199"/>
      <c r="N519" s="152"/>
      <c r="Q519" s="195"/>
      <c r="S519" s="200"/>
      <c r="T519" s="200"/>
      <c r="U519" s="152"/>
      <c r="V519" s="152"/>
      <c r="W519" s="157"/>
      <c r="X519" s="197"/>
    </row>
    <row r="520">
      <c r="B520" s="199"/>
      <c r="N520" s="152"/>
      <c r="Q520" s="195"/>
      <c r="S520" s="200"/>
      <c r="T520" s="200"/>
      <c r="U520" s="152"/>
      <c r="V520" s="152"/>
      <c r="W520" s="157"/>
      <c r="X520" s="197"/>
    </row>
    <row r="521">
      <c r="B521" s="199"/>
      <c r="N521" s="152"/>
      <c r="Q521" s="195"/>
      <c r="S521" s="200"/>
      <c r="T521" s="200"/>
      <c r="U521" s="152"/>
      <c r="V521" s="152"/>
      <c r="W521" s="157"/>
      <c r="X521" s="197"/>
    </row>
    <row r="522">
      <c r="B522" s="199"/>
      <c r="N522" s="152"/>
      <c r="Q522" s="195"/>
      <c r="S522" s="200"/>
      <c r="T522" s="200"/>
      <c r="U522" s="152"/>
      <c r="V522" s="152"/>
      <c r="W522" s="157"/>
      <c r="X522" s="197"/>
    </row>
    <row r="523">
      <c r="B523" s="199"/>
      <c r="N523" s="152"/>
      <c r="Q523" s="195"/>
      <c r="S523" s="200"/>
      <c r="T523" s="200"/>
      <c r="U523" s="152"/>
      <c r="V523" s="152"/>
      <c r="W523" s="157"/>
      <c r="X523" s="197"/>
    </row>
    <row r="524">
      <c r="B524" s="199"/>
      <c r="N524" s="152"/>
      <c r="Q524" s="195"/>
      <c r="S524" s="200"/>
      <c r="T524" s="200"/>
      <c r="U524" s="152"/>
      <c r="V524" s="152"/>
      <c r="W524" s="157"/>
      <c r="X524" s="197"/>
    </row>
    <row r="525">
      <c r="B525" s="199"/>
      <c r="N525" s="152"/>
      <c r="Q525" s="195"/>
      <c r="S525" s="200"/>
      <c r="T525" s="200"/>
      <c r="U525" s="152"/>
      <c r="V525" s="152"/>
      <c r="W525" s="157"/>
      <c r="X525" s="197"/>
    </row>
    <row r="526">
      <c r="B526" s="199"/>
      <c r="N526" s="152"/>
      <c r="Q526" s="195"/>
      <c r="S526" s="200"/>
      <c r="T526" s="200"/>
      <c r="U526" s="152"/>
      <c r="V526" s="152"/>
      <c r="W526" s="157"/>
      <c r="X526" s="197"/>
    </row>
    <row r="527">
      <c r="B527" s="199"/>
      <c r="N527" s="152"/>
      <c r="Q527" s="195"/>
      <c r="S527" s="200"/>
      <c r="T527" s="200"/>
      <c r="U527" s="152"/>
      <c r="V527" s="152"/>
      <c r="W527" s="157"/>
      <c r="X527" s="197"/>
    </row>
    <row r="528">
      <c r="B528" s="199"/>
      <c r="N528" s="152"/>
      <c r="Q528" s="195"/>
      <c r="S528" s="200"/>
      <c r="T528" s="200"/>
      <c r="U528" s="152"/>
      <c r="V528" s="152"/>
      <c r="W528" s="157"/>
      <c r="X528" s="197"/>
    </row>
    <row r="529">
      <c r="B529" s="199"/>
      <c r="N529" s="152"/>
      <c r="Q529" s="195"/>
      <c r="S529" s="200"/>
      <c r="T529" s="200"/>
      <c r="U529" s="152"/>
      <c r="V529" s="152"/>
      <c r="W529" s="157"/>
      <c r="X529" s="197"/>
    </row>
    <row r="530">
      <c r="B530" s="199"/>
      <c r="N530" s="152"/>
      <c r="Q530" s="195"/>
      <c r="S530" s="200"/>
      <c r="T530" s="200"/>
      <c r="U530" s="152"/>
      <c r="V530" s="152"/>
      <c r="W530" s="157"/>
      <c r="X530" s="197"/>
    </row>
    <row r="531">
      <c r="B531" s="199"/>
      <c r="N531" s="152"/>
      <c r="Q531" s="195"/>
      <c r="S531" s="200"/>
      <c r="T531" s="200"/>
      <c r="U531" s="152"/>
      <c r="V531" s="152"/>
      <c r="W531" s="157"/>
      <c r="X531" s="197"/>
    </row>
    <row r="532">
      <c r="B532" s="199"/>
      <c r="N532" s="152"/>
      <c r="Q532" s="195"/>
      <c r="S532" s="200"/>
      <c r="T532" s="200"/>
      <c r="U532" s="152"/>
      <c r="V532" s="152"/>
      <c r="W532" s="157"/>
      <c r="X532" s="197"/>
    </row>
    <row r="533">
      <c r="B533" s="199"/>
      <c r="N533" s="152"/>
      <c r="Q533" s="195"/>
      <c r="S533" s="200"/>
      <c r="T533" s="200"/>
      <c r="U533" s="152"/>
      <c r="V533" s="152"/>
      <c r="W533" s="157"/>
      <c r="X533" s="197"/>
    </row>
    <row r="534">
      <c r="B534" s="199"/>
      <c r="N534" s="152"/>
      <c r="Q534" s="195"/>
      <c r="S534" s="200"/>
      <c r="T534" s="200"/>
      <c r="U534" s="152"/>
      <c r="V534" s="152"/>
      <c r="W534" s="157"/>
      <c r="X534" s="197"/>
    </row>
    <row r="535">
      <c r="B535" s="199"/>
      <c r="N535" s="152"/>
      <c r="Q535" s="195"/>
      <c r="S535" s="200"/>
      <c r="T535" s="200"/>
      <c r="U535" s="152"/>
      <c r="V535" s="152"/>
      <c r="W535" s="157"/>
      <c r="X535" s="197"/>
    </row>
    <row r="536">
      <c r="B536" s="199"/>
      <c r="N536" s="152"/>
      <c r="Q536" s="195"/>
      <c r="S536" s="200"/>
      <c r="T536" s="200"/>
      <c r="U536" s="152"/>
      <c r="V536" s="152"/>
      <c r="W536" s="157"/>
      <c r="X536" s="197"/>
    </row>
    <row r="537">
      <c r="B537" s="199"/>
      <c r="N537" s="152"/>
      <c r="Q537" s="195"/>
      <c r="S537" s="200"/>
      <c r="T537" s="200"/>
      <c r="U537" s="152"/>
      <c r="V537" s="152"/>
      <c r="W537" s="157"/>
      <c r="X537" s="197"/>
    </row>
    <row r="538">
      <c r="B538" s="199"/>
      <c r="N538" s="152"/>
      <c r="Q538" s="195"/>
      <c r="S538" s="200"/>
      <c r="T538" s="200"/>
      <c r="U538" s="152"/>
      <c r="V538" s="152"/>
      <c r="W538" s="157"/>
      <c r="X538" s="197"/>
    </row>
    <row r="539">
      <c r="B539" s="199"/>
      <c r="N539" s="152"/>
      <c r="Q539" s="195"/>
      <c r="S539" s="200"/>
      <c r="T539" s="200"/>
      <c r="U539" s="152"/>
      <c r="V539" s="152"/>
      <c r="W539" s="157"/>
      <c r="X539" s="197"/>
    </row>
    <row r="540">
      <c r="B540" s="199"/>
      <c r="N540" s="152"/>
      <c r="Q540" s="195"/>
      <c r="S540" s="200"/>
      <c r="T540" s="200"/>
      <c r="U540" s="152"/>
      <c r="V540" s="152"/>
      <c r="W540" s="157"/>
      <c r="X540" s="197"/>
    </row>
    <row r="541">
      <c r="B541" s="199"/>
      <c r="N541" s="152"/>
      <c r="Q541" s="195"/>
      <c r="S541" s="200"/>
      <c r="T541" s="200"/>
      <c r="U541" s="152"/>
      <c r="V541" s="152"/>
      <c r="W541" s="157"/>
      <c r="X541" s="197"/>
    </row>
    <row r="542">
      <c r="B542" s="199"/>
      <c r="N542" s="152"/>
      <c r="Q542" s="195"/>
      <c r="S542" s="200"/>
      <c r="T542" s="200"/>
      <c r="U542" s="152"/>
      <c r="V542" s="152"/>
      <c r="W542" s="157"/>
      <c r="X542" s="197"/>
    </row>
    <row r="543">
      <c r="B543" s="199"/>
      <c r="N543" s="152"/>
      <c r="Q543" s="195"/>
      <c r="S543" s="200"/>
      <c r="T543" s="200"/>
      <c r="U543" s="152"/>
      <c r="V543" s="152"/>
      <c r="W543" s="157"/>
      <c r="X543" s="197"/>
    </row>
    <row r="544">
      <c r="B544" s="199"/>
      <c r="N544" s="152"/>
      <c r="Q544" s="195"/>
      <c r="S544" s="200"/>
      <c r="T544" s="200"/>
      <c r="U544" s="152"/>
      <c r="V544" s="152"/>
      <c r="W544" s="157"/>
      <c r="X544" s="197"/>
    </row>
    <row r="545">
      <c r="B545" s="199"/>
      <c r="N545" s="152"/>
      <c r="Q545" s="195"/>
      <c r="S545" s="200"/>
      <c r="T545" s="200"/>
      <c r="U545" s="152"/>
      <c r="V545" s="152"/>
      <c r="W545" s="157"/>
      <c r="X545" s="197"/>
    </row>
    <row r="546">
      <c r="B546" s="199"/>
      <c r="N546" s="152"/>
      <c r="Q546" s="195"/>
      <c r="S546" s="200"/>
      <c r="T546" s="200"/>
      <c r="U546" s="152"/>
      <c r="V546" s="152"/>
      <c r="W546" s="157"/>
      <c r="X546" s="197"/>
    </row>
    <row r="547">
      <c r="B547" s="199"/>
      <c r="N547" s="152"/>
      <c r="Q547" s="195"/>
      <c r="S547" s="200"/>
      <c r="T547" s="200"/>
      <c r="U547" s="152"/>
      <c r="V547" s="152"/>
      <c r="W547" s="157"/>
      <c r="X547" s="197"/>
    </row>
    <row r="548">
      <c r="B548" s="199"/>
      <c r="N548" s="152"/>
      <c r="Q548" s="195"/>
      <c r="S548" s="200"/>
      <c r="T548" s="200"/>
      <c r="U548" s="152"/>
      <c r="V548" s="152"/>
      <c r="W548" s="157"/>
      <c r="X548" s="197"/>
    </row>
    <row r="549">
      <c r="B549" s="199"/>
      <c r="N549" s="152"/>
      <c r="Q549" s="195"/>
      <c r="S549" s="200"/>
      <c r="T549" s="200"/>
      <c r="U549" s="152"/>
      <c r="V549" s="152"/>
      <c r="W549" s="157"/>
      <c r="X549" s="197"/>
    </row>
    <row r="550">
      <c r="B550" s="199"/>
      <c r="N550" s="152"/>
      <c r="Q550" s="195"/>
      <c r="S550" s="200"/>
      <c r="T550" s="200"/>
      <c r="U550" s="152"/>
      <c r="V550" s="152"/>
      <c r="W550" s="157"/>
      <c r="X550" s="197"/>
    </row>
    <row r="551">
      <c r="B551" s="199"/>
      <c r="N551" s="152"/>
      <c r="Q551" s="195"/>
      <c r="S551" s="200"/>
      <c r="T551" s="200"/>
      <c r="U551" s="152"/>
      <c r="V551" s="152"/>
      <c r="W551" s="157"/>
      <c r="X551" s="197"/>
    </row>
    <row r="552">
      <c r="B552" s="199"/>
      <c r="N552" s="152"/>
      <c r="Q552" s="195"/>
      <c r="S552" s="200"/>
      <c r="T552" s="200"/>
      <c r="U552" s="152"/>
      <c r="V552" s="152"/>
      <c r="W552" s="157"/>
      <c r="X552" s="197"/>
    </row>
    <row r="553">
      <c r="B553" s="199"/>
      <c r="N553" s="152"/>
      <c r="Q553" s="195"/>
      <c r="S553" s="200"/>
      <c r="T553" s="200"/>
      <c r="U553" s="152"/>
      <c r="V553" s="152"/>
      <c r="W553" s="157"/>
      <c r="X553" s="197"/>
    </row>
    <row r="554">
      <c r="B554" s="199"/>
      <c r="N554" s="152"/>
      <c r="Q554" s="195"/>
      <c r="S554" s="200"/>
      <c r="T554" s="200"/>
      <c r="U554" s="152"/>
      <c r="V554" s="152"/>
      <c r="W554" s="157"/>
      <c r="X554" s="197"/>
    </row>
    <row r="555">
      <c r="B555" s="199"/>
      <c r="N555" s="152"/>
      <c r="Q555" s="195"/>
      <c r="S555" s="200"/>
      <c r="T555" s="200"/>
      <c r="U555" s="152"/>
      <c r="V555" s="152"/>
      <c r="W555" s="157"/>
      <c r="X555" s="197"/>
    </row>
    <row r="556">
      <c r="B556" s="199"/>
      <c r="N556" s="152"/>
      <c r="Q556" s="195"/>
      <c r="S556" s="200"/>
      <c r="T556" s="200"/>
      <c r="U556" s="152"/>
      <c r="V556" s="152"/>
      <c r="W556" s="157"/>
      <c r="X556" s="197"/>
    </row>
    <row r="557">
      <c r="B557" s="199"/>
      <c r="N557" s="152"/>
      <c r="Q557" s="195"/>
      <c r="S557" s="200"/>
      <c r="T557" s="200"/>
      <c r="U557" s="152"/>
      <c r="V557" s="152"/>
      <c r="W557" s="157"/>
      <c r="X557" s="197"/>
    </row>
    <row r="558">
      <c r="B558" s="199"/>
      <c r="N558" s="152"/>
      <c r="Q558" s="195"/>
      <c r="S558" s="200"/>
      <c r="T558" s="200"/>
      <c r="U558" s="152"/>
      <c r="V558" s="152"/>
      <c r="W558" s="157"/>
      <c r="X558" s="197"/>
    </row>
    <row r="559">
      <c r="B559" s="199"/>
      <c r="N559" s="152"/>
      <c r="Q559" s="195"/>
      <c r="S559" s="200"/>
      <c r="T559" s="200"/>
      <c r="U559" s="152"/>
      <c r="V559" s="152"/>
      <c r="W559" s="157"/>
      <c r="X559" s="197"/>
    </row>
    <row r="560">
      <c r="B560" s="199"/>
      <c r="N560" s="152"/>
      <c r="Q560" s="195"/>
      <c r="S560" s="200"/>
      <c r="T560" s="200"/>
      <c r="U560" s="152"/>
      <c r="V560" s="152"/>
      <c r="W560" s="157"/>
      <c r="X560" s="197"/>
    </row>
    <row r="561">
      <c r="B561" s="199"/>
      <c r="N561" s="152"/>
      <c r="Q561" s="195"/>
      <c r="S561" s="200"/>
      <c r="T561" s="200"/>
      <c r="U561" s="152"/>
      <c r="V561" s="152"/>
      <c r="W561" s="157"/>
      <c r="X561" s="197"/>
    </row>
    <row r="562">
      <c r="B562" s="199"/>
      <c r="N562" s="152"/>
      <c r="Q562" s="195"/>
      <c r="S562" s="200"/>
      <c r="T562" s="200"/>
      <c r="U562" s="152"/>
      <c r="V562" s="152"/>
      <c r="W562" s="157"/>
      <c r="X562" s="197"/>
    </row>
    <row r="563">
      <c r="B563" s="199"/>
      <c r="N563" s="152"/>
      <c r="Q563" s="195"/>
      <c r="S563" s="200"/>
      <c r="T563" s="200"/>
      <c r="U563" s="152"/>
      <c r="V563" s="152"/>
      <c r="W563" s="157"/>
      <c r="X563" s="197"/>
    </row>
    <row r="564">
      <c r="B564" s="199"/>
      <c r="N564" s="152"/>
      <c r="Q564" s="195"/>
      <c r="S564" s="200"/>
      <c r="T564" s="200"/>
      <c r="U564" s="152"/>
      <c r="V564" s="152"/>
      <c r="W564" s="157"/>
      <c r="X564" s="197"/>
    </row>
    <row r="565">
      <c r="B565" s="199"/>
      <c r="N565" s="152"/>
      <c r="Q565" s="195"/>
      <c r="S565" s="200"/>
      <c r="T565" s="200"/>
      <c r="U565" s="152"/>
      <c r="V565" s="152"/>
      <c r="W565" s="157"/>
      <c r="X565" s="197"/>
    </row>
    <row r="566">
      <c r="B566" s="199"/>
      <c r="N566" s="152"/>
      <c r="Q566" s="195"/>
      <c r="S566" s="200"/>
      <c r="T566" s="200"/>
      <c r="U566" s="152"/>
      <c r="V566" s="152"/>
      <c r="W566" s="157"/>
      <c r="X566" s="197"/>
    </row>
    <row r="567">
      <c r="B567" s="199"/>
      <c r="N567" s="152"/>
      <c r="Q567" s="195"/>
      <c r="S567" s="200"/>
      <c r="T567" s="200"/>
      <c r="U567" s="152"/>
      <c r="V567" s="152"/>
      <c r="W567" s="157"/>
      <c r="X567" s="197"/>
    </row>
    <row r="568">
      <c r="B568" s="199"/>
      <c r="N568" s="152"/>
      <c r="Q568" s="195"/>
      <c r="S568" s="200"/>
      <c r="T568" s="200"/>
      <c r="U568" s="152"/>
      <c r="V568" s="152"/>
      <c r="W568" s="157"/>
      <c r="X568" s="197"/>
    </row>
    <row r="569">
      <c r="B569" s="199"/>
      <c r="N569" s="152"/>
      <c r="Q569" s="195"/>
      <c r="S569" s="200"/>
      <c r="T569" s="200"/>
      <c r="U569" s="152"/>
      <c r="V569" s="152"/>
      <c r="W569" s="157"/>
      <c r="X569" s="197"/>
    </row>
    <row r="570">
      <c r="B570" s="199"/>
      <c r="N570" s="152"/>
      <c r="Q570" s="195"/>
      <c r="S570" s="200"/>
      <c r="T570" s="200"/>
      <c r="U570" s="152"/>
      <c r="V570" s="152"/>
      <c r="W570" s="157"/>
      <c r="X570" s="197"/>
    </row>
    <row r="571">
      <c r="B571" s="199"/>
      <c r="N571" s="152"/>
      <c r="Q571" s="195"/>
      <c r="S571" s="200"/>
      <c r="T571" s="200"/>
      <c r="U571" s="152"/>
      <c r="V571" s="152"/>
      <c r="W571" s="157"/>
      <c r="X571" s="197"/>
    </row>
    <row r="572">
      <c r="B572" s="199"/>
      <c r="N572" s="152"/>
      <c r="Q572" s="195"/>
      <c r="S572" s="200"/>
      <c r="T572" s="200"/>
      <c r="U572" s="152"/>
      <c r="V572" s="152"/>
      <c r="W572" s="157"/>
      <c r="X572" s="197"/>
    </row>
    <row r="573">
      <c r="B573" s="199"/>
      <c r="N573" s="152"/>
      <c r="Q573" s="195"/>
      <c r="S573" s="200"/>
      <c r="T573" s="200"/>
      <c r="U573" s="152"/>
      <c r="V573" s="152"/>
      <c r="W573" s="157"/>
      <c r="X573" s="197"/>
    </row>
    <row r="574">
      <c r="B574" s="199"/>
      <c r="N574" s="152"/>
      <c r="Q574" s="195"/>
      <c r="S574" s="200"/>
      <c r="T574" s="200"/>
      <c r="U574" s="152"/>
      <c r="V574" s="152"/>
      <c r="W574" s="157"/>
      <c r="X574" s="197"/>
    </row>
    <row r="575">
      <c r="B575" s="199"/>
      <c r="N575" s="152"/>
      <c r="Q575" s="195"/>
      <c r="S575" s="200"/>
      <c r="T575" s="200"/>
      <c r="U575" s="152"/>
      <c r="V575" s="152"/>
      <c r="W575" s="157"/>
      <c r="X575" s="197"/>
    </row>
    <row r="576">
      <c r="B576" s="199"/>
      <c r="N576" s="152"/>
      <c r="Q576" s="195"/>
      <c r="S576" s="200"/>
      <c r="T576" s="200"/>
      <c r="U576" s="152"/>
      <c r="V576" s="152"/>
      <c r="W576" s="157"/>
      <c r="X576" s="197"/>
    </row>
    <row r="577">
      <c r="B577" s="199"/>
      <c r="N577" s="152"/>
      <c r="Q577" s="195"/>
      <c r="S577" s="200"/>
      <c r="T577" s="200"/>
      <c r="U577" s="152"/>
      <c r="V577" s="152"/>
      <c r="W577" s="157"/>
      <c r="X577" s="197"/>
    </row>
    <row r="578">
      <c r="B578" s="199"/>
      <c r="N578" s="152"/>
      <c r="Q578" s="195"/>
      <c r="S578" s="200"/>
      <c r="T578" s="200"/>
      <c r="U578" s="152"/>
      <c r="V578" s="152"/>
      <c r="W578" s="157"/>
      <c r="X578" s="197"/>
    </row>
    <row r="579">
      <c r="B579" s="199"/>
      <c r="N579" s="152"/>
      <c r="Q579" s="195"/>
      <c r="S579" s="200"/>
      <c r="T579" s="200"/>
      <c r="U579" s="152"/>
      <c r="V579" s="152"/>
      <c r="W579" s="157"/>
      <c r="X579" s="197"/>
    </row>
    <row r="580">
      <c r="B580" s="199"/>
      <c r="N580" s="152"/>
      <c r="Q580" s="195"/>
      <c r="S580" s="200"/>
      <c r="T580" s="200"/>
      <c r="U580" s="152"/>
      <c r="V580" s="152"/>
      <c r="W580" s="157"/>
      <c r="X580" s="197"/>
    </row>
    <row r="581">
      <c r="B581" s="199"/>
      <c r="N581" s="152"/>
      <c r="Q581" s="195"/>
      <c r="S581" s="200"/>
      <c r="T581" s="200"/>
      <c r="U581" s="152"/>
      <c r="V581" s="152"/>
      <c r="W581" s="157"/>
      <c r="X581" s="197"/>
    </row>
    <row r="582">
      <c r="B582" s="199"/>
      <c r="N582" s="152"/>
      <c r="Q582" s="195"/>
      <c r="S582" s="200"/>
      <c r="T582" s="200"/>
      <c r="U582" s="152"/>
      <c r="V582" s="152"/>
      <c r="W582" s="157"/>
      <c r="X582" s="197"/>
    </row>
    <row r="583">
      <c r="B583" s="199"/>
      <c r="N583" s="152"/>
      <c r="Q583" s="195"/>
      <c r="S583" s="200"/>
      <c r="T583" s="200"/>
      <c r="U583" s="152"/>
      <c r="V583" s="152"/>
      <c r="W583" s="157"/>
      <c r="X583" s="197"/>
    </row>
    <row r="584">
      <c r="B584" s="199"/>
      <c r="N584" s="152"/>
      <c r="Q584" s="195"/>
      <c r="S584" s="200"/>
      <c r="T584" s="200"/>
      <c r="U584" s="152"/>
      <c r="V584" s="152"/>
      <c r="W584" s="157"/>
      <c r="X584" s="197"/>
    </row>
    <row r="585">
      <c r="B585" s="199"/>
      <c r="N585" s="152"/>
      <c r="Q585" s="195"/>
      <c r="S585" s="200"/>
      <c r="T585" s="200"/>
      <c r="U585" s="152"/>
      <c r="V585" s="152"/>
      <c r="W585" s="157"/>
      <c r="X585" s="197"/>
    </row>
    <row r="586">
      <c r="B586" s="199"/>
      <c r="N586" s="152"/>
      <c r="Q586" s="195"/>
      <c r="S586" s="200"/>
      <c r="T586" s="200"/>
      <c r="U586" s="152"/>
      <c r="V586" s="152"/>
      <c r="W586" s="157"/>
      <c r="X586" s="197"/>
    </row>
    <row r="587">
      <c r="B587" s="199"/>
      <c r="N587" s="152"/>
      <c r="Q587" s="195"/>
      <c r="S587" s="200"/>
      <c r="T587" s="200"/>
      <c r="U587" s="152"/>
      <c r="V587" s="152"/>
      <c r="W587" s="157"/>
      <c r="X587" s="197"/>
    </row>
    <row r="588">
      <c r="B588" s="199"/>
      <c r="N588" s="152"/>
      <c r="Q588" s="195"/>
      <c r="S588" s="200"/>
      <c r="T588" s="200"/>
      <c r="U588" s="152"/>
      <c r="V588" s="152"/>
      <c r="W588" s="157"/>
      <c r="X588" s="197"/>
    </row>
    <row r="589">
      <c r="B589" s="199"/>
      <c r="N589" s="152"/>
      <c r="Q589" s="195"/>
      <c r="S589" s="200"/>
      <c r="T589" s="200"/>
      <c r="U589" s="152"/>
      <c r="V589" s="152"/>
      <c r="W589" s="157"/>
      <c r="X589" s="197"/>
    </row>
    <row r="590">
      <c r="B590" s="199"/>
      <c r="N590" s="152"/>
      <c r="Q590" s="195"/>
      <c r="S590" s="200"/>
      <c r="T590" s="200"/>
      <c r="U590" s="152"/>
      <c r="V590" s="152"/>
      <c r="W590" s="157"/>
      <c r="X590" s="197"/>
    </row>
    <row r="591">
      <c r="B591" s="199"/>
      <c r="N591" s="152"/>
      <c r="Q591" s="195"/>
      <c r="S591" s="200"/>
      <c r="T591" s="200"/>
      <c r="U591" s="152"/>
      <c r="V591" s="152"/>
      <c r="W591" s="157"/>
      <c r="X591" s="197"/>
    </row>
    <row r="592">
      <c r="B592" s="199"/>
      <c r="N592" s="152"/>
      <c r="Q592" s="195"/>
      <c r="S592" s="200"/>
      <c r="T592" s="200"/>
      <c r="U592" s="152"/>
      <c r="V592" s="152"/>
      <c r="W592" s="157"/>
      <c r="X592" s="197"/>
    </row>
    <row r="593">
      <c r="B593" s="199"/>
      <c r="N593" s="152"/>
      <c r="Q593" s="195"/>
      <c r="S593" s="200"/>
      <c r="T593" s="200"/>
      <c r="U593" s="152"/>
      <c r="V593" s="152"/>
      <c r="W593" s="157"/>
      <c r="X593" s="197"/>
    </row>
    <row r="594">
      <c r="B594" s="199"/>
      <c r="N594" s="152"/>
      <c r="Q594" s="195"/>
      <c r="S594" s="200"/>
      <c r="T594" s="200"/>
      <c r="U594" s="152"/>
      <c r="V594" s="152"/>
      <c r="W594" s="157"/>
      <c r="X594" s="197"/>
    </row>
    <row r="595">
      <c r="B595" s="199"/>
      <c r="N595" s="152"/>
      <c r="Q595" s="195"/>
      <c r="S595" s="200"/>
      <c r="T595" s="200"/>
      <c r="U595" s="152"/>
      <c r="V595" s="152"/>
      <c r="W595" s="157"/>
      <c r="X595" s="197"/>
    </row>
    <row r="596">
      <c r="B596" s="199"/>
      <c r="N596" s="152"/>
      <c r="Q596" s="195"/>
      <c r="S596" s="200"/>
      <c r="T596" s="200"/>
      <c r="U596" s="152"/>
      <c r="V596" s="152"/>
      <c r="W596" s="157"/>
      <c r="X596" s="197"/>
    </row>
    <row r="597">
      <c r="B597" s="199"/>
      <c r="N597" s="152"/>
      <c r="Q597" s="195"/>
      <c r="S597" s="200"/>
      <c r="T597" s="200"/>
      <c r="U597" s="152"/>
      <c r="V597" s="152"/>
      <c r="W597" s="157"/>
      <c r="X597" s="197"/>
    </row>
    <row r="598">
      <c r="B598" s="199"/>
      <c r="N598" s="152"/>
      <c r="Q598" s="195"/>
      <c r="S598" s="200"/>
      <c r="T598" s="200"/>
      <c r="U598" s="152"/>
      <c r="V598" s="152"/>
      <c r="W598" s="157"/>
      <c r="X598" s="197"/>
    </row>
    <row r="599">
      <c r="B599" s="199"/>
      <c r="N599" s="152"/>
      <c r="Q599" s="195"/>
      <c r="S599" s="200"/>
      <c r="T599" s="200"/>
      <c r="U599" s="152"/>
      <c r="V599" s="152"/>
      <c r="W599" s="157"/>
      <c r="X599" s="197"/>
    </row>
    <row r="600">
      <c r="B600" s="199"/>
      <c r="N600" s="152"/>
      <c r="Q600" s="195"/>
      <c r="S600" s="200"/>
      <c r="T600" s="200"/>
      <c r="U600" s="152"/>
      <c r="V600" s="152"/>
      <c r="W600" s="157"/>
      <c r="X600" s="197"/>
    </row>
    <row r="601">
      <c r="B601" s="199"/>
      <c r="N601" s="152"/>
      <c r="Q601" s="195"/>
      <c r="S601" s="200"/>
      <c r="T601" s="200"/>
      <c r="U601" s="152"/>
      <c r="V601" s="152"/>
      <c r="W601" s="157"/>
      <c r="X601" s="197"/>
    </row>
    <row r="602">
      <c r="B602" s="199"/>
      <c r="N602" s="152"/>
      <c r="Q602" s="195"/>
      <c r="S602" s="200"/>
      <c r="T602" s="200"/>
      <c r="U602" s="152"/>
      <c r="V602" s="152"/>
      <c r="W602" s="157"/>
      <c r="X602" s="197"/>
    </row>
    <row r="603">
      <c r="B603" s="199"/>
      <c r="N603" s="152"/>
      <c r="Q603" s="195"/>
      <c r="S603" s="200"/>
      <c r="T603" s="200"/>
      <c r="U603" s="152"/>
      <c r="V603" s="152"/>
      <c r="W603" s="157"/>
      <c r="X603" s="197"/>
    </row>
    <row r="604">
      <c r="B604" s="199"/>
      <c r="N604" s="152"/>
      <c r="Q604" s="195"/>
      <c r="S604" s="200"/>
      <c r="T604" s="200"/>
      <c r="U604" s="152"/>
      <c r="V604" s="152"/>
      <c r="W604" s="157"/>
      <c r="X604" s="197"/>
    </row>
    <row r="605">
      <c r="B605" s="199"/>
      <c r="N605" s="152"/>
      <c r="Q605" s="195"/>
      <c r="S605" s="200"/>
      <c r="T605" s="200"/>
      <c r="U605" s="152"/>
      <c r="V605" s="152"/>
      <c r="W605" s="157"/>
      <c r="X605" s="197"/>
    </row>
    <row r="606">
      <c r="B606" s="199"/>
      <c r="N606" s="152"/>
      <c r="Q606" s="195"/>
      <c r="S606" s="200"/>
      <c r="T606" s="200"/>
      <c r="U606" s="152"/>
      <c r="V606" s="152"/>
      <c r="W606" s="157"/>
      <c r="X606" s="197"/>
    </row>
    <row r="607">
      <c r="B607" s="199"/>
      <c r="N607" s="152"/>
      <c r="Q607" s="195"/>
      <c r="S607" s="200"/>
      <c r="T607" s="200"/>
      <c r="U607" s="152"/>
      <c r="V607" s="152"/>
      <c r="W607" s="157"/>
      <c r="X607" s="197"/>
    </row>
    <row r="608">
      <c r="B608" s="199"/>
      <c r="N608" s="152"/>
      <c r="Q608" s="195"/>
      <c r="S608" s="200"/>
      <c r="T608" s="200"/>
      <c r="U608" s="152"/>
      <c r="V608" s="152"/>
      <c r="W608" s="157"/>
      <c r="X608" s="197"/>
    </row>
    <row r="609">
      <c r="B609" s="199"/>
      <c r="N609" s="152"/>
      <c r="Q609" s="195"/>
      <c r="S609" s="200"/>
      <c r="T609" s="200"/>
      <c r="U609" s="152"/>
      <c r="V609" s="152"/>
      <c r="W609" s="157"/>
      <c r="X609" s="197"/>
    </row>
    <row r="610">
      <c r="B610" s="199"/>
      <c r="N610" s="152"/>
      <c r="Q610" s="195"/>
      <c r="S610" s="200"/>
      <c r="T610" s="200"/>
      <c r="U610" s="152"/>
      <c r="V610" s="152"/>
      <c r="W610" s="157"/>
      <c r="X610" s="197"/>
    </row>
    <row r="611">
      <c r="B611" s="199"/>
      <c r="N611" s="152"/>
      <c r="Q611" s="195"/>
      <c r="S611" s="200"/>
      <c r="T611" s="200"/>
      <c r="U611" s="152"/>
      <c r="V611" s="152"/>
      <c r="W611" s="157"/>
      <c r="X611" s="197"/>
    </row>
    <row r="612">
      <c r="B612" s="199"/>
      <c r="N612" s="152"/>
      <c r="Q612" s="195"/>
      <c r="S612" s="200"/>
      <c r="T612" s="200"/>
      <c r="U612" s="152"/>
      <c r="V612" s="152"/>
      <c r="W612" s="157"/>
      <c r="X612" s="197"/>
    </row>
    <row r="613">
      <c r="B613" s="199"/>
      <c r="N613" s="152"/>
      <c r="Q613" s="195"/>
      <c r="S613" s="200"/>
      <c r="T613" s="200"/>
      <c r="U613" s="152"/>
      <c r="V613" s="152"/>
      <c r="W613" s="157"/>
      <c r="X613" s="197"/>
    </row>
    <row r="614">
      <c r="B614" s="199"/>
      <c r="N614" s="152"/>
      <c r="Q614" s="195"/>
      <c r="S614" s="200"/>
      <c r="T614" s="200"/>
      <c r="U614" s="152"/>
      <c r="V614" s="152"/>
      <c r="W614" s="157"/>
      <c r="X614" s="197"/>
    </row>
    <row r="615">
      <c r="B615" s="199"/>
      <c r="N615" s="152"/>
      <c r="Q615" s="195"/>
      <c r="S615" s="200"/>
      <c r="T615" s="200"/>
      <c r="U615" s="152"/>
      <c r="V615" s="152"/>
      <c r="W615" s="157"/>
      <c r="X615" s="197"/>
    </row>
    <row r="616">
      <c r="B616" s="199"/>
      <c r="N616" s="152"/>
      <c r="Q616" s="195"/>
      <c r="S616" s="200"/>
      <c r="T616" s="200"/>
      <c r="U616" s="152"/>
      <c r="V616" s="152"/>
      <c r="W616" s="157"/>
      <c r="X616" s="197"/>
    </row>
    <row r="617">
      <c r="B617" s="199"/>
      <c r="N617" s="152"/>
      <c r="Q617" s="195"/>
      <c r="S617" s="200"/>
      <c r="T617" s="200"/>
      <c r="U617" s="152"/>
      <c r="V617" s="152"/>
      <c r="W617" s="157"/>
      <c r="X617" s="197"/>
    </row>
    <row r="618">
      <c r="B618" s="199"/>
      <c r="N618" s="152"/>
      <c r="Q618" s="195"/>
      <c r="S618" s="200"/>
      <c r="T618" s="200"/>
      <c r="U618" s="152"/>
      <c r="V618" s="152"/>
      <c r="W618" s="157"/>
      <c r="X618" s="197"/>
    </row>
    <row r="619">
      <c r="B619" s="199"/>
      <c r="N619" s="152"/>
      <c r="Q619" s="195"/>
      <c r="S619" s="200"/>
      <c r="T619" s="200"/>
      <c r="U619" s="152"/>
      <c r="V619" s="152"/>
      <c r="W619" s="157"/>
      <c r="X619" s="197"/>
    </row>
    <row r="620">
      <c r="B620" s="199"/>
      <c r="N620" s="152"/>
      <c r="Q620" s="195"/>
      <c r="S620" s="200"/>
      <c r="T620" s="200"/>
      <c r="U620" s="152"/>
      <c r="V620" s="152"/>
      <c r="W620" s="157"/>
      <c r="X620" s="197"/>
    </row>
    <row r="621">
      <c r="B621" s="199"/>
      <c r="N621" s="152"/>
      <c r="Q621" s="195"/>
      <c r="S621" s="200"/>
      <c r="T621" s="200"/>
      <c r="U621" s="152"/>
      <c r="V621" s="152"/>
      <c r="W621" s="157"/>
      <c r="X621" s="197"/>
    </row>
    <row r="622">
      <c r="B622" s="199"/>
      <c r="N622" s="152"/>
      <c r="Q622" s="195"/>
      <c r="S622" s="200"/>
      <c r="T622" s="200"/>
      <c r="U622" s="152"/>
      <c r="V622" s="152"/>
      <c r="W622" s="157"/>
      <c r="X622" s="197"/>
    </row>
    <row r="623">
      <c r="B623" s="199"/>
      <c r="N623" s="152"/>
      <c r="Q623" s="195"/>
      <c r="S623" s="200"/>
      <c r="T623" s="200"/>
      <c r="U623" s="152"/>
      <c r="V623" s="152"/>
      <c r="W623" s="157"/>
      <c r="X623" s="197"/>
    </row>
    <row r="624">
      <c r="B624" s="199"/>
      <c r="N624" s="152"/>
      <c r="Q624" s="195"/>
      <c r="S624" s="200"/>
      <c r="T624" s="200"/>
      <c r="U624" s="152"/>
      <c r="V624" s="152"/>
      <c r="W624" s="157"/>
      <c r="X624" s="197"/>
    </row>
    <row r="625">
      <c r="B625" s="199"/>
      <c r="N625" s="152"/>
      <c r="Q625" s="195"/>
      <c r="S625" s="200"/>
      <c r="T625" s="200"/>
      <c r="U625" s="152"/>
      <c r="V625" s="152"/>
      <c r="W625" s="157"/>
      <c r="X625" s="197"/>
    </row>
    <row r="626">
      <c r="B626" s="199"/>
      <c r="N626" s="152"/>
      <c r="Q626" s="195"/>
      <c r="S626" s="200"/>
      <c r="T626" s="200"/>
      <c r="U626" s="152"/>
      <c r="V626" s="152"/>
      <c r="W626" s="157"/>
      <c r="X626" s="197"/>
    </row>
    <row r="627">
      <c r="B627" s="199"/>
      <c r="N627" s="152"/>
      <c r="Q627" s="195"/>
      <c r="S627" s="200"/>
      <c r="T627" s="200"/>
      <c r="U627" s="152"/>
      <c r="V627" s="152"/>
      <c r="W627" s="157"/>
      <c r="X627" s="197"/>
    </row>
    <row r="628">
      <c r="B628" s="199"/>
      <c r="N628" s="152"/>
      <c r="Q628" s="195"/>
      <c r="S628" s="200"/>
      <c r="T628" s="200"/>
      <c r="U628" s="152"/>
      <c r="V628" s="152"/>
      <c r="W628" s="157"/>
      <c r="X628" s="197"/>
    </row>
    <row r="629">
      <c r="B629" s="199"/>
      <c r="N629" s="152"/>
      <c r="Q629" s="195"/>
      <c r="S629" s="200"/>
      <c r="T629" s="200"/>
      <c r="U629" s="152"/>
      <c r="V629" s="152"/>
      <c r="W629" s="157"/>
      <c r="X629" s="197"/>
    </row>
    <row r="630">
      <c r="B630" s="199"/>
      <c r="N630" s="152"/>
      <c r="Q630" s="195"/>
      <c r="S630" s="200"/>
      <c r="T630" s="200"/>
      <c r="U630" s="152"/>
      <c r="V630" s="152"/>
      <c r="W630" s="157"/>
      <c r="X630" s="197"/>
    </row>
    <row r="631">
      <c r="B631" s="199"/>
      <c r="N631" s="152"/>
      <c r="Q631" s="195"/>
      <c r="S631" s="200"/>
      <c r="T631" s="200"/>
      <c r="U631" s="152"/>
      <c r="V631" s="152"/>
      <c r="W631" s="157"/>
      <c r="X631" s="197"/>
    </row>
    <row r="632">
      <c r="B632" s="199"/>
      <c r="N632" s="152"/>
      <c r="Q632" s="195"/>
      <c r="S632" s="200"/>
      <c r="T632" s="200"/>
      <c r="U632" s="152"/>
      <c r="V632" s="152"/>
      <c r="W632" s="157"/>
      <c r="X632" s="197"/>
    </row>
    <row r="633">
      <c r="B633" s="199"/>
      <c r="N633" s="152"/>
      <c r="Q633" s="195"/>
      <c r="S633" s="200"/>
      <c r="T633" s="200"/>
      <c r="U633" s="152"/>
      <c r="V633" s="152"/>
      <c r="W633" s="157"/>
      <c r="X633" s="197"/>
    </row>
    <row r="634">
      <c r="B634" s="199"/>
      <c r="N634" s="152"/>
      <c r="Q634" s="195"/>
      <c r="S634" s="200"/>
      <c r="T634" s="200"/>
      <c r="U634" s="152"/>
      <c r="V634" s="152"/>
      <c r="W634" s="157"/>
      <c r="X634" s="197"/>
    </row>
    <row r="635">
      <c r="B635" s="199"/>
      <c r="N635" s="152"/>
      <c r="Q635" s="195"/>
      <c r="S635" s="200"/>
      <c r="T635" s="200"/>
      <c r="U635" s="152"/>
      <c r="V635" s="152"/>
      <c r="W635" s="157"/>
      <c r="X635" s="197"/>
    </row>
    <row r="636">
      <c r="B636" s="199"/>
      <c r="N636" s="152"/>
      <c r="Q636" s="195"/>
      <c r="S636" s="200"/>
      <c r="T636" s="200"/>
      <c r="U636" s="152"/>
      <c r="V636" s="152"/>
      <c r="W636" s="157"/>
      <c r="X636" s="197"/>
    </row>
    <row r="637">
      <c r="B637" s="199"/>
      <c r="N637" s="152"/>
      <c r="Q637" s="195"/>
      <c r="S637" s="200"/>
      <c r="T637" s="200"/>
      <c r="U637" s="152"/>
      <c r="V637" s="152"/>
      <c r="W637" s="157"/>
      <c r="X637" s="197"/>
    </row>
    <row r="638">
      <c r="B638" s="199"/>
      <c r="N638" s="152"/>
      <c r="Q638" s="195"/>
      <c r="S638" s="200"/>
      <c r="T638" s="200"/>
      <c r="U638" s="152"/>
      <c r="V638" s="152"/>
      <c r="W638" s="157"/>
      <c r="X638" s="197"/>
    </row>
    <row r="639">
      <c r="B639" s="199"/>
      <c r="N639" s="152"/>
      <c r="Q639" s="195"/>
      <c r="S639" s="200"/>
      <c r="T639" s="200"/>
      <c r="U639" s="152"/>
      <c r="V639" s="152"/>
      <c r="W639" s="157"/>
      <c r="X639" s="197"/>
    </row>
    <row r="640">
      <c r="B640" s="199"/>
      <c r="N640" s="152"/>
      <c r="Q640" s="195"/>
      <c r="S640" s="200"/>
      <c r="T640" s="200"/>
      <c r="U640" s="152"/>
      <c r="V640" s="152"/>
      <c r="W640" s="157"/>
      <c r="X640" s="197"/>
    </row>
    <row r="641">
      <c r="B641" s="199"/>
      <c r="N641" s="152"/>
      <c r="Q641" s="195"/>
      <c r="S641" s="200"/>
      <c r="T641" s="200"/>
      <c r="U641" s="152"/>
      <c r="V641" s="152"/>
      <c r="W641" s="157"/>
      <c r="X641" s="197"/>
    </row>
    <row r="642">
      <c r="B642" s="199"/>
      <c r="N642" s="152"/>
      <c r="Q642" s="195"/>
      <c r="S642" s="200"/>
      <c r="T642" s="200"/>
      <c r="U642" s="152"/>
      <c r="V642" s="152"/>
      <c r="W642" s="157"/>
      <c r="X642" s="197"/>
    </row>
    <row r="643">
      <c r="B643" s="199"/>
      <c r="N643" s="152"/>
      <c r="Q643" s="195"/>
      <c r="S643" s="200"/>
      <c r="T643" s="200"/>
      <c r="U643" s="152"/>
      <c r="V643" s="152"/>
      <c r="W643" s="157"/>
      <c r="X643" s="197"/>
    </row>
    <row r="644">
      <c r="B644" s="199"/>
      <c r="N644" s="152"/>
      <c r="Q644" s="195"/>
      <c r="S644" s="200"/>
      <c r="T644" s="200"/>
      <c r="U644" s="152"/>
      <c r="V644" s="152"/>
      <c r="W644" s="157"/>
      <c r="X644" s="197"/>
    </row>
    <row r="645">
      <c r="B645" s="199"/>
      <c r="N645" s="152"/>
      <c r="Q645" s="195"/>
      <c r="S645" s="200"/>
      <c r="T645" s="200"/>
      <c r="U645" s="152"/>
      <c r="V645" s="152"/>
      <c r="W645" s="157"/>
      <c r="X645" s="197"/>
    </row>
    <row r="646">
      <c r="B646" s="199"/>
      <c r="N646" s="152"/>
      <c r="Q646" s="195"/>
      <c r="S646" s="200"/>
      <c r="T646" s="200"/>
      <c r="U646" s="152"/>
      <c r="V646" s="152"/>
      <c r="W646" s="157"/>
      <c r="X646" s="197"/>
    </row>
    <row r="647">
      <c r="B647" s="199"/>
      <c r="N647" s="152"/>
      <c r="Q647" s="195"/>
      <c r="S647" s="200"/>
      <c r="T647" s="200"/>
      <c r="U647" s="152"/>
      <c r="V647" s="152"/>
      <c r="W647" s="157"/>
      <c r="X647" s="197"/>
    </row>
    <row r="648">
      <c r="B648" s="199"/>
      <c r="N648" s="152"/>
      <c r="Q648" s="195"/>
      <c r="S648" s="200"/>
      <c r="T648" s="200"/>
      <c r="U648" s="152"/>
      <c r="V648" s="152"/>
      <c r="W648" s="157"/>
      <c r="X648" s="197"/>
    </row>
    <row r="649">
      <c r="B649" s="199"/>
      <c r="N649" s="152"/>
      <c r="Q649" s="195"/>
      <c r="S649" s="200"/>
      <c r="T649" s="200"/>
      <c r="U649" s="152"/>
      <c r="V649" s="152"/>
      <c r="W649" s="157"/>
      <c r="X649" s="197"/>
    </row>
    <row r="650">
      <c r="B650" s="199"/>
      <c r="N650" s="152"/>
      <c r="Q650" s="195"/>
      <c r="S650" s="200"/>
      <c r="T650" s="200"/>
      <c r="U650" s="152"/>
      <c r="V650" s="152"/>
      <c r="W650" s="157"/>
      <c r="X650" s="197"/>
    </row>
    <row r="651">
      <c r="B651" s="199"/>
      <c r="N651" s="152"/>
      <c r="Q651" s="195"/>
      <c r="S651" s="200"/>
      <c r="T651" s="200"/>
      <c r="U651" s="152"/>
      <c r="V651" s="152"/>
      <c r="W651" s="157"/>
      <c r="X651" s="197"/>
    </row>
    <row r="652">
      <c r="B652" s="199"/>
      <c r="N652" s="152"/>
      <c r="Q652" s="195"/>
      <c r="S652" s="200"/>
      <c r="T652" s="200"/>
      <c r="U652" s="152"/>
      <c r="V652" s="152"/>
      <c r="W652" s="157"/>
      <c r="X652" s="197"/>
    </row>
    <row r="653">
      <c r="B653" s="199"/>
      <c r="N653" s="152"/>
      <c r="Q653" s="195"/>
      <c r="S653" s="200"/>
      <c r="T653" s="200"/>
      <c r="U653" s="152"/>
      <c r="V653" s="152"/>
      <c r="W653" s="157"/>
      <c r="X653" s="197"/>
    </row>
    <row r="654">
      <c r="B654" s="199"/>
      <c r="N654" s="152"/>
      <c r="Q654" s="195"/>
      <c r="S654" s="200"/>
      <c r="T654" s="200"/>
      <c r="U654" s="152"/>
      <c r="V654" s="152"/>
      <c r="W654" s="157"/>
      <c r="X654" s="197"/>
    </row>
    <row r="655">
      <c r="B655" s="199"/>
      <c r="N655" s="152"/>
      <c r="Q655" s="195"/>
      <c r="S655" s="200"/>
      <c r="T655" s="200"/>
      <c r="U655" s="152"/>
      <c r="V655" s="152"/>
      <c r="W655" s="157"/>
      <c r="X655" s="197"/>
    </row>
    <row r="656">
      <c r="B656" s="199"/>
      <c r="N656" s="152"/>
      <c r="Q656" s="195"/>
      <c r="S656" s="200"/>
      <c r="T656" s="200"/>
      <c r="U656" s="152"/>
      <c r="V656" s="152"/>
      <c r="W656" s="157"/>
      <c r="X656" s="197"/>
    </row>
    <row r="657">
      <c r="B657" s="199"/>
      <c r="N657" s="152"/>
      <c r="Q657" s="195"/>
      <c r="S657" s="200"/>
      <c r="T657" s="200"/>
      <c r="U657" s="152"/>
      <c r="V657" s="152"/>
      <c r="W657" s="157"/>
      <c r="X657" s="197"/>
    </row>
    <row r="658">
      <c r="B658" s="199"/>
      <c r="N658" s="152"/>
      <c r="Q658" s="195"/>
      <c r="S658" s="200"/>
      <c r="T658" s="200"/>
      <c r="U658" s="152"/>
      <c r="V658" s="152"/>
      <c r="W658" s="157"/>
      <c r="X658" s="197"/>
    </row>
    <row r="659">
      <c r="B659" s="199"/>
      <c r="N659" s="152"/>
      <c r="Q659" s="195"/>
      <c r="S659" s="200"/>
      <c r="T659" s="200"/>
      <c r="U659" s="152"/>
      <c r="V659" s="152"/>
      <c r="W659" s="157"/>
      <c r="X659" s="197"/>
    </row>
    <row r="660">
      <c r="B660" s="199"/>
      <c r="N660" s="152"/>
      <c r="Q660" s="195"/>
      <c r="S660" s="200"/>
      <c r="T660" s="200"/>
      <c r="U660" s="152"/>
      <c r="V660" s="152"/>
      <c r="W660" s="157"/>
      <c r="X660" s="197"/>
    </row>
    <row r="661">
      <c r="B661" s="199"/>
      <c r="N661" s="152"/>
      <c r="Q661" s="195"/>
      <c r="S661" s="200"/>
      <c r="T661" s="200"/>
      <c r="U661" s="152"/>
      <c r="V661" s="152"/>
      <c r="W661" s="157"/>
      <c r="X661" s="197"/>
    </row>
    <row r="662">
      <c r="B662" s="199"/>
      <c r="N662" s="152"/>
      <c r="Q662" s="195"/>
      <c r="S662" s="200"/>
      <c r="T662" s="200"/>
      <c r="U662" s="152"/>
      <c r="V662" s="152"/>
      <c r="W662" s="157"/>
      <c r="X662" s="197"/>
    </row>
    <row r="663">
      <c r="B663" s="199"/>
      <c r="N663" s="152"/>
      <c r="Q663" s="195"/>
      <c r="S663" s="200"/>
      <c r="T663" s="200"/>
      <c r="U663" s="152"/>
      <c r="V663" s="152"/>
      <c r="W663" s="157"/>
      <c r="X663" s="197"/>
    </row>
    <row r="664">
      <c r="B664" s="199"/>
      <c r="N664" s="152"/>
      <c r="Q664" s="195"/>
      <c r="S664" s="200"/>
      <c r="T664" s="200"/>
      <c r="U664" s="152"/>
      <c r="V664" s="152"/>
      <c r="W664" s="157"/>
      <c r="X664" s="197"/>
    </row>
    <row r="665">
      <c r="B665" s="199"/>
      <c r="N665" s="152"/>
      <c r="Q665" s="195"/>
      <c r="S665" s="200"/>
      <c r="T665" s="200"/>
      <c r="U665" s="152"/>
      <c r="V665" s="152"/>
      <c r="W665" s="157"/>
      <c r="X665" s="197"/>
    </row>
    <row r="666">
      <c r="B666" s="199"/>
      <c r="N666" s="152"/>
      <c r="Q666" s="195"/>
      <c r="S666" s="200"/>
      <c r="T666" s="200"/>
      <c r="U666" s="152"/>
      <c r="V666" s="152"/>
      <c r="W666" s="157"/>
      <c r="X666" s="197"/>
    </row>
    <row r="667">
      <c r="B667" s="199"/>
      <c r="N667" s="152"/>
      <c r="Q667" s="195"/>
      <c r="S667" s="200"/>
      <c r="T667" s="200"/>
      <c r="U667" s="152"/>
      <c r="V667" s="152"/>
      <c r="W667" s="157"/>
      <c r="X667" s="197"/>
    </row>
    <row r="668">
      <c r="B668" s="199"/>
      <c r="N668" s="152"/>
      <c r="Q668" s="195"/>
      <c r="S668" s="200"/>
      <c r="T668" s="200"/>
      <c r="U668" s="152"/>
      <c r="V668" s="152"/>
      <c r="W668" s="157"/>
      <c r="X668" s="197"/>
    </row>
    <row r="669">
      <c r="B669" s="199"/>
      <c r="N669" s="152"/>
      <c r="Q669" s="195"/>
      <c r="S669" s="200"/>
      <c r="T669" s="200"/>
      <c r="U669" s="152"/>
      <c r="V669" s="152"/>
      <c r="W669" s="157"/>
      <c r="X669" s="197"/>
    </row>
    <row r="670">
      <c r="B670" s="199"/>
      <c r="N670" s="152"/>
      <c r="Q670" s="195"/>
      <c r="S670" s="200"/>
      <c r="T670" s="200"/>
      <c r="U670" s="152"/>
      <c r="V670" s="152"/>
      <c r="W670" s="157"/>
      <c r="X670" s="197"/>
    </row>
    <row r="671">
      <c r="B671" s="199"/>
      <c r="N671" s="152"/>
      <c r="Q671" s="195"/>
      <c r="S671" s="200"/>
      <c r="T671" s="200"/>
      <c r="U671" s="152"/>
      <c r="V671" s="152"/>
      <c r="W671" s="157"/>
      <c r="X671" s="197"/>
    </row>
    <row r="672">
      <c r="B672" s="199"/>
      <c r="N672" s="152"/>
      <c r="Q672" s="195"/>
      <c r="S672" s="200"/>
      <c r="T672" s="200"/>
      <c r="U672" s="152"/>
      <c r="V672" s="152"/>
      <c r="W672" s="157"/>
      <c r="X672" s="197"/>
    </row>
    <row r="673">
      <c r="B673" s="199"/>
      <c r="N673" s="152"/>
      <c r="Q673" s="195"/>
      <c r="S673" s="200"/>
      <c r="T673" s="200"/>
      <c r="U673" s="152"/>
      <c r="V673" s="152"/>
      <c r="W673" s="157"/>
      <c r="X673" s="197"/>
    </row>
    <row r="674">
      <c r="B674" s="199"/>
      <c r="N674" s="152"/>
      <c r="Q674" s="195"/>
      <c r="S674" s="200"/>
      <c r="T674" s="200"/>
      <c r="U674" s="152"/>
      <c r="V674" s="152"/>
      <c r="W674" s="157"/>
      <c r="X674" s="197"/>
    </row>
    <row r="675">
      <c r="B675" s="199"/>
      <c r="N675" s="152"/>
      <c r="Q675" s="195"/>
      <c r="S675" s="200"/>
      <c r="T675" s="200"/>
      <c r="U675" s="152"/>
      <c r="V675" s="152"/>
      <c r="W675" s="157"/>
      <c r="X675" s="197"/>
    </row>
    <row r="676">
      <c r="B676" s="199"/>
      <c r="N676" s="152"/>
      <c r="Q676" s="195"/>
      <c r="S676" s="200"/>
      <c r="T676" s="200"/>
      <c r="U676" s="152"/>
      <c r="V676" s="152"/>
      <c r="W676" s="157"/>
      <c r="X676" s="197"/>
    </row>
    <row r="677">
      <c r="B677" s="199"/>
      <c r="N677" s="152"/>
      <c r="Q677" s="195"/>
      <c r="S677" s="200"/>
      <c r="T677" s="200"/>
      <c r="U677" s="152"/>
      <c r="V677" s="152"/>
      <c r="W677" s="157"/>
      <c r="X677" s="197"/>
    </row>
    <row r="678">
      <c r="B678" s="199"/>
      <c r="N678" s="152"/>
      <c r="Q678" s="195"/>
      <c r="S678" s="200"/>
      <c r="T678" s="200"/>
      <c r="U678" s="152"/>
      <c r="V678" s="152"/>
      <c r="W678" s="157"/>
      <c r="X678" s="197"/>
    </row>
    <row r="679">
      <c r="B679" s="199"/>
      <c r="N679" s="152"/>
      <c r="Q679" s="195"/>
      <c r="S679" s="200"/>
      <c r="T679" s="200"/>
      <c r="U679" s="152"/>
      <c r="V679" s="152"/>
      <c r="W679" s="157"/>
      <c r="X679" s="197"/>
    </row>
    <row r="680">
      <c r="B680" s="199"/>
      <c r="N680" s="152"/>
      <c r="Q680" s="195"/>
      <c r="S680" s="200"/>
      <c r="T680" s="200"/>
      <c r="U680" s="152"/>
      <c r="V680" s="152"/>
      <c r="W680" s="157"/>
      <c r="X680" s="197"/>
    </row>
    <row r="681">
      <c r="B681" s="199"/>
      <c r="N681" s="152"/>
      <c r="Q681" s="195"/>
      <c r="S681" s="200"/>
      <c r="T681" s="200"/>
      <c r="U681" s="152"/>
      <c r="V681" s="152"/>
      <c r="W681" s="157"/>
      <c r="X681" s="197"/>
    </row>
    <row r="682">
      <c r="B682" s="199"/>
      <c r="N682" s="152"/>
      <c r="Q682" s="195"/>
      <c r="S682" s="200"/>
      <c r="T682" s="200"/>
      <c r="U682" s="152"/>
      <c r="V682" s="152"/>
      <c r="W682" s="157"/>
      <c r="X682" s="197"/>
    </row>
    <row r="683">
      <c r="B683" s="199"/>
      <c r="N683" s="152"/>
      <c r="Q683" s="195"/>
      <c r="S683" s="200"/>
      <c r="T683" s="200"/>
      <c r="U683" s="152"/>
      <c r="V683" s="152"/>
      <c r="W683" s="157"/>
      <c r="X683" s="197"/>
    </row>
    <row r="684">
      <c r="B684" s="199"/>
      <c r="N684" s="152"/>
      <c r="Q684" s="195"/>
      <c r="S684" s="200"/>
      <c r="T684" s="200"/>
      <c r="U684" s="152"/>
      <c r="V684" s="152"/>
      <c r="W684" s="157"/>
      <c r="X684" s="197"/>
    </row>
    <row r="685">
      <c r="B685" s="199"/>
      <c r="N685" s="152"/>
      <c r="Q685" s="195"/>
      <c r="S685" s="200"/>
      <c r="T685" s="200"/>
      <c r="U685" s="152"/>
      <c r="V685" s="152"/>
      <c r="W685" s="157"/>
      <c r="X685" s="197"/>
    </row>
    <row r="686">
      <c r="B686" s="199"/>
      <c r="N686" s="152"/>
      <c r="Q686" s="195"/>
      <c r="S686" s="200"/>
      <c r="T686" s="200"/>
      <c r="U686" s="152"/>
      <c r="V686" s="152"/>
      <c r="W686" s="157"/>
      <c r="X686" s="197"/>
    </row>
    <row r="687">
      <c r="B687" s="199"/>
      <c r="N687" s="152"/>
      <c r="Q687" s="195"/>
      <c r="S687" s="200"/>
      <c r="T687" s="200"/>
      <c r="U687" s="152"/>
      <c r="V687" s="152"/>
      <c r="W687" s="157"/>
      <c r="X687" s="197"/>
    </row>
    <row r="688">
      <c r="B688" s="199"/>
      <c r="N688" s="152"/>
      <c r="Q688" s="195"/>
      <c r="S688" s="200"/>
      <c r="T688" s="200"/>
      <c r="U688" s="152"/>
      <c r="V688" s="152"/>
      <c r="W688" s="157"/>
      <c r="X688" s="197"/>
    </row>
    <row r="689">
      <c r="B689" s="199"/>
      <c r="N689" s="152"/>
      <c r="Q689" s="195"/>
      <c r="S689" s="200"/>
      <c r="T689" s="200"/>
      <c r="U689" s="152"/>
      <c r="V689" s="152"/>
      <c r="W689" s="157"/>
      <c r="X689" s="197"/>
    </row>
    <row r="690">
      <c r="B690" s="199"/>
      <c r="N690" s="152"/>
      <c r="Q690" s="195"/>
      <c r="S690" s="200"/>
      <c r="T690" s="200"/>
      <c r="U690" s="152"/>
      <c r="V690" s="152"/>
      <c r="W690" s="157"/>
      <c r="X690" s="197"/>
    </row>
    <row r="691">
      <c r="B691" s="199"/>
      <c r="N691" s="152"/>
      <c r="Q691" s="195"/>
      <c r="S691" s="200"/>
      <c r="T691" s="200"/>
      <c r="U691" s="152"/>
      <c r="V691" s="152"/>
      <c r="W691" s="157"/>
      <c r="X691" s="197"/>
    </row>
    <row r="692">
      <c r="B692" s="199"/>
      <c r="N692" s="152"/>
      <c r="Q692" s="195"/>
      <c r="S692" s="200"/>
      <c r="T692" s="200"/>
      <c r="U692" s="152"/>
      <c r="V692" s="152"/>
      <c r="W692" s="157"/>
      <c r="X692" s="197"/>
    </row>
    <row r="693">
      <c r="B693" s="199"/>
      <c r="N693" s="152"/>
      <c r="Q693" s="195"/>
      <c r="S693" s="200"/>
      <c r="T693" s="200"/>
      <c r="U693" s="152"/>
      <c r="V693" s="152"/>
      <c r="W693" s="157"/>
      <c r="X693" s="197"/>
    </row>
    <row r="694">
      <c r="B694" s="199"/>
      <c r="N694" s="152"/>
      <c r="Q694" s="195"/>
      <c r="S694" s="200"/>
      <c r="T694" s="200"/>
      <c r="U694" s="152"/>
      <c r="V694" s="152"/>
      <c r="W694" s="157"/>
      <c r="X694" s="197"/>
    </row>
    <row r="695">
      <c r="B695" s="199"/>
      <c r="N695" s="152"/>
      <c r="Q695" s="195"/>
      <c r="S695" s="200"/>
      <c r="T695" s="200"/>
      <c r="U695" s="152"/>
      <c r="V695" s="152"/>
      <c r="W695" s="157"/>
      <c r="X695" s="197"/>
    </row>
    <row r="696">
      <c r="B696" s="199"/>
      <c r="N696" s="152"/>
      <c r="Q696" s="195"/>
      <c r="S696" s="200"/>
      <c r="T696" s="200"/>
      <c r="U696" s="152"/>
      <c r="V696" s="152"/>
      <c r="W696" s="157"/>
      <c r="X696" s="197"/>
    </row>
    <row r="697">
      <c r="B697" s="199"/>
      <c r="N697" s="152"/>
      <c r="Q697" s="195"/>
      <c r="S697" s="200"/>
      <c r="T697" s="200"/>
      <c r="U697" s="152"/>
      <c r="V697" s="152"/>
      <c r="W697" s="157"/>
      <c r="X697" s="197"/>
    </row>
    <row r="698">
      <c r="B698" s="199"/>
      <c r="N698" s="152"/>
      <c r="Q698" s="195"/>
      <c r="S698" s="200"/>
      <c r="T698" s="200"/>
      <c r="U698" s="152"/>
      <c r="V698" s="152"/>
      <c r="W698" s="157"/>
      <c r="X698" s="197"/>
    </row>
    <row r="699">
      <c r="B699" s="199"/>
      <c r="N699" s="152"/>
      <c r="Q699" s="195"/>
      <c r="S699" s="200"/>
      <c r="T699" s="200"/>
      <c r="U699" s="152"/>
      <c r="V699" s="152"/>
      <c r="W699" s="157"/>
      <c r="X699" s="197"/>
    </row>
    <row r="700">
      <c r="B700" s="199"/>
      <c r="N700" s="152"/>
      <c r="Q700" s="195"/>
      <c r="S700" s="200"/>
      <c r="T700" s="200"/>
      <c r="U700" s="152"/>
      <c r="V700" s="152"/>
      <c r="W700" s="157"/>
      <c r="X700" s="197"/>
    </row>
    <row r="701">
      <c r="B701" s="199"/>
      <c r="N701" s="152"/>
      <c r="Q701" s="195"/>
      <c r="S701" s="200"/>
      <c r="T701" s="200"/>
      <c r="U701" s="152"/>
      <c r="V701" s="152"/>
      <c r="W701" s="157"/>
      <c r="X701" s="197"/>
    </row>
    <row r="702">
      <c r="B702" s="199"/>
      <c r="N702" s="152"/>
      <c r="Q702" s="195"/>
      <c r="S702" s="200"/>
      <c r="T702" s="200"/>
      <c r="U702" s="152"/>
      <c r="V702" s="152"/>
      <c r="W702" s="157"/>
      <c r="X702" s="197"/>
    </row>
    <row r="703">
      <c r="B703" s="199"/>
      <c r="N703" s="152"/>
      <c r="Q703" s="195"/>
      <c r="S703" s="200"/>
      <c r="T703" s="200"/>
      <c r="U703" s="152"/>
      <c r="V703" s="152"/>
      <c r="W703" s="157"/>
      <c r="X703" s="197"/>
    </row>
    <row r="704">
      <c r="B704" s="199"/>
      <c r="N704" s="152"/>
      <c r="Q704" s="195"/>
      <c r="S704" s="200"/>
      <c r="T704" s="200"/>
      <c r="U704" s="152"/>
      <c r="V704" s="152"/>
      <c r="W704" s="157"/>
      <c r="X704" s="197"/>
    </row>
    <row r="705">
      <c r="B705" s="199"/>
      <c r="N705" s="152"/>
      <c r="Q705" s="195"/>
      <c r="S705" s="200"/>
      <c r="T705" s="200"/>
      <c r="U705" s="152"/>
      <c r="V705" s="152"/>
      <c r="W705" s="157"/>
      <c r="X705" s="197"/>
    </row>
    <row r="706">
      <c r="B706" s="199"/>
      <c r="N706" s="152"/>
      <c r="Q706" s="195"/>
      <c r="S706" s="200"/>
      <c r="T706" s="200"/>
      <c r="U706" s="152"/>
      <c r="V706" s="152"/>
      <c r="W706" s="157"/>
      <c r="X706" s="197"/>
    </row>
    <row r="707">
      <c r="B707" s="199"/>
      <c r="N707" s="152"/>
      <c r="Q707" s="195"/>
      <c r="S707" s="200"/>
      <c r="T707" s="200"/>
      <c r="U707" s="152"/>
      <c r="V707" s="152"/>
      <c r="W707" s="157"/>
      <c r="X707" s="197"/>
    </row>
    <row r="708">
      <c r="B708" s="199"/>
      <c r="N708" s="152"/>
      <c r="Q708" s="195"/>
      <c r="S708" s="200"/>
      <c r="T708" s="200"/>
      <c r="U708" s="152"/>
      <c r="V708" s="152"/>
      <c r="W708" s="157"/>
      <c r="X708" s="197"/>
    </row>
    <row r="709">
      <c r="B709" s="199"/>
      <c r="N709" s="152"/>
      <c r="Q709" s="195"/>
      <c r="S709" s="200"/>
      <c r="T709" s="200"/>
      <c r="U709" s="152"/>
      <c r="V709" s="152"/>
      <c r="W709" s="157"/>
      <c r="X709" s="197"/>
    </row>
    <row r="710">
      <c r="B710" s="199"/>
      <c r="N710" s="152"/>
      <c r="Q710" s="195"/>
      <c r="S710" s="200"/>
      <c r="T710" s="200"/>
      <c r="U710" s="152"/>
      <c r="V710" s="152"/>
      <c r="W710" s="157"/>
      <c r="X710" s="197"/>
    </row>
    <row r="711">
      <c r="B711" s="199"/>
      <c r="N711" s="152"/>
      <c r="Q711" s="195"/>
      <c r="S711" s="200"/>
      <c r="T711" s="200"/>
      <c r="U711" s="152"/>
      <c r="V711" s="152"/>
      <c r="W711" s="157"/>
      <c r="X711" s="197"/>
    </row>
    <row r="712">
      <c r="B712" s="199"/>
      <c r="N712" s="152"/>
      <c r="Q712" s="195"/>
      <c r="S712" s="200"/>
      <c r="T712" s="200"/>
      <c r="U712" s="152"/>
      <c r="V712" s="152"/>
      <c r="W712" s="157"/>
      <c r="X712" s="197"/>
    </row>
    <row r="713">
      <c r="B713" s="199"/>
      <c r="N713" s="152"/>
      <c r="Q713" s="195"/>
      <c r="S713" s="200"/>
      <c r="T713" s="200"/>
      <c r="U713" s="152"/>
      <c r="V713" s="152"/>
      <c r="W713" s="157"/>
      <c r="X713" s="197"/>
    </row>
    <row r="714">
      <c r="B714" s="199"/>
      <c r="N714" s="152"/>
      <c r="Q714" s="195"/>
      <c r="S714" s="200"/>
      <c r="T714" s="200"/>
      <c r="U714" s="152"/>
      <c r="V714" s="152"/>
      <c r="W714" s="157"/>
      <c r="X714" s="197"/>
    </row>
    <row r="715">
      <c r="B715" s="199"/>
      <c r="N715" s="152"/>
      <c r="Q715" s="195"/>
      <c r="S715" s="200"/>
      <c r="T715" s="200"/>
      <c r="U715" s="152"/>
      <c r="V715" s="152"/>
      <c r="W715" s="157"/>
      <c r="X715" s="197"/>
    </row>
    <row r="716">
      <c r="B716" s="199"/>
      <c r="N716" s="152"/>
      <c r="Q716" s="195"/>
      <c r="S716" s="200"/>
      <c r="T716" s="200"/>
      <c r="U716" s="152"/>
      <c r="V716" s="152"/>
      <c r="W716" s="157"/>
      <c r="X716" s="197"/>
    </row>
    <row r="717">
      <c r="B717" s="199"/>
      <c r="N717" s="152"/>
      <c r="Q717" s="195"/>
      <c r="S717" s="200"/>
      <c r="T717" s="200"/>
      <c r="U717" s="152"/>
      <c r="V717" s="152"/>
      <c r="W717" s="157"/>
      <c r="X717" s="197"/>
    </row>
    <row r="718">
      <c r="B718" s="199"/>
      <c r="N718" s="152"/>
      <c r="Q718" s="195"/>
      <c r="S718" s="200"/>
      <c r="T718" s="200"/>
      <c r="U718" s="152"/>
      <c r="V718" s="152"/>
      <c r="W718" s="157"/>
      <c r="X718" s="197"/>
    </row>
    <row r="719">
      <c r="B719" s="199"/>
      <c r="N719" s="152"/>
      <c r="Q719" s="195"/>
      <c r="S719" s="200"/>
      <c r="T719" s="200"/>
      <c r="U719" s="152"/>
      <c r="V719" s="152"/>
      <c r="W719" s="157"/>
      <c r="X719" s="197"/>
    </row>
    <row r="720">
      <c r="B720" s="199"/>
      <c r="N720" s="152"/>
      <c r="Q720" s="195"/>
      <c r="S720" s="200"/>
      <c r="T720" s="200"/>
      <c r="U720" s="152"/>
      <c r="V720" s="152"/>
      <c r="W720" s="157"/>
      <c r="X720" s="197"/>
    </row>
    <row r="721">
      <c r="B721" s="199"/>
      <c r="N721" s="152"/>
      <c r="Q721" s="195"/>
      <c r="S721" s="200"/>
      <c r="T721" s="200"/>
      <c r="U721" s="152"/>
      <c r="V721" s="152"/>
      <c r="W721" s="157"/>
      <c r="X721" s="197"/>
    </row>
    <row r="722">
      <c r="B722" s="199"/>
      <c r="N722" s="152"/>
      <c r="Q722" s="195"/>
      <c r="S722" s="200"/>
      <c r="T722" s="200"/>
      <c r="U722" s="152"/>
      <c r="V722" s="152"/>
      <c r="W722" s="157"/>
      <c r="X722" s="197"/>
    </row>
    <row r="723">
      <c r="B723" s="199"/>
      <c r="N723" s="152"/>
      <c r="Q723" s="195"/>
      <c r="S723" s="200"/>
      <c r="T723" s="200"/>
      <c r="U723" s="152"/>
      <c r="V723" s="152"/>
      <c r="W723" s="157"/>
      <c r="X723" s="197"/>
    </row>
    <row r="724">
      <c r="B724" s="199"/>
      <c r="N724" s="152"/>
      <c r="Q724" s="195"/>
      <c r="S724" s="200"/>
      <c r="T724" s="200"/>
      <c r="U724" s="152"/>
      <c r="V724" s="152"/>
      <c r="W724" s="157"/>
      <c r="X724" s="197"/>
    </row>
    <row r="725">
      <c r="B725" s="199"/>
      <c r="N725" s="152"/>
      <c r="Q725" s="195"/>
      <c r="S725" s="200"/>
      <c r="T725" s="200"/>
      <c r="U725" s="152"/>
      <c r="V725" s="152"/>
      <c r="W725" s="157"/>
      <c r="X725" s="197"/>
    </row>
    <row r="726">
      <c r="B726" s="199"/>
      <c r="N726" s="152"/>
      <c r="Q726" s="195"/>
      <c r="S726" s="200"/>
      <c r="T726" s="200"/>
      <c r="U726" s="152"/>
      <c r="V726" s="152"/>
      <c r="W726" s="157"/>
      <c r="X726" s="197"/>
    </row>
    <row r="727">
      <c r="B727" s="199"/>
      <c r="N727" s="152"/>
      <c r="Q727" s="195"/>
      <c r="S727" s="200"/>
      <c r="T727" s="200"/>
      <c r="U727" s="152"/>
      <c r="V727" s="152"/>
      <c r="W727" s="157"/>
      <c r="X727" s="197"/>
    </row>
    <row r="728">
      <c r="B728" s="199"/>
      <c r="N728" s="152"/>
      <c r="Q728" s="195"/>
      <c r="S728" s="200"/>
      <c r="T728" s="200"/>
      <c r="U728" s="152"/>
      <c r="V728" s="152"/>
      <c r="W728" s="157"/>
      <c r="X728" s="197"/>
    </row>
    <row r="729">
      <c r="B729" s="199"/>
      <c r="N729" s="152"/>
      <c r="Q729" s="195"/>
      <c r="S729" s="200"/>
      <c r="T729" s="200"/>
      <c r="U729" s="152"/>
      <c r="V729" s="152"/>
      <c r="W729" s="157"/>
      <c r="X729" s="197"/>
    </row>
    <row r="730">
      <c r="B730" s="199"/>
      <c r="N730" s="152"/>
      <c r="Q730" s="195"/>
      <c r="S730" s="200"/>
      <c r="T730" s="200"/>
      <c r="U730" s="152"/>
      <c r="V730" s="152"/>
      <c r="W730" s="157"/>
      <c r="X730" s="197"/>
    </row>
    <row r="731">
      <c r="B731" s="199"/>
      <c r="N731" s="152"/>
      <c r="Q731" s="195"/>
      <c r="S731" s="200"/>
      <c r="T731" s="200"/>
      <c r="U731" s="152"/>
      <c r="V731" s="152"/>
      <c r="W731" s="157"/>
      <c r="X731" s="197"/>
    </row>
    <row r="732">
      <c r="B732" s="199"/>
      <c r="N732" s="152"/>
      <c r="Q732" s="195"/>
      <c r="S732" s="200"/>
      <c r="T732" s="200"/>
      <c r="U732" s="152"/>
      <c r="V732" s="152"/>
      <c r="W732" s="157"/>
      <c r="X732" s="197"/>
    </row>
    <row r="733">
      <c r="B733" s="199"/>
      <c r="N733" s="152"/>
      <c r="Q733" s="195"/>
      <c r="S733" s="200"/>
      <c r="T733" s="200"/>
      <c r="U733" s="152"/>
      <c r="V733" s="152"/>
      <c r="W733" s="157"/>
      <c r="X733" s="197"/>
    </row>
    <row r="734">
      <c r="B734" s="199"/>
      <c r="N734" s="152"/>
      <c r="Q734" s="195"/>
      <c r="S734" s="200"/>
      <c r="T734" s="200"/>
      <c r="U734" s="152"/>
      <c r="V734" s="152"/>
      <c r="W734" s="157"/>
      <c r="X734" s="197"/>
    </row>
    <row r="735">
      <c r="B735" s="199"/>
      <c r="N735" s="152"/>
      <c r="Q735" s="195"/>
      <c r="S735" s="200"/>
      <c r="T735" s="200"/>
      <c r="U735" s="152"/>
      <c r="V735" s="152"/>
      <c r="W735" s="157"/>
      <c r="X735" s="197"/>
    </row>
    <row r="736">
      <c r="B736" s="199"/>
      <c r="N736" s="152"/>
      <c r="Q736" s="195"/>
      <c r="S736" s="200"/>
      <c r="T736" s="200"/>
      <c r="U736" s="152"/>
      <c r="V736" s="152"/>
      <c r="W736" s="157"/>
      <c r="X736" s="197"/>
    </row>
    <row r="737">
      <c r="B737" s="199"/>
      <c r="N737" s="152"/>
      <c r="Q737" s="195"/>
      <c r="S737" s="200"/>
      <c r="T737" s="200"/>
      <c r="U737" s="152"/>
      <c r="V737" s="152"/>
      <c r="W737" s="157"/>
      <c r="X737" s="197"/>
    </row>
    <row r="738">
      <c r="B738" s="199"/>
      <c r="N738" s="152"/>
      <c r="Q738" s="195"/>
      <c r="S738" s="200"/>
      <c r="T738" s="200"/>
      <c r="U738" s="152"/>
      <c r="V738" s="152"/>
      <c r="W738" s="157"/>
      <c r="X738" s="197"/>
    </row>
    <row r="739">
      <c r="B739" s="199"/>
      <c r="N739" s="152"/>
      <c r="Q739" s="195"/>
      <c r="S739" s="200"/>
      <c r="T739" s="200"/>
      <c r="U739" s="152"/>
      <c r="V739" s="152"/>
      <c r="W739" s="157"/>
      <c r="X739" s="197"/>
    </row>
    <row r="740">
      <c r="B740" s="199"/>
      <c r="N740" s="152"/>
      <c r="Q740" s="195"/>
      <c r="S740" s="200"/>
      <c r="T740" s="200"/>
      <c r="U740" s="152"/>
      <c r="V740" s="152"/>
      <c r="W740" s="157"/>
      <c r="X740" s="197"/>
    </row>
    <row r="741">
      <c r="B741" s="199"/>
      <c r="N741" s="152"/>
      <c r="Q741" s="195"/>
      <c r="S741" s="200"/>
      <c r="T741" s="200"/>
      <c r="U741" s="152"/>
      <c r="V741" s="152"/>
      <c r="W741" s="157"/>
      <c r="X741" s="197"/>
    </row>
    <row r="742">
      <c r="B742" s="199"/>
      <c r="N742" s="152"/>
      <c r="Q742" s="195"/>
      <c r="S742" s="200"/>
      <c r="T742" s="200"/>
      <c r="U742" s="152"/>
      <c r="V742" s="152"/>
      <c r="W742" s="157"/>
      <c r="X742" s="197"/>
    </row>
    <row r="743">
      <c r="B743" s="199"/>
      <c r="N743" s="152"/>
      <c r="Q743" s="195"/>
      <c r="S743" s="200"/>
      <c r="T743" s="200"/>
      <c r="U743" s="152"/>
      <c r="V743" s="152"/>
      <c r="W743" s="157"/>
      <c r="X743" s="197"/>
    </row>
    <row r="744">
      <c r="B744" s="199"/>
      <c r="N744" s="152"/>
      <c r="Q744" s="195"/>
      <c r="S744" s="200"/>
      <c r="T744" s="200"/>
      <c r="U744" s="152"/>
      <c r="V744" s="152"/>
      <c r="W744" s="157"/>
      <c r="X744" s="197"/>
    </row>
    <row r="745">
      <c r="B745" s="199"/>
      <c r="N745" s="152"/>
      <c r="Q745" s="195"/>
      <c r="S745" s="200"/>
      <c r="T745" s="200"/>
      <c r="U745" s="152"/>
      <c r="V745" s="152"/>
      <c r="W745" s="157"/>
      <c r="X745" s="197"/>
    </row>
    <row r="746">
      <c r="B746" s="199"/>
      <c r="N746" s="152"/>
      <c r="Q746" s="195"/>
      <c r="S746" s="200"/>
      <c r="T746" s="200"/>
      <c r="U746" s="152"/>
      <c r="V746" s="152"/>
      <c r="W746" s="157"/>
      <c r="X746" s="197"/>
    </row>
    <row r="747">
      <c r="B747" s="199"/>
      <c r="N747" s="152"/>
      <c r="Q747" s="195"/>
      <c r="S747" s="200"/>
      <c r="T747" s="200"/>
      <c r="U747" s="152"/>
      <c r="V747" s="152"/>
      <c r="W747" s="157"/>
      <c r="X747" s="197"/>
    </row>
    <row r="748">
      <c r="B748" s="199"/>
      <c r="N748" s="152"/>
      <c r="Q748" s="195"/>
      <c r="S748" s="200"/>
      <c r="T748" s="200"/>
      <c r="U748" s="152"/>
      <c r="V748" s="152"/>
      <c r="W748" s="157"/>
      <c r="X748" s="197"/>
    </row>
    <row r="749">
      <c r="B749" s="199"/>
      <c r="N749" s="152"/>
      <c r="Q749" s="195"/>
      <c r="S749" s="200"/>
      <c r="T749" s="200"/>
      <c r="U749" s="152"/>
      <c r="V749" s="152"/>
      <c r="W749" s="157"/>
      <c r="X749" s="197"/>
    </row>
    <row r="750">
      <c r="B750" s="199"/>
      <c r="N750" s="152"/>
      <c r="Q750" s="195"/>
      <c r="S750" s="200"/>
      <c r="T750" s="200"/>
      <c r="U750" s="152"/>
      <c r="V750" s="152"/>
      <c r="W750" s="157"/>
      <c r="X750" s="197"/>
    </row>
    <row r="751">
      <c r="B751" s="199"/>
      <c r="N751" s="152"/>
      <c r="Q751" s="195"/>
      <c r="S751" s="200"/>
      <c r="T751" s="200"/>
      <c r="U751" s="152"/>
      <c r="V751" s="152"/>
      <c r="W751" s="157"/>
      <c r="X751" s="197"/>
    </row>
    <row r="752">
      <c r="B752" s="199"/>
      <c r="N752" s="152"/>
      <c r="Q752" s="195"/>
      <c r="S752" s="200"/>
      <c r="T752" s="200"/>
      <c r="U752" s="152"/>
      <c r="V752" s="152"/>
      <c r="W752" s="157"/>
      <c r="X752" s="197"/>
    </row>
    <row r="753">
      <c r="B753" s="199"/>
      <c r="N753" s="152"/>
      <c r="Q753" s="195"/>
      <c r="S753" s="200"/>
      <c r="T753" s="200"/>
      <c r="U753" s="152"/>
      <c r="V753" s="152"/>
      <c r="W753" s="157"/>
      <c r="X753" s="197"/>
    </row>
    <row r="754">
      <c r="B754" s="199"/>
      <c r="N754" s="152"/>
      <c r="Q754" s="195"/>
      <c r="S754" s="200"/>
      <c r="T754" s="200"/>
      <c r="U754" s="152"/>
      <c r="V754" s="152"/>
      <c r="W754" s="157"/>
      <c r="X754" s="197"/>
    </row>
    <row r="755">
      <c r="B755" s="199"/>
      <c r="N755" s="152"/>
      <c r="Q755" s="195"/>
      <c r="S755" s="200"/>
      <c r="T755" s="200"/>
      <c r="U755" s="152"/>
      <c r="V755" s="152"/>
      <c r="W755" s="157"/>
      <c r="X755" s="197"/>
    </row>
    <row r="756">
      <c r="B756" s="199"/>
      <c r="N756" s="152"/>
      <c r="Q756" s="195"/>
      <c r="S756" s="200"/>
      <c r="T756" s="200"/>
      <c r="U756" s="152"/>
      <c r="V756" s="152"/>
      <c r="W756" s="157"/>
      <c r="X756" s="197"/>
    </row>
    <row r="757">
      <c r="B757" s="199"/>
      <c r="N757" s="152"/>
      <c r="Q757" s="195"/>
      <c r="S757" s="200"/>
      <c r="T757" s="200"/>
      <c r="U757" s="152"/>
      <c r="V757" s="152"/>
      <c r="W757" s="157"/>
      <c r="X757" s="197"/>
    </row>
    <row r="758">
      <c r="B758" s="199"/>
      <c r="N758" s="152"/>
      <c r="Q758" s="195"/>
      <c r="S758" s="200"/>
      <c r="T758" s="200"/>
      <c r="U758" s="152"/>
      <c r="V758" s="152"/>
      <c r="W758" s="157"/>
      <c r="X758" s="197"/>
    </row>
    <row r="759">
      <c r="B759" s="199"/>
      <c r="N759" s="152"/>
      <c r="Q759" s="195"/>
      <c r="S759" s="200"/>
      <c r="T759" s="200"/>
      <c r="U759" s="152"/>
      <c r="V759" s="152"/>
      <c r="W759" s="157"/>
      <c r="X759" s="197"/>
    </row>
    <row r="760">
      <c r="B760" s="199"/>
      <c r="N760" s="152"/>
      <c r="Q760" s="195"/>
      <c r="S760" s="200"/>
      <c r="T760" s="200"/>
      <c r="U760" s="152"/>
      <c r="V760" s="152"/>
      <c r="W760" s="157"/>
      <c r="X760" s="197"/>
    </row>
    <row r="761">
      <c r="B761" s="199"/>
      <c r="N761" s="152"/>
      <c r="Q761" s="195"/>
      <c r="S761" s="200"/>
      <c r="T761" s="200"/>
      <c r="U761" s="152"/>
      <c r="V761" s="152"/>
      <c r="W761" s="157"/>
      <c r="X761" s="197"/>
    </row>
    <row r="762">
      <c r="B762" s="199"/>
      <c r="N762" s="152"/>
      <c r="Q762" s="195"/>
      <c r="S762" s="200"/>
      <c r="T762" s="200"/>
      <c r="U762" s="152"/>
      <c r="V762" s="152"/>
      <c r="W762" s="157"/>
      <c r="X762" s="197"/>
    </row>
    <row r="763">
      <c r="B763" s="199"/>
      <c r="N763" s="152"/>
      <c r="Q763" s="195"/>
      <c r="S763" s="200"/>
      <c r="T763" s="200"/>
      <c r="U763" s="152"/>
      <c r="V763" s="152"/>
      <c r="W763" s="157"/>
      <c r="X763" s="197"/>
    </row>
    <row r="764">
      <c r="B764" s="199"/>
      <c r="N764" s="152"/>
      <c r="Q764" s="195"/>
      <c r="S764" s="200"/>
      <c r="T764" s="200"/>
      <c r="U764" s="152"/>
      <c r="V764" s="152"/>
      <c r="W764" s="157"/>
      <c r="X764" s="197"/>
    </row>
    <row r="765">
      <c r="B765" s="199"/>
      <c r="N765" s="152"/>
      <c r="Q765" s="195"/>
      <c r="S765" s="200"/>
      <c r="T765" s="200"/>
      <c r="U765" s="152"/>
      <c r="V765" s="152"/>
      <c r="W765" s="157"/>
      <c r="X765" s="197"/>
    </row>
    <row r="766">
      <c r="B766" s="199"/>
      <c r="N766" s="152"/>
      <c r="Q766" s="195"/>
      <c r="S766" s="200"/>
      <c r="T766" s="200"/>
      <c r="U766" s="152"/>
      <c r="V766" s="152"/>
      <c r="W766" s="157"/>
      <c r="X766" s="197"/>
    </row>
    <row r="767">
      <c r="B767" s="199"/>
      <c r="N767" s="152"/>
      <c r="Q767" s="195"/>
      <c r="S767" s="200"/>
      <c r="T767" s="200"/>
      <c r="U767" s="152"/>
      <c r="V767" s="152"/>
      <c r="W767" s="157"/>
      <c r="X767" s="197"/>
    </row>
    <row r="768">
      <c r="B768" s="199"/>
      <c r="N768" s="152"/>
      <c r="Q768" s="195"/>
      <c r="S768" s="200"/>
      <c r="T768" s="200"/>
      <c r="U768" s="152"/>
      <c r="V768" s="152"/>
      <c r="W768" s="157"/>
      <c r="X768" s="197"/>
    </row>
    <row r="769">
      <c r="B769" s="199"/>
      <c r="N769" s="152"/>
      <c r="Q769" s="195"/>
      <c r="S769" s="200"/>
      <c r="T769" s="200"/>
      <c r="U769" s="152"/>
      <c r="V769" s="152"/>
      <c r="W769" s="157"/>
      <c r="X769" s="197"/>
    </row>
    <row r="770">
      <c r="B770" s="199"/>
      <c r="N770" s="152"/>
      <c r="Q770" s="195"/>
      <c r="S770" s="200"/>
      <c r="T770" s="200"/>
      <c r="U770" s="152"/>
      <c r="V770" s="152"/>
      <c r="W770" s="157"/>
      <c r="X770" s="197"/>
    </row>
    <row r="771">
      <c r="B771" s="199"/>
      <c r="N771" s="152"/>
      <c r="Q771" s="195"/>
      <c r="S771" s="200"/>
      <c r="T771" s="200"/>
      <c r="U771" s="152"/>
      <c r="V771" s="152"/>
      <c r="W771" s="157"/>
      <c r="X771" s="197"/>
    </row>
    <row r="772">
      <c r="B772" s="199"/>
      <c r="N772" s="152"/>
      <c r="Q772" s="195"/>
      <c r="S772" s="200"/>
      <c r="T772" s="200"/>
      <c r="U772" s="152"/>
      <c r="V772" s="152"/>
      <c r="W772" s="157"/>
      <c r="X772" s="197"/>
    </row>
    <row r="773">
      <c r="B773" s="199"/>
      <c r="N773" s="152"/>
      <c r="Q773" s="195"/>
      <c r="S773" s="200"/>
      <c r="T773" s="200"/>
      <c r="U773" s="152"/>
      <c r="V773" s="152"/>
      <c r="W773" s="157"/>
      <c r="X773" s="197"/>
    </row>
    <row r="774">
      <c r="B774" s="199"/>
      <c r="N774" s="152"/>
      <c r="Q774" s="195"/>
      <c r="S774" s="200"/>
      <c r="T774" s="200"/>
      <c r="U774" s="152"/>
      <c r="V774" s="152"/>
      <c r="W774" s="157"/>
      <c r="X774" s="197"/>
    </row>
    <row r="775">
      <c r="B775" s="199"/>
      <c r="N775" s="152"/>
      <c r="Q775" s="195"/>
      <c r="S775" s="200"/>
      <c r="T775" s="200"/>
      <c r="U775" s="152"/>
      <c r="V775" s="152"/>
      <c r="W775" s="157"/>
      <c r="X775" s="197"/>
    </row>
    <row r="776">
      <c r="B776" s="199"/>
      <c r="N776" s="152"/>
      <c r="Q776" s="195"/>
      <c r="S776" s="200"/>
      <c r="T776" s="200"/>
      <c r="U776" s="152"/>
      <c r="V776" s="152"/>
      <c r="W776" s="157"/>
      <c r="X776" s="197"/>
    </row>
    <row r="777">
      <c r="B777" s="199"/>
      <c r="N777" s="152"/>
      <c r="Q777" s="195"/>
      <c r="S777" s="200"/>
      <c r="T777" s="200"/>
      <c r="U777" s="152"/>
      <c r="V777" s="152"/>
      <c r="W777" s="157"/>
      <c r="X777" s="197"/>
    </row>
    <row r="778">
      <c r="B778" s="199"/>
      <c r="N778" s="152"/>
      <c r="Q778" s="195"/>
      <c r="S778" s="200"/>
      <c r="T778" s="200"/>
      <c r="U778" s="152"/>
      <c r="V778" s="152"/>
      <c r="W778" s="157"/>
      <c r="X778" s="197"/>
    </row>
    <row r="779">
      <c r="B779" s="199"/>
      <c r="N779" s="152"/>
      <c r="Q779" s="195"/>
      <c r="S779" s="200"/>
      <c r="T779" s="200"/>
      <c r="U779" s="152"/>
      <c r="V779" s="152"/>
      <c r="W779" s="157"/>
      <c r="X779" s="197"/>
    </row>
    <row r="780">
      <c r="B780" s="199"/>
      <c r="N780" s="152"/>
      <c r="Q780" s="195"/>
      <c r="S780" s="200"/>
      <c r="T780" s="200"/>
      <c r="U780" s="152"/>
      <c r="V780" s="152"/>
      <c r="W780" s="157"/>
      <c r="X780" s="197"/>
    </row>
    <row r="781">
      <c r="B781" s="199"/>
      <c r="N781" s="152"/>
      <c r="Q781" s="195"/>
      <c r="S781" s="200"/>
      <c r="T781" s="200"/>
      <c r="U781" s="152"/>
      <c r="V781" s="152"/>
      <c r="W781" s="157"/>
      <c r="X781" s="197"/>
    </row>
    <row r="782">
      <c r="B782" s="199"/>
      <c r="N782" s="152"/>
      <c r="Q782" s="195"/>
      <c r="S782" s="200"/>
      <c r="T782" s="200"/>
      <c r="U782" s="152"/>
      <c r="V782" s="152"/>
      <c r="W782" s="157"/>
      <c r="X782" s="197"/>
    </row>
    <row r="783">
      <c r="B783" s="199"/>
      <c r="N783" s="152"/>
      <c r="Q783" s="195"/>
      <c r="S783" s="200"/>
      <c r="T783" s="200"/>
      <c r="U783" s="152"/>
      <c r="V783" s="152"/>
      <c r="W783" s="157"/>
      <c r="X783" s="197"/>
    </row>
    <row r="784">
      <c r="B784" s="199"/>
      <c r="N784" s="152"/>
      <c r="Q784" s="195"/>
      <c r="S784" s="200"/>
      <c r="T784" s="200"/>
      <c r="U784" s="152"/>
      <c r="V784" s="152"/>
      <c r="W784" s="157"/>
      <c r="X784" s="197"/>
    </row>
    <row r="785">
      <c r="B785" s="199"/>
      <c r="N785" s="152"/>
      <c r="Q785" s="195"/>
      <c r="S785" s="200"/>
      <c r="T785" s="200"/>
      <c r="U785" s="152"/>
      <c r="V785" s="152"/>
      <c r="W785" s="157"/>
      <c r="X785" s="197"/>
    </row>
    <row r="786">
      <c r="B786" s="199"/>
      <c r="N786" s="152"/>
      <c r="Q786" s="195"/>
      <c r="S786" s="200"/>
      <c r="T786" s="200"/>
      <c r="U786" s="152"/>
      <c r="V786" s="152"/>
      <c r="W786" s="157"/>
      <c r="X786" s="197"/>
    </row>
    <row r="787">
      <c r="B787" s="199"/>
      <c r="N787" s="152"/>
      <c r="Q787" s="195"/>
      <c r="S787" s="200"/>
      <c r="T787" s="200"/>
      <c r="U787" s="152"/>
      <c r="V787" s="152"/>
      <c r="W787" s="157"/>
      <c r="X787" s="197"/>
    </row>
    <row r="788">
      <c r="B788" s="199"/>
      <c r="N788" s="152"/>
      <c r="Q788" s="195"/>
      <c r="S788" s="200"/>
      <c r="T788" s="200"/>
      <c r="U788" s="152"/>
      <c r="V788" s="152"/>
      <c r="W788" s="157"/>
      <c r="X788" s="197"/>
    </row>
    <row r="789">
      <c r="B789" s="199"/>
      <c r="N789" s="152"/>
      <c r="Q789" s="195"/>
      <c r="S789" s="200"/>
      <c r="T789" s="200"/>
      <c r="U789" s="152"/>
      <c r="V789" s="152"/>
      <c r="W789" s="157"/>
      <c r="X789" s="197"/>
    </row>
    <row r="790">
      <c r="B790" s="199"/>
      <c r="N790" s="152"/>
      <c r="Q790" s="195"/>
      <c r="S790" s="200"/>
      <c r="T790" s="200"/>
      <c r="U790" s="152"/>
      <c r="V790" s="152"/>
      <c r="W790" s="157"/>
      <c r="X790" s="197"/>
    </row>
    <row r="791">
      <c r="B791" s="199"/>
      <c r="N791" s="152"/>
      <c r="Q791" s="195"/>
      <c r="S791" s="200"/>
      <c r="T791" s="200"/>
      <c r="U791" s="152"/>
      <c r="V791" s="152"/>
      <c r="W791" s="157"/>
      <c r="X791" s="197"/>
    </row>
    <row r="792">
      <c r="B792" s="199"/>
      <c r="N792" s="152"/>
      <c r="Q792" s="195"/>
      <c r="S792" s="200"/>
      <c r="T792" s="200"/>
      <c r="U792" s="152"/>
      <c r="V792" s="152"/>
      <c r="W792" s="157"/>
      <c r="X792" s="197"/>
    </row>
    <row r="793">
      <c r="B793" s="199"/>
      <c r="N793" s="152"/>
      <c r="Q793" s="195"/>
      <c r="S793" s="200"/>
      <c r="T793" s="200"/>
      <c r="U793" s="152"/>
      <c r="V793" s="152"/>
      <c r="W793" s="157"/>
      <c r="X793" s="197"/>
    </row>
    <row r="794">
      <c r="B794" s="199"/>
      <c r="N794" s="152"/>
      <c r="Q794" s="195"/>
      <c r="S794" s="200"/>
      <c r="T794" s="200"/>
      <c r="U794" s="152"/>
      <c r="V794" s="152"/>
      <c r="W794" s="157"/>
      <c r="X794" s="197"/>
    </row>
    <row r="795">
      <c r="B795" s="199"/>
      <c r="N795" s="152"/>
      <c r="Q795" s="195"/>
      <c r="S795" s="200"/>
      <c r="T795" s="200"/>
      <c r="U795" s="152"/>
      <c r="V795" s="152"/>
      <c r="W795" s="157"/>
      <c r="X795" s="197"/>
    </row>
    <row r="796">
      <c r="B796" s="199"/>
      <c r="N796" s="152"/>
      <c r="Q796" s="195"/>
      <c r="S796" s="200"/>
      <c r="T796" s="200"/>
      <c r="U796" s="152"/>
      <c r="V796" s="152"/>
      <c r="W796" s="157"/>
      <c r="X796" s="197"/>
    </row>
    <row r="797">
      <c r="B797" s="199"/>
      <c r="N797" s="152"/>
      <c r="Q797" s="195"/>
      <c r="S797" s="200"/>
      <c r="T797" s="200"/>
      <c r="U797" s="152"/>
      <c r="V797" s="152"/>
      <c r="W797" s="157"/>
      <c r="X797" s="197"/>
    </row>
    <row r="798">
      <c r="B798" s="199"/>
      <c r="N798" s="152"/>
      <c r="Q798" s="195"/>
      <c r="S798" s="200"/>
      <c r="T798" s="200"/>
      <c r="U798" s="152"/>
      <c r="V798" s="152"/>
      <c r="W798" s="157"/>
      <c r="X798" s="197"/>
    </row>
    <row r="799">
      <c r="B799" s="199"/>
      <c r="N799" s="152"/>
      <c r="Q799" s="195"/>
      <c r="S799" s="200"/>
      <c r="T799" s="200"/>
      <c r="U799" s="152"/>
      <c r="V799" s="152"/>
      <c r="W799" s="157"/>
      <c r="X799" s="197"/>
    </row>
    <row r="800">
      <c r="B800" s="199"/>
      <c r="N800" s="152"/>
      <c r="Q800" s="195"/>
      <c r="S800" s="200"/>
      <c r="T800" s="200"/>
      <c r="U800" s="152"/>
      <c r="V800" s="152"/>
      <c r="W800" s="157"/>
      <c r="X800" s="197"/>
    </row>
    <row r="801">
      <c r="B801" s="199"/>
      <c r="N801" s="152"/>
      <c r="Q801" s="195"/>
      <c r="S801" s="200"/>
      <c r="T801" s="200"/>
      <c r="U801" s="152"/>
      <c r="V801" s="152"/>
      <c r="W801" s="157"/>
      <c r="X801" s="197"/>
    </row>
    <row r="802">
      <c r="B802" s="199"/>
      <c r="N802" s="152"/>
      <c r="Q802" s="195"/>
      <c r="S802" s="200"/>
      <c r="T802" s="200"/>
      <c r="U802" s="152"/>
      <c r="V802" s="152"/>
      <c r="W802" s="157"/>
      <c r="X802" s="197"/>
    </row>
    <row r="803">
      <c r="B803" s="199"/>
      <c r="N803" s="152"/>
      <c r="Q803" s="195"/>
      <c r="S803" s="200"/>
      <c r="T803" s="200"/>
      <c r="U803" s="152"/>
      <c r="V803" s="152"/>
      <c r="W803" s="157"/>
      <c r="X803" s="197"/>
    </row>
    <row r="804">
      <c r="B804" s="199"/>
      <c r="N804" s="152"/>
      <c r="Q804" s="195"/>
      <c r="S804" s="200"/>
      <c r="T804" s="200"/>
      <c r="U804" s="152"/>
      <c r="V804" s="152"/>
      <c r="W804" s="157"/>
      <c r="X804" s="197"/>
    </row>
    <row r="805">
      <c r="B805" s="199"/>
      <c r="N805" s="152"/>
      <c r="Q805" s="195"/>
      <c r="S805" s="200"/>
      <c r="T805" s="200"/>
      <c r="U805" s="152"/>
      <c r="V805" s="152"/>
      <c r="W805" s="157"/>
      <c r="X805" s="197"/>
    </row>
    <row r="806">
      <c r="B806" s="199"/>
      <c r="N806" s="152"/>
      <c r="Q806" s="195"/>
      <c r="S806" s="200"/>
      <c r="T806" s="200"/>
      <c r="U806" s="152"/>
      <c r="V806" s="152"/>
      <c r="W806" s="157"/>
      <c r="X806" s="197"/>
    </row>
    <row r="807">
      <c r="B807" s="199"/>
      <c r="N807" s="152"/>
      <c r="Q807" s="195"/>
      <c r="S807" s="200"/>
      <c r="T807" s="200"/>
      <c r="U807" s="152"/>
      <c r="V807" s="152"/>
      <c r="W807" s="157"/>
      <c r="X807" s="197"/>
    </row>
    <row r="808">
      <c r="B808" s="199"/>
      <c r="N808" s="152"/>
      <c r="Q808" s="195"/>
      <c r="S808" s="200"/>
      <c r="T808" s="200"/>
      <c r="U808" s="152"/>
      <c r="V808" s="152"/>
      <c r="W808" s="157"/>
      <c r="X808" s="197"/>
    </row>
    <row r="809">
      <c r="B809" s="199"/>
      <c r="N809" s="152"/>
      <c r="Q809" s="195"/>
      <c r="S809" s="200"/>
      <c r="T809" s="200"/>
      <c r="U809" s="152"/>
      <c r="V809" s="152"/>
      <c r="W809" s="157"/>
      <c r="X809" s="197"/>
    </row>
    <row r="810">
      <c r="B810" s="199"/>
      <c r="N810" s="152"/>
      <c r="Q810" s="195"/>
      <c r="S810" s="200"/>
      <c r="T810" s="200"/>
      <c r="U810" s="152"/>
      <c r="V810" s="152"/>
      <c r="W810" s="157"/>
      <c r="X810" s="197"/>
    </row>
    <row r="811">
      <c r="B811" s="199"/>
      <c r="N811" s="152"/>
      <c r="Q811" s="195"/>
      <c r="S811" s="200"/>
      <c r="T811" s="200"/>
      <c r="U811" s="152"/>
      <c r="V811" s="152"/>
      <c r="W811" s="157"/>
      <c r="X811" s="197"/>
    </row>
    <row r="812">
      <c r="B812" s="199"/>
      <c r="N812" s="152"/>
      <c r="Q812" s="195"/>
      <c r="S812" s="200"/>
      <c r="T812" s="200"/>
      <c r="U812" s="152"/>
      <c r="V812" s="152"/>
      <c r="W812" s="157"/>
      <c r="X812" s="197"/>
    </row>
    <row r="813">
      <c r="B813" s="199"/>
      <c r="N813" s="152"/>
      <c r="Q813" s="195"/>
      <c r="S813" s="200"/>
      <c r="T813" s="200"/>
      <c r="U813" s="152"/>
      <c r="V813" s="152"/>
      <c r="W813" s="157"/>
      <c r="X813" s="197"/>
    </row>
    <row r="814">
      <c r="B814" s="199"/>
      <c r="N814" s="152"/>
      <c r="Q814" s="195"/>
      <c r="S814" s="200"/>
      <c r="T814" s="200"/>
      <c r="U814" s="152"/>
      <c r="V814" s="152"/>
      <c r="W814" s="157"/>
      <c r="X814" s="197"/>
    </row>
    <row r="815">
      <c r="B815" s="199"/>
      <c r="N815" s="152"/>
      <c r="Q815" s="195"/>
      <c r="S815" s="200"/>
      <c r="T815" s="200"/>
      <c r="U815" s="152"/>
      <c r="V815" s="152"/>
      <c r="W815" s="157"/>
      <c r="X815" s="197"/>
    </row>
    <row r="816">
      <c r="B816" s="199"/>
      <c r="N816" s="152"/>
      <c r="Q816" s="195"/>
      <c r="S816" s="200"/>
      <c r="T816" s="200"/>
      <c r="U816" s="152"/>
      <c r="V816" s="152"/>
      <c r="W816" s="157"/>
      <c r="X816" s="197"/>
    </row>
    <row r="817">
      <c r="B817" s="199"/>
      <c r="N817" s="152"/>
      <c r="Q817" s="195"/>
      <c r="S817" s="200"/>
      <c r="T817" s="200"/>
      <c r="U817" s="152"/>
      <c r="V817" s="152"/>
      <c r="W817" s="157"/>
      <c r="X817" s="197"/>
    </row>
    <row r="818">
      <c r="B818" s="199"/>
      <c r="N818" s="152"/>
      <c r="Q818" s="195"/>
      <c r="S818" s="200"/>
      <c r="T818" s="200"/>
      <c r="U818" s="152"/>
      <c r="V818" s="152"/>
      <c r="W818" s="157"/>
      <c r="X818" s="197"/>
    </row>
    <row r="819">
      <c r="B819" s="199"/>
      <c r="N819" s="152"/>
      <c r="Q819" s="195"/>
      <c r="S819" s="200"/>
      <c r="T819" s="200"/>
      <c r="U819" s="152"/>
      <c r="V819" s="152"/>
      <c r="W819" s="157"/>
      <c r="X819" s="197"/>
    </row>
    <row r="820">
      <c r="B820" s="199"/>
      <c r="N820" s="152"/>
      <c r="Q820" s="195"/>
      <c r="S820" s="200"/>
      <c r="T820" s="200"/>
      <c r="U820" s="152"/>
      <c r="V820" s="152"/>
      <c r="W820" s="157"/>
      <c r="X820" s="197"/>
    </row>
    <row r="821">
      <c r="B821" s="199"/>
      <c r="N821" s="152"/>
      <c r="Q821" s="195"/>
      <c r="S821" s="200"/>
      <c r="T821" s="200"/>
      <c r="U821" s="152"/>
      <c r="V821" s="152"/>
      <c r="W821" s="157"/>
      <c r="X821" s="197"/>
    </row>
    <row r="822">
      <c r="B822" s="199"/>
      <c r="N822" s="152"/>
      <c r="Q822" s="195"/>
      <c r="S822" s="200"/>
      <c r="T822" s="200"/>
      <c r="U822" s="152"/>
      <c r="V822" s="152"/>
      <c r="W822" s="157"/>
      <c r="X822" s="197"/>
    </row>
    <row r="823">
      <c r="B823" s="199"/>
      <c r="N823" s="152"/>
      <c r="Q823" s="195"/>
      <c r="S823" s="200"/>
      <c r="T823" s="200"/>
      <c r="U823" s="152"/>
      <c r="V823" s="152"/>
      <c r="W823" s="157"/>
      <c r="X823" s="197"/>
    </row>
    <row r="824">
      <c r="B824" s="199"/>
      <c r="N824" s="152"/>
      <c r="Q824" s="195"/>
      <c r="S824" s="200"/>
      <c r="T824" s="200"/>
      <c r="U824" s="152"/>
      <c r="V824" s="152"/>
      <c r="W824" s="157"/>
      <c r="X824" s="197"/>
    </row>
    <row r="825">
      <c r="B825" s="199"/>
      <c r="N825" s="152"/>
      <c r="Q825" s="195"/>
      <c r="S825" s="200"/>
      <c r="T825" s="200"/>
      <c r="U825" s="152"/>
      <c r="V825" s="152"/>
      <c r="W825" s="157"/>
      <c r="X825" s="197"/>
    </row>
    <row r="826">
      <c r="B826" s="199"/>
      <c r="N826" s="152"/>
      <c r="Q826" s="195"/>
      <c r="S826" s="200"/>
      <c r="T826" s="200"/>
      <c r="U826" s="152"/>
      <c r="V826" s="152"/>
      <c r="W826" s="157"/>
      <c r="X826" s="197"/>
    </row>
    <row r="827">
      <c r="B827" s="199"/>
      <c r="N827" s="152"/>
      <c r="Q827" s="195"/>
      <c r="S827" s="200"/>
      <c r="T827" s="200"/>
      <c r="U827" s="152"/>
      <c r="V827" s="152"/>
      <c r="W827" s="157"/>
      <c r="X827" s="197"/>
    </row>
    <row r="828">
      <c r="B828" s="199"/>
      <c r="N828" s="152"/>
      <c r="Q828" s="195"/>
      <c r="S828" s="200"/>
      <c r="T828" s="200"/>
      <c r="U828" s="152"/>
      <c r="V828" s="152"/>
      <c r="W828" s="157"/>
      <c r="X828" s="197"/>
    </row>
    <row r="829">
      <c r="B829" s="199"/>
      <c r="N829" s="152"/>
      <c r="Q829" s="195"/>
      <c r="S829" s="200"/>
      <c r="T829" s="200"/>
      <c r="U829" s="152"/>
      <c r="V829" s="152"/>
      <c r="W829" s="157"/>
      <c r="X829" s="197"/>
    </row>
    <row r="830">
      <c r="B830" s="199"/>
      <c r="N830" s="152"/>
      <c r="Q830" s="195"/>
      <c r="S830" s="200"/>
      <c r="T830" s="200"/>
      <c r="U830" s="152"/>
      <c r="V830" s="152"/>
      <c r="W830" s="157"/>
      <c r="X830" s="197"/>
    </row>
    <row r="831">
      <c r="B831" s="199"/>
      <c r="N831" s="152"/>
      <c r="Q831" s="195"/>
      <c r="S831" s="200"/>
      <c r="T831" s="200"/>
      <c r="U831" s="152"/>
      <c r="V831" s="152"/>
      <c r="W831" s="157"/>
      <c r="X831" s="197"/>
    </row>
    <row r="832">
      <c r="B832" s="199"/>
      <c r="N832" s="152"/>
      <c r="Q832" s="195"/>
      <c r="S832" s="200"/>
      <c r="T832" s="200"/>
      <c r="U832" s="152"/>
      <c r="V832" s="152"/>
      <c r="W832" s="157"/>
      <c r="X832" s="197"/>
    </row>
    <row r="833">
      <c r="B833" s="199"/>
      <c r="N833" s="152"/>
      <c r="Q833" s="195"/>
      <c r="S833" s="200"/>
      <c r="T833" s="200"/>
      <c r="U833" s="152"/>
      <c r="V833" s="152"/>
      <c r="W833" s="157"/>
      <c r="X833" s="197"/>
    </row>
    <row r="834">
      <c r="B834" s="199"/>
      <c r="N834" s="152"/>
      <c r="Q834" s="195"/>
      <c r="S834" s="200"/>
      <c r="T834" s="200"/>
      <c r="U834" s="152"/>
      <c r="V834" s="152"/>
      <c r="W834" s="157"/>
      <c r="X834" s="197"/>
    </row>
    <row r="835">
      <c r="B835" s="199"/>
      <c r="N835" s="152"/>
      <c r="Q835" s="195"/>
      <c r="S835" s="200"/>
      <c r="T835" s="200"/>
      <c r="U835" s="152"/>
      <c r="V835" s="152"/>
      <c r="W835" s="157"/>
      <c r="X835" s="197"/>
    </row>
    <row r="836">
      <c r="B836" s="199"/>
      <c r="N836" s="152"/>
      <c r="Q836" s="195"/>
      <c r="S836" s="200"/>
      <c r="T836" s="200"/>
      <c r="U836" s="152"/>
      <c r="V836" s="152"/>
      <c r="W836" s="157"/>
      <c r="X836" s="197"/>
    </row>
    <row r="837">
      <c r="B837" s="199"/>
      <c r="N837" s="152"/>
      <c r="Q837" s="195"/>
      <c r="S837" s="200"/>
      <c r="T837" s="200"/>
      <c r="U837" s="152"/>
      <c r="V837" s="152"/>
      <c r="W837" s="157"/>
      <c r="X837" s="197"/>
    </row>
    <row r="838">
      <c r="B838" s="199"/>
      <c r="N838" s="152"/>
      <c r="Q838" s="195"/>
      <c r="S838" s="200"/>
      <c r="T838" s="200"/>
      <c r="U838" s="152"/>
      <c r="V838" s="152"/>
      <c r="W838" s="157"/>
      <c r="X838" s="197"/>
    </row>
    <row r="839">
      <c r="B839" s="199"/>
      <c r="N839" s="152"/>
      <c r="Q839" s="195"/>
      <c r="S839" s="200"/>
      <c r="T839" s="200"/>
      <c r="U839" s="152"/>
      <c r="V839" s="152"/>
      <c r="W839" s="157"/>
      <c r="X839" s="197"/>
    </row>
    <row r="840">
      <c r="B840" s="199"/>
      <c r="N840" s="152"/>
      <c r="Q840" s="195"/>
      <c r="S840" s="200"/>
      <c r="T840" s="200"/>
      <c r="U840" s="152"/>
      <c r="V840" s="152"/>
      <c r="W840" s="157"/>
      <c r="X840" s="197"/>
    </row>
    <row r="841">
      <c r="B841" s="199"/>
      <c r="N841" s="152"/>
      <c r="Q841" s="195"/>
      <c r="S841" s="200"/>
      <c r="T841" s="200"/>
      <c r="U841" s="152"/>
      <c r="V841" s="152"/>
      <c r="W841" s="157"/>
      <c r="X841" s="197"/>
    </row>
    <row r="842">
      <c r="B842" s="199"/>
      <c r="N842" s="152"/>
      <c r="Q842" s="195"/>
      <c r="S842" s="200"/>
      <c r="T842" s="200"/>
      <c r="U842" s="152"/>
      <c r="V842" s="152"/>
      <c r="W842" s="157"/>
      <c r="X842" s="197"/>
    </row>
    <row r="843">
      <c r="B843" s="199"/>
      <c r="N843" s="152"/>
      <c r="Q843" s="195"/>
      <c r="S843" s="200"/>
      <c r="T843" s="200"/>
      <c r="U843" s="152"/>
      <c r="V843" s="152"/>
      <c r="W843" s="157"/>
      <c r="X843" s="197"/>
    </row>
    <row r="844">
      <c r="B844" s="199"/>
      <c r="N844" s="152"/>
      <c r="Q844" s="195"/>
      <c r="S844" s="200"/>
      <c r="T844" s="200"/>
      <c r="U844" s="152"/>
      <c r="V844" s="152"/>
      <c r="W844" s="157"/>
      <c r="X844" s="197"/>
    </row>
    <row r="845">
      <c r="B845" s="199"/>
      <c r="N845" s="152"/>
      <c r="Q845" s="195"/>
      <c r="S845" s="200"/>
      <c r="T845" s="200"/>
      <c r="U845" s="152"/>
      <c r="V845" s="152"/>
      <c r="W845" s="157"/>
      <c r="X845" s="197"/>
    </row>
    <row r="846">
      <c r="B846" s="199"/>
      <c r="N846" s="152"/>
      <c r="Q846" s="195"/>
      <c r="S846" s="200"/>
      <c r="T846" s="200"/>
      <c r="U846" s="152"/>
      <c r="V846" s="152"/>
      <c r="W846" s="157"/>
      <c r="X846" s="197"/>
    </row>
    <row r="847">
      <c r="B847" s="199"/>
      <c r="N847" s="152"/>
      <c r="Q847" s="195"/>
      <c r="S847" s="200"/>
      <c r="T847" s="200"/>
      <c r="U847" s="152"/>
      <c r="V847" s="152"/>
      <c r="W847" s="157"/>
      <c r="X847" s="197"/>
    </row>
    <row r="848">
      <c r="B848" s="199"/>
      <c r="N848" s="152"/>
      <c r="Q848" s="195"/>
      <c r="S848" s="200"/>
      <c r="T848" s="200"/>
      <c r="U848" s="152"/>
      <c r="V848" s="152"/>
      <c r="W848" s="157"/>
      <c r="X848" s="197"/>
    </row>
    <row r="849">
      <c r="B849" s="199"/>
      <c r="N849" s="152"/>
      <c r="Q849" s="195"/>
      <c r="S849" s="200"/>
      <c r="T849" s="200"/>
      <c r="U849" s="152"/>
      <c r="V849" s="152"/>
      <c r="W849" s="157"/>
      <c r="X849" s="197"/>
    </row>
    <row r="850">
      <c r="B850" s="199"/>
      <c r="N850" s="152"/>
      <c r="Q850" s="195"/>
      <c r="S850" s="200"/>
      <c r="T850" s="200"/>
      <c r="U850" s="152"/>
      <c r="V850" s="152"/>
      <c r="W850" s="157"/>
      <c r="X850" s="197"/>
    </row>
    <row r="851">
      <c r="B851" s="199"/>
      <c r="N851" s="152"/>
      <c r="Q851" s="195"/>
      <c r="S851" s="200"/>
      <c r="T851" s="200"/>
      <c r="U851" s="152"/>
      <c r="V851" s="152"/>
      <c r="W851" s="157"/>
      <c r="X851" s="197"/>
    </row>
    <row r="852">
      <c r="B852" s="199"/>
      <c r="N852" s="152"/>
      <c r="Q852" s="195"/>
      <c r="S852" s="200"/>
      <c r="T852" s="200"/>
      <c r="U852" s="152"/>
      <c r="V852" s="152"/>
      <c r="W852" s="157"/>
      <c r="X852" s="197"/>
    </row>
    <row r="853">
      <c r="B853" s="199"/>
      <c r="N853" s="152"/>
      <c r="Q853" s="195"/>
      <c r="S853" s="200"/>
      <c r="T853" s="200"/>
      <c r="U853" s="152"/>
      <c r="V853" s="152"/>
      <c r="W853" s="157"/>
      <c r="X853" s="197"/>
    </row>
    <row r="854">
      <c r="B854" s="199"/>
      <c r="N854" s="152"/>
      <c r="Q854" s="195"/>
      <c r="S854" s="200"/>
      <c r="T854" s="200"/>
      <c r="U854" s="152"/>
      <c r="V854" s="152"/>
      <c r="W854" s="157"/>
      <c r="X854" s="197"/>
    </row>
    <row r="855">
      <c r="B855" s="199"/>
      <c r="N855" s="152"/>
      <c r="Q855" s="195"/>
      <c r="S855" s="200"/>
      <c r="T855" s="200"/>
      <c r="U855" s="152"/>
      <c r="V855" s="152"/>
      <c r="W855" s="157"/>
      <c r="X855" s="197"/>
    </row>
    <row r="856">
      <c r="B856" s="199"/>
      <c r="N856" s="152"/>
      <c r="Q856" s="195"/>
      <c r="S856" s="200"/>
      <c r="T856" s="200"/>
      <c r="U856" s="152"/>
      <c r="V856" s="152"/>
      <c r="W856" s="157"/>
      <c r="X856" s="197"/>
    </row>
    <row r="857">
      <c r="B857" s="199"/>
      <c r="N857" s="152"/>
      <c r="Q857" s="195"/>
      <c r="S857" s="200"/>
      <c r="T857" s="200"/>
      <c r="U857" s="152"/>
      <c r="V857" s="152"/>
      <c r="W857" s="157"/>
      <c r="X857" s="197"/>
    </row>
    <row r="858">
      <c r="B858" s="199"/>
      <c r="N858" s="152"/>
      <c r="Q858" s="195"/>
      <c r="S858" s="200"/>
      <c r="T858" s="200"/>
      <c r="U858" s="152"/>
      <c r="V858" s="152"/>
      <c r="W858" s="157"/>
      <c r="X858" s="197"/>
    </row>
    <row r="859">
      <c r="B859" s="199"/>
      <c r="N859" s="152"/>
      <c r="Q859" s="195"/>
      <c r="S859" s="200"/>
      <c r="T859" s="200"/>
      <c r="U859" s="152"/>
      <c r="V859" s="152"/>
      <c r="W859" s="157"/>
      <c r="X859" s="197"/>
    </row>
    <row r="860">
      <c r="B860" s="199"/>
      <c r="N860" s="152"/>
      <c r="Q860" s="195"/>
      <c r="S860" s="200"/>
      <c r="T860" s="200"/>
      <c r="U860" s="152"/>
      <c r="V860" s="152"/>
      <c r="W860" s="157"/>
      <c r="X860" s="197"/>
    </row>
    <row r="861">
      <c r="B861" s="199"/>
      <c r="N861" s="152"/>
      <c r="Q861" s="195"/>
      <c r="S861" s="200"/>
      <c r="T861" s="200"/>
      <c r="U861" s="152"/>
      <c r="V861" s="152"/>
      <c r="W861" s="157"/>
      <c r="X861" s="197"/>
    </row>
    <row r="862">
      <c r="B862" s="199"/>
      <c r="N862" s="152"/>
      <c r="Q862" s="195"/>
      <c r="S862" s="200"/>
      <c r="T862" s="200"/>
      <c r="U862" s="152"/>
      <c r="V862" s="152"/>
      <c r="W862" s="157"/>
      <c r="X862" s="197"/>
    </row>
    <row r="863">
      <c r="B863" s="199"/>
      <c r="N863" s="152"/>
      <c r="Q863" s="195"/>
      <c r="S863" s="200"/>
      <c r="T863" s="200"/>
      <c r="U863" s="152"/>
      <c r="V863" s="152"/>
      <c r="W863" s="157"/>
      <c r="X863" s="197"/>
    </row>
    <row r="864">
      <c r="B864" s="199"/>
      <c r="N864" s="152"/>
      <c r="Q864" s="195"/>
      <c r="S864" s="200"/>
      <c r="T864" s="200"/>
      <c r="U864" s="152"/>
      <c r="V864" s="152"/>
      <c r="W864" s="157"/>
      <c r="X864" s="197"/>
    </row>
    <row r="865">
      <c r="B865" s="199"/>
      <c r="N865" s="152"/>
      <c r="Q865" s="195"/>
      <c r="S865" s="200"/>
      <c r="T865" s="200"/>
      <c r="U865" s="152"/>
      <c r="V865" s="152"/>
      <c r="W865" s="157"/>
      <c r="X865" s="197"/>
    </row>
    <row r="866">
      <c r="B866" s="199"/>
      <c r="N866" s="152"/>
      <c r="Q866" s="195"/>
      <c r="S866" s="200"/>
      <c r="T866" s="200"/>
      <c r="U866" s="152"/>
      <c r="V866" s="152"/>
      <c r="W866" s="157"/>
      <c r="X866" s="197"/>
    </row>
    <row r="867">
      <c r="B867" s="199"/>
      <c r="N867" s="152"/>
      <c r="Q867" s="195"/>
      <c r="S867" s="200"/>
      <c r="T867" s="200"/>
      <c r="U867" s="152"/>
      <c r="V867" s="152"/>
      <c r="W867" s="157"/>
      <c r="X867" s="197"/>
    </row>
    <row r="868">
      <c r="B868" s="199"/>
      <c r="N868" s="152"/>
      <c r="Q868" s="195"/>
      <c r="S868" s="200"/>
      <c r="T868" s="200"/>
      <c r="U868" s="152"/>
      <c r="V868" s="152"/>
      <c r="W868" s="157"/>
      <c r="X868" s="197"/>
    </row>
    <row r="869">
      <c r="B869" s="199"/>
      <c r="N869" s="152"/>
      <c r="Q869" s="195"/>
      <c r="S869" s="200"/>
      <c r="T869" s="200"/>
      <c r="U869" s="152"/>
      <c r="V869" s="152"/>
      <c r="W869" s="157"/>
      <c r="X869" s="197"/>
    </row>
    <row r="870">
      <c r="B870" s="199"/>
      <c r="N870" s="152"/>
      <c r="Q870" s="195"/>
      <c r="S870" s="200"/>
      <c r="T870" s="200"/>
      <c r="U870" s="152"/>
      <c r="V870" s="152"/>
      <c r="W870" s="157"/>
      <c r="X870" s="197"/>
    </row>
    <row r="871">
      <c r="B871" s="199"/>
      <c r="N871" s="152"/>
      <c r="Q871" s="195"/>
      <c r="S871" s="200"/>
      <c r="T871" s="200"/>
      <c r="U871" s="152"/>
      <c r="V871" s="152"/>
      <c r="W871" s="157"/>
      <c r="X871" s="197"/>
    </row>
    <row r="872">
      <c r="B872" s="199"/>
      <c r="N872" s="152"/>
      <c r="Q872" s="195"/>
      <c r="S872" s="200"/>
      <c r="T872" s="200"/>
      <c r="U872" s="152"/>
      <c r="V872" s="152"/>
      <c r="W872" s="157"/>
      <c r="X872" s="197"/>
    </row>
    <row r="873">
      <c r="B873" s="199"/>
      <c r="N873" s="152"/>
      <c r="Q873" s="195"/>
      <c r="S873" s="200"/>
      <c r="T873" s="200"/>
      <c r="U873" s="152"/>
      <c r="V873" s="152"/>
      <c r="W873" s="157"/>
      <c r="X873" s="197"/>
    </row>
    <row r="874">
      <c r="B874" s="199"/>
      <c r="N874" s="152"/>
      <c r="Q874" s="195"/>
      <c r="S874" s="200"/>
      <c r="T874" s="200"/>
      <c r="U874" s="152"/>
      <c r="V874" s="152"/>
      <c r="W874" s="157"/>
      <c r="X874" s="197"/>
    </row>
    <row r="875">
      <c r="B875" s="199"/>
      <c r="N875" s="152"/>
      <c r="Q875" s="195"/>
      <c r="S875" s="200"/>
      <c r="T875" s="200"/>
      <c r="U875" s="152"/>
      <c r="V875" s="152"/>
      <c r="W875" s="157"/>
      <c r="X875" s="197"/>
    </row>
    <row r="876">
      <c r="B876" s="199"/>
      <c r="N876" s="152"/>
      <c r="Q876" s="195"/>
      <c r="S876" s="200"/>
      <c r="T876" s="200"/>
      <c r="U876" s="152"/>
      <c r="V876" s="152"/>
      <c r="W876" s="157"/>
      <c r="X876" s="197"/>
    </row>
    <row r="877">
      <c r="B877" s="199"/>
      <c r="N877" s="152"/>
      <c r="Q877" s="195"/>
      <c r="S877" s="200"/>
      <c r="T877" s="200"/>
      <c r="U877" s="152"/>
      <c r="V877" s="152"/>
      <c r="W877" s="157"/>
      <c r="X877" s="197"/>
    </row>
    <row r="878">
      <c r="B878" s="199"/>
      <c r="N878" s="152"/>
      <c r="Q878" s="195"/>
      <c r="S878" s="200"/>
      <c r="T878" s="200"/>
      <c r="U878" s="152"/>
      <c r="V878" s="152"/>
      <c r="W878" s="157"/>
      <c r="X878" s="197"/>
    </row>
    <row r="879">
      <c r="B879" s="199"/>
      <c r="N879" s="152"/>
      <c r="Q879" s="195"/>
      <c r="S879" s="200"/>
      <c r="T879" s="200"/>
      <c r="U879" s="152"/>
      <c r="V879" s="152"/>
      <c r="W879" s="157"/>
      <c r="X879" s="197"/>
    </row>
    <row r="880">
      <c r="B880" s="199"/>
      <c r="N880" s="152"/>
      <c r="Q880" s="195"/>
      <c r="S880" s="200"/>
      <c r="T880" s="200"/>
      <c r="U880" s="152"/>
      <c r="V880" s="152"/>
      <c r="W880" s="157"/>
      <c r="X880" s="197"/>
    </row>
    <row r="881">
      <c r="B881" s="199"/>
      <c r="N881" s="152"/>
      <c r="Q881" s="195"/>
      <c r="S881" s="200"/>
      <c r="T881" s="200"/>
      <c r="U881" s="152"/>
      <c r="V881" s="152"/>
      <c r="W881" s="157"/>
      <c r="X881" s="197"/>
    </row>
    <row r="882">
      <c r="B882" s="199"/>
      <c r="N882" s="152"/>
      <c r="Q882" s="195"/>
      <c r="S882" s="200"/>
      <c r="T882" s="200"/>
      <c r="U882" s="152"/>
      <c r="V882" s="152"/>
      <c r="W882" s="157"/>
      <c r="X882" s="197"/>
    </row>
    <row r="883">
      <c r="B883" s="199"/>
      <c r="N883" s="152"/>
      <c r="Q883" s="195"/>
      <c r="S883" s="200"/>
      <c r="T883" s="200"/>
      <c r="U883" s="152"/>
      <c r="V883" s="152"/>
      <c r="W883" s="157"/>
      <c r="X883" s="197"/>
    </row>
    <row r="884">
      <c r="B884" s="199"/>
      <c r="N884" s="152"/>
      <c r="Q884" s="195"/>
      <c r="S884" s="200"/>
      <c r="T884" s="200"/>
      <c r="U884" s="152"/>
      <c r="V884" s="152"/>
      <c r="W884" s="157"/>
      <c r="X884" s="197"/>
    </row>
    <row r="885">
      <c r="B885" s="199"/>
      <c r="N885" s="152"/>
      <c r="Q885" s="195"/>
      <c r="S885" s="200"/>
      <c r="T885" s="200"/>
      <c r="U885" s="152"/>
      <c r="V885" s="152"/>
      <c r="W885" s="157"/>
      <c r="X885" s="197"/>
    </row>
    <row r="886">
      <c r="B886" s="199"/>
      <c r="N886" s="152"/>
      <c r="Q886" s="195"/>
      <c r="S886" s="200"/>
      <c r="T886" s="200"/>
      <c r="U886" s="152"/>
      <c r="V886" s="152"/>
      <c r="W886" s="157"/>
      <c r="X886" s="197"/>
    </row>
    <row r="887">
      <c r="B887" s="199"/>
      <c r="N887" s="152"/>
      <c r="Q887" s="195"/>
      <c r="S887" s="200"/>
      <c r="T887" s="200"/>
      <c r="U887" s="152"/>
      <c r="V887" s="152"/>
      <c r="W887" s="157"/>
      <c r="X887" s="197"/>
    </row>
    <row r="888">
      <c r="B888" s="199"/>
      <c r="N888" s="152"/>
      <c r="Q888" s="195"/>
      <c r="S888" s="200"/>
      <c r="T888" s="200"/>
      <c r="U888" s="152"/>
      <c r="V888" s="152"/>
      <c r="W888" s="157"/>
      <c r="X888" s="197"/>
    </row>
    <row r="889">
      <c r="B889" s="199"/>
      <c r="N889" s="152"/>
      <c r="Q889" s="195"/>
      <c r="S889" s="200"/>
      <c r="T889" s="200"/>
      <c r="U889" s="152"/>
      <c r="V889" s="152"/>
      <c r="W889" s="157"/>
      <c r="X889" s="197"/>
    </row>
    <row r="890">
      <c r="B890" s="199"/>
      <c r="N890" s="152"/>
      <c r="Q890" s="195"/>
      <c r="S890" s="200"/>
      <c r="T890" s="200"/>
      <c r="U890" s="152"/>
      <c r="V890" s="152"/>
      <c r="W890" s="157"/>
      <c r="X890" s="197"/>
    </row>
    <row r="891">
      <c r="B891" s="199"/>
      <c r="N891" s="152"/>
      <c r="Q891" s="195"/>
      <c r="S891" s="200"/>
      <c r="T891" s="200"/>
      <c r="U891" s="152"/>
      <c r="V891" s="152"/>
      <c r="W891" s="157"/>
      <c r="X891" s="197"/>
    </row>
    <row r="892">
      <c r="B892" s="199"/>
      <c r="N892" s="152"/>
      <c r="Q892" s="195"/>
      <c r="S892" s="200"/>
      <c r="T892" s="200"/>
      <c r="U892" s="152"/>
      <c r="V892" s="152"/>
      <c r="W892" s="157"/>
      <c r="X892" s="197"/>
    </row>
    <row r="893">
      <c r="B893" s="199"/>
      <c r="N893" s="152"/>
      <c r="Q893" s="195"/>
      <c r="S893" s="200"/>
      <c r="T893" s="200"/>
      <c r="U893" s="152"/>
      <c r="V893" s="152"/>
      <c r="W893" s="157"/>
      <c r="X893" s="197"/>
    </row>
    <row r="894">
      <c r="B894" s="199"/>
      <c r="N894" s="152"/>
      <c r="Q894" s="195"/>
      <c r="S894" s="200"/>
      <c r="T894" s="200"/>
      <c r="U894" s="152"/>
      <c r="V894" s="152"/>
      <c r="W894" s="157"/>
      <c r="X894" s="197"/>
    </row>
    <row r="895">
      <c r="B895" s="199"/>
      <c r="N895" s="152"/>
      <c r="Q895" s="195"/>
      <c r="S895" s="200"/>
      <c r="T895" s="200"/>
      <c r="U895" s="152"/>
      <c r="V895" s="152"/>
      <c r="W895" s="157"/>
      <c r="X895" s="197"/>
    </row>
    <row r="896">
      <c r="B896" s="199"/>
      <c r="N896" s="152"/>
      <c r="Q896" s="195"/>
      <c r="S896" s="200"/>
      <c r="T896" s="200"/>
      <c r="U896" s="152"/>
      <c r="V896" s="152"/>
      <c r="W896" s="157"/>
      <c r="X896" s="197"/>
    </row>
    <row r="897">
      <c r="B897" s="199"/>
      <c r="N897" s="152"/>
      <c r="Q897" s="195"/>
      <c r="S897" s="200"/>
      <c r="T897" s="200"/>
      <c r="U897" s="152"/>
      <c r="V897" s="152"/>
      <c r="W897" s="157"/>
      <c r="X897" s="197"/>
    </row>
    <row r="898">
      <c r="B898" s="199"/>
      <c r="N898" s="152"/>
      <c r="Q898" s="195"/>
      <c r="S898" s="200"/>
      <c r="T898" s="200"/>
      <c r="U898" s="152"/>
      <c r="V898" s="152"/>
      <c r="W898" s="157"/>
      <c r="X898" s="197"/>
    </row>
    <row r="899">
      <c r="B899" s="199"/>
      <c r="N899" s="152"/>
      <c r="Q899" s="195"/>
      <c r="S899" s="200"/>
      <c r="T899" s="200"/>
      <c r="U899" s="152"/>
      <c r="V899" s="152"/>
      <c r="W899" s="157"/>
      <c r="X899" s="197"/>
    </row>
    <row r="900">
      <c r="B900" s="199"/>
      <c r="N900" s="152"/>
      <c r="Q900" s="195"/>
      <c r="S900" s="200"/>
      <c r="T900" s="200"/>
      <c r="U900" s="152"/>
      <c r="V900" s="152"/>
      <c r="W900" s="157"/>
      <c r="X900" s="197"/>
    </row>
    <row r="901">
      <c r="B901" s="199"/>
      <c r="N901" s="152"/>
      <c r="Q901" s="195"/>
      <c r="S901" s="200"/>
      <c r="T901" s="200"/>
      <c r="U901" s="152"/>
      <c r="V901" s="152"/>
      <c r="W901" s="157"/>
      <c r="X901" s="197"/>
    </row>
    <row r="902">
      <c r="B902" s="199"/>
      <c r="N902" s="152"/>
      <c r="Q902" s="195"/>
      <c r="S902" s="200"/>
      <c r="T902" s="200"/>
      <c r="U902" s="152"/>
      <c r="V902" s="152"/>
      <c r="W902" s="157"/>
      <c r="X902" s="197"/>
    </row>
    <row r="903">
      <c r="B903" s="199"/>
      <c r="N903" s="152"/>
      <c r="Q903" s="195"/>
      <c r="S903" s="200"/>
      <c r="T903" s="200"/>
      <c r="U903" s="152"/>
      <c r="V903" s="152"/>
      <c r="W903" s="157"/>
      <c r="X903" s="197"/>
    </row>
    <row r="904">
      <c r="B904" s="199"/>
      <c r="N904" s="152"/>
      <c r="Q904" s="195"/>
      <c r="S904" s="200"/>
      <c r="T904" s="200"/>
      <c r="U904" s="152"/>
      <c r="V904" s="152"/>
      <c r="W904" s="157"/>
      <c r="X904" s="197"/>
    </row>
    <row r="905">
      <c r="B905" s="199"/>
      <c r="N905" s="152"/>
      <c r="Q905" s="195"/>
      <c r="S905" s="200"/>
      <c r="T905" s="200"/>
      <c r="U905" s="152"/>
      <c r="V905" s="152"/>
      <c r="W905" s="157"/>
      <c r="X905" s="197"/>
    </row>
    <row r="906">
      <c r="B906" s="199"/>
      <c r="N906" s="152"/>
      <c r="Q906" s="195"/>
      <c r="S906" s="200"/>
      <c r="T906" s="200"/>
      <c r="U906" s="152"/>
      <c r="V906" s="152"/>
      <c r="W906" s="157"/>
      <c r="X906" s="197"/>
    </row>
    <row r="907">
      <c r="B907" s="199"/>
      <c r="N907" s="152"/>
      <c r="Q907" s="195"/>
      <c r="S907" s="200"/>
      <c r="T907" s="200"/>
      <c r="U907" s="152"/>
      <c r="V907" s="152"/>
      <c r="W907" s="157"/>
      <c r="X907" s="197"/>
    </row>
    <row r="908">
      <c r="B908" s="199"/>
      <c r="N908" s="152"/>
      <c r="Q908" s="195"/>
      <c r="S908" s="200"/>
      <c r="T908" s="200"/>
      <c r="U908" s="152"/>
      <c r="V908" s="152"/>
      <c r="W908" s="157"/>
      <c r="X908" s="197"/>
    </row>
    <row r="909">
      <c r="B909" s="199"/>
      <c r="N909" s="152"/>
      <c r="Q909" s="195"/>
      <c r="S909" s="200"/>
      <c r="T909" s="200"/>
      <c r="U909" s="152"/>
      <c r="V909" s="152"/>
      <c r="W909" s="157"/>
      <c r="X909" s="197"/>
    </row>
    <row r="910">
      <c r="B910" s="199"/>
      <c r="N910" s="152"/>
      <c r="Q910" s="195"/>
      <c r="S910" s="200"/>
      <c r="T910" s="200"/>
      <c r="U910" s="152"/>
      <c r="V910" s="152"/>
      <c r="W910" s="157"/>
      <c r="X910" s="197"/>
    </row>
    <row r="911">
      <c r="B911" s="199"/>
      <c r="N911" s="152"/>
      <c r="Q911" s="195"/>
      <c r="S911" s="200"/>
      <c r="T911" s="200"/>
      <c r="U911" s="152"/>
      <c r="V911" s="152"/>
      <c r="W911" s="157"/>
      <c r="X911" s="197"/>
    </row>
    <row r="912">
      <c r="B912" s="199"/>
      <c r="N912" s="152"/>
      <c r="Q912" s="195"/>
      <c r="S912" s="200"/>
      <c r="T912" s="200"/>
      <c r="U912" s="152"/>
      <c r="V912" s="152"/>
      <c r="W912" s="157"/>
      <c r="X912" s="197"/>
    </row>
    <row r="913">
      <c r="B913" s="199"/>
      <c r="N913" s="152"/>
      <c r="Q913" s="195"/>
      <c r="S913" s="200"/>
      <c r="T913" s="200"/>
      <c r="U913" s="152"/>
      <c r="V913" s="152"/>
      <c r="W913" s="157"/>
      <c r="X913" s="197"/>
    </row>
    <row r="914">
      <c r="B914" s="199"/>
      <c r="N914" s="152"/>
      <c r="Q914" s="195"/>
      <c r="S914" s="200"/>
      <c r="T914" s="200"/>
      <c r="U914" s="152"/>
      <c r="V914" s="152"/>
      <c r="W914" s="157"/>
      <c r="X914" s="197"/>
    </row>
    <row r="915">
      <c r="B915" s="199"/>
      <c r="N915" s="152"/>
      <c r="Q915" s="195"/>
      <c r="S915" s="200"/>
      <c r="T915" s="200"/>
      <c r="U915" s="152"/>
      <c r="V915" s="152"/>
      <c r="W915" s="157"/>
      <c r="X915" s="197"/>
    </row>
    <row r="916">
      <c r="B916" s="199"/>
      <c r="N916" s="152"/>
      <c r="Q916" s="195"/>
      <c r="S916" s="200"/>
      <c r="T916" s="200"/>
      <c r="U916" s="152"/>
      <c r="V916" s="152"/>
      <c r="W916" s="157"/>
      <c r="X916" s="197"/>
    </row>
    <row r="917">
      <c r="B917" s="199"/>
      <c r="N917" s="152"/>
      <c r="Q917" s="195"/>
      <c r="S917" s="200"/>
      <c r="T917" s="200"/>
      <c r="U917" s="152"/>
      <c r="V917" s="152"/>
      <c r="W917" s="157"/>
      <c r="X917" s="197"/>
    </row>
    <row r="918">
      <c r="B918" s="199"/>
      <c r="N918" s="152"/>
      <c r="Q918" s="195"/>
      <c r="S918" s="200"/>
      <c r="T918" s="200"/>
      <c r="U918" s="152"/>
      <c r="V918" s="152"/>
      <c r="W918" s="157"/>
      <c r="X918" s="197"/>
    </row>
    <row r="919">
      <c r="B919" s="199"/>
      <c r="N919" s="152"/>
      <c r="Q919" s="195"/>
      <c r="S919" s="200"/>
      <c r="T919" s="200"/>
      <c r="U919" s="152"/>
      <c r="V919" s="152"/>
      <c r="W919" s="157"/>
      <c r="X919" s="197"/>
    </row>
    <row r="920">
      <c r="B920" s="199"/>
      <c r="N920" s="152"/>
      <c r="Q920" s="195"/>
      <c r="S920" s="200"/>
      <c r="T920" s="200"/>
      <c r="U920" s="152"/>
      <c r="V920" s="152"/>
      <c r="W920" s="157"/>
      <c r="X920" s="197"/>
    </row>
    <row r="921">
      <c r="B921" s="199"/>
      <c r="N921" s="152"/>
      <c r="Q921" s="195"/>
      <c r="S921" s="200"/>
      <c r="T921" s="200"/>
      <c r="U921" s="152"/>
      <c r="V921" s="152"/>
      <c r="W921" s="157"/>
      <c r="X921" s="197"/>
    </row>
    <row r="922">
      <c r="B922" s="199"/>
      <c r="N922" s="152"/>
      <c r="Q922" s="195"/>
      <c r="S922" s="200"/>
      <c r="T922" s="200"/>
      <c r="U922" s="152"/>
      <c r="V922" s="152"/>
      <c r="W922" s="157"/>
      <c r="X922" s="197"/>
    </row>
    <row r="923">
      <c r="B923" s="199"/>
      <c r="N923" s="152"/>
      <c r="Q923" s="195"/>
      <c r="S923" s="200"/>
      <c r="T923" s="200"/>
      <c r="U923" s="152"/>
      <c r="V923" s="152"/>
      <c r="W923" s="157"/>
      <c r="X923" s="197"/>
    </row>
    <row r="924">
      <c r="B924" s="199"/>
      <c r="N924" s="152"/>
      <c r="Q924" s="195"/>
      <c r="S924" s="200"/>
      <c r="T924" s="200"/>
      <c r="U924" s="152"/>
      <c r="V924" s="152"/>
      <c r="W924" s="157"/>
      <c r="X924" s="197"/>
    </row>
    <row r="925">
      <c r="B925" s="199"/>
      <c r="N925" s="152"/>
      <c r="Q925" s="195"/>
      <c r="S925" s="200"/>
      <c r="T925" s="200"/>
      <c r="U925" s="152"/>
      <c r="V925" s="152"/>
      <c r="W925" s="157"/>
      <c r="X925" s="197"/>
    </row>
    <row r="926">
      <c r="B926" s="199"/>
      <c r="N926" s="152"/>
      <c r="Q926" s="195"/>
      <c r="S926" s="200"/>
      <c r="T926" s="200"/>
      <c r="U926" s="152"/>
      <c r="V926" s="152"/>
      <c r="W926" s="157"/>
      <c r="X926" s="197"/>
    </row>
    <row r="927">
      <c r="B927" s="199"/>
      <c r="N927" s="152"/>
      <c r="Q927" s="195"/>
      <c r="S927" s="200"/>
      <c r="T927" s="200"/>
      <c r="U927" s="152"/>
      <c r="V927" s="152"/>
      <c r="W927" s="157"/>
      <c r="X927" s="197"/>
    </row>
    <row r="928">
      <c r="B928" s="199"/>
      <c r="N928" s="152"/>
      <c r="Q928" s="195"/>
      <c r="S928" s="200"/>
      <c r="T928" s="200"/>
      <c r="U928" s="152"/>
      <c r="V928" s="152"/>
      <c r="W928" s="157"/>
      <c r="X928" s="197"/>
    </row>
    <row r="929">
      <c r="B929" s="199"/>
      <c r="N929" s="152"/>
      <c r="Q929" s="195"/>
      <c r="S929" s="200"/>
      <c r="T929" s="200"/>
      <c r="U929" s="152"/>
      <c r="V929" s="152"/>
      <c r="W929" s="157"/>
      <c r="X929" s="197"/>
    </row>
    <row r="930">
      <c r="B930" s="199"/>
      <c r="N930" s="152"/>
      <c r="Q930" s="195"/>
      <c r="S930" s="200"/>
      <c r="T930" s="200"/>
      <c r="U930" s="152"/>
      <c r="V930" s="152"/>
      <c r="W930" s="157"/>
      <c r="X930" s="197"/>
    </row>
    <row r="931">
      <c r="B931" s="199"/>
      <c r="N931" s="152"/>
      <c r="Q931" s="195"/>
      <c r="S931" s="200"/>
      <c r="T931" s="200"/>
      <c r="U931" s="152"/>
      <c r="V931" s="152"/>
      <c r="W931" s="157"/>
      <c r="X931" s="197"/>
    </row>
    <row r="932">
      <c r="B932" s="199"/>
      <c r="N932" s="152"/>
      <c r="Q932" s="195"/>
      <c r="S932" s="200"/>
      <c r="T932" s="200"/>
      <c r="U932" s="152"/>
      <c r="V932" s="152"/>
      <c r="W932" s="157"/>
      <c r="X932" s="197"/>
    </row>
    <row r="933">
      <c r="B933" s="199"/>
      <c r="N933" s="152"/>
      <c r="Q933" s="195"/>
      <c r="S933" s="200"/>
      <c r="T933" s="200"/>
      <c r="U933" s="152"/>
      <c r="V933" s="152"/>
      <c r="W933" s="157"/>
      <c r="X933" s="197"/>
    </row>
    <row r="934">
      <c r="B934" s="199"/>
      <c r="N934" s="152"/>
      <c r="Q934" s="195"/>
      <c r="S934" s="200"/>
      <c r="T934" s="200"/>
      <c r="U934" s="152"/>
      <c r="V934" s="152"/>
      <c r="W934" s="157"/>
      <c r="X934" s="197"/>
    </row>
    <row r="935">
      <c r="B935" s="199"/>
      <c r="N935" s="152"/>
      <c r="Q935" s="195"/>
      <c r="S935" s="200"/>
      <c r="T935" s="200"/>
      <c r="U935" s="152"/>
      <c r="V935" s="152"/>
      <c r="W935" s="157"/>
      <c r="X935" s="197"/>
    </row>
    <row r="936">
      <c r="B936" s="199"/>
      <c r="N936" s="152"/>
      <c r="Q936" s="195"/>
      <c r="S936" s="200"/>
      <c r="T936" s="200"/>
      <c r="U936" s="152"/>
      <c r="V936" s="152"/>
      <c r="W936" s="157"/>
      <c r="X936" s="197"/>
    </row>
    <row r="937">
      <c r="B937" s="199"/>
      <c r="N937" s="152"/>
      <c r="Q937" s="195"/>
      <c r="S937" s="200"/>
      <c r="T937" s="200"/>
      <c r="U937" s="152"/>
      <c r="V937" s="152"/>
      <c r="W937" s="157"/>
      <c r="X937" s="197"/>
    </row>
    <row r="938">
      <c r="B938" s="199"/>
      <c r="N938" s="152"/>
      <c r="Q938" s="195"/>
      <c r="S938" s="200"/>
      <c r="T938" s="200"/>
      <c r="U938" s="152"/>
      <c r="V938" s="152"/>
      <c r="W938" s="157"/>
      <c r="X938" s="197"/>
    </row>
    <row r="939">
      <c r="B939" s="199"/>
      <c r="N939" s="152"/>
      <c r="Q939" s="195"/>
      <c r="S939" s="200"/>
      <c r="T939" s="200"/>
      <c r="U939" s="152"/>
      <c r="V939" s="152"/>
      <c r="W939" s="157"/>
      <c r="X939" s="197"/>
    </row>
    <row r="940">
      <c r="B940" s="199"/>
      <c r="N940" s="152"/>
      <c r="Q940" s="195"/>
      <c r="S940" s="200"/>
      <c r="T940" s="200"/>
      <c r="U940" s="152"/>
      <c r="V940" s="152"/>
      <c r="W940" s="157"/>
      <c r="X940" s="197"/>
    </row>
    <row r="941">
      <c r="B941" s="199"/>
      <c r="N941" s="152"/>
      <c r="Q941" s="195"/>
      <c r="S941" s="200"/>
      <c r="T941" s="200"/>
      <c r="U941" s="152"/>
      <c r="V941" s="152"/>
      <c r="W941" s="157"/>
      <c r="X941" s="197"/>
    </row>
    <row r="942">
      <c r="B942" s="199"/>
      <c r="N942" s="152"/>
      <c r="Q942" s="195"/>
      <c r="S942" s="200"/>
      <c r="T942" s="200"/>
      <c r="U942" s="152"/>
      <c r="V942" s="152"/>
      <c r="W942" s="157"/>
      <c r="X942" s="197"/>
    </row>
    <row r="943">
      <c r="B943" s="199"/>
      <c r="N943" s="152"/>
      <c r="Q943" s="195"/>
      <c r="S943" s="200"/>
      <c r="T943" s="200"/>
      <c r="U943" s="152"/>
      <c r="V943" s="152"/>
      <c r="W943" s="157"/>
      <c r="X943" s="197"/>
    </row>
    <row r="944">
      <c r="B944" s="199"/>
      <c r="N944" s="152"/>
      <c r="Q944" s="195"/>
      <c r="S944" s="200"/>
      <c r="T944" s="200"/>
      <c r="U944" s="152"/>
      <c r="V944" s="152"/>
      <c r="W944" s="157"/>
      <c r="X944" s="197"/>
    </row>
    <row r="945">
      <c r="B945" s="199"/>
      <c r="N945" s="152"/>
      <c r="Q945" s="195"/>
      <c r="S945" s="200"/>
      <c r="T945" s="200"/>
      <c r="U945" s="152"/>
      <c r="V945" s="152"/>
      <c r="W945" s="157"/>
      <c r="X945" s="197"/>
    </row>
    <row r="946">
      <c r="B946" s="199"/>
      <c r="N946" s="152"/>
      <c r="Q946" s="195"/>
      <c r="S946" s="200"/>
      <c r="T946" s="200"/>
      <c r="U946" s="152"/>
      <c r="V946" s="152"/>
      <c r="W946" s="157"/>
      <c r="X946" s="197"/>
    </row>
    <row r="947">
      <c r="B947" s="199"/>
      <c r="N947" s="152"/>
      <c r="Q947" s="195"/>
      <c r="S947" s="200"/>
      <c r="T947" s="200"/>
      <c r="U947" s="152"/>
      <c r="V947" s="152"/>
      <c r="W947" s="157"/>
      <c r="X947" s="197"/>
    </row>
    <row r="948">
      <c r="B948" s="199"/>
      <c r="N948" s="152"/>
      <c r="Q948" s="195"/>
      <c r="S948" s="200"/>
      <c r="T948" s="200"/>
      <c r="U948" s="152"/>
      <c r="V948" s="152"/>
      <c r="W948" s="157"/>
      <c r="X948" s="197"/>
    </row>
    <row r="949">
      <c r="B949" s="199"/>
      <c r="N949" s="152"/>
      <c r="Q949" s="195"/>
      <c r="S949" s="200"/>
      <c r="T949" s="200"/>
      <c r="U949" s="152"/>
      <c r="V949" s="152"/>
      <c r="W949" s="157"/>
      <c r="X949" s="197"/>
    </row>
    <row r="950">
      <c r="B950" s="199"/>
      <c r="N950" s="152"/>
      <c r="Q950" s="195"/>
      <c r="S950" s="200"/>
      <c r="T950" s="200"/>
      <c r="U950" s="152"/>
      <c r="V950" s="152"/>
      <c r="W950" s="157"/>
      <c r="X950" s="197"/>
    </row>
    <row r="951">
      <c r="B951" s="199"/>
      <c r="N951" s="152"/>
      <c r="Q951" s="195"/>
      <c r="S951" s="200"/>
      <c r="T951" s="200"/>
      <c r="U951" s="152"/>
      <c r="V951" s="152"/>
      <c r="W951" s="157"/>
      <c r="X951" s="197"/>
    </row>
    <row r="952">
      <c r="B952" s="199"/>
      <c r="N952" s="152"/>
      <c r="Q952" s="195"/>
      <c r="S952" s="200"/>
      <c r="T952" s="200"/>
      <c r="U952" s="152"/>
      <c r="V952" s="152"/>
      <c r="W952" s="157"/>
      <c r="X952" s="197"/>
    </row>
    <row r="953">
      <c r="B953" s="199"/>
      <c r="N953" s="152"/>
      <c r="Q953" s="195"/>
      <c r="S953" s="200"/>
      <c r="T953" s="200"/>
      <c r="U953" s="152"/>
      <c r="V953" s="152"/>
      <c r="W953" s="157"/>
      <c r="X953" s="197"/>
    </row>
    <row r="954">
      <c r="B954" s="199"/>
      <c r="N954" s="152"/>
      <c r="Q954" s="195"/>
      <c r="S954" s="200"/>
      <c r="T954" s="200"/>
      <c r="U954" s="152"/>
      <c r="V954" s="152"/>
      <c r="W954" s="157"/>
      <c r="X954" s="197"/>
    </row>
    <row r="955">
      <c r="B955" s="199"/>
      <c r="N955" s="152"/>
      <c r="Q955" s="195"/>
      <c r="S955" s="200"/>
      <c r="T955" s="200"/>
      <c r="U955" s="152"/>
      <c r="V955" s="152"/>
      <c r="W955" s="157"/>
      <c r="X955" s="197"/>
    </row>
    <row r="956">
      <c r="B956" s="199"/>
      <c r="N956" s="152"/>
      <c r="Q956" s="195"/>
      <c r="S956" s="200"/>
      <c r="T956" s="200"/>
      <c r="U956" s="152"/>
      <c r="V956" s="152"/>
      <c r="W956" s="157"/>
      <c r="X956" s="197"/>
    </row>
    <row r="957">
      <c r="B957" s="199"/>
      <c r="N957" s="152"/>
      <c r="Q957" s="195"/>
      <c r="S957" s="200"/>
      <c r="T957" s="200"/>
      <c r="U957" s="152"/>
      <c r="V957" s="152"/>
      <c r="W957" s="157"/>
      <c r="X957" s="197"/>
    </row>
    <row r="958">
      <c r="B958" s="199"/>
      <c r="N958" s="152"/>
      <c r="Q958" s="195"/>
      <c r="S958" s="200"/>
      <c r="T958" s="200"/>
      <c r="U958" s="152"/>
      <c r="V958" s="152"/>
      <c r="W958" s="157"/>
      <c r="X958" s="197"/>
    </row>
    <row r="959">
      <c r="B959" s="199"/>
      <c r="N959" s="152"/>
      <c r="Q959" s="195"/>
      <c r="S959" s="200"/>
      <c r="T959" s="200"/>
      <c r="U959" s="152"/>
      <c r="V959" s="152"/>
      <c r="W959" s="157"/>
      <c r="X959" s="197"/>
    </row>
    <row r="960">
      <c r="B960" s="199"/>
      <c r="N960" s="152"/>
      <c r="Q960" s="195"/>
      <c r="S960" s="200"/>
      <c r="T960" s="200"/>
      <c r="U960" s="152"/>
      <c r="V960" s="152"/>
      <c r="W960" s="157"/>
      <c r="X960" s="197"/>
    </row>
    <row r="961">
      <c r="B961" s="199"/>
      <c r="N961" s="152"/>
      <c r="Q961" s="195"/>
      <c r="S961" s="200"/>
      <c r="T961" s="200"/>
      <c r="U961" s="152"/>
      <c r="V961" s="152"/>
      <c r="W961" s="157"/>
      <c r="X961" s="197"/>
    </row>
    <row r="962">
      <c r="B962" s="199"/>
      <c r="N962" s="152"/>
      <c r="Q962" s="195"/>
      <c r="S962" s="200"/>
      <c r="T962" s="200"/>
      <c r="U962" s="152"/>
      <c r="V962" s="152"/>
      <c r="W962" s="157"/>
      <c r="X962" s="197"/>
    </row>
    <row r="963">
      <c r="B963" s="199"/>
      <c r="N963" s="152"/>
      <c r="Q963" s="195"/>
      <c r="S963" s="200"/>
      <c r="T963" s="200"/>
      <c r="U963" s="152"/>
      <c r="V963" s="152"/>
      <c r="W963" s="157"/>
      <c r="X963" s="197"/>
    </row>
    <row r="964">
      <c r="B964" s="199"/>
      <c r="N964" s="152"/>
      <c r="Q964" s="195"/>
      <c r="S964" s="200"/>
      <c r="T964" s="200"/>
      <c r="U964" s="152"/>
      <c r="V964" s="152"/>
      <c r="W964" s="157"/>
      <c r="X964" s="197"/>
    </row>
    <row r="965">
      <c r="B965" s="199"/>
      <c r="N965" s="152"/>
      <c r="Q965" s="195"/>
      <c r="S965" s="200"/>
      <c r="T965" s="200"/>
      <c r="U965" s="152"/>
      <c r="V965" s="152"/>
      <c r="W965" s="157"/>
      <c r="X965" s="197"/>
    </row>
    <row r="966">
      <c r="B966" s="199"/>
      <c r="N966" s="152"/>
      <c r="Q966" s="195"/>
      <c r="S966" s="200"/>
      <c r="T966" s="200"/>
      <c r="U966" s="152"/>
      <c r="V966" s="152"/>
      <c r="W966" s="157"/>
      <c r="X966" s="197"/>
    </row>
    <row r="967">
      <c r="B967" s="199"/>
      <c r="N967" s="152"/>
      <c r="Q967" s="195"/>
      <c r="S967" s="200"/>
      <c r="T967" s="200"/>
      <c r="U967" s="152"/>
      <c r="V967" s="152"/>
      <c r="W967" s="157"/>
      <c r="X967" s="197"/>
    </row>
    <row r="968">
      <c r="B968" s="199"/>
      <c r="N968" s="152"/>
      <c r="Q968" s="195"/>
      <c r="S968" s="200"/>
      <c r="T968" s="200"/>
      <c r="U968" s="152"/>
      <c r="V968" s="152"/>
      <c r="W968" s="157"/>
      <c r="X968" s="197"/>
    </row>
    <row r="969">
      <c r="B969" s="199"/>
      <c r="N969" s="152"/>
      <c r="Q969" s="195"/>
      <c r="S969" s="200"/>
      <c r="T969" s="200"/>
      <c r="U969" s="152"/>
      <c r="V969" s="152"/>
      <c r="W969" s="157"/>
      <c r="X969" s="197"/>
    </row>
    <row r="970">
      <c r="B970" s="199"/>
      <c r="N970" s="152"/>
      <c r="Q970" s="195"/>
      <c r="S970" s="200"/>
      <c r="T970" s="200"/>
      <c r="U970" s="152"/>
      <c r="V970" s="152"/>
      <c r="W970" s="157"/>
      <c r="X970" s="197"/>
    </row>
    <row r="971">
      <c r="B971" s="199"/>
      <c r="N971" s="152"/>
      <c r="Q971" s="195"/>
      <c r="S971" s="200"/>
      <c r="T971" s="200"/>
      <c r="U971" s="152"/>
      <c r="V971" s="152"/>
      <c r="W971" s="157"/>
      <c r="X971" s="197"/>
    </row>
    <row r="972">
      <c r="B972" s="199"/>
      <c r="N972" s="152"/>
      <c r="Q972" s="195"/>
      <c r="S972" s="200"/>
      <c r="T972" s="200"/>
      <c r="U972" s="152"/>
      <c r="V972" s="152"/>
      <c r="W972" s="157"/>
      <c r="X972" s="197"/>
    </row>
    <row r="973">
      <c r="B973" s="199"/>
      <c r="N973" s="152"/>
      <c r="Q973" s="195"/>
      <c r="S973" s="200"/>
      <c r="T973" s="200"/>
      <c r="U973" s="152"/>
      <c r="V973" s="152"/>
      <c r="W973" s="157"/>
      <c r="X973" s="197"/>
    </row>
    <row r="974">
      <c r="B974" s="199"/>
      <c r="N974" s="152"/>
      <c r="Q974" s="195"/>
      <c r="S974" s="200"/>
      <c r="T974" s="200"/>
      <c r="U974" s="152"/>
      <c r="V974" s="152"/>
      <c r="W974" s="157"/>
      <c r="X974" s="197"/>
    </row>
    <row r="975">
      <c r="B975" s="199"/>
      <c r="N975" s="152"/>
      <c r="Q975" s="195"/>
      <c r="S975" s="200"/>
      <c r="T975" s="200"/>
      <c r="U975" s="152"/>
      <c r="V975" s="152"/>
      <c r="W975" s="157"/>
      <c r="X975" s="197"/>
    </row>
    <row r="976">
      <c r="B976" s="199"/>
      <c r="N976" s="152"/>
      <c r="Q976" s="195"/>
      <c r="S976" s="200"/>
      <c r="T976" s="200"/>
      <c r="U976" s="152"/>
      <c r="V976" s="152"/>
      <c r="W976" s="157"/>
      <c r="X976" s="197"/>
    </row>
    <row r="977">
      <c r="B977" s="199"/>
      <c r="N977" s="152"/>
      <c r="Q977" s="195"/>
      <c r="S977" s="200"/>
      <c r="T977" s="200"/>
      <c r="U977" s="152"/>
      <c r="V977" s="152"/>
      <c r="W977" s="157"/>
      <c r="X977" s="197"/>
    </row>
    <row r="978">
      <c r="B978" s="199"/>
      <c r="N978" s="152"/>
      <c r="Q978" s="195"/>
      <c r="S978" s="200"/>
      <c r="T978" s="200"/>
      <c r="U978" s="152"/>
      <c r="V978" s="152"/>
      <c r="W978" s="157"/>
      <c r="X978" s="197"/>
    </row>
    <row r="979">
      <c r="B979" s="199"/>
      <c r="N979" s="152"/>
      <c r="Q979" s="195"/>
      <c r="S979" s="200"/>
      <c r="T979" s="200"/>
      <c r="U979" s="152"/>
      <c r="V979" s="152"/>
      <c r="W979" s="157"/>
      <c r="X979" s="197"/>
    </row>
    <row r="980">
      <c r="B980" s="199"/>
      <c r="N980" s="152"/>
      <c r="Q980" s="195"/>
      <c r="S980" s="200"/>
      <c r="T980" s="200"/>
      <c r="U980" s="152"/>
      <c r="V980" s="152"/>
      <c r="W980" s="157"/>
      <c r="X980" s="197"/>
    </row>
    <row r="981">
      <c r="B981" s="199"/>
      <c r="N981" s="152"/>
      <c r="Q981" s="195"/>
      <c r="S981" s="200"/>
      <c r="T981" s="200"/>
      <c r="U981" s="152"/>
      <c r="V981" s="152"/>
      <c r="W981" s="157"/>
      <c r="X981" s="197"/>
    </row>
    <row r="982">
      <c r="B982" s="199"/>
      <c r="N982" s="152"/>
      <c r="Q982" s="195"/>
      <c r="S982" s="200"/>
      <c r="T982" s="200"/>
      <c r="U982" s="152"/>
      <c r="V982" s="152"/>
      <c r="W982" s="157"/>
      <c r="X982" s="197"/>
    </row>
    <row r="983">
      <c r="B983" s="199"/>
      <c r="N983" s="152"/>
      <c r="Q983" s="195"/>
      <c r="S983" s="200"/>
      <c r="T983" s="200"/>
      <c r="U983" s="152"/>
      <c r="V983" s="152"/>
      <c r="W983" s="157"/>
      <c r="X983" s="197"/>
    </row>
    <row r="984">
      <c r="B984" s="199"/>
      <c r="N984" s="152"/>
      <c r="Q984" s="195"/>
      <c r="S984" s="200"/>
      <c r="T984" s="200"/>
      <c r="U984" s="152"/>
      <c r="V984" s="152"/>
      <c r="W984" s="157"/>
      <c r="X984" s="197"/>
    </row>
    <row r="985">
      <c r="B985" s="199"/>
      <c r="N985" s="152"/>
      <c r="Q985" s="195"/>
      <c r="S985" s="200"/>
      <c r="T985" s="200"/>
      <c r="U985" s="152"/>
      <c r="V985" s="152"/>
      <c r="W985" s="157"/>
      <c r="X985" s="197"/>
    </row>
    <row r="986">
      <c r="B986" s="199"/>
      <c r="N986" s="152"/>
      <c r="Q986" s="195"/>
      <c r="S986" s="200"/>
      <c r="T986" s="200"/>
      <c r="U986" s="152"/>
      <c r="V986" s="152"/>
      <c r="W986" s="157"/>
      <c r="X986" s="197"/>
    </row>
    <row r="987">
      <c r="B987" s="199"/>
      <c r="N987" s="152"/>
      <c r="Q987" s="195"/>
      <c r="S987" s="200"/>
      <c r="T987" s="200"/>
      <c r="U987" s="152"/>
      <c r="V987" s="152"/>
      <c r="W987" s="157"/>
      <c r="X987" s="197"/>
    </row>
    <row r="988">
      <c r="B988" s="199"/>
      <c r="N988" s="152"/>
      <c r="Q988" s="195"/>
      <c r="S988" s="200"/>
      <c r="T988" s="200"/>
      <c r="U988" s="152"/>
      <c r="V988" s="152"/>
      <c r="W988" s="157"/>
      <c r="X988" s="197"/>
    </row>
    <row r="989">
      <c r="B989" s="199"/>
      <c r="N989" s="152"/>
      <c r="Q989" s="195"/>
      <c r="S989" s="200"/>
      <c r="T989" s="200"/>
      <c r="U989" s="152"/>
      <c r="V989" s="152"/>
      <c r="W989" s="157"/>
      <c r="X989" s="197"/>
    </row>
    <row r="990">
      <c r="B990" s="199"/>
      <c r="N990" s="152"/>
      <c r="Q990" s="195"/>
      <c r="S990" s="200"/>
      <c r="T990" s="200"/>
      <c r="U990" s="152"/>
      <c r="V990" s="152"/>
      <c r="W990" s="157"/>
      <c r="X990" s="197"/>
    </row>
    <row r="991">
      <c r="B991" s="199"/>
      <c r="N991" s="152"/>
      <c r="Q991" s="195"/>
      <c r="S991" s="200"/>
      <c r="T991" s="200"/>
      <c r="U991" s="152"/>
      <c r="V991" s="152"/>
      <c r="W991" s="157"/>
      <c r="X991" s="197"/>
    </row>
    <row r="992">
      <c r="B992" s="199"/>
      <c r="N992" s="152"/>
      <c r="Q992" s="195"/>
      <c r="S992" s="200"/>
      <c r="T992" s="200"/>
      <c r="U992" s="152"/>
      <c r="V992" s="152"/>
      <c r="W992" s="157"/>
      <c r="X992" s="197"/>
    </row>
    <row r="993">
      <c r="B993" s="199"/>
      <c r="N993" s="152"/>
      <c r="Q993" s="195"/>
      <c r="S993" s="200"/>
      <c r="T993" s="200"/>
      <c r="U993" s="152"/>
      <c r="V993" s="152"/>
      <c r="W993" s="157"/>
      <c r="X993" s="197"/>
    </row>
    <row r="994">
      <c r="B994" s="199"/>
      <c r="N994" s="152"/>
      <c r="Q994" s="195"/>
      <c r="S994" s="200"/>
      <c r="T994" s="200"/>
      <c r="U994" s="152"/>
      <c r="V994" s="152"/>
      <c r="W994" s="157"/>
      <c r="X994" s="197"/>
    </row>
    <row r="995">
      <c r="B995" s="199"/>
      <c r="N995" s="152"/>
      <c r="Q995" s="195"/>
      <c r="S995" s="200"/>
      <c r="T995" s="200"/>
      <c r="U995" s="152"/>
      <c r="V995" s="152"/>
      <c r="W995" s="157"/>
      <c r="X995" s="197"/>
    </row>
    <row r="996">
      <c r="B996" s="199"/>
      <c r="N996" s="152"/>
      <c r="Q996" s="195"/>
      <c r="S996" s="200"/>
      <c r="T996" s="200"/>
      <c r="U996" s="152"/>
      <c r="V996" s="152"/>
      <c r="W996" s="157"/>
      <c r="X996" s="197"/>
    </row>
    <row r="997">
      <c r="B997" s="199"/>
      <c r="N997" s="152"/>
      <c r="Q997" s="195"/>
      <c r="S997" s="200"/>
      <c r="T997" s="200"/>
      <c r="U997" s="152"/>
      <c r="V997" s="152"/>
      <c r="W997" s="157"/>
      <c r="X997" s="197"/>
    </row>
    <row r="998">
      <c r="B998" s="199"/>
      <c r="N998" s="152"/>
      <c r="Q998" s="195"/>
      <c r="S998" s="200"/>
      <c r="T998" s="200"/>
      <c r="U998" s="152"/>
      <c r="V998" s="152"/>
      <c r="W998" s="157"/>
      <c r="X998" s="197"/>
    </row>
    <row r="999">
      <c r="B999" s="199"/>
      <c r="N999" s="152"/>
      <c r="Q999" s="195"/>
      <c r="S999" s="200"/>
      <c r="T999" s="200"/>
      <c r="U999" s="152"/>
      <c r="V999" s="152"/>
      <c r="W999" s="157"/>
      <c r="X999" s="197"/>
    </row>
    <row r="1000">
      <c r="B1000" s="199"/>
      <c r="N1000" s="152"/>
      <c r="Q1000" s="195"/>
      <c r="S1000" s="200"/>
      <c r="T1000" s="200"/>
      <c r="U1000" s="152"/>
      <c r="V1000" s="152"/>
      <c r="W1000" s="157"/>
      <c r="X1000" s="197"/>
    </row>
  </sheetData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8.88"/>
    <col customWidth="1" min="2" max="3" width="12.63"/>
    <col customWidth="1" min="4" max="4" width="19.38"/>
    <col customWidth="1" min="5" max="5" width="20.75"/>
    <col customWidth="1" min="6" max="6" width="14.5"/>
    <col customWidth="1" min="7" max="7" width="16.5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>
      <c r="E142" s="155"/>
    </row>
    <row r="143" ht="15.75" customHeight="1">
      <c r="E143" s="155"/>
    </row>
    <row r="144" ht="15.75" customHeight="1">
      <c r="E144" s="155"/>
    </row>
    <row r="145" ht="15.75" customHeight="1">
      <c r="E145" s="155"/>
    </row>
    <row r="146" ht="15.75" customHeight="1">
      <c r="E146" s="155"/>
    </row>
    <row r="147" ht="15.75" customHeight="1">
      <c r="E147" s="155"/>
    </row>
    <row r="148" ht="15.75" customHeight="1">
      <c r="E148" s="155"/>
    </row>
    <row r="149" ht="15.75" customHeight="1">
      <c r="E149" s="155"/>
    </row>
    <row r="150" ht="15.75" customHeight="1">
      <c r="E150" s="155"/>
    </row>
    <row r="151" ht="15.75" customHeight="1">
      <c r="E151" s="155"/>
    </row>
    <row r="152" ht="15.75" customHeight="1">
      <c r="E152" s="155"/>
    </row>
    <row r="153" ht="15.75" customHeight="1">
      <c r="E153" s="155"/>
    </row>
    <row r="154" ht="15.75" customHeight="1">
      <c r="E154" s="155"/>
    </row>
    <row r="155" ht="15.75" customHeight="1">
      <c r="E155" s="155"/>
    </row>
    <row r="156" ht="15.75" customHeight="1">
      <c r="E156" s="155"/>
    </row>
    <row r="157" ht="15.75" customHeight="1">
      <c r="E157" s="155"/>
    </row>
    <row r="158" ht="15.75" customHeight="1">
      <c r="E158" s="155"/>
    </row>
    <row r="159" ht="15.75" customHeight="1">
      <c r="E159" s="155"/>
    </row>
    <row r="160" ht="15.75" customHeight="1">
      <c r="E160" s="155"/>
    </row>
    <row r="161" ht="15.75" customHeight="1">
      <c r="E161" s="155"/>
    </row>
    <row r="162" ht="15.75" customHeight="1">
      <c r="E162" s="155"/>
    </row>
    <row r="163" ht="15.75" customHeight="1">
      <c r="E163" s="155"/>
    </row>
    <row r="164" ht="15.75" customHeight="1">
      <c r="E164" s="155"/>
    </row>
    <row r="165" ht="15.75" customHeight="1">
      <c r="E165" s="155"/>
    </row>
    <row r="166" ht="15.75" customHeight="1">
      <c r="E166" s="155"/>
    </row>
    <row r="167" ht="15.75" customHeight="1">
      <c r="E167" s="155"/>
    </row>
    <row r="168" ht="15.75" customHeight="1">
      <c r="E168" s="155"/>
    </row>
    <row r="169" ht="15.75" customHeight="1">
      <c r="E169" s="155"/>
    </row>
    <row r="170" ht="15.75" customHeight="1">
      <c r="E170" s="155"/>
    </row>
    <row r="171" ht="15.75" customHeight="1">
      <c r="E171" s="155"/>
    </row>
    <row r="172" ht="15.75" customHeight="1">
      <c r="E172" s="155"/>
    </row>
    <row r="173" ht="15.75" customHeight="1">
      <c r="E173" s="155"/>
    </row>
    <row r="174" ht="15.75" customHeight="1">
      <c r="E174" s="155"/>
    </row>
    <row r="175" ht="15.75" customHeight="1">
      <c r="E175" s="155"/>
    </row>
    <row r="176" ht="15.75" customHeight="1">
      <c r="E176" s="155"/>
    </row>
    <row r="177" ht="15.75" customHeight="1">
      <c r="E177" s="155"/>
    </row>
    <row r="178" ht="15.75" customHeight="1">
      <c r="E178" s="155"/>
    </row>
    <row r="179" ht="15.75" customHeight="1">
      <c r="E179" s="155"/>
    </row>
    <row r="180" ht="15.75" customHeight="1">
      <c r="E180" s="155"/>
    </row>
    <row r="181" ht="15.75" customHeight="1">
      <c r="E181" s="155"/>
    </row>
    <row r="182" ht="15.75" customHeight="1">
      <c r="E182" s="155"/>
    </row>
    <row r="183" ht="15.75" customHeight="1">
      <c r="E183" s="155"/>
    </row>
    <row r="184" ht="15.75" customHeight="1">
      <c r="E184" s="155"/>
    </row>
    <row r="185" ht="15.75" customHeight="1">
      <c r="E185" s="155"/>
    </row>
    <row r="186" ht="15.75" customHeight="1">
      <c r="E186" s="155"/>
    </row>
    <row r="187" ht="15.75" customHeight="1">
      <c r="E187" s="155"/>
    </row>
    <row r="188" ht="15.75" customHeight="1">
      <c r="E188" s="155"/>
    </row>
    <row r="189" ht="15.75" customHeight="1">
      <c r="E189" s="155"/>
    </row>
    <row r="190" ht="15.75" customHeight="1">
      <c r="E190" s="155"/>
    </row>
    <row r="191" ht="15.75" customHeight="1">
      <c r="E191" s="155"/>
    </row>
    <row r="192" ht="15.75" customHeight="1">
      <c r="E192" s="155"/>
    </row>
    <row r="193" ht="15.75" customHeight="1">
      <c r="E193" s="155"/>
    </row>
    <row r="194" ht="15.75" customHeight="1">
      <c r="E194" s="155"/>
    </row>
    <row r="195" ht="15.75" customHeight="1">
      <c r="E195" s="155"/>
    </row>
    <row r="196" ht="15.75" customHeight="1">
      <c r="E196" s="155"/>
    </row>
    <row r="197" ht="15.75" customHeight="1">
      <c r="E197" s="155"/>
    </row>
    <row r="198" ht="15.75" customHeight="1">
      <c r="E198" s="155"/>
    </row>
    <row r="199" ht="15.75" customHeight="1">
      <c r="E199" s="155"/>
    </row>
    <row r="200" ht="15.75" customHeight="1">
      <c r="E200" s="155"/>
    </row>
    <row r="201" ht="15.75" customHeight="1">
      <c r="E201" s="155"/>
    </row>
    <row r="202" ht="15.75" customHeight="1">
      <c r="E202" s="155"/>
    </row>
    <row r="203" ht="15.75" customHeight="1">
      <c r="E203" s="155"/>
    </row>
    <row r="204" ht="15.75" customHeight="1">
      <c r="E204" s="155"/>
    </row>
    <row r="205" ht="15.75" customHeight="1">
      <c r="E205" s="155"/>
    </row>
    <row r="206" ht="15.75" customHeight="1">
      <c r="E206" s="155"/>
    </row>
    <row r="207" ht="15.75" customHeight="1">
      <c r="E207" s="155"/>
    </row>
    <row r="208" ht="15.75" customHeight="1">
      <c r="E208" s="155"/>
    </row>
    <row r="209" ht="15.75" customHeight="1">
      <c r="E209" s="155"/>
    </row>
    <row r="210" ht="15.75" customHeight="1">
      <c r="E210" s="155"/>
    </row>
    <row r="211" ht="15.75" customHeight="1">
      <c r="E211" s="155"/>
    </row>
    <row r="212" ht="15.75" customHeight="1">
      <c r="E212" s="155"/>
    </row>
    <row r="213" ht="15.75" customHeight="1">
      <c r="E213" s="155"/>
    </row>
    <row r="214" ht="15.75" customHeight="1">
      <c r="E214" s="155"/>
    </row>
    <row r="215" ht="15.75" customHeight="1">
      <c r="E215" s="155"/>
    </row>
    <row r="216" ht="15.75" customHeight="1">
      <c r="E216" s="155"/>
    </row>
    <row r="217" ht="15.75" customHeight="1">
      <c r="E217" s="155"/>
    </row>
    <row r="218" ht="15.75" customHeight="1">
      <c r="E218" s="155"/>
    </row>
    <row r="219" ht="15.75" customHeight="1">
      <c r="E219" s="155"/>
    </row>
    <row r="220" ht="15.75" customHeight="1">
      <c r="E220" s="155"/>
    </row>
    <row r="221" ht="15.75" customHeight="1">
      <c r="E221" s="155"/>
    </row>
    <row r="222" ht="15.75" customHeight="1">
      <c r="E222" s="155"/>
    </row>
    <row r="223" ht="15.75" customHeight="1">
      <c r="E223" s="155"/>
    </row>
    <row r="224" ht="15.75" customHeight="1">
      <c r="E224" s="155"/>
    </row>
    <row r="225" ht="15.75" customHeight="1">
      <c r="E225" s="155"/>
    </row>
    <row r="226" ht="15.75" customHeight="1">
      <c r="E226" s="155"/>
    </row>
    <row r="227" ht="15.75" customHeight="1">
      <c r="E227" s="155"/>
    </row>
    <row r="228" ht="15.75" customHeight="1">
      <c r="E228" s="155"/>
    </row>
    <row r="229" ht="15.75" customHeight="1">
      <c r="E229" s="155"/>
    </row>
    <row r="230" ht="15.75" customHeight="1">
      <c r="E230" s="155"/>
    </row>
    <row r="231" ht="15.75" customHeight="1">
      <c r="E231" s="155"/>
    </row>
    <row r="232" ht="15.75" customHeight="1">
      <c r="E232" s="155"/>
    </row>
    <row r="233" ht="15.75" customHeight="1">
      <c r="E233" s="155"/>
    </row>
    <row r="234" ht="15.75" customHeight="1">
      <c r="E234" s="155"/>
    </row>
    <row r="235" ht="15.75" customHeight="1">
      <c r="E235" s="155"/>
    </row>
    <row r="236" ht="15.75" customHeight="1">
      <c r="E236" s="155"/>
    </row>
    <row r="237" ht="15.75" customHeight="1">
      <c r="E237" s="155"/>
    </row>
    <row r="238" ht="15.75" customHeight="1">
      <c r="E238" s="155"/>
    </row>
    <row r="239" ht="15.75" customHeight="1">
      <c r="E239" s="155"/>
    </row>
    <row r="240" ht="15.75" customHeight="1">
      <c r="E240" s="155"/>
    </row>
    <row r="241" ht="15.75" customHeight="1">
      <c r="E241" s="155"/>
    </row>
    <row r="242" ht="15.75" customHeight="1">
      <c r="E242" s="155"/>
    </row>
    <row r="243" ht="15.75" customHeight="1">
      <c r="E243" s="155"/>
    </row>
    <row r="244" ht="15.75" customHeight="1">
      <c r="E244" s="155"/>
    </row>
    <row r="245" ht="15.75" customHeight="1">
      <c r="E245" s="155"/>
    </row>
    <row r="246" ht="15.75" customHeight="1">
      <c r="E246" s="155"/>
    </row>
    <row r="247" ht="15.75" customHeight="1">
      <c r="E247" s="155"/>
    </row>
    <row r="248" ht="15.75" customHeight="1">
      <c r="E248" s="155"/>
    </row>
    <row r="249" ht="15.75" customHeight="1">
      <c r="E249" s="155"/>
    </row>
    <row r="250" ht="15.75" customHeight="1">
      <c r="E250" s="155"/>
    </row>
    <row r="251" ht="15.75" customHeight="1">
      <c r="E251" s="155"/>
    </row>
    <row r="252" ht="15.75" customHeight="1">
      <c r="E252" s="155"/>
    </row>
    <row r="253" ht="15.75" customHeight="1">
      <c r="E253" s="155"/>
    </row>
    <row r="254" ht="15.75" customHeight="1">
      <c r="E254" s="155"/>
    </row>
    <row r="255" ht="15.75" customHeight="1">
      <c r="E255" s="155"/>
    </row>
    <row r="256" ht="15.75" customHeight="1">
      <c r="E256" s="155"/>
    </row>
    <row r="257" ht="15.75" customHeight="1">
      <c r="E257" s="155"/>
    </row>
    <row r="258" ht="15.75" customHeight="1">
      <c r="E258" s="155"/>
    </row>
    <row r="259" ht="15.75" customHeight="1">
      <c r="E259" s="155"/>
    </row>
    <row r="260" ht="15.75" customHeight="1">
      <c r="E260" s="155"/>
    </row>
    <row r="261" ht="15.75" customHeight="1">
      <c r="E261" s="155"/>
    </row>
    <row r="262" ht="15.75" customHeight="1">
      <c r="E262" s="155"/>
    </row>
    <row r="263" ht="15.75" customHeight="1">
      <c r="E263" s="155"/>
    </row>
    <row r="264" ht="15.75" customHeight="1">
      <c r="E264" s="155"/>
    </row>
    <row r="265" ht="15.75" customHeight="1">
      <c r="E265" s="155"/>
    </row>
    <row r="266" ht="15.75" customHeight="1">
      <c r="E266" s="155"/>
    </row>
    <row r="267" ht="15.75" customHeight="1">
      <c r="E267" s="155"/>
    </row>
    <row r="268" ht="15.75" customHeight="1">
      <c r="E268" s="155"/>
    </row>
    <row r="269" ht="15.75" customHeight="1">
      <c r="E269" s="155"/>
    </row>
    <row r="270" ht="15.75" customHeight="1">
      <c r="E270" s="155"/>
    </row>
    <row r="271" ht="15.75" customHeight="1">
      <c r="E271" s="155"/>
    </row>
    <row r="272" ht="15.75" customHeight="1">
      <c r="E272" s="155"/>
    </row>
    <row r="273" ht="15.75" customHeight="1">
      <c r="E273" s="155"/>
    </row>
    <row r="274" ht="15.75" customHeight="1">
      <c r="E274" s="155"/>
    </row>
    <row r="275" ht="15.75" customHeight="1">
      <c r="E275" s="155"/>
    </row>
    <row r="276" ht="15.75" customHeight="1">
      <c r="E276" s="155"/>
    </row>
    <row r="277" ht="15.75" customHeight="1">
      <c r="E277" s="155"/>
    </row>
    <row r="278" ht="15.75" customHeight="1">
      <c r="E278" s="155"/>
    </row>
    <row r="279" ht="15.75" customHeight="1">
      <c r="E279" s="155"/>
    </row>
    <row r="280" ht="15.75" customHeight="1">
      <c r="E280" s="155"/>
    </row>
    <row r="281" ht="15.75" customHeight="1">
      <c r="E281" s="155"/>
    </row>
    <row r="282" ht="15.75" customHeight="1">
      <c r="E282" s="155"/>
    </row>
    <row r="283" ht="15.75" customHeight="1">
      <c r="E283" s="155"/>
    </row>
    <row r="284" ht="15.75" customHeight="1">
      <c r="E284" s="155"/>
    </row>
    <row r="285" ht="15.75" customHeight="1">
      <c r="E285" s="155"/>
    </row>
    <row r="286" ht="15.75" customHeight="1">
      <c r="E286" s="155"/>
    </row>
    <row r="287" ht="15.75" customHeight="1">
      <c r="E287" s="155"/>
    </row>
    <row r="288" ht="15.75" customHeight="1">
      <c r="E288" s="155"/>
    </row>
    <row r="289" ht="15.75" customHeight="1">
      <c r="E289" s="155"/>
    </row>
    <row r="290" ht="15.75" customHeight="1">
      <c r="E290" s="155"/>
    </row>
    <row r="291" ht="15.75" customHeight="1">
      <c r="E291" s="155"/>
    </row>
    <row r="292" ht="15.75" customHeight="1">
      <c r="E292" s="155"/>
    </row>
    <row r="293" ht="15.75" customHeight="1">
      <c r="E293" s="155"/>
    </row>
    <row r="294" ht="15.75" customHeight="1">
      <c r="E294" s="155"/>
    </row>
    <row r="295" ht="15.75" customHeight="1">
      <c r="E295" s="155"/>
    </row>
    <row r="296" ht="15.75" customHeight="1">
      <c r="E296" s="155"/>
    </row>
    <row r="297" ht="15.75" customHeight="1">
      <c r="E297" s="155"/>
    </row>
    <row r="298" ht="15.75" customHeight="1">
      <c r="E298" s="155"/>
    </row>
    <row r="299" ht="15.75" customHeight="1">
      <c r="E299" s="155"/>
    </row>
    <row r="300" ht="15.75" customHeight="1">
      <c r="E300" s="155"/>
    </row>
    <row r="301" ht="15.75" customHeight="1">
      <c r="E301" s="155"/>
    </row>
    <row r="302" ht="15.75" customHeight="1">
      <c r="E302" s="155"/>
    </row>
    <row r="303" ht="15.75" customHeight="1">
      <c r="E303" s="155"/>
    </row>
    <row r="304" ht="15.75" customHeight="1">
      <c r="E304" s="155"/>
    </row>
    <row r="305" ht="15.75" customHeight="1">
      <c r="E305" s="155"/>
    </row>
    <row r="306" ht="15.75" customHeight="1">
      <c r="E306" s="155"/>
    </row>
    <row r="307" ht="15.75" customHeight="1">
      <c r="E307" s="155"/>
    </row>
    <row r="308" ht="15.75" customHeight="1">
      <c r="E308" s="155"/>
    </row>
    <row r="309" ht="15.75" customHeight="1">
      <c r="E309" s="155"/>
    </row>
    <row r="310" ht="15.75" customHeight="1">
      <c r="E310" s="155"/>
    </row>
    <row r="311" ht="15.75" customHeight="1">
      <c r="E311" s="155"/>
    </row>
    <row r="312" ht="15.75" customHeight="1">
      <c r="E312" s="155"/>
    </row>
    <row r="313" ht="15.75" customHeight="1">
      <c r="E313" s="155"/>
    </row>
    <row r="314" ht="15.75" customHeight="1">
      <c r="E314" s="155"/>
    </row>
    <row r="315" ht="15.75" customHeight="1">
      <c r="E315" s="155"/>
    </row>
    <row r="316" ht="15.75" customHeight="1">
      <c r="E316" s="155"/>
    </row>
    <row r="317" ht="15.75" customHeight="1">
      <c r="E317" s="155"/>
    </row>
    <row r="318" ht="15.75" customHeight="1">
      <c r="E318" s="155"/>
    </row>
    <row r="319" ht="15.75" customHeight="1">
      <c r="E319" s="155"/>
    </row>
    <row r="320" ht="15.75" customHeight="1">
      <c r="E320" s="155"/>
    </row>
    <row r="321" ht="15.75" customHeight="1">
      <c r="E321" s="155"/>
    </row>
    <row r="322" ht="15.75" customHeight="1">
      <c r="E322" s="155"/>
    </row>
    <row r="323" ht="15.75" customHeight="1">
      <c r="E323" s="155"/>
    </row>
    <row r="324" ht="15.75" customHeight="1">
      <c r="E324" s="155"/>
    </row>
    <row r="325" ht="15.75" customHeight="1">
      <c r="E325" s="155"/>
    </row>
    <row r="326" ht="15.75" customHeight="1">
      <c r="E326" s="155"/>
    </row>
    <row r="327" ht="15.75" customHeight="1">
      <c r="E327" s="155"/>
    </row>
    <row r="328" ht="15.75" customHeight="1">
      <c r="E328" s="155"/>
    </row>
    <row r="329" ht="15.75" customHeight="1">
      <c r="E329" s="155"/>
    </row>
    <row r="330" ht="15.75" customHeight="1">
      <c r="E330" s="155"/>
    </row>
    <row r="331" ht="15.75" customHeight="1">
      <c r="E331" s="155"/>
    </row>
    <row r="332" ht="15.75" customHeight="1">
      <c r="E332" s="155"/>
    </row>
    <row r="333" ht="15.75" customHeight="1">
      <c r="E333" s="155"/>
    </row>
    <row r="334" ht="15.75" customHeight="1">
      <c r="E334" s="155"/>
    </row>
    <row r="335" ht="15.75" customHeight="1">
      <c r="E335" s="155"/>
    </row>
    <row r="336" ht="15.75" customHeight="1">
      <c r="E336" s="155"/>
    </row>
    <row r="337" ht="15.75" customHeight="1">
      <c r="E337" s="155"/>
    </row>
    <row r="338" ht="15.75" customHeight="1">
      <c r="E338" s="155"/>
    </row>
    <row r="339" ht="15.75" customHeight="1">
      <c r="E339" s="155"/>
    </row>
    <row r="340" ht="15.75" customHeight="1">
      <c r="E340" s="155"/>
    </row>
    <row r="341" ht="15.75" customHeight="1">
      <c r="E341" s="155"/>
    </row>
    <row r="342" ht="15.75" customHeight="1">
      <c r="E342" s="155"/>
    </row>
    <row r="343" ht="15.75" customHeight="1">
      <c r="E343" s="155"/>
    </row>
    <row r="344" ht="15.75" customHeight="1">
      <c r="E344" s="155"/>
    </row>
    <row r="345" ht="15.75" customHeight="1">
      <c r="E345" s="155"/>
    </row>
    <row r="346" ht="15.75" customHeight="1">
      <c r="E346" s="155"/>
    </row>
    <row r="347" ht="15.75" customHeight="1">
      <c r="E347" s="155"/>
    </row>
    <row r="348" ht="15.75" customHeight="1">
      <c r="E348" s="155"/>
    </row>
    <row r="349" ht="15.75" customHeight="1">
      <c r="E349" s="155"/>
    </row>
    <row r="350" ht="15.75" customHeight="1">
      <c r="E350" s="155"/>
    </row>
    <row r="351" ht="15.75" customHeight="1">
      <c r="E351" s="155"/>
    </row>
    <row r="352" ht="15.75" customHeight="1">
      <c r="E352" s="155"/>
    </row>
    <row r="353" ht="15.75" customHeight="1">
      <c r="E353" s="155"/>
    </row>
    <row r="354" ht="15.75" customHeight="1">
      <c r="E354" s="155"/>
    </row>
    <row r="355" ht="15.75" customHeight="1">
      <c r="E355" s="155"/>
    </row>
    <row r="356" ht="15.75" customHeight="1">
      <c r="E356" s="155"/>
    </row>
    <row r="357" ht="15.75" customHeight="1">
      <c r="E357" s="155"/>
    </row>
    <row r="358" ht="15.75" customHeight="1">
      <c r="E358" s="155"/>
    </row>
    <row r="359" ht="15.75" customHeight="1">
      <c r="E359" s="155"/>
    </row>
    <row r="360" ht="15.75" customHeight="1">
      <c r="E360" s="155"/>
    </row>
    <row r="361" ht="15.75" customHeight="1">
      <c r="E361" s="155"/>
    </row>
    <row r="362" ht="15.75" customHeight="1">
      <c r="E362" s="155"/>
    </row>
    <row r="363" ht="15.75" customHeight="1">
      <c r="E363" s="155"/>
    </row>
    <row r="364" ht="15.75" customHeight="1">
      <c r="E364" s="155"/>
    </row>
    <row r="365" ht="15.75" customHeight="1">
      <c r="E365" s="155"/>
    </row>
    <row r="366" ht="15.75" customHeight="1">
      <c r="E366" s="155"/>
    </row>
    <row r="367" ht="15.75" customHeight="1">
      <c r="E367" s="155"/>
    </row>
    <row r="368" ht="15.75" customHeight="1">
      <c r="E368" s="155"/>
    </row>
    <row r="369" ht="15.75" customHeight="1">
      <c r="E369" s="155"/>
    </row>
    <row r="370" ht="15.75" customHeight="1">
      <c r="E370" s="155"/>
    </row>
    <row r="371" ht="15.75" customHeight="1">
      <c r="E371" s="155"/>
    </row>
    <row r="372" ht="15.75" customHeight="1">
      <c r="E372" s="155"/>
    </row>
    <row r="373" ht="15.75" customHeight="1">
      <c r="E373" s="155"/>
    </row>
    <row r="374" ht="15.75" customHeight="1">
      <c r="E374" s="155"/>
    </row>
    <row r="375" ht="15.75" customHeight="1">
      <c r="E375" s="155"/>
    </row>
    <row r="376" ht="15.75" customHeight="1">
      <c r="E376" s="155"/>
    </row>
    <row r="377" ht="15.75" customHeight="1">
      <c r="E377" s="155"/>
    </row>
    <row r="378" ht="15.75" customHeight="1">
      <c r="E378" s="155"/>
    </row>
    <row r="379" ht="15.75" customHeight="1">
      <c r="E379" s="155"/>
    </row>
    <row r="380" ht="15.75" customHeight="1">
      <c r="E380" s="155"/>
    </row>
    <row r="381" ht="15.75" customHeight="1">
      <c r="E381" s="155"/>
    </row>
    <row r="382" ht="15.75" customHeight="1">
      <c r="E382" s="155"/>
    </row>
    <row r="383" ht="15.75" customHeight="1">
      <c r="E383" s="155"/>
    </row>
    <row r="384" ht="15.75" customHeight="1">
      <c r="E384" s="155"/>
    </row>
    <row r="385" ht="15.75" customHeight="1">
      <c r="E385" s="155"/>
    </row>
    <row r="386" ht="15.75" customHeight="1">
      <c r="E386" s="155"/>
    </row>
    <row r="387" ht="15.75" customHeight="1">
      <c r="E387" s="155"/>
    </row>
    <row r="388" ht="15.75" customHeight="1">
      <c r="E388" s="155"/>
    </row>
    <row r="389" ht="15.75" customHeight="1">
      <c r="E389" s="155"/>
    </row>
    <row r="390" ht="15.75" customHeight="1">
      <c r="E390" s="155"/>
    </row>
    <row r="391" ht="15.75" customHeight="1">
      <c r="E391" s="155"/>
    </row>
    <row r="392" ht="15.75" customHeight="1">
      <c r="E392" s="155"/>
    </row>
    <row r="393" ht="15.75" customHeight="1">
      <c r="E393" s="155"/>
    </row>
    <row r="394" ht="15.75" customHeight="1">
      <c r="E394" s="155"/>
    </row>
    <row r="395" ht="15.75" customHeight="1">
      <c r="E395" s="155"/>
    </row>
    <row r="396" ht="15.75" customHeight="1">
      <c r="E396" s="155"/>
    </row>
    <row r="397" ht="15.75" customHeight="1">
      <c r="E397" s="155"/>
    </row>
    <row r="398" ht="15.75" customHeight="1">
      <c r="E398" s="155"/>
    </row>
    <row r="399" ht="15.75" customHeight="1">
      <c r="E399" s="155"/>
    </row>
    <row r="400" ht="15.75" customHeight="1">
      <c r="E400" s="155"/>
    </row>
    <row r="401" ht="15.75" customHeight="1">
      <c r="E401" s="155"/>
    </row>
    <row r="402" ht="15.75" customHeight="1">
      <c r="E402" s="155"/>
    </row>
    <row r="403" ht="15.75" customHeight="1">
      <c r="E403" s="155"/>
    </row>
    <row r="404" ht="15.75" customHeight="1">
      <c r="E404" s="155"/>
    </row>
    <row r="405" ht="15.75" customHeight="1">
      <c r="E405" s="155"/>
    </row>
    <row r="406" ht="15.75" customHeight="1">
      <c r="E406" s="155"/>
    </row>
    <row r="407" ht="15.75" customHeight="1">
      <c r="E407" s="155"/>
    </row>
    <row r="408" ht="15.75" customHeight="1">
      <c r="E408" s="155"/>
    </row>
    <row r="409" ht="15.75" customHeight="1">
      <c r="E409" s="155"/>
    </row>
    <row r="410" ht="15.75" customHeight="1">
      <c r="E410" s="155"/>
    </row>
    <row r="411" ht="15.75" customHeight="1">
      <c r="E411" s="155"/>
    </row>
    <row r="412" ht="15.75" customHeight="1">
      <c r="E412" s="155"/>
    </row>
    <row r="413" ht="15.75" customHeight="1">
      <c r="E413" s="155"/>
    </row>
    <row r="414" ht="15.75" customHeight="1">
      <c r="E414" s="155"/>
    </row>
    <row r="415" ht="15.75" customHeight="1">
      <c r="E415" s="155"/>
    </row>
    <row r="416" ht="15.75" customHeight="1">
      <c r="E416" s="155"/>
    </row>
    <row r="417" ht="15.75" customHeight="1">
      <c r="E417" s="155"/>
    </row>
    <row r="418" ht="15.75" customHeight="1">
      <c r="E418" s="155"/>
    </row>
    <row r="419" ht="15.75" customHeight="1">
      <c r="E419" s="155"/>
    </row>
    <row r="420" ht="15.75" customHeight="1">
      <c r="E420" s="155"/>
    </row>
    <row r="421" ht="15.75" customHeight="1">
      <c r="E421" s="155"/>
    </row>
    <row r="422" ht="15.75" customHeight="1">
      <c r="E422" s="155"/>
    </row>
    <row r="423" ht="15.75" customHeight="1">
      <c r="E423" s="155"/>
    </row>
    <row r="424" ht="15.75" customHeight="1">
      <c r="E424" s="155"/>
    </row>
    <row r="425" ht="15.75" customHeight="1">
      <c r="E425" s="155"/>
    </row>
    <row r="426" ht="15.75" customHeight="1">
      <c r="E426" s="155"/>
    </row>
    <row r="427" ht="15.75" customHeight="1">
      <c r="E427" s="155"/>
    </row>
    <row r="428" ht="15.75" customHeight="1">
      <c r="E428" s="155"/>
    </row>
    <row r="429" ht="15.75" customHeight="1">
      <c r="E429" s="155"/>
    </row>
    <row r="430" ht="15.75" customHeight="1">
      <c r="E430" s="155"/>
    </row>
    <row r="431" ht="15.75" customHeight="1">
      <c r="E431" s="155"/>
    </row>
    <row r="432" ht="15.75" customHeight="1">
      <c r="E432" s="155"/>
    </row>
    <row r="433" ht="15.75" customHeight="1">
      <c r="E433" s="155"/>
    </row>
    <row r="434" ht="15.75" customHeight="1">
      <c r="E434" s="155"/>
    </row>
    <row r="435" ht="15.75" customHeight="1">
      <c r="E435" s="155"/>
    </row>
    <row r="436" ht="15.75" customHeight="1">
      <c r="E436" s="155"/>
    </row>
    <row r="437" ht="15.75" customHeight="1">
      <c r="E437" s="155"/>
    </row>
    <row r="438" ht="15.75" customHeight="1">
      <c r="E438" s="155"/>
    </row>
    <row r="439" ht="15.75" customHeight="1">
      <c r="E439" s="155"/>
    </row>
    <row r="440" ht="15.75" customHeight="1">
      <c r="E440" s="155"/>
    </row>
    <row r="441" ht="15.75" customHeight="1">
      <c r="E441" s="155"/>
    </row>
    <row r="442" ht="15.75" customHeight="1">
      <c r="E442" s="155"/>
    </row>
    <row r="443" ht="15.75" customHeight="1">
      <c r="E443" s="155"/>
    </row>
    <row r="444" ht="15.75" customHeight="1">
      <c r="E444" s="155"/>
    </row>
    <row r="445" ht="15.75" customHeight="1">
      <c r="E445" s="155"/>
    </row>
    <row r="446" ht="15.75" customHeight="1">
      <c r="E446" s="155"/>
    </row>
    <row r="447" ht="15.75" customHeight="1">
      <c r="E447" s="155"/>
    </row>
    <row r="448" ht="15.75" customHeight="1">
      <c r="E448" s="155"/>
    </row>
    <row r="449" ht="15.75" customHeight="1">
      <c r="E449" s="155"/>
    </row>
    <row r="450" ht="15.75" customHeight="1">
      <c r="E450" s="155"/>
    </row>
    <row r="451" ht="15.75" customHeight="1">
      <c r="E451" s="155"/>
    </row>
    <row r="452" ht="15.75" customHeight="1">
      <c r="E452" s="155"/>
    </row>
    <row r="453" ht="15.75" customHeight="1">
      <c r="E453" s="155"/>
    </row>
    <row r="454" ht="15.75" customHeight="1">
      <c r="E454" s="155"/>
    </row>
    <row r="455" ht="15.75" customHeight="1">
      <c r="E455" s="155"/>
    </row>
    <row r="456" ht="15.75" customHeight="1">
      <c r="E456" s="155"/>
    </row>
    <row r="457" ht="15.75" customHeight="1">
      <c r="E457" s="155"/>
    </row>
    <row r="458" ht="15.75" customHeight="1">
      <c r="E458" s="155"/>
    </row>
    <row r="459" ht="15.75" customHeight="1">
      <c r="E459" s="155"/>
    </row>
    <row r="460" ht="15.75" customHeight="1">
      <c r="E460" s="155"/>
    </row>
    <row r="461" ht="15.75" customHeight="1">
      <c r="E461" s="155"/>
    </row>
    <row r="462" ht="15.75" customHeight="1">
      <c r="E462" s="155"/>
    </row>
    <row r="463" ht="15.75" customHeight="1">
      <c r="E463" s="155"/>
    </row>
    <row r="464" ht="15.75" customHeight="1">
      <c r="E464" s="155"/>
    </row>
    <row r="465" ht="15.75" customHeight="1">
      <c r="E465" s="155"/>
    </row>
    <row r="466" ht="15.75" customHeight="1">
      <c r="E466" s="155"/>
    </row>
    <row r="467" ht="15.75" customHeight="1">
      <c r="E467" s="155"/>
    </row>
    <row r="468" ht="15.75" customHeight="1">
      <c r="E468" s="155"/>
    </row>
    <row r="469" ht="15.75" customHeight="1">
      <c r="E469" s="155"/>
    </row>
    <row r="470" ht="15.75" customHeight="1">
      <c r="E470" s="155"/>
    </row>
    <row r="471" ht="15.75" customHeight="1">
      <c r="E471" s="155"/>
    </row>
    <row r="472" ht="15.75" customHeight="1">
      <c r="E472" s="155"/>
    </row>
    <row r="473" ht="15.75" customHeight="1">
      <c r="E473" s="155"/>
    </row>
    <row r="474" ht="15.75" customHeight="1">
      <c r="E474" s="155"/>
    </row>
    <row r="475" ht="15.75" customHeight="1">
      <c r="E475" s="155"/>
    </row>
    <row r="476" ht="15.75" customHeight="1">
      <c r="E476" s="155"/>
    </row>
    <row r="477" ht="15.75" customHeight="1">
      <c r="E477" s="155"/>
    </row>
    <row r="478" ht="15.75" customHeight="1">
      <c r="E478" s="155"/>
    </row>
    <row r="479" ht="15.75" customHeight="1">
      <c r="E479" s="155"/>
    </row>
    <row r="480" ht="15.75" customHeight="1">
      <c r="E480" s="155"/>
    </row>
    <row r="481" ht="15.75" customHeight="1">
      <c r="E481" s="155"/>
    </row>
    <row r="482" ht="15.75" customHeight="1">
      <c r="E482" s="155"/>
    </row>
    <row r="483" ht="15.75" customHeight="1">
      <c r="E483" s="155"/>
    </row>
    <row r="484" ht="15.75" customHeight="1">
      <c r="E484" s="155"/>
    </row>
    <row r="485" ht="15.75" customHeight="1">
      <c r="E485" s="155"/>
    </row>
    <row r="486" ht="15.75" customHeight="1">
      <c r="E486" s="155"/>
    </row>
    <row r="487" ht="15.75" customHeight="1">
      <c r="E487" s="155"/>
    </row>
    <row r="488" ht="15.75" customHeight="1">
      <c r="E488" s="155"/>
    </row>
    <row r="489" ht="15.75" customHeight="1">
      <c r="E489" s="155"/>
    </row>
    <row r="490" ht="15.75" customHeight="1">
      <c r="E490" s="155"/>
    </row>
    <row r="491" ht="15.75" customHeight="1">
      <c r="E491" s="155"/>
    </row>
    <row r="492" ht="15.75" customHeight="1">
      <c r="E492" s="155"/>
    </row>
    <row r="493" ht="15.75" customHeight="1">
      <c r="E493" s="155"/>
    </row>
    <row r="494" ht="15.75" customHeight="1">
      <c r="E494" s="155"/>
    </row>
    <row r="495" ht="15.75" customHeight="1">
      <c r="E495" s="155"/>
    </row>
    <row r="496" ht="15.75" customHeight="1">
      <c r="E496" s="155"/>
    </row>
    <row r="497" ht="15.75" customHeight="1">
      <c r="E497" s="155"/>
    </row>
    <row r="498" ht="15.75" customHeight="1">
      <c r="E498" s="155"/>
    </row>
    <row r="499" ht="15.75" customHeight="1">
      <c r="E499" s="155"/>
    </row>
    <row r="500" ht="15.75" customHeight="1">
      <c r="E500" s="155"/>
    </row>
    <row r="501" ht="15.75" customHeight="1">
      <c r="E501" s="155"/>
    </row>
    <row r="502" ht="15.75" customHeight="1">
      <c r="E502" s="155"/>
    </row>
    <row r="503" ht="15.75" customHeight="1">
      <c r="E503" s="155"/>
    </row>
    <row r="504" ht="15.75" customHeight="1">
      <c r="E504" s="155"/>
    </row>
    <row r="505" ht="15.75" customHeight="1">
      <c r="E505" s="155"/>
    </row>
    <row r="506" ht="15.75" customHeight="1">
      <c r="E506" s="155"/>
    </row>
    <row r="507" ht="15.75" customHeight="1">
      <c r="E507" s="155"/>
    </row>
    <row r="508" ht="15.75" customHeight="1">
      <c r="E508" s="155"/>
    </row>
    <row r="509" ht="15.75" customHeight="1">
      <c r="E509" s="155"/>
    </row>
    <row r="510" ht="15.75" customHeight="1">
      <c r="E510" s="155"/>
    </row>
    <row r="511" ht="15.75" customHeight="1">
      <c r="E511" s="155"/>
    </row>
    <row r="512" ht="15.75" customHeight="1">
      <c r="E512" s="155"/>
    </row>
    <row r="513" ht="15.75" customHeight="1">
      <c r="E513" s="155"/>
    </row>
    <row r="514" ht="15.75" customHeight="1">
      <c r="E514" s="155"/>
    </row>
    <row r="515" ht="15.75" customHeight="1">
      <c r="E515" s="155"/>
    </row>
    <row r="516" ht="15.75" customHeight="1">
      <c r="E516" s="155"/>
    </row>
    <row r="517" ht="15.75" customHeight="1">
      <c r="E517" s="155"/>
    </row>
    <row r="518" ht="15.75" customHeight="1">
      <c r="E518" s="155"/>
    </row>
    <row r="519" ht="15.75" customHeight="1">
      <c r="E519" s="155"/>
    </row>
    <row r="520" ht="15.75" customHeight="1">
      <c r="E520" s="155"/>
    </row>
    <row r="521" ht="15.75" customHeight="1">
      <c r="E521" s="155"/>
    </row>
    <row r="522" ht="15.75" customHeight="1">
      <c r="E522" s="155"/>
    </row>
    <row r="523" ht="15.75" customHeight="1">
      <c r="E523" s="155"/>
    </row>
    <row r="524" ht="15.75" customHeight="1">
      <c r="E524" s="155"/>
    </row>
    <row r="525" ht="15.75" customHeight="1">
      <c r="E525" s="155"/>
    </row>
    <row r="526" ht="15.75" customHeight="1">
      <c r="E526" s="155"/>
    </row>
    <row r="527" ht="15.75" customHeight="1">
      <c r="E527" s="155"/>
    </row>
    <row r="528" ht="15.75" customHeight="1">
      <c r="E528" s="155"/>
    </row>
    <row r="529" ht="15.75" customHeight="1">
      <c r="E529" s="155"/>
    </row>
    <row r="530" ht="15.75" customHeight="1">
      <c r="E530" s="155"/>
    </row>
    <row r="531" ht="15.75" customHeight="1">
      <c r="E531" s="155"/>
    </row>
    <row r="532" ht="15.75" customHeight="1">
      <c r="E532" s="155"/>
    </row>
    <row r="533" ht="15.75" customHeight="1">
      <c r="E533" s="155"/>
    </row>
    <row r="534" ht="15.75" customHeight="1">
      <c r="E534" s="155"/>
    </row>
    <row r="535" ht="15.75" customHeight="1">
      <c r="E535" s="155"/>
    </row>
    <row r="536" ht="15.75" customHeight="1">
      <c r="E536" s="155"/>
    </row>
    <row r="537" ht="15.75" customHeight="1">
      <c r="E537" s="155"/>
    </row>
    <row r="538" ht="15.75" customHeight="1">
      <c r="E538" s="155"/>
    </row>
    <row r="539" ht="15.75" customHeight="1">
      <c r="E539" s="155"/>
    </row>
    <row r="540" ht="15.75" customHeight="1">
      <c r="E540" s="155"/>
    </row>
    <row r="541" ht="15.75" customHeight="1">
      <c r="E541" s="155"/>
    </row>
    <row r="542" ht="15.75" customHeight="1">
      <c r="E542" s="155"/>
    </row>
    <row r="543" ht="15.75" customHeight="1">
      <c r="E543" s="155"/>
    </row>
    <row r="544" ht="15.75" customHeight="1">
      <c r="E544" s="155"/>
    </row>
    <row r="545" ht="15.75" customHeight="1">
      <c r="E545" s="155"/>
    </row>
    <row r="546" ht="15.75" customHeight="1">
      <c r="E546" s="155"/>
    </row>
    <row r="547" ht="15.75" customHeight="1">
      <c r="E547" s="155"/>
    </row>
    <row r="548" ht="15.75" customHeight="1">
      <c r="E548" s="155"/>
    </row>
    <row r="549" ht="15.75" customHeight="1">
      <c r="E549" s="155"/>
    </row>
    <row r="550" ht="15.75" customHeight="1">
      <c r="E550" s="155"/>
    </row>
    <row r="551" ht="15.75" customHeight="1">
      <c r="E551" s="155"/>
    </row>
    <row r="552" ht="15.75" customHeight="1">
      <c r="E552" s="155"/>
    </row>
    <row r="553" ht="15.75" customHeight="1">
      <c r="E553" s="155"/>
    </row>
    <row r="554" ht="15.75" customHeight="1">
      <c r="E554" s="155"/>
    </row>
    <row r="555" ht="15.75" customHeight="1">
      <c r="E555" s="155"/>
    </row>
    <row r="556" ht="15.75" customHeight="1">
      <c r="E556" s="155"/>
    </row>
    <row r="557" ht="15.75" customHeight="1">
      <c r="E557" s="155"/>
    </row>
    <row r="558" ht="15.75" customHeight="1">
      <c r="E558" s="155"/>
    </row>
    <row r="559" ht="15.75" customHeight="1">
      <c r="E559" s="155"/>
    </row>
    <row r="560" ht="15.75" customHeight="1">
      <c r="E560" s="155"/>
    </row>
    <row r="561" ht="15.75" customHeight="1">
      <c r="E561" s="155"/>
    </row>
    <row r="562" ht="15.75" customHeight="1">
      <c r="E562" s="155"/>
    </row>
    <row r="563" ht="15.75" customHeight="1">
      <c r="E563" s="155"/>
    </row>
    <row r="564" ht="15.75" customHeight="1">
      <c r="E564" s="155"/>
    </row>
    <row r="565" ht="15.75" customHeight="1">
      <c r="E565" s="155"/>
    </row>
    <row r="566" ht="15.75" customHeight="1">
      <c r="E566" s="155"/>
    </row>
    <row r="567" ht="15.75" customHeight="1">
      <c r="E567" s="155"/>
    </row>
    <row r="568" ht="15.75" customHeight="1">
      <c r="E568" s="155"/>
    </row>
    <row r="569" ht="15.75" customHeight="1">
      <c r="E569" s="155"/>
    </row>
    <row r="570" ht="15.75" customHeight="1">
      <c r="E570" s="155"/>
    </row>
    <row r="571" ht="15.75" customHeight="1">
      <c r="E571" s="155"/>
    </row>
    <row r="572" ht="15.75" customHeight="1">
      <c r="E572" s="155"/>
    </row>
    <row r="573" ht="15.75" customHeight="1">
      <c r="E573" s="155"/>
    </row>
    <row r="574" ht="15.75" customHeight="1">
      <c r="E574" s="155"/>
    </row>
    <row r="575" ht="15.75" customHeight="1">
      <c r="E575" s="155"/>
    </row>
    <row r="576" ht="15.75" customHeight="1">
      <c r="E576" s="155"/>
    </row>
    <row r="577" ht="15.75" customHeight="1">
      <c r="E577" s="155"/>
    </row>
    <row r="578" ht="15.75" customHeight="1">
      <c r="E578" s="155"/>
    </row>
    <row r="579" ht="15.75" customHeight="1">
      <c r="E579" s="155"/>
    </row>
    <row r="580" ht="15.75" customHeight="1">
      <c r="E580" s="155"/>
    </row>
    <row r="581" ht="15.75" customHeight="1">
      <c r="E581" s="155"/>
    </row>
    <row r="582" ht="15.75" customHeight="1">
      <c r="E582" s="155"/>
    </row>
    <row r="583" ht="15.75" customHeight="1">
      <c r="E583" s="155"/>
    </row>
    <row r="584" ht="15.75" customHeight="1">
      <c r="E584" s="155"/>
    </row>
    <row r="585" ht="15.75" customHeight="1">
      <c r="E585" s="155"/>
    </row>
    <row r="586" ht="15.75" customHeight="1">
      <c r="E586" s="155"/>
    </row>
    <row r="587" ht="15.75" customHeight="1">
      <c r="E587" s="155"/>
    </row>
    <row r="588" ht="15.75" customHeight="1">
      <c r="E588" s="155"/>
    </row>
    <row r="589" ht="15.75" customHeight="1">
      <c r="E589" s="155"/>
    </row>
    <row r="590" ht="15.75" customHeight="1">
      <c r="E590" s="155"/>
    </row>
    <row r="591" ht="15.75" customHeight="1">
      <c r="E591" s="155"/>
    </row>
    <row r="592" ht="15.75" customHeight="1">
      <c r="E592" s="155"/>
    </row>
    <row r="593" ht="15.75" customHeight="1">
      <c r="E593" s="155"/>
    </row>
    <row r="594" ht="15.75" customHeight="1">
      <c r="E594" s="155"/>
    </row>
    <row r="595" ht="15.75" customHeight="1">
      <c r="E595" s="155"/>
    </row>
    <row r="596" ht="15.75" customHeight="1">
      <c r="E596" s="155"/>
    </row>
    <row r="597" ht="15.75" customHeight="1">
      <c r="E597" s="155"/>
    </row>
    <row r="598" ht="15.75" customHeight="1">
      <c r="E598" s="155"/>
    </row>
    <row r="599" ht="15.75" customHeight="1">
      <c r="E599" s="155"/>
    </row>
    <row r="600" ht="15.75" customHeight="1">
      <c r="E600" s="155"/>
    </row>
    <row r="601" ht="15.75" customHeight="1">
      <c r="E601" s="155"/>
    </row>
    <row r="602" ht="15.75" customHeight="1">
      <c r="E602" s="155"/>
    </row>
    <row r="603" ht="15.75" customHeight="1">
      <c r="E603" s="155"/>
    </row>
    <row r="604" ht="15.75" customHeight="1">
      <c r="E604" s="155"/>
    </row>
    <row r="605" ht="15.75" customHeight="1">
      <c r="E605" s="155"/>
    </row>
    <row r="606" ht="15.75" customHeight="1">
      <c r="E606" s="155"/>
    </row>
    <row r="607" ht="15.75" customHeight="1">
      <c r="E607" s="155"/>
    </row>
    <row r="608" ht="15.75" customHeight="1">
      <c r="E608" s="155"/>
    </row>
    <row r="609" ht="15.75" customHeight="1">
      <c r="E609" s="155"/>
    </row>
    <row r="610" ht="15.75" customHeight="1">
      <c r="E610" s="155"/>
    </row>
    <row r="611" ht="15.75" customHeight="1">
      <c r="E611" s="155"/>
    </row>
    <row r="612" ht="15.75" customHeight="1">
      <c r="E612" s="155"/>
    </row>
    <row r="613" ht="15.75" customHeight="1">
      <c r="E613" s="155"/>
    </row>
    <row r="614" ht="15.75" customHeight="1">
      <c r="E614" s="155"/>
    </row>
    <row r="615" ht="15.75" customHeight="1">
      <c r="E615" s="155"/>
    </row>
    <row r="616" ht="15.75" customHeight="1">
      <c r="E616" s="155"/>
    </row>
    <row r="617" ht="15.75" customHeight="1">
      <c r="E617" s="155"/>
    </row>
    <row r="618" ht="15.75" customHeight="1">
      <c r="E618" s="155"/>
    </row>
    <row r="619" ht="15.75" customHeight="1">
      <c r="E619" s="155"/>
    </row>
    <row r="620" ht="15.75" customHeight="1">
      <c r="E620" s="155"/>
    </row>
    <row r="621" ht="15.75" customHeight="1">
      <c r="E621" s="155"/>
    </row>
    <row r="622" ht="15.75" customHeight="1">
      <c r="E622" s="155"/>
    </row>
    <row r="623" ht="15.75" customHeight="1">
      <c r="E623" s="155"/>
    </row>
    <row r="624" ht="15.75" customHeight="1">
      <c r="E624" s="155"/>
    </row>
    <row r="625" ht="15.75" customHeight="1">
      <c r="E625" s="155"/>
    </row>
    <row r="626" ht="15.75" customHeight="1">
      <c r="E626" s="155"/>
    </row>
    <row r="627" ht="15.75" customHeight="1">
      <c r="E627" s="155"/>
    </row>
    <row r="628" ht="15.75" customHeight="1">
      <c r="E628" s="155"/>
    </row>
    <row r="629" ht="15.75" customHeight="1">
      <c r="E629" s="155"/>
    </row>
    <row r="630" ht="15.75" customHeight="1">
      <c r="E630" s="155"/>
    </row>
    <row r="631" ht="15.75" customHeight="1">
      <c r="E631" s="155"/>
    </row>
    <row r="632" ht="15.75" customHeight="1">
      <c r="E632" s="155"/>
    </row>
    <row r="633" ht="15.75" customHeight="1">
      <c r="E633" s="155"/>
    </row>
    <row r="634" ht="15.75" customHeight="1">
      <c r="E634" s="155"/>
    </row>
    <row r="635" ht="15.75" customHeight="1">
      <c r="E635" s="155"/>
    </row>
    <row r="636" ht="15.75" customHeight="1">
      <c r="E636" s="155"/>
    </row>
    <row r="637" ht="15.75" customHeight="1">
      <c r="E637" s="155"/>
    </row>
    <row r="638" ht="15.75" customHeight="1">
      <c r="E638" s="155"/>
    </row>
    <row r="639" ht="15.75" customHeight="1">
      <c r="E639" s="155"/>
    </row>
    <row r="640" ht="15.75" customHeight="1">
      <c r="E640" s="155"/>
    </row>
    <row r="641" ht="15.75" customHeight="1">
      <c r="E641" s="155"/>
    </row>
    <row r="642" ht="15.75" customHeight="1">
      <c r="E642" s="155"/>
    </row>
    <row r="643" ht="15.75" customHeight="1">
      <c r="E643" s="155"/>
    </row>
    <row r="644" ht="15.75" customHeight="1">
      <c r="E644" s="155"/>
    </row>
    <row r="645" ht="15.75" customHeight="1">
      <c r="E645" s="155"/>
    </row>
    <row r="646" ht="15.75" customHeight="1">
      <c r="E646" s="155"/>
    </row>
    <row r="647" ht="15.75" customHeight="1">
      <c r="E647" s="155"/>
    </row>
    <row r="648" ht="15.75" customHeight="1">
      <c r="E648" s="155"/>
    </row>
    <row r="649" ht="15.75" customHeight="1">
      <c r="E649" s="155"/>
    </row>
    <row r="650" ht="15.75" customHeight="1">
      <c r="E650" s="155"/>
    </row>
    <row r="651" ht="15.75" customHeight="1">
      <c r="E651" s="155"/>
    </row>
    <row r="652" ht="15.75" customHeight="1">
      <c r="E652" s="155"/>
    </row>
    <row r="653" ht="15.75" customHeight="1">
      <c r="E653" s="155"/>
    </row>
    <row r="654" ht="15.75" customHeight="1">
      <c r="E654" s="155"/>
    </row>
    <row r="655" ht="15.75" customHeight="1">
      <c r="E655" s="155"/>
    </row>
    <row r="656" ht="15.75" customHeight="1">
      <c r="E656" s="155"/>
    </row>
    <row r="657" ht="15.75" customHeight="1">
      <c r="E657" s="155"/>
    </row>
    <row r="658" ht="15.75" customHeight="1">
      <c r="E658" s="155"/>
    </row>
    <row r="659" ht="15.75" customHeight="1">
      <c r="E659" s="155"/>
    </row>
    <row r="660" ht="15.75" customHeight="1">
      <c r="E660" s="155"/>
    </row>
    <row r="661" ht="15.75" customHeight="1">
      <c r="E661" s="155"/>
    </row>
    <row r="662" ht="15.75" customHeight="1">
      <c r="E662" s="155"/>
    </row>
    <row r="663" ht="15.75" customHeight="1">
      <c r="E663" s="155"/>
    </row>
    <row r="664" ht="15.75" customHeight="1">
      <c r="E664" s="155"/>
    </row>
    <row r="665" ht="15.75" customHeight="1">
      <c r="E665" s="155"/>
    </row>
    <row r="666" ht="15.75" customHeight="1">
      <c r="E666" s="155"/>
    </row>
    <row r="667" ht="15.75" customHeight="1">
      <c r="E667" s="155"/>
    </row>
    <row r="668" ht="15.75" customHeight="1">
      <c r="E668" s="155"/>
    </row>
    <row r="669" ht="15.75" customHeight="1">
      <c r="E669" s="155"/>
    </row>
    <row r="670" ht="15.75" customHeight="1">
      <c r="E670" s="155"/>
    </row>
    <row r="671" ht="15.75" customHeight="1">
      <c r="E671" s="155"/>
    </row>
    <row r="672" ht="15.75" customHeight="1">
      <c r="E672" s="155"/>
    </row>
    <row r="673" ht="15.75" customHeight="1">
      <c r="E673" s="155"/>
    </row>
    <row r="674" ht="15.75" customHeight="1">
      <c r="E674" s="155"/>
    </row>
    <row r="675" ht="15.75" customHeight="1">
      <c r="E675" s="155"/>
    </row>
    <row r="676" ht="15.75" customHeight="1">
      <c r="E676" s="155"/>
    </row>
    <row r="677" ht="15.75" customHeight="1">
      <c r="E677" s="155"/>
    </row>
    <row r="678" ht="15.75" customHeight="1">
      <c r="E678" s="155"/>
    </row>
    <row r="679" ht="15.75" customHeight="1">
      <c r="E679" s="155"/>
    </row>
    <row r="680" ht="15.75" customHeight="1">
      <c r="E680" s="155"/>
    </row>
    <row r="681" ht="15.75" customHeight="1">
      <c r="E681" s="155"/>
    </row>
    <row r="682" ht="15.75" customHeight="1">
      <c r="E682" s="155"/>
    </row>
    <row r="683" ht="15.75" customHeight="1">
      <c r="E683" s="155"/>
    </row>
    <row r="684" ht="15.75" customHeight="1">
      <c r="E684" s="155"/>
    </row>
    <row r="685" ht="15.75" customHeight="1">
      <c r="E685" s="155"/>
    </row>
    <row r="686" ht="15.75" customHeight="1">
      <c r="E686" s="155"/>
    </row>
    <row r="687" ht="15.75" customHeight="1">
      <c r="E687" s="155"/>
    </row>
    <row r="688" ht="15.75" customHeight="1">
      <c r="E688" s="155"/>
    </row>
    <row r="689" ht="15.75" customHeight="1">
      <c r="E689" s="155"/>
    </row>
    <row r="690" ht="15.75" customHeight="1">
      <c r="E690" s="155"/>
    </row>
    <row r="691" ht="15.75" customHeight="1">
      <c r="E691" s="155"/>
    </row>
    <row r="692" ht="15.75" customHeight="1">
      <c r="E692" s="155"/>
    </row>
    <row r="693" ht="15.75" customHeight="1">
      <c r="E693" s="155"/>
    </row>
    <row r="694" ht="15.75" customHeight="1">
      <c r="E694" s="155"/>
    </row>
    <row r="695" ht="15.75" customHeight="1">
      <c r="E695" s="155"/>
    </row>
    <row r="696" ht="15.75" customHeight="1">
      <c r="E696" s="155"/>
    </row>
    <row r="697" ht="15.75" customHeight="1">
      <c r="E697" s="155"/>
    </row>
    <row r="698" ht="15.75" customHeight="1">
      <c r="E698" s="155"/>
    </row>
    <row r="699" ht="15.75" customHeight="1">
      <c r="E699" s="155"/>
    </row>
    <row r="700" ht="15.75" customHeight="1">
      <c r="E700" s="155"/>
    </row>
    <row r="701" ht="15.75" customHeight="1">
      <c r="E701" s="155"/>
    </row>
    <row r="702" ht="15.75" customHeight="1">
      <c r="E702" s="155"/>
    </row>
    <row r="703" ht="15.75" customHeight="1">
      <c r="E703" s="155"/>
    </row>
    <row r="704" ht="15.75" customHeight="1">
      <c r="E704" s="155"/>
    </row>
    <row r="705" ht="15.75" customHeight="1">
      <c r="E705" s="155"/>
    </row>
    <row r="706" ht="15.75" customHeight="1">
      <c r="E706" s="155"/>
    </row>
    <row r="707" ht="15.75" customHeight="1">
      <c r="E707" s="155"/>
    </row>
    <row r="708" ht="15.75" customHeight="1">
      <c r="E708" s="155"/>
    </row>
    <row r="709" ht="15.75" customHeight="1">
      <c r="E709" s="155"/>
    </row>
    <row r="710" ht="15.75" customHeight="1">
      <c r="E710" s="155"/>
    </row>
    <row r="711" ht="15.75" customHeight="1">
      <c r="E711" s="155"/>
    </row>
    <row r="712" ht="15.75" customHeight="1">
      <c r="E712" s="155"/>
    </row>
    <row r="713" ht="15.75" customHeight="1">
      <c r="E713" s="155"/>
    </row>
    <row r="714" ht="15.75" customHeight="1">
      <c r="E714" s="155"/>
    </row>
    <row r="715" ht="15.75" customHeight="1">
      <c r="E715" s="155"/>
    </row>
    <row r="716" ht="15.75" customHeight="1">
      <c r="E716" s="155"/>
    </row>
    <row r="717" ht="15.75" customHeight="1">
      <c r="E717" s="155"/>
    </row>
    <row r="718" ht="15.75" customHeight="1">
      <c r="E718" s="155"/>
    </row>
    <row r="719" ht="15.75" customHeight="1">
      <c r="E719" s="155"/>
    </row>
    <row r="720" ht="15.75" customHeight="1">
      <c r="E720" s="155"/>
    </row>
    <row r="721" ht="15.75" customHeight="1">
      <c r="E721" s="155"/>
    </row>
    <row r="722" ht="15.75" customHeight="1">
      <c r="E722" s="155"/>
    </row>
    <row r="723" ht="15.75" customHeight="1">
      <c r="E723" s="155"/>
    </row>
    <row r="724" ht="15.75" customHeight="1">
      <c r="E724" s="155"/>
    </row>
    <row r="725" ht="15.75" customHeight="1">
      <c r="E725" s="155"/>
    </row>
    <row r="726" ht="15.75" customHeight="1">
      <c r="E726" s="155"/>
    </row>
    <row r="727" ht="15.75" customHeight="1">
      <c r="E727" s="155"/>
    </row>
    <row r="728" ht="15.75" customHeight="1">
      <c r="E728" s="155"/>
    </row>
    <row r="729" ht="15.75" customHeight="1">
      <c r="E729" s="155"/>
    </row>
    <row r="730" ht="15.75" customHeight="1">
      <c r="E730" s="155"/>
    </row>
    <row r="731" ht="15.75" customHeight="1">
      <c r="E731" s="155"/>
    </row>
    <row r="732" ht="15.75" customHeight="1">
      <c r="E732" s="155"/>
    </row>
    <row r="733" ht="15.75" customHeight="1">
      <c r="E733" s="155"/>
    </row>
    <row r="734" ht="15.75" customHeight="1">
      <c r="E734" s="155"/>
    </row>
    <row r="735" ht="15.75" customHeight="1">
      <c r="E735" s="155"/>
    </row>
    <row r="736" ht="15.75" customHeight="1">
      <c r="E736" s="155"/>
    </row>
    <row r="737" ht="15.75" customHeight="1">
      <c r="E737" s="155"/>
    </row>
    <row r="738" ht="15.75" customHeight="1">
      <c r="E738" s="155"/>
    </row>
    <row r="739" ht="15.75" customHeight="1">
      <c r="E739" s="155"/>
    </row>
    <row r="740" ht="15.75" customHeight="1">
      <c r="E740" s="155"/>
    </row>
    <row r="741" ht="15.75" customHeight="1">
      <c r="E741" s="155"/>
    </row>
    <row r="742" ht="15.75" customHeight="1">
      <c r="E742" s="155"/>
    </row>
    <row r="743" ht="15.75" customHeight="1">
      <c r="E743" s="155"/>
    </row>
    <row r="744" ht="15.75" customHeight="1">
      <c r="E744" s="155"/>
    </row>
    <row r="745" ht="15.75" customHeight="1">
      <c r="E745" s="155"/>
    </row>
    <row r="746" ht="15.75" customHeight="1">
      <c r="E746" s="155"/>
    </row>
    <row r="747" ht="15.75" customHeight="1">
      <c r="E747" s="155"/>
    </row>
    <row r="748" ht="15.75" customHeight="1">
      <c r="E748" s="155"/>
    </row>
    <row r="749" ht="15.75" customHeight="1">
      <c r="E749" s="155"/>
    </row>
    <row r="750" ht="15.75" customHeight="1">
      <c r="E750" s="155"/>
    </row>
    <row r="751" ht="15.75" customHeight="1">
      <c r="E751" s="155"/>
    </row>
    <row r="752" ht="15.75" customHeight="1">
      <c r="E752" s="155"/>
    </row>
    <row r="753" ht="15.75" customHeight="1">
      <c r="E753" s="155"/>
    </row>
    <row r="754" ht="15.75" customHeight="1">
      <c r="E754" s="155"/>
    </row>
    <row r="755" ht="15.75" customHeight="1">
      <c r="E755" s="155"/>
    </row>
    <row r="756" ht="15.75" customHeight="1">
      <c r="E756" s="155"/>
    </row>
    <row r="757" ht="15.75" customHeight="1">
      <c r="E757" s="155"/>
    </row>
    <row r="758" ht="15.75" customHeight="1">
      <c r="E758" s="155"/>
    </row>
    <row r="759" ht="15.75" customHeight="1">
      <c r="E759" s="155"/>
    </row>
    <row r="760" ht="15.75" customHeight="1">
      <c r="E760" s="155"/>
    </row>
    <row r="761" ht="15.75" customHeight="1">
      <c r="E761" s="155"/>
    </row>
    <row r="762" ht="15.75" customHeight="1">
      <c r="E762" s="155"/>
    </row>
    <row r="763" ht="15.75" customHeight="1">
      <c r="E763" s="155"/>
    </row>
    <row r="764" ht="15.75" customHeight="1">
      <c r="E764" s="155"/>
    </row>
    <row r="765" ht="15.75" customHeight="1">
      <c r="E765" s="155"/>
    </row>
    <row r="766" ht="15.75" customHeight="1">
      <c r="E766" s="155"/>
    </row>
    <row r="767" ht="15.75" customHeight="1">
      <c r="E767" s="155"/>
    </row>
    <row r="768" ht="15.75" customHeight="1">
      <c r="E768" s="155"/>
    </row>
    <row r="769" ht="15.75" customHeight="1">
      <c r="E769" s="155"/>
    </row>
    <row r="770" ht="15.75" customHeight="1">
      <c r="E770" s="155"/>
    </row>
    <row r="771" ht="15.75" customHeight="1">
      <c r="E771" s="155"/>
    </row>
    <row r="772" ht="15.75" customHeight="1">
      <c r="E772" s="155"/>
    </row>
    <row r="773" ht="15.75" customHeight="1">
      <c r="E773" s="155"/>
    </row>
    <row r="774" ht="15.75" customHeight="1">
      <c r="E774" s="155"/>
    </row>
    <row r="775" ht="15.75" customHeight="1">
      <c r="E775" s="155"/>
    </row>
    <row r="776" ht="15.75" customHeight="1">
      <c r="E776" s="155"/>
    </row>
    <row r="777" ht="15.75" customHeight="1">
      <c r="E777" s="155"/>
    </row>
    <row r="778" ht="15.75" customHeight="1">
      <c r="E778" s="155"/>
    </row>
    <row r="779" ht="15.75" customHeight="1">
      <c r="E779" s="155"/>
    </row>
    <row r="780" ht="15.75" customHeight="1">
      <c r="E780" s="155"/>
    </row>
    <row r="781" ht="15.75" customHeight="1">
      <c r="E781" s="155"/>
    </row>
    <row r="782" ht="15.75" customHeight="1">
      <c r="E782" s="155"/>
    </row>
    <row r="783" ht="15.75" customHeight="1">
      <c r="E783" s="155"/>
    </row>
    <row r="784" ht="15.75" customHeight="1">
      <c r="E784" s="155"/>
    </row>
    <row r="785" ht="15.75" customHeight="1">
      <c r="E785" s="155"/>
    </row>
    <row r="786" ht="15.75" customHeight="1">
      <c r="E786" s="155"/>
    </row>
    <row r="787" ht="15.75" customHeight="1">
      <c r="E787" s="155"/>
    </row>
    <row r="788" ht="15.75" customHeight="1">
      <c r="E788" s="155"/>
    </row>
    <row r="789" ht="15.75" customHeight="1">
      <c r="E789" s="155"/>
    </row>
    <row r="790" ht="15.75" customHeight="1">
      <c r="E790" s="155"/>
    </row>
    <row r="791" ht="15.75" customHeight="1">
      <c r="E791" s="155"/>
    </row>
    <row r="792" ht="15.75" customHeight="1">
      <c r="E792" s="155"/>
    </row>
    <row r="793" ht="15.75" customHeight="1">
      <c r="E793" s="155"/>
    </row>
    <row r="794" ht="15.75" customHeight="1">
      <c r="E794" s="155"/>
    </row>
    <row r="795" ht="15.75" customHeight="1">
      <c r="E795" s="155"/>
    </row>
    <row r="796" ht="15.75" customHeight="1">
      <c r="E796" s="155"/>
    </row>
    <row r="797" ht="15.75" customHeight="1">
      <c r="E797" s="155"/>
    </row>
    <row r="798" ht="15.75" customHeight="1">
      <c r="E798" s="155"/>
    </row>
    <row r="799" ht="15.75" customHeight="1">
      <c r="E799" s="155"/>
    </row>
    <row r="800" ht="15.75" customHeight="1">
      <c r="E800" s="155"/>
    </row>
    <row r="801" ht="15.75" customHeight="1">
      <c r="E801" s="155"/>
    </row>
    <row r="802" ht="15.75" customHeight="1">
      <c r="E802" s="155"/>
    </row>
    <row r="803" ht="15.75" customHeight="1">
      <c r="E803" s="155"/>
    </row>
    <row r="804" ht="15.75" customHeight="1">
      <c r="E804" s="155"/>
    </row>
    <row r="805" ht="15.75" customHeight="1">
      <c r="E805" s="155"/>
    </row>
    <row r="806" ht="15.75" customHeight="1">
      <c r="E806" s="155"/>
    </row>
    <row r="807" ht="15.75" customHeight="1">
      <c r="E807" s="155"/>
    </row>
    <row r="808" ht="15.75" customHeight="1">
      <c r="E808" s="155"/>
    </row>
    <row r="809" ht="15.75" customHeight="1">
      <c r="E809" s="155"/>
    </row>
    <row r="810" ht="15.75" customHeight="1">
      <c r="E810" s="155"/>
    </row>
    <row r="811" ht="15.75" customHeight="1">
      <c r="E811" s="155"/>
    </row>
    <row r="812" ht="15.75" customHeight="1">
      <c r="E812" s="155"/>
    </row>
    <row r="813" ht="15.75" customHeight="1">
      <c r="E813" s="155"/>
    </row>
    <row r="814" ht="15.75" customHeight="1">
      <c r="E814" s="155"/>
    </row>
    <row r="815" ht="15.75" customHeight="1">
      <c r="E815" s="155"/>
    </row>
    <row r="816" ht="15.75" customHeight="1">
      <c r="E816" s="155"/>
    </row>
    <row r="817" ht="15.75" customHeight="1">
      <c r="E817" s="155"/>
    </row>
    <row r="818" ht="15.75" customHeight="1">
      <c r="E818" s="155"/>
    </row>
    <row r="819" ht="15.75" customHeight="1">
      <c r="E819" s="155"/>
    </row>
    <row r="820" ht="15.75" customHeight="1">
      <c r="E820" s="155"/>
    </row>
    <row r="821" ht="15.75" customHeight="1">
      <c r="E821" s="155"/>
    </row>
    <row r="822" ht="15.75" customHeight="1">
      <c r="E822" s="155"/>
    </row>
    <row r="823" ht="15.75" customHeight="1">
      <c r="E823" s="155"/>
    </row>
    <row r="824" ht="15.75" customHeight="1">
      <c r="E824" s="155"/>
    </row>
    <row r="825" ht="15.75" customHeight="1">
      <c r="E825" s="155"/>
    </row>
    <row r="826" ht="15.75" customHeight="1">
      <c r="E826" s="155"/>
    </row>
    <row r="827" ht="15.75" customHeight="1">
      <c r="E827" s="155"/>
    </row>
    <row r="828" ht="15.75" customHeight="1">
      <c r="E828" s="155"/>
    </row>
    <row r="829" ht="15.75" customHeight="1">
      <c r="E829" s="155"/>
    </row>
    <row r="830" ht="15.75" customHeight="1">
      <c r="E830" s="155"/>
    </row>
    <row r="831" ht="15.75" customHeight="1">
      <c r="E831" s="155"/>
    </row>
    <row r="832" ht="15.75" customHeight="1">
      <c r="E832" s="155"/>
    </row>
    <row r="833" ht="15.75" customHeight="1">
      <c r="E833" s="155"/>
    </row>
    <row r="834" ht="15.75" customHeight="1">
      <c r="E834" s="155"/>
    </row>
    <row r="835" ht="15.75" customHeight="1">
      <c r="E835" s="155"/>
    </row>
    <row r="836" ht="15.75" customHeight="1">
      <c r="E836" s="155"/>
    </row>
    <row r="837" ht="15.75" customHeight="1">
      <c r="E837" s="155"/>
    </row>
    <row r="838" ht="15.75" customHeight="1">
      <c r="E838" s="155"/>
    </row>
    <row r="839" ht="15.75" customHeight="1">
      <c r="E839" s="155"/>
    </row>
    <row r="840" ht="15.75" customHeight="1">
      <c r="E840" s="155"/>
    </row>
    <row r="841" ht="15.75" customHeight="1">
      <c r="E841" s="155"/>
    </row>
    <row r="842" ht="15.75" customHeight="1">
      <c r="E842" s="155"/>
    </row>
    <row r="843" ht="15.75" customHeight="1">
      <c r="E843" s="155"/>
    </row>
    <row r="844" ht="15.75" customHeight="1">
      <c r="E844" s="155"/>
    </row>
    <row r="845" ht="15.75" customHeight="1">
      <c r="E845" s="155"/>
    </row>
    <row r="846" ht="15.75" customHeight="1">
      <c r="E846" s="155"/>
    </row>
    <row r="847" ht="15.75" customHeight="1">
      <c r="E847" s="155"/>
    </row>
    <row r="848" ht="15.75" customHeight="1">
      <c r="E848" s="155"/>
    </row>
    <row r="849" ht="15.75" customHeight="1">
      <c r="E849" s="155"/>
    </row>
    <row r="850" ht="15.75" customHeight="1">
      <c r="E850" s="155"/>
    </row>
    <row r="851" ht="15.75" customHeight="1">
      <c r="E851" s="155"/>
    </row>
    <row r="852" ht="15.75" customHeight="1">
      <c r="E852" s="155"/>
    </row>
    <row r="853" ht="15.75" customHeight="1">
      <c r="E853" s="155"/>
    </row>
    <row r="854" ht="15.75" customHeight="1">
      <c r="E854" s="155"/>
    </row>
    <row r="855" ht="15.75" customHeight="1">
      <c r="E855" s="155"/>
    </row>
    <row r="856" ht="15.75" customHeight="1">
      <c r="E856" s="155"/>
    </row>
    <row r="857" ht="15.75" customHeight="1">
      <c r="E857" s="155"/>
    </row>
    <row r="858" ht="15.75" customHeight="1">
      <c r="E858" s="155"/>
    </row>
    <row r="859" ht="15.75" customHeight="1">
      <c r="E859" s="155"/>
    </row>
    <row r="860" ht="15.75" customHeight="1">
      <c r="E860" s="155"/>
    </row>
    <row r="861" ht="15.75" customHeight="1">
      <c r="E861" s="155"/>
    </row>
    <row r="862" ht="15.75" customHeight="1">
      <c r="E862" s="155"/>
    </row>
    <row r="863" ht="15.75" customHeight="1">
      <c r="E863" s="155"/>
    </row>
    <row r="864" ht="15.75" customHeight="1">
      <c r="E864" s="155"/>
    </row>
    <row r="865" ht="15.75" customHeight="1">
      <c r="E865" s="155"/>
    </row>
    <row r="866" ht="15.75" customHeight="1">
      <c r="E866" s="155"/>
    </row>
    <row r="867" ht="15.75" customHeight="1">
      <c r="E867" s="155"/>
    </row>
    <row r="868" ht="15.75" customHeight="1">
      <c r="E868" s="155"/>
    </row>
    <row r="869" ht="15.75" customHeight="1">
      <c r="E869" s="155"/>
    </row>
    <row r="870" ht="15.75" customHeight="1">
      <c r="E870" s="155"/>
    </row>
    <row r="871" ht="15.75" customHeight="1">
      <c r="E871" s="155"/>
    </row>
    <row r="872" ht="15.75" customHeight="1">
      <c r="E872" s="155"/>
    </row>
    <row r="873" ht="15.75" customHeight="1">
      <c r="E873" s="155"/>
    </row>
    <row r="874" ht="15.75" customHeight="1">
      <c r="E874" s="155"/>
    </row>
    <row r="875" ht="15.75" customHeight="1">
      <c r="E875" s="155"/>
    </row>
    <row r="876" ht="15.75" customHeight="1">
      <c r="E876" s="155"/>
    </row>
    <row r="877" ht="15.75" customHeight="1">
      <c r="E877" s="155"/>
    </row>
    <row r="878" ht="15.75" customHeight="1">
      <c r="E878" s="155"/>
    </row>
    <row r="879" ht="15.75" customHeight="1">
      <c r="E879" s="155"/>
    </row>
    <row r="880" ht="15.75" customHeight="1">
      <c r="E880" s="155"/>
    </row>
    <row r="881" ht="15.75" customHeight="1">
      <c r="E881" s="155"/>
    </row>
    <row r="882" ht="15.75" customHeight="1">
      <c r="E882" s="155"/>
    </row>
    <row r="883" ht="15.75" customHeight="1">
      <c r="E883" s="155"/>
    </row>
    <row r="884" ht="15.75" customHeight="1">
      <c r="E884" s="155"/>
    </row>
    <row r="885" ht="15.75" customHeight="1">
      <c r="E885" s="155"/>
    </row>
    <row r="886" ht="15.75" customHeight="1">
      <c r="E886" s="155"/>
    </row>
    <row r="887" ht="15.75" customHeight="1">
      <c r="E887" s="155"/>
    </row>
    <row r="888" ht="15.75" customHeight="1">
      <c r="E888" s="155"/>
    </row>
    <row r="889" ht="15.75" customHeight="1">
      <c r="E889" s="155"/>
    </row>
    <row r="890" ht="15.75" customHeight="1">
      <c r="E890" s="155"/>
    </row>
    <row r="891" ht="15.75" customHeight="1">
      <c r="E891" s="155"/>
    </row>
    <row r="892" ht="15.75" customHeight="1">
      <c r="E892" s="155"/>
    </row>
    <row r="893" ht="15.75" customHeight="1">
      <c r="E893" s="155"/>
    </row>
    <row r="894" ht="15.75" customHeight="1">
      <c r="E894" s="155"/>
    </row>
    <row r="895" ht="15.75" customHeight="1">
      <c r="E895" s="155"/>
    </row>
    <row r="896" ht="15.75" customHeight="1">
      <c r="E896" s="155"/>
    </row>
    <row r="897" ht="15.75" customHeight="1">
      <c r="E897" s="155"/>
    </row>
    <row r="898" ht="15.75" customHeight="1">
      <c r="E898" s="155"/>
    </row>
    <row r="899" ht="15.75" customHeight="1">
      <c r="E899" s="155"/>
    </row>
    <row r="900" ht="15.75" customHeight="1">
      <c r="E900" s="155"/>
    </row>
    <row r="901" ht="15.75" customHeight="1">
      <c r="E901" s="155"/>
    </row>
    <row r="902" ht="15.75" customHeight="1">
      <c r="E902" s="155"/>
    </row>
    <row r="903" ht="15.75" customHeight="1">
      <c r="E903" s="155"/>
    </row>
    <row r="904" ht="15.75" customHeight="1">
      <c r="E904" s="155"/>
    </row>
    <row r="905" ht="15.75" customHeight="1">
      <c r="E905" s="155"/>
    </row>
    <row r="906" ht="15.75" customHeight="1">
      <c r="E906" s="155"/>
    </row>
    <row r="907" ht="15.75" customHeight="1">
      <c r="E907" s="155"/>
    </row>
    <row r="908" ht="15.75" customHeight="1">
      <c r="E908" s="155"/>
    </row>
    <row r="909" ht="15.75" customHeight="1">
      <c r="E909" s="155"/>
    </row>
    <row r="910" ht="15.75" customHeight="1">
      <c r="E910" s="155"/>
    </row>
    <row r="911" ht="15.75" customHeight="1">
      <c r="E911" s="155"/>
    </row>
    <row r="912" ht="15.75" customHeight="1">
      <c r="E912" s="155"/>
    </row>
    <row r="913" ht="15.75" customHeight="1">
      <c r="E913" s="155"/>
    </row>
    <row r="914" ht="15.75" customHeight="1">
      <c r="E914" s="155"/>
    </row>
    <row r="915" ht="15.75" customHeight="1">
      <c r="E915" s="155"/>
    </row>
    <row r="916" ht="15.75" customHeight="1">
      <c r="E916" s="155"/>
    </row>
    <row r="917" ht="15.75" customHeight="1">
      <c r="E917" s="155"/>
    </row>
    <row r="918" ht="15.75" customHeight="1">
      <c r="E918" s="155"/>
    </row>
    <row r="919" ht="15.75" customHeight="1">
      <c r="E919" s="155"/>
    </row>
    <row r="920" ht="15.75" customHeight="1">
      <c r="E920" s="155"/>
    </row>
    <row r="921" ht="15.75" customHeight="1">
      <c r="E921" s="155"/>
    </row>
    <row r="922" ht="15.75" customHeight="1">
      <c r="E922" s="155"/>
    </row>
    <row r="923" ht="15.75" customHeight="1">
      <c r="E923" s="155"/>
    </row>
    <row r="924" ht="15.75" customHeight="1">
      <c r="E924" s="155"/>
    </row>
    <row r="925" ht="15.75" customHeight="1">
      <c r="E925" s="155"/>
    </row>
    <row r="926" ht="15.75" customHeight="1">
      <c r="E926" s="155"/>
    </row>
    <row r="927" ht="15.75" customHeight="1">
      <c r="E927" s="155"/>
    </row>
    <row r="928" ht="15.75" customHeight="1">
      <c r="E928" s="155"/>
    </row>
    <row r="929" ht="15.75" customHeight="1">
      <c r="E929" s="155"/>
    </row>
    <row r="930" ht="15.75" customHeight="1">
      <c r="E930" s="155"/>
    </row>
    <row r="931" ht="15.75" customHeight="1">
      <c r="E931" s="155"/>
    </row>
    <row r="932" ht="15.75" customHeight="1">
      <c r="E932" s="155"/>
    </row>
    <row r="933" ht="15.75" customHeight="1">
      <c r="E933" s="155"/>
    </row>
    <row r="934" ht="15.75" customHeight="1">
      <c r="E934" s="155"/>
    </row>
    <row r="935" ht="15.75" customHeight="1">
      <c r="E935" s="155"/>
    </row>
    <row r="936" ht="15.75" customHeight="1">
      <c r="E936" s="155"/>
    </row>
    <row r="937" ht="15.75" customHeight="1">
      <c r="E937" s="155"/>
    </row>
    <row r="938" ht="15.75" customHeight="1">
      <c r="E938" s="155"/>
    </row>
    <row r="939" ht="15.75" customHeight="1">
      <c r="E939" s="155"/>
    </row>
    <row r="940" ht="15.75" customHeight="1">
      <c r="E940" s="155"/>
    </row>
    <row r="941" ht="15.75" customHeight="1">
      <c r="E941" s="155"/>
    </row>
    <row r="942" ht="15.75" customHeight="1">
      <c r="E942" s="155"/>
    </row>
    <row r="943" ht="15.75" customHeight="1">
      <c r="E943" s="155"/>
    </row>
    <row r="944" ht="15.75" customHeight="1">
      <c r="E944" s="155"/>
    </row>
    <row r="945" ht="15.75" customHeight="1">
      <c r="E945" s="155"/>
    </row>
    <row r="946" ht="15.75" customHeight="1">
      <c r="E946" s="155"/>
    </row>
    <row r="947" ht="15.75" customHeight="1">
      <c r="E947" s="155"/>
    </row>
    <row r="948" ht="15.75" customHeight="1">
      <c r="E948" s="155"/>
    </row>
    <row r="949" ht="15.75" customHeight="1">
      <c r="E949" s="155"/>
    </row>
    <row r="950" ht="15.75" customHeight="1">
      <c r="E950" s="155"/>
    </row>
    <row r="951" ht="15.75" customHeight="1">
      <c r="E951" s="155"/>
    </row>
    <row r="952" ht="15.75" customHeight="1">
      <c r="E952" s="155"/>
    </row>
    <row r="953" ht="15.75" customHeight="1">
      <c r="E953" s="155"/>
    </row>
    <row r="954" ht="15.75" customHeight="1">
      <c r="E954" s="155"/>
    </row>
    <row r="955" ht="15.75" customHeight="1">
      <c r="E955" s="155"/>
    </row>
    <row r="956" ht="15.75" customHeight="1">
      <c r="E956" s="155"/>
    </row>
    <row r="957" ht="15.75" customHeight="1">
      <c r="E957" s="155"/>
    </row>
    <row r="958" ht="15.75" customHeight="1">
      <c r="E958" s="155"/>
    </row>
    <row r="959" ht="15.75" customHeight="1">
      <c r="E959" s="155"/>
    </row>
    <row r="960" ht="15.75" customHeight="1">
      <c r="E960" s="155"/>
    </row>
    <row r="961" ht="15.75" customHeight="1">
      <c r="E961" s="155"/>
    </row>
    <row r="962" ht="15.75" customHeight="1">
      <c r="E962" s="155"/>
    </row>
    <row r="963" ht="15.75" customHeight="1">
      <c r="E963" s="155"/>
    </row>
    <row r="964" ht="15.75" customHeight="1">
      <c r="E964" s="155"/>
    </row>
    <row r="965" ht="15.75" customHeight="1">
      <c r="E965" s="155"/>
    </row>
    <row r="966" ht="15.75" customHeight="1">
      <c r="E966" s="155"/>
    </row>
    <row r="967" ht="15.75" customHeight="1">
      <c r="E967" s="155"/>
    </row>
    <row r="968" ht="15.75" customHeight="1">
      <c r="E968" s="155"/>
    </row>
    <row r="969" ht="15.75" customHeight="1">
      <c r="E969" s="155"/>
    </row>
    <row r="970" ht="15.75" customHeight="1">
      <c r="E970" s="155"/>
    </row>
    <row r="971" ht="15.75" customHeight="1">
      <c r="E971" s="155"/>
    </row>
    <row r="972" ht="15.75" customHeight="1">
      <c r="E972" s="155"/>
    </row>
    <row r="973" ht="15.75" customHeight="1">
      <c r="E973" s="155"/>
    </row>
    <row r="974" ht="15.75" customHeight="1">
      <c r="E974" s="155"/>
    </row>
    <row r="975" ht="15.75" customHeight="1">
      <c r="E975" s="155"/>
    </row>
    <row r="976" ht="15.75" customHeight="1">
      <c r="E976" s="155"/>
    </row>
    <row r="977" ht="15.75" customHeight="1">
      <c r="E977" s="155"/>
    </row>
    <row r="978" ht="15.75" customHeight="1">
      <c r="E978" s="155"/>
    </row>
    <row r="979" ht="15.75" customHeight="1">
      <c r="E979" s="155"/>
    </row>
    <row r="980" ht="15.75" customHeight="1">
      <c r="E980" s="155"/>
    </row>
    <row r="981" ht="15.75" customHeight="1">
      <c r="E981" s="155"/>
    </row>
    <row r="982" ht="15.75" customHeight="1">
      <c r="E982" s="155"/>
    </row>
    <row r="983" ht="15.75" customHeight="1">
      <c r="E983" s="155"/>
    </row>
    <row r="984" ht="15.75" customHeight="1">
      <c r="E984" s="155"/>
    </row>
    <row r="985" ht="15.75" customHeight="1">
      <c r="E985" s="155"/>
    </row>
    <row r="986" ht="15.75" customHeight="1">
      <c r="E986" s="155"/>
    </row>
    <row r="987" ht="15.75" customHeight="1">
      <c r="E987" s="155"/>
    </row>
    <row r="988" ht="15.75" customHeight="1">
      <c r="E988" s="155"/>
    </row>
    <row r="989" ht="15.75" customHeight="1">
      <c r="E989" s="155"/>
    </row>
    <row r="990" ht="15.75" customHeight="1">
      <c r="E990" s="155"/>
    </row>
    <row r="991" ht="15.75" customHeight="1">
      <c r="E991" s="155"/>
    </row>
    <row r="992" ht="15.75" customHeight="1">
      <c r="E992" s="155"/>
    </row>
    <row r="993" ht="15.75" customHeight="1">
      <c r="E993" s="155"/>
    </row>
    <row r="994" ht="15.75" customHeight="1">
      <c r="E994" s="155"/>
    </row>
    <row r="995" ht="15.75" customHeight="1">
      <c r="E995" s="155"/>
    </row>
    <row r="996" ht="15.75" customHeight="1">
      <c r="E996" s="155"/>
    </row>
    <row r="997" ht="15.75" customHeight="1">
      <c r="E997" s="155"/>
    </row>
    <row r="998" ht="15.75" customHeight="1">
      <c r="E998" s="155"/>
    </row>
    <row r="999" ht="15.75" customHeight="1">
      <c r="E999" s="155"/>
    </row>
    <row r="1000" ht="15.75" customHeight="1">
      <c r="E1000" s="155"/>
    </row>
  </sheetData>
  <drawing r:id="rId2"/>
</worksheet>
</file>